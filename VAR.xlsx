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anc\Downloads\"/>
    </mc:Choice>
  </mc:AlternateContent>
  <xr:revisionPtr revIDLastSave="0" documentId="13_ncr:1_{1DC63450-8C4F-4908-8BCA-17B9A2746D4F}" xr6:coauthVersionLast="47" xr6:coauthVersionMax="47" xr10:uidLastSave="{00000000-0000-0000-0000-000000000000}"/>
  <bookViews>
    <workbookView xWindow="-108" yWindow="-108" windowWidth="23256" windowHeight="12456" activeTab="9" xr2:uid="{6B609713-F130-4421-AB0B-7B0F4922B154}"/>
  </bookViews>
  <sheets>
    <sheet name="Data" sheetId="1" r:id="rId1"/>
    <sheet name="Returns" sheetId="2" r:id="rId2"/>
    <sheet name="Portfolio Returns" sheetId="3" r:id="rId3"/>
    <sheet name="Parametric VAR" sheetId="4" r:id="rId4"/>
    <sheet name="Historical VAR" sheetId="5" r:id="rId5"/>
    <sheet name="Monte Carlo Stimulation" sheetId="6" r:id="rId6"/>
    <sheet name="Model Comparison" sheetId="7" r:id="rId7"/>
    <sheet name="Backtesting" sheetId="8" r:id="rId8"/>
    <sheet name="Basel Traffic Light Test" sheetId="9" r:id="rId9"/>
    <sheet name="Dashboard" sheetId="11" r:id="rId10"/>
  </sheets>
  <definedNames>
    <definedName name="_xlchart.v1.0" hidden="1">'Portfolio Returns'!$A$5:$A$1243</definedName>
    <definedName name="_xlchart.v1.1" hidden="1">'Portfolio Returns'!$I$4</definedName>
    <definedName name="_xlchart.v1.2" hidden="1">'Portfolio Returns'!$I$5:$I$1243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1" i="9" l="1"/>
  <c r="E11" i="11"/>
  <c r="E10" i="11"/>
  <c r="F5" i="11"/>
  <c r="E5" i="11"/>
  <c r="F4" i="11"/>
  <c r="E4" i="11"/>
  <c r="B3" i="11"/>
  <c r="B4" i="11"/>
  <c r="B6" i="11"/>
  <c r="B7" i="11"/>
  <c r="B8" i="11"/>
  <c r="L12" i="9"/>
  <c r="E256" i="9"/>
  <c r="C256" i="9"/>
  <c r="E255" i="9"/>
  <c r="C255" i="9"/>
  <c r="E254" i="9"/>
  <c r="C254" i="9"/>
  <c r="E253" i="9"/>
  <c r="C253" i="9"/>
  <c r="E252" i="9"/>
  <c r="C252" i="9"/>
  <c r="E251" i="9"/>
  <c r="C251" i="9"/>
  <c r="E250" i="9"/>
  <c r="C250" i="9"/>
  <c r="E249" i="9"/>
  <c r="C249" i="9"/>
  <c r="E248" i="9"/>
  <c r="C248" i="9"/>
  <c r="E247" i="9"/>
  <c r="C247" i="9"/>
  <c r="E246" i="9"/>
  <c r="C246" i="9"/>
  <c r="E245" i="9"/>
  <c r="C245" i="9"/>
  <c r="E244" i="9"/>
  <c r="C244" i="9"/>
  <c r="E243" i="9"/>
  <c r="C243" i="9"/>
  <c r="E242" i="9"/>
  <c r="C242" i="9"/>
  <c r="E241" i="9"/>
  <c r="C241" i="9"/>
  <c r="E240" i="9"/>
  <c r="C240" i="9"/>
  <c r="E239" i="9"/>
  <c r="C239" i="9"/>
  <c r="E238" i="9"/>
  <c r="C238" i="9"/>
  <c r="E237" i="9"/>
  <c r="C237" i="9"/>
  <c r="E236" i="9"/>
  <c r="C236" i="9"/>
  <c r="E235" i="9"/>
  <c r="C235" i="9"/>
  <c r="E234" i="9"/>
  <c r="C234" i="9"/>
  <c r="E233" i="9"/>
  <c r="C233" i="9"/>
  <c r="E232" i="9"/>
  <c r="C232" i="9"/>
  <c r="E231" i="9"/>
  <c r="C231" i="9"/>
  <c r="E230" i="9"/>
  <c r="C230" i="9"/>
  <c r="E229" i="9"/>
  <c r="C229" i="9"/>
  <c r="E228" i="9"/>
  <c r="C228" i="9"/>
  <c r="E227" i="9"/>
  <c r="C227" i="9"/>
  <c r="E226" i="9"/>
  <c r="C226" i="9"/>
  <c r="E225" i="9"/>
  <c r="C225" i="9"/>
  <c r="E224" i="9"/>
  <c r="C224" i="9"/>
  <c r="E223" i="9"/>
  <c r="C223" i="9"/>
  <c r="E222" i="9"/>
  <c r="C222" i="9"/>
  <c r="E221" i="9"/>
  <c r="C221" i="9"/>
  <c r="E220" i="9"/>
  <c r="C220" i="9"/>
  <c r="E219" i="9"/>
  <c r="C219" i="9"/>
  <c r="E218" i="9"/>
  <c r="C218" i="9"/>
  <c r="E217" i="9"/>
  <c r="C217" i="9"/>
  <c r="E216" i="9"/>
  <c r="C216" i="9"/>
  <c r="E215" i="9"/>
  <c r="C215" i="9"/>
  <c r="E214" i="9"/>
  <c r="C214" i="9"/>
  <c r="E213" i="9"/>
  <c r="C213" i="9"/>
  <c r="E212" i="9"/>
  <c r="C212" i="9"/>
  <c r="E211" i="9"/>
  <c r="C211" i="9"/>
  <c r="E210" i="9"/>
  <c r="C210" i="9"/>
  <c r="E209" i="9"/>
  <c r="C209" i="9"/>
  <c r="E208" i="9"/>
  <c r="C208" i="9"/>
  <c r="E207" i="9"/>
  <c r="C207" i="9"/>
  <c r="E206" i="9"/>
  <c r="C206" i="9"/>
  <c r="E205" i="9"/>
  <c r="C205" i="9"/>
  <c r="E204" i="9"/>
  <c r="C204" i="9"/>
  <c r="E203" i="9"/>
  <c r="C203" i="9"/>
  <c r="E202" i="9"/>
  <c r="C202" i="9"/>
  <c r="E201" i="9"/>
  <c r="C201" i="9"/>
  <c r="E200" i="9"/>
  <c r="C200" i="9"/>
  <c r="E199" i="9"/>
  <c r="C199" i="9"/>
  <c r="E198" i="9"/>
  <c r="C198" i="9"/>
  <c r="E197" i="9"/>
  <c r="C197" i="9"/>
  <c r="E196" i="9"/>
  <c r="C196" i="9"/>
  <c r="E195" i="9"/>
  <c r="C195" i="9"/>
  <c r="E194" i="9"/>
  <c r="C194" i="9"/>
  <c r="E193" i="9"/>
  <c r="C193" i="9"/>
  <c r="E192" i="9"/>
  <c r="C192" i="9"/>
  <c r="E191" i="9"/>
  <c r="C191" i="9"/>
  <c r="E190" i="9"/>
  <c r="C190" i="9"/>
  <c r="E189" i="9"/>
  <c r="C189" i="9"/>
  <c r="E188" i="9"/>
  <c r="C188" i="9"/>
  <c r="E187" i="9"/>
  <c r="C187" i="9"/>
  <c r="E186" i="9"/>
  <c r="C186" i="9"/>
  <c r="E185" i="9"/>
  <c r="C185" i="9"/>
  <c r="E184" i="9"/>
  <c r="C184" i="9"/>
  <c r="E183" i="9"/>
  <c r="C183" i="9"/>
  <c r="E182" i="9"/>
  <c r="C182" i="9"/>
  <c r="E181" i="9"/>
  <c r="C181" i="9"/>
  <c r="E180" i="9"/>
  <c r="C180" i="9"/>
  <c r="E179" i="9"/>
  <c r="C179" i="9"/>
  <c r="E178" i="9"/>
  <c r="C178" i="9"/>
  <c r="E177" i="9"/>
  <c r="C177" i="9"/>
  <c r="E176" i="9"/>
  <c r="C176" i="9"/>
  <c r="E175" i="9"/>
  <c r="C175" i="9"/>
  <c r="E174" i="9"/>
  <c r="C174" i="9"/>
  <c r="E173" i="9"/>
  <c r="C173" i="9"/>
  <c r="E172" i="9"/>
  <c r="C172" i="9"/>
  <c r="E171" i="9"/>
  <c r="C171" i="9"/>
  <c r="E170" i="9"/>
  <c r="C170" i="9"/>
  <c r="E169" i="9"/>
  <c r="C169" i="9"/>
  <c r="E168" i="9"/>
  <c r="C168" i="9"/>
  <c r="E167" i="9"/>
  <c r="C167" i="9"/>
  <c r="E166" i="9"/>
  <c r="C166" i="9"/>
  <c r="E165" i="9"/>
  <c r="C165" i="9"/>
  <c r="E164" i="9"/>
  <c r="C164" i="9"/>
  <c r="E163" i="9"/>
  <c r="C163" i="9"/>
  <c r="E162" i="9"/>
  <c r="C162" i="9"/>
  <c r="E161" i="9"/>
  <c r="C161" i="9"/>
  <c r="E160" i="9"/>
  <c r="C160" i="9"/>
  <c r="E159" i="9"/>
  <c r="C159" i="9"/>
  <c r="E158" i="9"/>
  <c r="C158" i="9"/>
  <c r="E157" i="9"/>
  <c r="C157" i="9"/>
  <c r="E156" i="9"/>
  <c r="C156" i="9"/>
  <c r="E155" i="9"/>
  <c r="C155" i="9"/>
  <c r="E154" i="9"/>
  <c r="C154" i="9"/>
  <c r="E153" i="9"/>
  <c r="C153" i="9"/>
  <c r="E152" i="9"/>
  <c r="C152" i="9"/>
  <c r="E151" i="9"/>
  <c r="C151" i="9"/>
  <c r="E150" i="9"/>
  <c r="C150" i="9"/>
  <c r="E149" i="9"/>
  <c r="C149" i="9"/>
  <c r="E148" i="9"/>
  <c r="C148" i="9"/>
  <c r="E147" i="9"/>
  <c r="C147" i="9"/>
  <c r="E146" i="9"/>
  <c r="C146" i="9"/>
  <c r="E145" i="9"/>
  <c r="C145" i="9"/>
  <c r="E144" i="9"/>
  <c r="C144" i="9"/>
  <c r="E143" i="9"/>
  <c r="C143" i="9"/>
  <c r="E142" i="9"/>
  <c r="C142" i="9"/>
  <c r="E141" i="9"/>
  <c r="C141" i="9"/>
  <c r="E140" i="9"/>
  <c r="C140" i="9"/>
  <c r="E139" i="9"/>
  <c r="C139" i="9"/>
  <c r="E138" i="9"/>
  <c r="C138" i="9"/>
  <c r="E137" i="9"/>
  <c r="C137" i="9"/>
  <c r="E136" i="9"/>
  <c r="C136" i="9"/>
  <c r="E135" i="9"/>
  <c r="C135" i="9"/>
  <c r="E134" i="9"/>
  <c r="C134" i="9"/>
  <c r="E133" i="9"/>
  <c r="C133" i="9"/>
  <c r="E132" i="9"/>
  <c r="C132" i="9"/>
  <c r="E131" i="9"/>
  <c r="C131" i="9"/>
  <c r="E130" i="9"/>
  <c r="C130" i="9"/>
  <c r="E129" i="9"/>
  <c r="C129" i="9"/>
  <c r="E128" i="9"/>
  <c r="C128" i="9"/>
  <c r="E127" i="9"/>
  <c r="C127" i="9"/>
  <c r="E126" i="9"/>
  <c r="C126" i="9"/>
  <c r="E125" i="9"/>
  <c r="C125" i="9"/>
  <c r="E124" i="9"/>
  <c r="C124" i="9"/>
  <c r="E123" i="9"/>
  <c r="C123" i="9"/>
  <c r="E122" i="9"/>
  <c r="C122" i="9"/>
  <c r="E121" i="9"/>
  <c r="C121" i="9"/>
  <c r="E120" i="9"/>
  <c r="C120" i="9"/>
  <c r="E119" i="9"/>
  <c r="C119" i="9"/>
  <c r="E118" i="9"/>
  <c r="C118" i="9"/>
  <c r="E117" i="9"/>
  <c r="C117" i="9"/>
  <c r="E116" i="9"/>
  <c r="C116" i="9"/>
  <c r="E115" i="9"/>
  <c r="C115" i="9"/>
  <c r="E114" i="9"/>
  <c r="C114" i="9"/>
  <c r="E113" i="9"/>
  <c r="C113" i="9"/>
  <c r="E112" i="9"/>
  <c r="C112" i="9"/>
  <c r="E111" i="9"/>
  <c r="C111" i="9"/>
  <c r="E110" i="9"/>
  <c r="C110" i="9"/>
  <c r="E109" i="9"/>
  <c r="C109" i="9"/>
  <c r="E108" i="9"/>
  <c r="C108" i="9"/>
  <c r="E107" i="9"/>
  <c r="C107" i="9"/>
  <c r="E106" i="9"/>
  <c r="C106" i="9"/>
  <c r="E105" i="9"/>
  <c r="C105" i="9"/>
  <c r="E104" i="9"/>
  <c r="C104" i="9"/>
  <c r="E103" i="9"/>
  <c r="C103" i="9"/>
  <c r="E102" i="9"/>
  <c r="C102" i="9"/>
  <c r="E101" i="9"/>
  <c r="C101" i="9"/>
  <c r="E100" i="9"/>
  <c r="C100" i="9"/>
  <c r="E99" i="9"/>
  <c r="C99" i="9"/>
  <c r="E98" i="9"/>
  <c r="C98" i="9"/>
  <c r="E97" i="9"/>
  <c r="C97" i="9"/>
  <c r="E96" i="9"/>
  <c r="C96" i="9"/>
  <c r="E95" i="9"/>
  <c r="C95" i="9"/>
  <c r="E94" i="9"/>
  <c r="C94" i="9"/>
  <c r="E93" i="9"/>
  <c r="C93" i="9"/>
  <c r="E92" i="9"/>
  <c r="C92" i="9"/>
  <c r="E91" i="9"/>
  <c r="C91" i="9"/>
  <c r="E90" i="9"/>
  <c r="C90" i="9"/>
  <c r="E89" i="9"/>
  <c r="C89" i="9"/>
  <c r="E88" i="9"/>
  <c r="C88" i="9"/>
  <c r="E87" i="9"/>
  <c r="C87" i="9"/>
  <c r="E86" i="9"/>
  <c r="C86" i="9"/>
  <c r="E85" i="9"/>
  <c r="C85" i="9"/>
  <c r="E84" i="9"/>
  <c r="C84" i="9"/>
  <c r="E83" i="9"/>
  <c r="C83" i="9"/>
  <c r="E82" i="9"/>
  <c r="C82" i="9"/>
  <c r="E81" i="9"/>
  <c r="C81" i="9"/>
  <c r="E80" i="9"/>
  <c r="C80" i="9"/>
  <c r="E79" i="9"/>
  <c r="C79" i="9"/>
  <c r="E78" i="9"/>
  <c r="C78" i="9"/>
  <c r="E77" i="9"/>
  <c r="C77" i="9"/>
  <c r="E76" i="9"/>
  <c r="C76" i="9"/>
  <c r="E75" i="9"/>
  <c r="C75" i="9"/>
  <c r="E74" i="9"/>
  <c r="C74" i="9"/>
  <c r="E73" i="9"/>
  <c r="C73" i="9"/>
  <c r="E72" i="9"/>
  <c r="C72" i="9"/>
  <c r="E71" i="9"/>
  <c r="C71" i="9"/>
  <c r="E70" i="9"/>
  <c r="C70" i="9"/>
  <c r="E69" i="9"/>
  <c r="C69" i="9"/>
  <c r="E68" i="9"/>
  <c r="C68" i="9"/>
  <c r="E67" i="9"/>
  <c r="C67" i="9"/>
  <c r="E66" i="9"/>
  <c r="C66" i="9"/>
  <c r="E65" i="9"/>
  <c r="C65" i="9"/>
  <c r="E64" i="9"/>
  <c r="C64" i="9"/>
  <c r="E63" i="9"/>
  <c r="C63" i="9"/>
  <c r="E62" i="9"/>
  <c r="C62" i="9"/>
  <c r="E61" i="9"/>
  <c r="C61" i="9"/>
  <c r="E60" i="9"/>
  <c r="C60" i="9"/>
  <c r="E59" i="9"/>
  <c r="C59" i="9"/>
  <c r="E58" i="9"/>
  <c r="C58" i="9"/>
  <c r="E57" i="9"/>
  <c r="C57" i="9"/>
  <c r="E56" i="9"/>
  <c r="C56" i="9"/>
  <c r="E55" i="9"/>
  <c r="C55" i="9"/>
  <c r="E54" i="9"/>
  <c r="C54" i="9"/>
  <c r="E53" i="9"/>
  <c r="C53" i="9"/>
  <c r="E52" i="9"/>
  <c r="C52" i="9"/>
  <c r="E51" i="9"/>
  <c r="C51" i="9"/>
  <c r="E50" i="9"/>
  <c r="C50" i="9"/>
  <c r="E49" i="9"/>
  <c r="C49" i="9"/>
  <c r="E48" i="9"/>
  <c r="C48" i="9"/>
  <c r="E47" i="9"/>
  <c r="C47" i="9"/>
  <c r="E46" i="9"/>
  <c r="C46" i="9"/>
  <c r="E45" i="9"/>
  <c r="C45" i="9"/>
  <c r="E44" i="9"/>
  <c r="C44" i="9"/>
  <c r="E43" i="9"/>
  <c r="C43" i="9"/>
  <c r="E42" i="9"/>
  <c r="C42" i="9"/>
  <c r="E41" i="9"/>
  <c r="C41" i="9"/>
  <c r="E40" i="9"/>
  <c r="C40" i="9"/>
  <c r="E39" i="9"/>
  <c r="C39" i="9"/>
  <c r="E38" i="9"/>
  <c r="C38" i="9"/>
  <c r="E37" i="9"/>
  <c r="C37" i="9"/>
  <c r="E36" i="9"/>
  <c r="C36" i="9"/>
  <c r="E35" i="9"/>
  <c r="C35" i="9"/>
  <c r="E34" i="9"/>
  <c r="C34" i="9"/>
  <c r="E33" i="9"/>
  <c r="C33" i="9"/>
  <c r="E32" i="9"/>
  <c r="C32" i="9"/>
  <c r="E31" i="9"/>
  <c r="C31" i="9"/>
  <c r="E30" i="9"/>
  <c r="C30" i="9"/>
  <c r="E29" i="9"/>
  <c r="C29" i="9"/>
  <c r="E28" i="9"/>
  <c r="C28" i="9"/>
  <c r="E27" i="9"/>
  <c r="C27" i="9"/>
  <c r="E26" i="9"/>
  <c r="C26" i="9"/>
  <c r="E25" i="9"/>
  <c r="C25" i="9"/>
  <c r="E24" i="9"/>
  <c r="C24" i="9"/>
  <c r="E23" i="9"/>
  <c r="C23" i="9"/>
  <c r="E22" i="9"/>
  <c r="C22" i="9"/>
  <c r="E21" i="9"/>
  <c r="C21" i="9"/>
  <c r="E20" i="9"/>
  <c r="C20" i="9"/>
  <c r="E19" i="9"/>
  <c r="C19" i="9"/>
  <c r="E18" i="9"/>
  <c r="C18" i="9"/>
  <c r="E17" i="9"/>
  <c r="C17" i="9"/>
  <c r="E16" i="9"/>
  <c r="C16" i="9"/>
  <c r="E15" i="9"/>
  <c r="C15" i="9"/>
  <c r="E14" i="9"/>
  <c r="C14" i="9"/>
  <c r="E13" i="9"/>
  <c r="C13" i="9"/>
  <c r="E12" i="9"/>
  <c r="C12" i="9"/>
  <c r="E11" i="9"/>
  <c r="C11" i="9"/>
  <c r="E10" i="9"/>
  <c r="C10" i="9"/>
  <c r="E9" i="9"/>
  <c r="C9" i="9"/>
  <c r="E8" i="9"/>
  <c r="C8" i="9"/>
  <c r="E7" i="9"/>
  <c r="C7" i="9"/>
  <c r="E6" i="9"/>
  <c r="C6" i="9"/>
  <c r="E5" i="9"/>
  <c r="C5" i="9"/>
  <c r="T5" i="8"/>
  <c r="T4" i="8"/>
  <c r="U4" i="8"/>
  <c r="S4" i="8"/>
  <c r="S5" i="8"/>
  <c r="R5" i="8"/>
  <c r="R6" i="8"/>
  <c r="R4" i="8"/>
  <c r="Q5" i="8"/>
  <c r="Q6" i="8"/>
  <c r="Q4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0" i="8"/>
  <c r="J31" i="8"/>
  <c r="J32" i="8"/>
  <c r="J33" i="8"/>
  <c r="J34" i="8"/>
  <c r="J35" i="8"/>
  <c r="J36" i="8"/>
  <c r="J37" i="8"/>
  <c r="J38" i="8"/>
  <c r="J39" i="8"/>
  <c r="J40" i="8"/>
  <c r="J41" i="8"/>
  <c r="J42" i="8"/>
  <c r="J43" i="8"/>
  <c r="J44" i="8"/>
  <c r="J45" i="8"/>
  <c r="J46" i="8"/>
  <c r="J47" i="8"/>
  <c r="J48" i="8"/>
  <c r="J49" i="8"/>
  <c r="J50" i="8"/>
  <c r="J51" i="8"/>
  <c r="J52" i="8"/>
  <c r="J53" i="8"/>
  <c r="J54" i="8"/>
  <c r="J55" i="8"/>
  <c r="J56" i="8"/>
  <c r="J57" i="8"/>
  <c r="J58" i="8"/>
  <c r="J59" i="8"/>
  <c r="J60" i="8"/>
  <c r="J61" i="8"/>
  <c r="J62" i="8"/>
  <c r="J63" i="8"/>
  <c r="J64" i="8"/>
  <c r="J65" i="8"/>
  <c r="J66" i="8"/>
  <c r="J67" i="8"/>
  <c r="J68" i="8"/>
  <c r="J69" i="8"/>
  <c r="J70" i="8"/>
  <c r="J71" i="8"/>
  <c r="J72" i="8"/>
  <c r="J73" i="8"/>
  <c r="J74" i="8"/>
  <c r="J75" i="8"/>
  <c r="J76" i="8"/>
  <c r="J77" i="8"/>
  <c r="J78" i="8"/>
  <c r="J79" i="8"/>
  <c r="J80" i="8"/>
  <c r="J81" i="8"/>
  <c r="J82" i="8"/>
  <c r="J83" i="8"/>
  <c r="J84" i="8"/>
  <c r="J85" i="8"/>
  <c r="J86" i="8"/>
  <c r="J87" i="8"/>
  <c r="J88" i="8"/>
  <c r="J89" i="8"/>
  <c r="J90" i="8"/>
  <c r="J91" i="8"/>
  <c r="J92" i="8"/>
  <c r="J93" i="8"/>
  <c r="J94" i="8"/>
  <c r="J95" i="8"/>
  <c r="J96" i="8"/>
  <c r="J97" i="8"/>
  <c r="J98" i="8"/>
  <c r="J99" i="8"/>
  <c r="J100" i="8"/>
  <c r="J101" i="8"/>
  <c r="J102" i="8"/>
  <c r="J103" i="8"/>
  <c r="J104" i="8"/>
  <c r="J105" i="8"/>
  <c r="J106" i="8"/>
  <c r="J107" i="8"/>
  <c r="J108" i="8"/>
  <c r="J109" i="8"/>
  <c r="J110" i="8"/>
  <c r="J111" i="8"/>
  <c r="J112" i="8"/>
  <c r="J113" i="8"/>
  <c r="J114" i="8"/>
  <c r="J115" i="8"/>
  <c r="J116" i="8"/>
  <c r="J117" i="8"/>
  <c r="J118" i="8"/>
  <c r="J119" i="8"/>
  <c r="J120" i="8"/>
  <c r="J121" i="8"/>
  <c r="J122" i="8"/>
  <c r="J123" i="8"/>
  <c r="J124" i="8"/>
  <c r="J125" i="8"/>
  <c r="J126" i="8"/>
  <c r="J127" i="8"/>
  <c r="J128" i="8"/>
  <c r="J129" i="8"/>
  <c r="J130" i="8"/>
  <c r="J131" i="8"/>
  <c r="J132" i="8"/>
  <c r="J133" i="8"/>
  <c r="J134" i="8"/>
  <c r="J135" i="8"/>
  <c r="J136" i="8"/>
  <c r="J137" i="8"/>
  <c r="J138" i="8"/>
  <c r="J139" i="8"/>
  <c r="J140" i="8"/>
  <c r="J141" i="8"/>
  <c r="J142" i="8"/>
  <c r="J143" i="8"/>
  <c r="J144" i="8"/>
  <c r="J145" i="8"/>
  <c r="J146" i="8"/>
  <c r="J147" i="8"/>
  <c r="J148" i="8"/>
  <c r="J149" i="8"/>
  <c r="J150" i="8"/>
  <c r="J151" i="8"/>
  <c r="J152" i="8"/>
  <c r="J153" i="8"/>
  <c r="J154" i="8"/>
  <c r="J155" i="8"/>
  <c r="J156" i="8"/>
  <c r="J157" i="8"/>
  <c r="J158" i="8"/>
  <c r="J159" i="8"/>
  <c r="J160" i="8"/>
  <c r="J161" i="8"/>
  <c r="J162" i="8"/>
  <c r="J163" i="8"/>
  <c r="J164" i="8"/>
  <c r="J165" i="8"/>
  <c r="J166" i="8"/>
  <c r="J167" i="8"/>
  <c r="J168" i="8"/>
  <c r="J169" i="8"/>
  <c r="J170" i="8"/>
  <c r="J171" i="8"/>
  <c r="J172" i="8"/>
  <c r="J173" i="8"/>
  <c r="J174" i="8"/>
  <c r="J175" i="8"/>
  <c r="J176" i="8"/>
  <c r="J177" i="8"/>
  <c r="J178" i="8"/>
  <c r="J179" i="8"/>
  <c r="J180" i="8"/>
  <c r="J181" i="8"/>
  <c r="J182" i="8"/>
  <c r="J183" i="8"/>
  <c r="J184" i="8"/>
  <c r="J185" i="8"/>
  <c r="J186" i="8"/>
  <c r="J187" i="8"/>
  <c r="J188" i="8"/>
  <c r="J189" i="8"/>
  <c r="J190" i="8"/>
  <c r="J191" i="8"/>
  <c r="J192" i="8"/>
  <c r="J193" i="8"/>
  <c r="J194" i="8"/>
  <c r="J195" i="8"/>
  <c r="J196" i="8"/>
  <c r="J197" i="8"/>
  <c r="J198" i="8"/>
  <c r="J199" i="8"/>
  <c r="J200" i="8"/>
  <c r="J201" i="8"/>
  <c r="J202" i="8"/>
  <c r="J203" i="8"/>
  <c r="J204" i="8"/>
  <c r="J205" i="8"/>
  <c r="J206" i="8"/>
  <c r="J207" i="8"/>
  <c r="J208" i="8"/>
  <c r="J209" i="8"/>
  <c r="J210" i="8"/>
  <c r="J211" i="8"/>
  <c r="J212" i="8"/>
  <c r="J213" i="8"/>
  <c r="J214" i="8"/>
  <c r="J215" i="8"/>
  <c r="J216" i="8"/>
  <c r="J217" i="8"/>
  <c r="J218" i="8"/>
  <c r="J219" i="8"/>
  <c r="J220" i="8"/>
  <c r="J221" i="8"/>
  <c r="J222" i="8"/>
  <c r="J223" i="8"/>
  <c r="J224" i="8"/>
  <c r="J225" i="8"/>
  <c r="J226" i="8"/>
  <c r="J227" i="8"/>
  <c r="J228" i="8"/>
  <c r="J229" i="8"/>
  <c r="J230" i="8"/>
  <c r="J231" i="8"/>
  <c r="J232" i="8"/>
  <c r="J233" i="8"/>
  <c r="J234" i="8"/>
  <c r="J235" i="8"/>
  <c r="J236" i="8"/>
  <c r="J237" i="8"/>
  <c r="J238" i="8"/>
  <c r="J239" i="8"/>
  <c r="J240" i="8"/>
  <c r="J241" i="8"/>
  <c r="J242" i="8"/>
  <c r="J243" i="8"/>
  <c r="J244" i="8"/>
  <c r="J245" i="8"/>
  <c r="J246" i="8"/>
  <c r="J247" i="8"/>
  <c r="J248" i="8"/>
  <c r="J249" i="8"/>
  <c r="J250" i="8"/>
  <c r="J251" i="8"/>
  <c r="J252" i="8"/>
  <c r="J253" i="8"/>
  <c r="J254" i="8"/>
  <c r="J255" i="8"/>
  <c r="J256" i="8"/>
  <c r="J257" i="8"/>
  <c r="J258" i="8"/>
  <c r="J259" i="8"/>
  <c r="J260" i="8"/>
  <c r="J261" i="8"/>
  <c r="J262" i="8"/>
  <c r="J263" i="8"/>
  <c r="J264" i="8"/>
  <c r="J265" i="8"/>
  <c r="J266" i="8"/>
  <c r="J267" i="8"/>
  <c r="J268" i="8"/>
  <c r="J269" i="8"/>
  <c r="J270" i="8"/>
  <c r="J271" i="8"/>
  <c r="J272" i="8"/>
  <c r="J273" i="8"/>
  <c r="J274" i="8"/>
  <c r="J275" i="8"/>
  <c r="J276" i="8"/>
  <c r="J277" i="8"/>
  <c r="J278" i="8"/>
  <c r="J279" i="8"/>
  <c r="J280" i="8"/>
  <c r="J281" i="8"/>
  <c r="J282" i="8"/>
  <c r="J283" i="8"/>
  <c r="J284" i="8"/>
  <c r="J285" i="8"/>
  <c r="J286" i="8"/>
  <c r="J287" i="8"/>
  <c r="J288" i="8"/>
  <c r="J289" i="8"/>
  <c r="J290" i="8"/>
  <c r="J291" i="8"/>
  <c r="J292" i="8"/>
  <c r="J293" i="8"/>
  <c r="J294" i="8"/>
  <c r="J295" i="8"/>
  <c r="J296" i="8"/>
  <c r="J297" i="8"/>
  <c r="J298" i="8"/>
  <c r="J299" i="8"/>
  <c r="J300" i="8"/>
  <c r="J301" i="8"/>
  <c r="J302" i="8"/>
  <c r="J303" i="8"/>
  <c r="J304" i="8"/>
  <c r="J305" i="8"/>
  <c r="J306" i="8"/>
  <c r="J307" i="8"/>
  <c r="J308" i="8"/>
  <c r="J309" i="8"/>
  <c r="J310" i="8"/>
  <c r="J311" i="8"/>
  <c r="J312" i="8"/>
  <c r="J313" i="8"/>
  <c r="J314" i="8"/>
  <c r="J315" i="8"/>
  <c r="J316" i="8"/>
  <c r="J317" i="8"/>
  <c r="J318" i="8"/>
  <c r="J319" i="8"/>
  <c r="J320" i="8"/>
  <c r="J321" i="8"/>
  <c r="J322" i="8"/>
  <c r="J323" i="8"/>
  <c r="J324" i="8"/>
  <c r="J325" i="8"/>
  <c r="J326" i="8"/>
  <c r="J327" i="8"/>
  <c r="J328" i="8"/>
  <c r="J329" i="8"/>
  <c r="J330" i="8"/>
  <c r="J331" i="8"/>
  <c r="J332" i="8"/>
  <c r="J333" i="8"/>
  <c r="J334" i="8"/>
  <c r="J335" i="8"/>
  <c r="J336" i="8"/>
  <c r="J337" i="8"/>
  <c r="J338" i="8"/>
  <c r="J339" i="8"/>
  <c r="J340" i="8"/>
  <c r="J341" i="8"/>
  <c r="J342" i="8"/>
  <c r="J343" i="8"/>
  <c r="J344" i="8"/>
  <c r="J345" i="8"/>
  <c r="J346" i="8"/>
  <c r="J347" i="8"/>
  <c r="J348" i="8"/>
  <c r="J349" i="8"/>
  <c r="J350" i="8"/>
  <c r="J351" i="8"/>
  <c r="J352" i="8"/>
  <c r="J353" i="8"/>
  <c r="J354" i="8"/>
  <c r="J355" i="8"/>
  <c r="J356" i="8"/>
  <c r="J357" i="8"/>
  <c r="J358" i="8"/>
  <c r="J359" i="8"/>
  <c r="J360" i="8"/>
  <c r="J361" i="8"/>
  <c r="J362" i="8"/>
  <c r="J363" i="8"/>
  <c r="J364" i="8"/>
  <c r="J365" i="8"/>
  <c r="J366" i="8"/>
  <c r="J367" i="8"/>
  <c r="J368" i="8"/>
  <c r="J369" i="8"/>
  <c r="J370" i="8"/>
  <c r="J371" i="8"/>
  <c r="J372" i="8"/>
  <c r="J373" i="8"/>
  <c r="J374" i="8"/>
  <c r="J375" i="8"/>
  <c r="J376" i="8"/>
  <c r="J377" i="8"/>
  <c r="J378" i="8"/>
  <c r="J379" i="8"/>
  <c r="J380" i="8"/>
  <c r="J381" i="8"/>
  <c r="J382" i="8"/>
  <c r="J383" i="8"/>
  <c r="J384" i="8"/>
  <c r="J385" i="8"/>
  <c r="J386" i="8"/>
  <c r="J387" i="8"/>
  <c r="J388" i="8"/>
  <c r="J389" i="8"/>
  <c r="J390" i="8"/>
  <c r="J391" i="8"/>
  <c r="J392" i="8"/>
  <c r="J393" i="8"/>
  <c r="J394" i="8"/>
  <c r="J395" i="8"/>
  <c r="J396" i="8"/>
  <c r="J397" i="8"/>
  <c r="J398" i="8"/>
  <c r="J399" i="8"/>
  <c r="J400" i="8"/>
  <c r="J401" i="8"/>
  <c r="J402" i="8"/>
  <c r="J403" i="8"/>
  <c r="J404" i="8"/>
  <c r="J405" i="8"/>
  <c r="J406" i="8"/>
  <c r="J407" i="8"/>
  <c r="J408" i="8"/>
  <c r="J409" i="8"/>
  <c r="J410" i="8"/>
  <c r="J411" i="8"/>
  <c r="J412" i="8"/>
  <c r="J413" i="8"/>
  <c r="J414" i="8"/>
  <c r="J415" i="8"/>
  <c r="J416" i="8"/>
  <c r="J417" i="8"/>
  <c r="J418" i="8"/>
  <c r="J419" i="8"/>
  <c r="J420" i="8"/>
  <c r="J421" i="8"/>
  <c r="J422" i="8"/>
  <c r="J423" i="8"/>
  <c r="J424" i="8"/>
  <c r="J425" i="8"/>
  <c r="J426" i="8"/>
  <c r="J427" i="8"/>
  <c r="J428" i="8"/>
  <c r="J429" i="8"/>
  <c r="J430" i="8"/>
  <c r="J431" i="8"/>
  <c r="J432" i="8"/>
  <c r="J433" i="8"/>
  <c r="J434" i="8"/>
  <c r="J435" i="8"/>
  <c r="J436" i="8"/>
  <c r="J437" i="8"/>
  <c r="J438" i="8"/>
  <c r="J439" i="8"/>
  <c r="J440" i="8"/>
  <c r="J441" i="8"/>
  <c r="J442" i="8"/>
  <c r="J443" i="8"/>
  <c r="J444" i="8"/>
  <c r="J445" i="8"/>
  <c r="J446" i="8"/>
  <c r="J447" i="8"/>
  <c r="J448" i="8"/>
  <c r="J449" i="8"/>
  <c r="J450" i="8"/>
  <c r="J451" i="8"/>
  <c r="J452" i="8"/>
  <c r="J453" i="8"/>
  <c r="J454" i="8"/>
  <c r="J455" i="8"/>
  <c r="J456" i="8"/>
  <c r="J457" i="8"/>
  <c r="J458" i="8"/>
  <c r="J459" i="8"/>
  <c r="J460" i="8"/>
  <c r="J461" i="8"/>
  <c r="J462" i="8"/>
  <c r="J463" i="8"/>
  <c r="J464" i="8"/>
  <c r="J465" i="8"/>
  <c r="J466" i="8"/>
  <c r="J467" i="8"/>
  <c r="J468" i="8"/>
  <c r="J469" i="8"/>
  <c r="J470" i="8"/>
  <c r="J471" i="8"/>
  <c r="J472" i="8"/>
  <c r="J473" i="8"/>
  <c r="J474" i="8"/>
  <c r="J475" i="8"/>
  <c r="J476" i="8"/>
  <c r="J477" i="8"/>
  <c r="J478" i="8"/>
  <c r="J479" i="8"/>
  <c r="J480" i="8"/>
  <c r="J481" i="8"/>
  <c r="J482" i="8"/>
  <c r="J483" i="8"/>
  <c r="J484" i="8"/>
  <c r="J485" i="8"/>
  <c r="J486" i="8"/>
  <c r="J487" i="8"/>
  <c r="J488" i="8"/>
  <c r="J489" i="8"/>
  <c r="J490" i="8"/>
  <c r="J491" i="8"/>
  <c r="J492" i="8"/>
  <c r="J493" i="8"/>
  <c r="J494" i="8"/>
  <c r="J495" i="8"/>
  <c r="J496" i="8"/>
  <c r="J497" i="8"/>
  <c r="J498" i="8"/>
  <c r="J499" i="8"/>
  <c r="J500" i="8"/>
  <c r="J501" i="8"/>
  <c r="J502" i="8"/>
  <c r="J503" i="8"/>
  <c r="J504" i="8"/>
  <c r="J505" i="8"/>
  <c r="J506" i="8"/>
  <c r="J507" i="8"/>
  <c r="J508" i="8"/>
  <c r="J509" i="8"/>
  <c r="J510" i="8"/>
  <c r="J511" i="8"/>
  <c r="J512" i="8"/>
  <c r="J513" i="8"/>
  <c r="J514" i="8"/>
  <c r="J515" i="8"/>
  <c r="J516" i="8"/>
  <c r="J517" i="8"/>
  <c r="J518" i="8"/>
  <c r="J519" i="8"/>
  <c r="J520" i="8"/>
  <c r="J521" i="8"/>
  <c r="J522" i="8"/>
  <c r="J523" i="8"/>
  <c r="J524" i="8"/>
  <c r="J525" i="8"/>
  <c r="J526" i="8"/>
  <c r="J527" i="8"/>
  <c r="J528" i="8"/>
  <c r="J529" i="8"/>
  <c r="J530" i="8"/>
  <c r="J531" i="8"/>
  <c r="J532" i="8"/>
  <c r="J533" i="8"/>
  <c r="J534" i="8"/>
  <c r="J535" i="8"/>
  <c r="J536" i="8"/>
  <c r="J537" i="8"/>
  <c r="J538" i="8"/>
  <c r="J539" i="8"/>
  <c r="J540" i="8"/>
  <c r="J541" i="8"/>
  <c r="J542" i="8"/>
  <c r="J543" i="8"/>
  <c r="J544" i="8"/>
  <c r="J545" i="8"/>
  <c r="J546" i="8"/>
  <c r="J547" i="8"/>
  <c r="J548" i="8"/>
  <c r="J549" i="8"/>
  <c r="J550" i="8"/>
  <c r="J551" i="8"/>
  <c r="J552" i="8"/>
  <c r="J553" i="8"/>
  <c r="J554" i="8"/>
  <c r="J555" i="8"/>
  <c r="J556" i="8"/>
  <c r="J557" i="8"/>
  <c r="J558" i="8"/>
  <c r="J559" i="8"/>
  <c r="J560" i="8"/>
  <c r="J561" i="8"/>
  <c r="J562" i="8"/>
  <c r="J563" i="8"/>
  <c r="J564" i="8"/>
  <c r="J565" i="8"/>
  <c r="J566" i="8"/>
  <c r="J567" i="8"/>
  <c r="J568" i="8"/>
  <c r="J569" i="8"/>
  <c r="J570" i="8"/>
  <c r="J571" i="8"/>
  <c r="J572" i="8"/>
  <c r="J573" i="8"/>
  <c r="J574" i="8"/>
  <c r="J575" i="8"/>
  <c r="J576" i="8"/>
  <c r="J577" i="8"/>
  <c r="J578" i="8"/>
  <c r="J579" i="8"/>
  <c r="J580" i="8"/>
  <c r="J581" i="8"/>
  <c r="J582" i="8"/>
  <c r="J583" i="8"/>
  <c r="J584" i="8"/>
  <c r="J585" i="8"/>
  <c r="J586" i="8"/>
  <c r="J587" i="8"/>
  <c r="J588" i="8"/>
  <c r="J589" i="8"/>
  <c r="J590" i="8"/>
  <c r="J591" i="8"/>
  <c r="J592" i="8"/>
  <c r="J593" i="8"/>
  <c r="J594" i="8"/>
  <c r="J595" i="8"/>
  <c r="J596" i="8"/>
  <c r="J597" i="8"/>
  <c r="J598" i="8"/>
  <c r="J599" i="8"/>
  <c r="J600" i="8"/>
  <c r="J601" i="8"/>
  <c r="J602" i="8"/>
  <c r="J603" i="8"/>
  <c r="J604" i="8"/>
  <c r="J605" i="8"/>
  <c r="J606" i="8"/>
  <c r="J607" i="8"/>
  <c r="J608" i="8"/>
  <c r="J609" i="8"/>
  <c r="J610" i="8"/>
  <c r="J611" i="8"/>
  <c r="J612" i="8"/>
  <c r="J613" i="8"/>
  <c r="J614" i="8"/>
  <c r="J615" i="8"/>
  <c r="J616" i="8"/>
  <c r="J617" i="8"/>
  <c r="J618" i="8"/>
  <c r="J619" i="8"/>
  <c r="J620" i="8"/>
  <c r="J621" i="8"/>
  <c r="J622" i="8"/>
  <c r="J623" i="8"/>
  <c r="J624" i="8"/>
  <c r="J625" i="8"/>
  <c r="J626" i="8"/>
  <c r="J627" i="8"/>
  <c r="J628" i="8"/>
  <c r="J629" i="8"/>
  <c r="J630" i="8"/>
  <c r="J631" i="8"/>
  <c r="J632" i="8"/>
  <c r="J633" i="8"/>
  <c r="J634" i="8"/>
  <c r="J635" i="8"/>
  <c r="J636" i="8"/>
  <c r="J637" i="8"/>
  <c r="J638" i="8"/>
  <c r="J639" i="8"/>
  <c r="J640" i="8"/>
  <c r="J641" i="8"/>
  <c r="J642" i="8"/>
  <c r="J643" i="8"/>
  <c r="J644" i="8"/>
  <c r="J645" i="8"/>
  <c r="J646" i="8"/>
  <c r="J647" i="8"/>
  <c r="J648" i="8"/>
  <c r="J649" i="8"/>
  <c r="J650" i="8"/>
  <c r="J651" i="8"/>
  <c r="J652" i="8"/>
  <c r="J653" i="8"/>
  <c r="J654" i="8"/>
  <c r="J655" i="8"/>
  <c r="J656" i="8"/>
  <c r="J657" i="8"/>
  <c r="J658" i="8"/>
  <c r="J659" i="8"/>
  <c r="J660" i="8"/>
  <c r="J661" i="8"/>
  <c r="J662" i="8"/>
  <c r="J663" i="8"/>
  <c r="J664" i="8"/>
  <c r="J665" i="8"/>
  <c r="J666" i="8"/>
  <c r="J667" i="8"/>
  <c r="J668" i="8"/>
  <c r="J669" i="8"/>
  <c r="J670" i="8"/>
  <c r="J671" i="8"/>
  <c r="J672" i="8"/>
  <c r="J673" i="8"/>
  <c r="J674" i="8"/>
  <c r="J675" i="8"/>
  <c r="J676" i="8"/>
  <c r="J677" i="8"/>
  <c r="J678" i="8"/>
  <c r="J679" i="8"/>
  <c r="J680" i="8"/>
  <c r="J681" i="8"/>
  <c r="J682" i="8"/>
  <c r="J683" i="8"/>
  <c r="J684" i="8"/>
  <c r="J685" i="8"/>
  <c r="J686" i="8"/>
  <c r="J687" i="8"/>
  <c r="J688" i="8"/>
  <c r="J689" i="8"/>
  <c r="J690" i="8"/>
  <c r="J691" i="8"/>
  <c r="J692" i="8"/>
  <c r="J693" i="8"/>
  <c r="J694" i="8"/>
  <c r="J695" i="8"/>
  <c r="J696" i="8"/>
  <c r="J697" i="8"/>
  <c r="J698" i="8"/>
  <c r="J699" i="8"/>
  <c r="J700" i="8"/>
  <c r="J701" i="8"/>
  <c r="J702" i="8"/>
  <c r="J703" i="8"/>
  <c r="J704" i="8"/>
  <c r="J705" i="8"/>
  <c r="J706" i="8"/>
  <c r="J707" i="8"/>
  <c r="J708" i="8"/>
  <c r="J709" i="8"/>
  <c r="J710" i="8"/>
  <c r="J711" i="8"/>
  <c r="J712" i="8"/>
  <c r="J713" i="8"/>
  <c r="J714" i="8"/>
  <c r="J715" i="8"/>
  <c r="J716" i="8"/>
  <c r="J717" i="8"/>
  <c r="J718" i="8"/>
  <c r="J719" i="8"/>
  <c r="J720" i="8"/>
  <c r="J721" i="8"/>
  <c r="J722" i="8"/>
  <c r="J723" i="8"/>
  <c r="J724" i="8"/>
  <c r="J725" i="8"/>
  <c r="J726" i="8"/>
  <c r="J727" i="8"/>
  <c r="J728" i="8"/>
  <c r="J729" i="8"/>
  <c r="J730" i="8"/>
  <c r="J731" i="8"/>
  <c r="J732" i="8"/>
  <c r="J733" i="8"/>
  <c r="J734" i="8"/>
  <c r="J735" i="8"/>
  <c r="J736" i="8"/>
  <c r="J737" i="8"/>
  <c r="J738" i="8"/>
  <c r="J739" i="8"/>
  <c r="J740" i="8"/>
  <c r="J741" i="8"/>
  <c r="J742" i="8"/>
  <c r="J743" i="8"/>
  <c r="J744" i="8"/>
  <c r="J745" i="8"/>
  <c r="J746" i="8"/>
  <c r="J747" i="8"/>
  <c r="J748" i="8"/>
  <c r="J749" i="8"/>
  <c r="J750" i="8"/>
  <c r="J751" i="8"/>
  <c r="J752" i="8"/>
  <c r="J753" i="8"/>
  <c r="J754" i="8"/>
  <c r="J755" i="8"/>
  <c r="J756" i="8"/>
  <c r="J757" i="8"/>
  <c r="J758" i="8"/>
  <c r="J759" i="8"/>
  <c r="J760" i="8"/>
  <c r="J761" i="8"/>
  <c r="J762" i="8"/>
  <c r="J763" i="8"/>
  <c r="J764" i="8"/>
  <c r="J765" i="8"/>
  <c r="J766" i="8"/>
  <c r="J767" i="8"/>
  <c r="J768" i="8"/>
  <c r="J769" i="8"/>
  <c r="J770" i="8"/>
  <c r="J771" i="8"/>
  <c r="J772" i="8"/>
  <c r="J773" i="8"/>
  <c r="J774" i="8"/>
  <c r="J775" i="8"/>
  <c r="J776" i="8"/>
  <c r="J777" i="8"/>
  <c r="J778" i="8"/>
  <c r="J779" i="8"/>
  <c r="J780" i="8"/>
  <c r="J781" i="8"/>
  <c r="J782" i="8"/>
  <c r="J783" i="8"/>
  <c r="J784" i="8"/>
  <c r="J785" i="8"/>
  <c r="J786" i="8"/>
  <c r="J787" i="8"/>
  <c r="J788" i="8"/>
  <c r="J789" i="8"/>
  <c r="J790" i="8"/>
  <c r="J791" i="8"/>
  <c r="J792" i="8"/>
  <c r="J793" i="8"/>
  <c r="J794" i="8"/>
  <c r="J795" i="8"/>
  <c r="J796" i="8"/>
  <c r="J797" i="8"/>
  <c r="J798" i="8"/>
  <c r="J799" i="8"/>
  <c r="J800" i="8"/>
  <c r="J801" i="8"/>
  <c r="J802" i="8"/>
  <c r="J803" i="8"/>
  <c r="J804" i="8"/>
  <c r="J805" i="8"/>
  <c r="J806" i="8"/>
  <c r="J807" i="8"/>
  <c r="J808" i="8"/>
  <c r="J809" i="8"/>
  <c r="J810" i="8"/>
  <c r="J811" i="8"/>
  <c r="J812" i="8"/>
  <c r="J813" i="8"/>
  <c r="J814" i="8"/>
  <c r="J815" i="8"/>
  <c r="J816" i="8"/>
  <c r="J817" i="8"/>
  <c r="J818" i="8"/>
  <c r="J819" i="8"/>
  <c r="J820" i="8"/>
  <c r="J821" i="8"/>
  <c r="J822" i="8"/>
  <c r="J823" i="8"/>
  <c r="J824" i="8"/>
  <c r="J825" i="8"/>
  <c r="J826" i="8"/>
  <c r="J827" i="8"/>
  <c r="J828" i="8"/>
  <c r="J829" i="8"/>
  <c r="J830" i="8"/>
  <c r="J831" i="8"/>
  <c r="J832" i="8"/>
  <c r="J833" i="8"/>
  <c r="J834" i="8"/>
  <c r="J835" i="8"/>
  <c r="J836" i="8"/>
  <c r="J837" i="8"/>
  <c r="J838" i="8"/>
  <c r="J839" i="8"/>
  <c r="J840" i="8"/>
  <c r="J841" i="8"/>
  <c r="J842" i="8"/>
  <c r="J843" i="8"/>
  <c r="J844" i="8"/>
  <c r="J845" i="8"/>
  <c r="J846" i="8"/>
  <c r="J847" i="8"/>
  <c r="J848" i="8"/>
  <c r="J849" i="8"/>
  <c r="J850" i="8"/>
  <c r="J851" i="8"/>
  <c r="J852" i="8"/>
  <c r="J853" i="8"/>
  <c r="J854" i="8"/>
  <c r="J855" i="8"/>
  <c r="J856" i="8"/>
  <c r="J857" i="8"/>
  <c r="J858" i="8"/>
  <c r="J859" i="8"/>
  <c r="J860" i="8"/>
  <c r="J861" i="8"/>
  <c r="J862" i="8"/>
  <c r="J863" i="8"/>
  <c r="J864" i="8"/>
  <c r="J865" i="8"/>
  <c r="J866" i="8"/>
  <c r="J867" i="8"/>
  <c r="J868" i="8"/>
  <c r="J869" i="8"/>
  <c r="J870" i="8"/>
  <c r="J871" i="8"/>
  <c r="J872" i="8"/>
  <c r="J873" i="8"/>
  <c r="J874" i="8"/>
  <c r="J875" i="8"/>
  <c r="J876" i="8"/>
  <c r="J877" i="8"/>
  <c r="J878" i="8"/>
  <c r="J879" i="8"/>
  <c r="J880" i="8"/>
  <c r="J881" i="8"/>
  <c r="J882" i="8"/>
  <c r="J883" i="8"/>
  <c r="J884" i="8"/>
  <c r="J885" i="8"/>
  <c r="J886" i="8"/>
  <c r="J887" i="8"/>
  <c r="J888" i="8"/>
  <c r="J889" i="8"/>
  <c r="J890" i="8"/>
  <c r="J891" i="8"/>
  <c r="J892" i="8"/>
  <c r="J893" i="8"/>
  <c r="J894" i="8"/>
  <c r="J895" i="8"/>
  <c r="J896" i="8"/>
  <c r="J897" i="8"/>
  <c r="J898" i="8"/>
  <c r="J899" i="8"/>
  <c r="J900" i="8"/>
  <c r="J901" i="8"/>
  <c r="J902" i="8"/>
  <c r="J903" i="8"/>
  <c r="J904" i="8"/>
  <c r="J905" i="8"/>
  <c r="J906" i="8"/>
  <c r="J907" i="8"/>
  <c r="J908" i="8"/>
  <c r="J909" i="8"/>
  <c r="J910" i="8"/>
  <c r="J911" i="8"/>
  <c r="J912" i="8"/>
  <c r="J913" i="8"/>
  <c r="J914" i="8"/>
  <c r="J915" i="8"/>
  <c r="J916" i="8"/>
  <c r="J917" i="8"/>
  <c r="J918" i="8"/>
  <c r="J919" i="8"/>
  <c r="J920" i="8"/>
  <c r="J921" i="8"/>
  <c r="J922" i="8"/>
  <c r="J923" i="8"/>
  <c r="J924" i="8"/>
  <c r="J925" i="8"/>
  <c r="J926" i="8"/>
  <c r="J927" i="8"/>
  <c r="J928" i="8"/>
  <c r="J929" i="8"/>
  <c r="J930" i="8"/>
  <c r="J931" i="8"/>
  <c r="J932" i="8"/>
  <c r="J933" i="8"/>
  <c r="J934" i="8"/>
  <c r="J935" i="8"/>
  <c r="J936" i="8"/>
  <c r="J937" i="8"/>
  <c r="J938" i="8"/>
  <c r="J939" i="8"/>
  <c r="J940" i="8"/>
  <c r="J941" i="8"/>
  <c r="J942" i="8"/>
  <c r="J943" i="8"/>
  <c r="J944" i="8"/>
  <c r="J945" i="8"/>
  <c r="J946" i="8"/>
  <c r="J947" i="8"/>
  <c r="J948" i="8"/>
  <c r="J949" i="8"/>
  <c r="J950" i="8"/>
  <c r="J951" i="8"/>
  <c r="J952" i="8"/>
  <c r="J953" i="8"/>
  <c r="J954" i="8"/>
  <c r="J955" i="8"/>
  <c r="J956" i="8"/>
  <c r="J957" i="8"/>
  <c r="J958" i="8"/>
  <c r="J959" i="8"/>
  <c r="J960" i="8"/>
  <c r="J961" i="8"/>
  <c r="J962" i="8"/>
  <c r="J963" i="8"/>
  <c r="J964" i="8"/>
  <c r="J965" i="8"/>
  <c r="J966" i="8"/>
  <c r="J967" i="8"/>
  <c r="J968" i="8"/>
  <c r="J969" i="8"/>
  <c r="J970" i="8"/>
  <c r="J971" i="8"/>
  <c r="J972" i="8"/>
  <c r="J973" i="8"/>
  <c r="J974" i="8"/>
  <c r="J975" i="8"/>
  <c r="J976" i="8"/>
  <c r="J977" i="8"/>
  <c r="J978" i="8"/>
  <c r="J979" i="8"/>
  <c r="J980" i="8"/>
  <c r="J981" i="8"/>
  <c r="J982" i="8"/>
  <c r="J983" i="8"/>
  <c r="J984" i="8"/>
  <c r="J985" i="8"/>
  <c r="J986" i="8"/>
  <c r="J987" i="8"/>
  <c r="J988" i="8"/>
  <c r="J989" i="8"/>
  <c r="J990" i="8"/>
  <c r="J991" i="8"/>
  <c r="J992" i="8"/>
  <c r="J993" i="8"/>
  <c r="J994" i="8"/>
  <c r="J995" i="8"/>
  <c r="J996" i="8"/>
  <c r="J997" i="8"/>
  <c r="J998" i="8"/>
  <c r="J999" i="8"/>
  <c r="J1000" i="8"/>
  <c r="J1001" i="8"/>
  <c r="J1002" i="8"/>
  <c r="J1003" i="8"/>
  <c r="J1004" i="8"/>
  <c r="J1005" i="8"/>
  <c r="J1006" i="8"/>
  <c r="J1007" i="8"/>
  <c r="J1008" i="8"/>
  <c r="J1009" i="8"/>
  <c r="J1010" i="8"/>
  <c r="J1011" i="8"/>
  <c r="J1012" i="8"/>
  <c r="J1013" i="8"/>
  <c r="J1014" i="8"/>
  <c r="J1015" i="8"/>
  <c r="J1016" i="8"/>
  <c r="J1017" i="8"/>
  <c r="J1018" i="8"/>
  <c r="J1019" i="8"/>
  <c r="J1020" i="8"/>
  <c r="J1021" i="8"/>
  <c r="J1022" i="8"/>
  <c r="J1023" i="8"/>
  <c r="J1024" i="8"/>
  <c r="J1025" i="8"/>
  <c r="J1026" i="8"/>
  <c r="J1027" i="8"/>
  <c r="J1028" i="8"/>
  <c r="J1029" i="8"/>
  <c r="J1030" i="8"/>
  <c r="J1031" i="8"/>
  <c r="J1032" i="8"/>
  <c r="J1033" i="8"/>
  <c r="J1034" i="8"/>
  <c r="J1035" i="8"/>
  <c r="J1036" i="8"/>
  <c r="J1037" i="8"/>
  <c r="J1038" i="8"/>
  <c r="J1039" i="8"/>
  <c r="J1040" i="8"/>
  <c r="J1041" i="8"/>
  <c r="J1042" i="8"/>
  <c r="J1043" i="8"/>
  <c r="J1044" i="8"/>
  <c r="J1045" i="8"/>
  <c r="J1046" i="8"/>
  <c r="J1047" i="8"/>
  <c r="J1048" i="8"/>
  <c r="J1049" i="8"/>
  <c r="J1050" i="8"/>
  <c r="J1051" i="8"/>
  <c r="J1052" i="8"/>
  <c r="J1053" i="8"/>
  <c r="J1054" i="8"/>
  <c r="J1055" i="8"/>
  <c r="J1056" i="8"/>
  <c r="J1057" i="8"/>
  <c r="J1058" i="8"/>
  <c r="J1059" i="8"/>
  <c r="J1060" i="8"/>
  <c r="J1061" i="8"/>
  <c r="J1062" i="8"/>
  <c r="J1063" i="8"/>
  <c r="J1064" i="8"/>
  <c r="J1065" i="8"/>
  <c r="J1066" i="8"/>
  <c r="J1067" i="8"/>
  <c r="J1068" i="8"/>
  <c r="J1069" i="8"/>
  <c r="J1070" i="8"/>
  <c r="J1071" i="8"/>
  <c r="J1072" i="8"/>
  <c r="J1073" i="8"/>
  <c r="J1074" i="8"/>
  <c r="J1075" i="8"/>
  <c r="J1076" i="8"/>
  <c r="J1077" i="8"/>
  <c r="J1078" i="8"/>
  <c r="J1079" i="8"/>
  <c r="J1080" i="8"/>
  <c r="J1081" i="8"/>
  <c r="J1082" i="8"/>
  <c r="J1083" i="8"/>
  <c r="J1084" i="8"/>
  <c r="J1085" i="8"/>
  <c r="J1086" i="8"/>
  <c r="J1087" i="8"/>
  <c r="J1088" i="8"/>
  <c r="J1089" i="8"/>
  <c r="J1090" i="8"/>
  <c r="J1091" i="8"/>
  <c r="J1092" i="8"/>
  <c r="J1093" i="8"/>
  <c r="J1094" i="8"/>
  <c r="J1095" i="8"/>
  <c r="J1096" i="8"/>
  <c r="J1097" i="8"/>
  <c r="J1098" i="8"/>
  <c r="J1099" i="8"/>
  <c r="J1100" i="8"/>
  <c r="J1101" i="8"/>
  <c r="J1102" i="8"/>
  <c r="J1103" i="8"/>
  <c r="J1104" i="8"/>
  <c r="J1105" i="8"/>
  <c r="J1106" i="8"/>
  <c r="J1107" i="8"/>
  <c r="J1108" i="8"/>
  <c r="J1109" i="8"/>
  <c r="J1110" i="8"/>
  <c r="J1111" i="8"/>
  <c r="J1112" i="8"/>
  <c r="J1113" i="8"/>
  <c r="J1114" i="8"/>
  <c r="J1115" i="8"/>
  <c r="J1116" i="8"/>
  <c r="J1117" i="8"/>
  <c r="J1118" i="8"/>
  <c r="J1119" i="8"/>
  <c r="J1120" i="8"/>
  <c r="J1121" i="8"/>
  <c r="J1122" i="8"/>
  <c r="J1123" i="8"/>
  <c r="J1124" i="8"/>
  <c r="J1125" i="8"/>
  <c r="J1126" i="8"/>
  <c r="J1127" i="8"/>
  <c r="J1128" i="8"/>
  <c r="J1129" i="8"/>
  <c r="J1130" i="8"/>
  <c r="J1131" i="8"/>
  <c r="J1132" i="8"/>
  <c r="J1133" i="8"/>
  <c r="J1134" i="8"/>
  <c r="J1135" i="8"/>
  <c r="J1136" i="8"/>
  <c r="J1137" i="8"/>
  <c r="J1138" i="8"/>
  <c r="J1139" i="8"/>
  <c r="J1140" i="8"/>
  <c r="J1141" i="8"/>
  <c r="J1142" i="8"/>
  <c r="J1143" i="8"/>
  <c r="J1144" i="8"/>
  <c r="J1145" i="8"/>
  <c r="J1146" i="8"/>
  <c r="J1147" i="8"/>
  <c r="J1148" i="8"/>
  <c r="J1149" i="8"/>
  <c r="J1150" i="8"/>
  <c r="J1151" i="8"/>
  <c r="J1152" i="8"/>
  <c r="J1153" i="8"/>
  <c r="J1154" i="8"/>
  <c r="J1155" i="8"/>
  <c r="J1156" i="8"/>
  <c r="J1157" i="8"/>
  <c r="J1158" i="8"/>
  <c r="J1159" i="8"/>
  <c r="J1160" i="8"/>
  <c r="J1161" i="8"/>
  <c r="J1162" i="8"/>
  <c r="J1163" i="8"/>
  <c r="J1164" i="8"/>
  <c r="J1165" i="8"/>
  <c r="J1166" i="8"/>
  <c r="J1167" i="8"/>
  <c r="J1168" i="8"/>
  <c r="J1169" i="8"/>
  <c r="J1170" i="8"/>
  <c r="J1171" i="8"/>
  <c r="J1172" i="8"/>
  <c r="J1173" i="8"/>
  <c r="J1174" i="8"/>
  <c r="J1175" i="8"/>
  <c r="J1176" i="8"/>
  <c r="J1177" i="8"/>
  <c r="J1178" i="8"/>
  <c r="J1179" i="8"/>
  <c r="J1180" i="8"/>
  <c r="J1181" i="8"/>
  <c r="J1182" i="8"/>
  <c r="J1183" i="8"/>
  <c r="J1184" i="8"/>
  <c r="J1185" i="8"/>
  <c r="J1186" i="8"/>
  <c r="J1187" i="8"/>
  <c r="J1188" i="8"/>
  <c r="J1189" i="8"/>
  <c r="J1190" i="8"/>
  <c r="J1191" i="8"/>
  <c r="J1192" i="8"/>
  <c r="J1193" i="8"/>
  <c r="J1194" i="8"/>
  <c r="J1195" i="8"/>
  <c r="J1196" i="8"/>
  <c r="J1197" i="8"/>
  <c r="J1198" i="8"/>
  <c r="J1199" i="8"/>
  <c r="J1200" i="8"/>
  <c r="J1201" i="8"/>
  <c r="J1202" i="8"/>
  <c r="J1203" i="8"/>
  <c r="J1204" i="8"/>
  <c r="J1205" i="8"/>
  <c r="J1206" i="8"/>
  <c r="J1207" i="8"/>
  <c r="J1208" i="8"/>
  <c r="J1209" i="8"/>
  <c r="J1210" i="8"/>
  <c r="J1211" i="8"/>
  <c r="J1212" i="8"/>
  <c r="J1213" i="8"/>
  <c r="J1214" i="8"/>
  <c r="J1215" i="8"/>
  <c r="J1216" i="8"/>
  <c r="J1217" i="8"/>
  <c r="J1218" i="8"/>
  <c r="J1219" i="8"/>
  <c r="J1220" i="8"/>
  <c r="J1221" i="8"/>
  <c r="J1222" i="8"/>
  <c r="J1223" i="8"/>
  <c r="J1224" i="8"/>
  <c r="J1225" i="8"/>
  <c r="J1226" i="8"/>
  <c r="J1227" i="8"/>
  <c r="J1228" i="8"/>
  <c r="J1229" i="8"/>
  <c r="J1230" i="8"/>
  <c r="J1231" i="8"/>
  <c r="J1232" i="8"/>
  <c r="J1233" i="8"/>
  <c r="J1234" i="8"/>
  <c r="J1235" i="8"/>
  <c r="J1236" i="8"/>
  <c r="J1237" i="8"/>
  <c r="J1238" i="8"/>
  <c r="J1239" i="8"/>
  <c r="J1240" i="8"/>
  <c r="J1241" i="8"/>
  <c r="J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301" i="8"/>
  <c r="H302" i="8"/>
  <c r="H303" i="8"/>
  <c r="H304" i="8"/>
  <c r="H305" i="8"/>
  <c r="H306" i="8"/>
  <c r="H307" i="8"/>
  <c r="H308" i="8"/>
  <c r="H309" i="8"/>
  <c r="H310" i="8"/>
  <c r="H311" i="8"/>
  <c r="H312" i="8"/>
  <c r="H313" i="8"/>
  <c r="H314" i="8"/>
  <c r="H315" i="8"/>
  <c r="H316" i="8"/>
  <c r="H317" i="8"/>
  <c r="H318" i="8"/>
  <c r="H319" i="8"/>
  <c r="H320" i="8"/>
  <c r="H321" i="8"/>
  <c r="H322" i="8"/>
  <c r="H323" i="8"/>
  <c r="H324" i="8"/>
  <c r="H325" i="8"/>
  <c r="H326" i="8"/>
  <c r="H327" i="8"/>
  <c r="H328" i="8"/>
  <c r="H329" i="8"/>
  <c r="H330" i="8"/>
  <c r="H331" i="8"/>
  <c r="H332" i="8"/>
  <c r="H333" i="8"/>
  <c r="H334" i="8"/>
  <c r="H335" i="8"/>
  <c r="H336" i="8"/>
  <c r="H337" i="8"/>
  <c r="H338" i="8"/>
  <c r="H339" i="8"/>
  <c r="H340" i="8"/>
  <c r="H341" i="8"/>
  <c r="H342" i="8"/>
  <c r="H343" i="8"/>
  <c r="H344" i="8"/>
  <c r="H345" i="8"/>
  <c r="H346" i="8"/>
  <c r="H347" i="8"/>
  <c r="H348" i="8"/>
  <c r="H349" i="8"/>
  <c r="H350" i="8"/>
  <c r="H351" i="8"/>
  <c r="H352" i="8"/>
  <c r="H353" i="8"/>
  <c r="H354" i="8"/>
  <c r="H355" i="8"/>
  <c r="H356" i="8"/>
  <c r="H357" i="8"/>
  <c r="H358" i="8"/>
  <c r="H359" i="8"/>
  <c r="H360" i="8"/>
  <c r="H361" i="8"/>
  <c r="H362" i="8"/>
  <c r="H363" i="8"/>
  <c r="H364" i="8"/>
  <c r="H365" i="8"/>
  <c r="H366" i="8"/>
  <c r="H367" i="8"/>
  <c r="H368" i="8"/>
  <c r="H369" i="8"/>
  <c r="H370" i="8"/>
  <c r="H371" i="8"/>
  <c r="H372" i="8"/>
  <c r="H373" i="8"/>
  <c r="H374" i="8"/>
  <c r="H375" i="8"/>
  <c r="H376" i="8"/>
  <c r="H377" i="8"/>
  <c r="H378" i="8"/>
  <c r="H379" i="8"/>
  <c r="H380" i="8"/>
  <c r="H381" i="8"/>
  <c r="H382" i="8"/>
  <c r="H383" i="8"/>
  <c r="H384" i="8"/>
  <c r="H385" i="8"/>
  <c r="H386" i="8"/>
  <c r="H387" i="8"/>
  <c r="H388" i="8"/>
  <c r="H389" i="8"/>
  <c r="H390" i="8"/>
  <c r="H391" i="8"/>
  <c r="H392" i="8"/>
  <c r="H393" i="8"/>
  <c r="H394" i="8"/>
  <c r="H395" i="8"/>
  <c r="H396" i="8"/>
  <c r="H397" i="8"/>
  <c r="H398" i="8"/>
  <c r="H399" i="8"/>
  <c r="H400" i="8"/>
  <c r="H401" i="8"/>
  <c r="H402" i="8"/>
  <c r="H403" i="8"/>
  <c r="H404" i="8"/>
  <c r="H405" i="8"/>
  <c r="H406" i="8"/>
  <c r="H407" i="8"/>
  <c r="H408" i="8"/>
  <c r="H409" i="8"/>
  <c r="H410" i="8"/>
  <c r="H411" i="8"/>
  <c r="H412" i="8"/>
  <c r="H413" i="8"/>
  <c r="H414" i="8"/>
  <c r="H415" i="8"/>
  <c r="H416" i="8"/>
  <c r="H417" i="8"/>
  <c r="H418" i="8"/>
  <c r="H419" i="8"/>
  <c r="H420" i="8"/>
  <c r="H421" i="8"/>
  <c r="H422" i="8"/>
  <c r="H423" i="8"/>
  <c r="H424" i="8"/>
  <c r="H425" i="8"/>
  <c r="H426" i="8"/>
  <c r="H427" i="8"/>
  <c r="H428" i="8"/>
  <c r="H429" i="8"/>
  <c r="H430" i="8"/>
  <c r="H431" i="8"/>
  <c r="H432" i="8"/>
  <c r="H433" i="8"/>
  <c r="H434" i="8"/>
  <c r="H435" i="8"/>
  <c r="H436" i="8"/>
  <c r="H437" i="8"/>
  <c r="H438" i="8"/>
  <c r="H439" i="8"/>
  <c r="H440" i="8"/>
  <c r="H441" i="8"/>
  <c r="H442" i="8"/>
  <c r="H443" i="8"/>
  <c r="H444" i="8"/>
  <c r="H445" i="8"/>
  <c r="H446" i="8"/>
  <c r="H447" i="8"/>
  <c r="H448" i="8"/>
  <c r="H449" i="8"/>
  <c r="H450" i="8"/>
  <c r="H451" i="8"/>
  <c r="H452" i="8"/>
  <c r="H453" i="8"/>
  <c r="H454" i="8"/>
  <c r="H455" i="8"/>
  <c r="H456" i="8"/>
  <c r="H457" i="8"/>
  <c r="H458" i="8"/>
  <c r="H459" i="8"/>
  <c r="H460" i="8"/>
  <c r="H461" i="8"/>
  <c r="H462" i="8"/>
  <c r="H463" i="8"/>
  <c r="H464" i="8"/>
  <c r="H465" i="8"/>
  <c r="H466" i="8"/>
  <c r="H467" i="8"/>
  <c r="H468" i="8"/>
  <c r="H469" i="8"/>
  <c r="H470" i="8"/>
  <c r="H471" i="8"/>
  <c r="H472" i="8"/>
  <c r="H473" i="8"/>
  <c r="H474" i="8"/>
  <c r="H475" i="8"/>
  <c r="H476" i="8"/>
  <c r="H477" i="8"/>
  <c r="H478" i="8"/>
  <c r="H479" i="8"/>
  <c r="H480" i="8"/>
  <c r="H481" i="8"/>
  <c r="H482" i="8"/>
  <c r="H483" i="8"/>
  <c r="H484" i="8"/>
  <c r="H485" i="8"/>
  <c r="H486" i="8"/>
  <c r="H487" i="8"/>
  <c r="H488" i="8"/>
  <c r="H489" i="8"/>
  <c r="H490" i="8"/>
  <c r="H491" i="8"/>
  <c r="H492" i="8"/>
  <c r="H493" i="8"/>
  <c r="H494" i="8"/>
  <c r="H495" i="8"/>
  <c r="H496" i="8"/>
  <c r="H497" i="8"/>
  <c r="H498" i="8"/>
  <c r="H499" i="8"/>
  <c r="H500" i="8"/>
  <c r="H501" i="8"/>
  <c r="H502" i="8"/>
  <c r="H503" i="8"/>
  <c r="H504" i="8"/>
  <c r="H505" i="8"/>
  <c r="H506" i="8"/>
  <c r="H507" i="8"/>
  <c r="H508" i="8"/>
  <c r="H509" i="8"/>
  <c r="H510" i="8"/>
  <c r="H511" i="8"/>
  <c r="H512" i="8"/>
  <c r="H513" i="8"/>
  <c r="H514" i="8"/>
  <c r="H515" i="8"/>
  <c r="H516" i="8"/>
  <c r="H517" i="8"/>
  <c r="H518" i="8"/>
  <c r="H519" i="8"/>
  <c r="H520" i="8"/>
  <c r="H521" i="8"/>
  <c r="H522" i="8"/>
  <c r="H523" i="8"/>
  <c r="H524" i="8"/>
  <c r="H525" i="8"/>
  <c r="H526" i="8"/>
  <c r="H527" i="8"/>
  <c r="H528" i="8"/>
  <c r="H529" i="8"/>
  <c r="H530" i="8"/>
  <c r="H531" i="8"/>
  <c r="H532" i="8"/>
  <c r="H533" i="8"/>
  <c r="H534" i="8"/>
  <c r="H535" i="8"/>
  <c r="H536" i="8"/>
  <c r="H537" i="8"/>
  <c r="H538" i="8"/>
  <c r="H539" i="8"/>
  <c r="H540" i="8"/>
  <c r="H541" i="8"/>
  <c r="H542" i="8"/>
  <c r="H543" i="8"/>
  <c r="H544" i="8"/>
  <c r="H545" i="8"/>
  <c r="H546" i="8"/>
  <c r="H547" i="8"/>
  <c r="H548" i="8"/>
  <c r="H549" i="8"/>
  <c r="H550" i="8"/>
  <c r="H551" i="8"/>
  <c r="H552" i="8"/>
  <c r="H553" i="8"/>
  <c r="H554" i="8"/>
  <c r="H555" i="8"/>
  <c r="H556" i="8"/>
  <c r="H557" i="8"/>
  <c r="H558" i="8"/>
  <c r="H559" i="8"/>
  <c r="H560" i="8"/>
  <c r="H561" i="8"/>
  <c r="H562" i="8"/>
  <c r="H563" i="8"/>
  <c r="H564" i="8"/>
  <c r="H565" i="8"/>
  <c r="H566" i="8"/>
  <c r="H567" i="8"/>
  <c r="H568" i="8"/>
  <c r="H569" i="8"/>
  <c r="H570" i="8"/>
  <c r="H571" i="8"/>
  <c r="H572" i="8"/>
  <c r="H573" i="8"/>
  <c r="H574" i="8"/>
  <c r="H575" i="8"/>
  <c r="H576" i="8"/>
  <c r="H577" i="8"/>
  <c r="H578" i="8"/>
  <c r="H579" i="8"/>
  <c r="H580" i="8"/>
  <c r="H581" i="8"/>
  <c r="H582" i="8"/>
  <c r="H583" i="8"/>
  <c r="H584" i="8"/>
  <c r="H585" i="8"/>
  <c r="H586" i="8"/>
  <c r="H587" i="8"/>
  <c r="H588" i="8"/>
  <c r="H589" i="8"/>
  <c r="H590" i="8"/>
  <c r="H591" i="8"/>
  <c r="H592" i="8"/>
  <c r="H593" i="8"/>
  <c r="H594" i="8"/>
  <c r="H595" i="8"/>
  <c r="H596" i="8"/>
  <c r="H597" i="8"/>
  <c r="H598" i="8"/>
  <c r="H599" i="8"/>
  <c r="H600" i="8"/>
  <c r="H601" i="8"/>
  <c r="H602" i="8"/>
  <c r="H603" i="8"/>
  <c r="H604" i="8"/>
  <c r="H605" i="8"/>
  <c r="H606" i="8"/>
  <c r="H607" i="8"/>
  <c r="H608" i="8"/>
  <c r="H609" i="8"/>
  <c r="H610" i="8"/>
  <c r="H611" i="8"/>
  <c r="H612" i="8"/>
  <c r="H613" i="8"/>
  <c r="H614" i="8"/>
  <c r="H615" i="8"/>
  <c r="H616" i="8"/>
  <c r="H617" i="8"/>
  <c r="H618" i="8"/>
  <c r="H619" i="8"/>
  <c r="H620" i="8"/>
  <c r="H621" i="8"/>
  <c r="H622" i="8"/>
  <c r="H623" i="8"/>
  <c r="H624" i="8"/>
  <c r="H625" i="8"/>
  <c r="H626" i="8"/>
  <c r="H627" i="8"/>
  <c r="H628" i="8"/>
  <c r="H629" i="8"/>
  <c r="H630" i="8"/>
  <c r="H631" i="8"/>
  <c r="H632" i="8"/>
  <c r="H633" i="8"/>
  <c r="H634" i="8"/>
  <c r="H635" i="8"/>
  <c r="H636" i="8"/>
  <c r="H637" i="8"/>
  <c r="H638" i="8"/>
  <c r="H639" i="8"/>
  <c r="H640" i="8"/>
  <c r="H641" i="8"/>
  <c r="H642" i="8"/>
  <c r="H643" i="8"/>
  <c r="H644" i="8"/>
  <c r="H645" i="8"/>
  <c r="H646" i="8"/>
  <c r="H647" i="8"/>
  <c r="H648" i="8"/>
  <c r="H649" i="8"/>
  <c r="H650" i="8"/>
  <c r="H651" i="8"/>
  <c r="H652" i="8"/>
  <c r="H653" i="8"/>
  <c r="H654" i="8"/>
  <c r="H655" i="8"/>
  <c r="H656" i="8"/>
  <c r="H657" i="8"/>
  <c r="H658" i="8"/>
  <c r="H659" i="8"/>
  <c r="H660" i="8"/>
  <c r="H661" i="8"/>
  <c r="H662" i="8"/>
  <c r="H663" i="8"/>
  <c r="H664" i="8"/>
  <c r="H665" i="8"/>
  <c r="H666" i="8"/>
  <c r="H667" i="8"/>
  <c r="H668" i="8"/>
  <c r="H669" i="8"/>
  <c r="H670" i="8"/>
  <c r="H671" i="8"/>
  <c r="H672" i="8"/>
  <c r="H673" i="8"/>
  <c r="H674" i="8"/>
  <c r="H675" i="8"/>
  <c r="H676" i="8"/>
  <c r="H677" i="8"/>
  <c r="H678" i="8"/>
  <c r="H679" i="8"/>
  <c r="H680" i="8"/>
  <c r="H681" i="8"/>
  <c r="H682" i="8"/>
  <c r="H683" i="8"/>
  <c r="H684" i="8"/>
  <c r="H685" i="8"/>
  <c r="H686" i="8"/>
  <c r="H687" i="8"/>
  <c r="H688" i="8"/>
  <c r="H689" i="8"/>
  <c r="H690" i="8"/>
  <c r="H691" i="8"/>
  <c r="H692" i="8"/>
  <c r="H693" i="8"/>
  <c r="H694" i="8"/>
  <c r="H695" i="8"/>
  <c r="H696" i="8"/>
  <c r="H697" i="8"/>
  <c r="H698" i="8"/>
  <c r="H699" i="8"/>
  <c r="H700" i="8"/>
  <c r="H701" i="8"/>
  <c r="H702" i="8"/>
  <c r="H703" i="8"/>
  <c r="H704" i="8"/>
  <c r="H705" i="8"/>
  <c r="H706" i="8"/>
  <c r="H707" i="8"/>
  <c r="H708" i="8"/>
  <c r="H709" i="8"/>
  <c r="H710" i="8"/>
  <c r="H711" i="8"/>
  <c r="H712" i="8"/>
  <c r="H713" i="8"/>
  <c r="H714" i="8"/>
  <c r="H715" i="8"/>
  <c r="H716" i="8"/>
  <c r="H717" i="8"/>
  <c r="H718" i="8"/>
  <c r="H719" i="8"/>
  <c r="H720" i="8"/>
  <c r="H721" i="8"/>
  <c r="H722" i="8"/>
  <c r="H723" i="8"/>
  <c r="H724" i="8"/>
  <c r="H725" i="8"/>
  <c r="H726" i="8"/>
  <c r="H727" i="8"/>
  <c r="H728" i="8"/>
  <c r="H729" i="8"/>
  <c r="H730" i="8"/>
  <c r="H731" i="8"/>
  <c r="H732" i="8"/>
  <c r="H733" i="8"/>
  <c r="H734" i="8"/>
  <c r="H735" i="8"/>
  <c r="H736" i="8"/>
  <c r="H737" i="8"/>
  <c r="H738" i="8"/>
  <c r="H739" i="8"/>
  <c r="H740" i="8"/>
  <c r="H741" i="8"/>
  <c r="H742" i="8"/>
  <c r="H743" i="8"/>
  <c r="H744" i="8"/>
  <c r="H745" i="8"/>
  <c r="H746" i="8"/>
  <c r="H747" i="8"/>
  <c r="H748" i="8"/>
  <c r="H749" i="8"/>
  <c r="H750" i="8"/>
  <c r="H751" i="8"/>
  <c r="H752" i="8"/>
  <c r="H753" i="8"/>
  <c r="H754" i="8"/>
  <c r="H755" i="8"/>
  <c r="H756" i="8"/>
  <c r="H757" i="8"/>
  <c r="H758" i="8"/>
  <c r="H759" i="8"/>
  <c r="H760" i="8"/>
  <c r="H761" i="8"/>
  <c r="H762" i="8"/>
  <c r="H763" i="8"/>
  <c r="H764" i="8"/>
  <c r="H765" i="8"/>
  <c r="H766" i="8"/>
  <c r="H767" i="8"/>
  <c r="H768" i="8"/>
  <c r="H769" i="8"/>
  <c r="H770" i="8"/>
  <c r="H771" i="8"/>
  <c r="H772" i="8"/>
  <c r="H773" i="8"/>
  <c r="H774" i="8"/>
  <c r="H775" i="8"/>
  <c r="H776" i="8"/>
  <c r="H777" i="8"/>
  <c r="H778" i="8"/>
  <c r="H779" i="8"/>
  <c r="H780" i="8"/>
  <c r="H781" i="8"/>
  <c r="H782" i="8"/>
  <c r="H783" i="8"/>
  <c r="H784" i="8"/>
  <c r="H785" i="8"/>
  <c r="H786" i="8"/>
  <c r="H787" i="8"/>
  <c r="H788" i="8"/>
  <c r="H789" i="8"/>
  <c r="H790" i="8"/>
  <c r="H791" i="8"/>
  <c r="H792" i="8"/>
  <c r="H793" i="8"/>
  <c r="H794" i="8"/>
  <c r="H795" i="8"/>
  <c r="H796" i="8"/>
  <c r="H797" i="8"/>
  <c r="H798" i="8"/>
  <c r="H799" i="8"/>
  <c r="H800" i="8"/>
  <c r="H801" i="8"/>
  <c r="H802" i="8"/>
  <c r="H803" i="8"/>
  <c r="H804" i="8"/>
  <c r="H805" i="8"/>
  <c r="H806" i="8"/>
  <c r="H807" i="8"/>
  <c r="H808" i="8"/>
  <c r="H809" i="8"/>
  <c r="H810" i="8"/>
  <c r="H811" i="8"/>
  <c r="H812" i="8"/>
  <c r="H813" i="8"/>
  <c r="H814" i="8"/>
  <c r="H815" i="8"/>
  <c r="H816" i="8"/>
  <c r="H817" i="8"/>
  <c r="H818" i="8"/>
  <c r="H819" i="8"/>
  <c r="H820" i="8"/>
  <c r="H821" i="8"/>
  <c r="H822" i="8"/>
  <c r="H823" i="8"/>
  <c r="H824" i="8"/>
  <c r="H825" i="8"/>
  <c r="H826" i="8"/>
  <c r="H827" i="8"/>
  <c r="H828" i="8"/>
  <c r="H829" i="8"/>
  <c r="H830" i="8"/>
  <c r="H831" i="8"/>
  <c r="H832" i="8"/>
  <c r="H833" i="8"/>
  <c r="H834" i="8"/>
  <c r="H835" i="8"/>
  <c r="H836" i="8"/>
  <c r="H837" i="8"/>
  <c r="H838" i="8"/>
  <c r="H839" i="8"/>
  <c r="H840" i="8"/>
  <c r="H841" i="8"/>
  <c r="H842" i="8"/>
  <c r="H843" i="8"/>
  <c r="H844" i="8"/>
  <c r="H845" i="8"/>
  <c r="H846" i="8"/>
  <c r="H847" i="8"/>
  <c r="H848" i="8"/>
  <c r="H849" i="8"/>
  <c r="H850" i="8"/>
  <c r="H851" i="8"/>
  <c r="H852" i="8"/>
  <c r="H853" i="8"/>
  <c r="H854" i="8"/>
  <c r="H855" i="8"/>
  <c r="H856" i="8"/>
  <c r="H857" i="8"/>
  <c r="H858" i="8"/>
  <c r="H859" i="8"/>
  <c r="H860" i="8"/>
  <c r="H861" i="8"/>
  <c r="H862" i="8"/>
  <c r="H863" i="8"/>
  <c r="H864" i="8"/>
  <c r="H865" i="8"/>
  <c r="H866" i="8"/>
  <c r="H867" i="8"/>
  <c r="H868" i="8"/>
  <c r="H869" i="8"/>
  <c r="H870" i="8"/>
  <c r="H871" i="8"/>
  <c r="H872" i="8"/>
  <c r="H873" i="8"/>
  <c r="H874" i="8"/>
  <c r="H875" i="8"/>
  <c r="H876" i="8"/>
  <c r="H877" i="8"/>
  <c r="H878" i="8"/>
  <c r="H879" i="8"/>
  <c r="H880" i="8"/>
  <c r="H881" i="8"/>
  <c r="H882" i="8"/>
  <c r="H883" i="8"/>
  <c r="H884" i="8"/>
  <c r="H885" i="8"/>
  <c r="H886" i="8"/>
  <c r="H887" i="8"/>
  <c r="H888" i="8"/>
  <c r="H889" i="8"/>
  <c r="H890" i="8"/>
  <c r="H891" i="8"/>
  <c r="H892" i="8"/>
  <c r="H893" i="8"/>
  <c r="H894" i="8"/>
  <c r="H895" i="8"/>
  <c r="H896" i="8"/>
  <c r="H897" i="8"/>
  <c r="H898" i="8"/>
  <c r="H899" i="8"/>
  <c r="H900" i="8"/>
  <c r="H901" i="8"/>
  <c r="H902" i="8"/>
  <c r="H903" i="8"/>
  <c r="H904" i="8"/>
  <c r="H905" i="8"/>
  <c r="H906" i="8"/>
  <c r="H907" i="8"/>
  <c r="H908" i="8"/>
  <c r="H909" i="8"/>
  <c r="H910" i="8"/>
  <c r="H911" i="8"/>
  <c r="H912" i="8"/>
  <c r="H913" i="8"/>
  <c r="H914" i="8"/>
  <c r="H915" i="8"/>
  <c r="H916" i="8"/>
  <c r="H917" i="8"/>
  <c r="H918" i="8"/>
  <c r="H919" i="8"/>
  <c r="H920" i="8"/>
  <c r="H921" i="8"/>
  <c r="H922" i="8"/>
  <c r="H923" i="8"/>
  <c r="H924" i="8"/>
  <c r="H925" i="8"/>
  <c r="H926" i="8"/>
  <c r="H927" i="8"/>
  <c r="H928" i="8"/>
  <c r="H929" i="8"/>
  <c r="H930" i="8"/>
  <c r="H931" i="8"/>
  <c r="H932" i="8"/>
  <c r="H933" i="8"/>
  <c r="H934" i="8"/>
  <c r="H935" i="8"/>
  <c r="H936" i="8"/>
  <c r="H937" i="8"/>
  <c r="H938" i="8"/>
  <c r="H939" i="8"/>
  <c r="H940" i="8"/>
  <c r="H941" i="8"/>
  <c r="H942" i="8"/>
  <c r="H943" i="8"/>
  <c r="H944" i="8"/>
  <c r="H945" i="8"/>
  <c r="H946" i="8"/>
  <c r="H947" i="8"/>
  <c r="H948" i="8"/>
  <c r="H949" i="8"/>
  <c r="H950" i="8"/>
  <c r="H951" i="8"/>
  <c r="H952" i="8"/>
  <c r="H953" i="8"/>
  <c r="H954" i="8"/>
  <c r="H955" i="8"/>
  <c r="H956" i="8"/>
  <c r="H957" i="8"/>
  <c r="H958" i="8"/>
  <c r="H959" i="8"/>
  <c r="H960" i="8"/>
  <c r="H961" i="8"/>
  <c r="H962" i="8"/>
  <c r="H963" i="8"/>
  <c r="H964" i="8"/>
  <c r="H965" i="8"/>
  <c r="H966" i="8"/>
  <c r="H967" i="8"/>
  <c r="H968" i="8"/>
  <c r="H969" i="8"/>
  <c r="H970" i="8"/>
  <c r="H971" i="8"/>
  <c r="H972" i="8"/>
  <c r="H973" i="8"/>
  <c r="H974" i="8"/>
  <c r="H975" i="8"/>
  <c r="H976" i="8"/>
  <c r="H977" i="8"/>
  <c r="H978" i="8"/>
  <c r="H979" i="8"/>
  <c r="H980" i="8"/>
  <c r="H981" i="8"/>
  <c r="H982" i="8"/>
  <c r="H983" i="8"/>
  <c r="H984" i="8"/>
  <c r="H985" i="8"/>
  <c r="H986" i="8"/>
  <c r="H987" i="8"/>
  <c r="H988" i="8"/>
  <c r="H989" i="8"/>
  <c r="H990" i="8"/>
  <c r="H991" i="8"/>
  <c r="H992" i="8"/>
  <c r="H993" i="8"/>
  <c r="H994" i="8"/>
  <c r="H995" i="8"/>
  <c r="H996" i="8"/>
  <c r="H997" i="8"/>
  <c r="H998" i="8"/>
  <c r="H999" i="8"/>
  <c r="H1000" i="8"/>
  <c r="H1001" i="8"/>
  <c r="H1002" i="8"/>
  <c r="H1003" i="8"/>
  <c r="H1004" i="8"/>
  <c r="H1005" i="8"/>
  <c r="H1006" i="8"/>
  <c r="H1007" i="8"/>
  <c r="H1008" i="8"/>
  <c r="H1009" i="8"/>
  <c r="H1010" i="8"/>
  <c r="H1011" i="8"/>
  <c r="H1012" i="8"/>
  <c r="H1013" i="8"/>
  <c r="H1014" i="8"/>
  <c r="H1015" i="8"/>
  <c r="H1016" i="8"/>
  <c r="H1017" i="8"/>
  <c r="H1018" i="8"/>
  <c r="H1019" i="8"/>
  <c r="H1020" i="8"/>
  <c r="H1021" i="8"/>
  <c r="H1022" i="8"/>
  <c r="H1023" i="8"/>
  <c r="H1024" i="8"/>
  <c r="H1025" i="8"/>
  <c r="H1026" i="8"/>
  <c r="H1027" i="8"/>
  <c r="H1028" i="8"/>
  <c r="H1029" i="8"/>
  <c r="H1030" i="8"/>
  <c r="H1031" i="8"/>
  <c r="H1032" i="8"/>
  <c r="H1033" i="8"/>
  <c r="H1034" i="8"/>
  <c r="H1035" i="8"/>
  <c r="H1036" i="8"/>
  <c r="H1037" i="8"/>
  <c r="H1038" i="8"/>
  <c r="H1039" i="8"/>
  <c r="H1040" i="8"/>
  <c r="H1041" i="8"/>
  <c r="H1042" i="8"/>
  <c r="H1043" i="8"/>
  <c r="H1044" i="8"/>
  <c r="H1045" i="8"/>
  <c r="H1046" i="8"/>
  <c r="H1047" i="8"/>
  <c r="H1048" i="8"/>
  <c r="H1049" i="8"/>
  <c r="H1050" i="8"/>
  <c r="H1051" i="8"/>
  <c r="H1052" i="8"/>
  <c r="H1053" i="8"/>
  <c r="H1054" i="8"/>
  <c r="H1055" i="8"/>
  <c r="H1056" i="8"/>
  <c r="H1057" i="8"/>
  <c r="H1058" i="8"/>
  <c r="H1059" i="8"/>
  <c r="H1060" i="8"/>
  <c r="H1061" i="8"/>
  <c r="H1062" i="8"/>
  <c r="H1063" i="8"/>
  <c r="H1064" i="8"/>
  <c r="H1065" i="8"/>
  <c r="H1066" i="8"/>
  <c r="H1067" i="8"/>
  <c r="H1068" i="8"/>
  <c r="H1069" i="8"/>
  <c r="H1070" i="8"/>
  <c r="H1071" i="8"/>
  <c r="H1072" i="8"/>
  <c r="H1073" i="8"/>
  <c r="H1074" i="8"/>
  <c r="H1075" i="8"/>
  <c r="H1076" i="8"/>
  <c r="H1077" i="8"/>
  <c r="H1078" i="8"/>
  <c r="H1079" i="8"/>
  <c r="H1080" i="8"/>
  <c r="H1081" i="8"/>
  <c r="H1082" i="8"/>
  <c r="H1083" i="8"/>
  <c r="H1084" i="8"/>
  <c r="H1085" i="8"/>
  <c r="H1086" i="8"/>
  <c r="H1087" i="8"/>
  <c r="H1088" i="8"/>
  <c r="H1089" i="8"/>
  <c r="H1090" i="8"/>
  <c r="H1091" i="8"/>
  <c r="H1092" i="8"/>
  <c r="H1093" i="8"/>
  <c r="H1094" i="8"/>
  <c r="H1095" i="8"/>
  <c r="H1096" i="8"/>
  <c r="H1097" i="8"/>
  <c r="H1098" i="8"/>
  <c r="H1099" i="8"/>
  <c r="H1100" i="8"/>
  <c r="H1101" i="8"/>
  <c r="H1102" i="8"/>
  <c r="H1103" i="8"/>
  <c r="H1104" i="8"/>
  <c r="H1105" i="8"/>
  <c r="H1106" i="8"/>
  <c r="H1107" i="8"/>
  <c r="H1108" i="8"/>
  <c r="H1109" i="8"/>
  <c r="H1110" i="8"/>
  <c r="H1111" i="8"/>
  <c r="H1112" i="8"/>
  <c r="H1113" i="8"/>
  <c r="H1114" i="8"/>
  <c r="H1115" i="8"/>
  <c r="H1116" i="8"/>
  <c r="H1117" i="8"/>
  <c r="H1118" i="8"/>
  <c r="H1119" i="8"/>
  <c r="H1120" i="8"/>
  <c r="H1121" i="8"/>
  <c r="H1122" i="8"/>
  <c r="H1123" i="8"/>
  <c r="H1124" i="8"/>
  <c r="H1125" i="8"/>
  <c r="H1126" i="8"/>
  <c r="H1127" i="8"/>
  <c r="H1128" i="8"/>
  <c r="H1129" i="8"/>
  <c r="H1130" i="8"/>
  <c r="H1131" i="8"/>
  <c r="H1132" i="8"/>
  <c r="H1133" i="8"/>
  <c r="H1134" i="8"/>
  <c r="H1135" i="8"/>
  <c r="H1136" i="8"/>
  <c r="H1137" i="8"/>
  <c r="H1138" i="8"/>
  <c r="H1139" i="8"/>
  <c r="H1140" i="8"/>
  <c r="H1141" i="8"/>
  <c r="H1142" i="8"/>
  <c r="H1143" i="8"/>
  <c r="H1144" i="8"/>
  <c r="H1145" i="8"/>
  <c r="H1146" i="8"/>
  <c r="H1147" i="8"/>
  <c r="H1148" i="8"/>
  <c r="H1149" i="8"/>
  <c r="H1150" i="8"/>
  <c r="H1151" i="8"/>
  <c r="H1152" i="8"/>
  <c r="H1153" i="8"/>
  <c r="H1154" i="8"/>
  <c r="H1155" i="8"/>
  <c r="H1156" i="8"/>
  <c r="H1157" i="8"/>
  <c r="H1158" i="8"/>
  <c r="H1159" i="8"/>
  <c r="H1160" i="8"/>
  <c r="H1161" i="8"/>
  <c r="H1162" i="8"/>
  <c r="H1163" i="8"/>
  <c r="H1164" i="8"/>
  <c r="H1165" i="8"/>
  <c r="H1166" i="8"/>
  <c r="H1167" i="8"/>
  <c r="H1168" i="8"/>
  <c r="H1169" i="8"/>
  <c r="H1170" i="8"/>
  <c r="H1171" i="8"/>
  <c r="H1172" i="8"/>
  <c r="H1173" i="8"/>
  <c r="H1174" i="8"/>
  <c r="H1175" i="8"/>
  <c r="H1176" i="8"/>
  <c r="H1177" i="8"/>
  <c r="H1178" i="8"/>
  <c r="H1179" i="8"/>
  <c r="H1180" i="8"/>
  <c r="H1181" i="8"/>
  <c r="H1182" i="8"/>
  <c r="H1183" i="8"/>
  <c r="H1184" i="8"/>
  <c r="H1185" i="8"/>
  <c r="H1186" i="8"/>
  <c r="H1187" i="8"/>
  <c r="H1188" i="8"/>
  <c r="H1189" i="8"/>
  <c r="H1190" i="8"/>
  <c r="H1191" i="8"/>
  <c r="H1192" i="8"/>
  <c r="H1193" i="8"/>
  <c r="H1194" i="8"/>
  <c r="H1195" i="8"/>
  <c r="H1196" i="8"/>
  <c r="H1197" i="8"/>
  <c r="H1198" i="8"/>
  <c r="H1199" i="8"/>
  <c r="H1200" i="8"/>
  <c r="H1201" i="8"/>
  <c r="H1202" i="8"/>
  <c r="H1203" i="8"/>
  <c r="H1204" i="8"/>
  <c r="H1205" i="8"/>
  <c r="H1206" i="8"/>
  <c r="H1207" i="8"/>
  <c r="H1208" i="8"/>
  <c r="H1209" i="8"/>
  <c r="H1210" i="8"/>
  <c r="H1211" i="8"/>
  <c r="H1212" i="8"/>
  <c r="H1213" i="8"/>
  <c r="H1214" i="8"/>
  <c r="H1215" i="8"/>
  <c r="H1216" i="8"/>
  <c r="H1217" i="8"/>
  <c r="H1218" i="8"/>
  <c r="H1219" i="8"/>
  <c r="H1220" i="8"/>
  <c r="H1221" i="8"/>
  <c r="H1222" i="8"/>
  <c r="H1223" i="8"/>
  <c r="H1224" i="8"/>
  <c r="H1225" i="8"/>
  <c r="H1226" i="8"/>
  <c r="H1227" i="8"/>
  <c r="H1228" i="8"/>
  <c r="H1229" i="8"/>
  <c r="H1230" i="8"/>
  <c r="H1231" i="8"/>
  <c r="H1232" i="8"/>
  <c r="H1233" i="8"/>
  <c r="H1234" i="8"/>
  <c r="H1235" i="8"/>
  <c r="H1236" i="8"/>
  <c r="H1237" i="8"/>
  <c r="H1238" i="8"/>
  <c r="H1239" i="8"/>
  <c r="H1240" i="8"/>
  <c r="H1241" i="8"/>
  <c r="H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235" i="8"/>
  <c r="F236" i="8"/>
  <c r="F237" i="8"/>
  <c r="F238" i="8"/>
  <c r="F239" i="8"/>
  <c r="F240" i="8"/>
  <c r="F241" i="8"/>
  <c r="F242" i="8"/>
  <c r="F243" i="8"/>
  <c r="F244" i="8"/>
  <c r="F245" i="8"/>
  <c r="F246" i="8"/>
  <c r="F247" i="8"/>
  <c r="F248" i="8"/>
  <c r="F249" i="8"/>
  <c r="F250" i="8"/>
  <c r="F251" i="8"/>
  <c r="F252" i="8"/>
  <c r="F253" i="8"/>
  <c r="F254" i="8"/>
  <c r="F255" i="8"/>
  <c r="F256" i="8"/>
  <c r="F257" i="8"/>
  <c r="F258" i="8"/>
  <c r="F259" i="8"/>
  <c r="F260" i="8"/>
  <c r="F261" i="8"/>
  <c r="F262" i="8"/>
  <c r="F263" i="8"/>
  <c r="F264" i="8"/>
  <c r="F265" i="8"/>
  <c r="F266" i="8"/>
  <c r="F267" i="8"/>
  <c r="F268" i="8"/>
  <c r="F269" i="8"/>
  <c r="F270" i="8"/>
  <c r="F271" i="8"/>
  <c r="F272" i="8"/>
  <c r="F273" i="8"/>
  <c r="F274" i="8"/>
  <c r="F275" i="8"/>
  <c r="F276" i="8"/>
  <c r="F277" i="8"/>
  <c r="F278" i="8"/>
  <c r="F279" i="8"/>
  <c r="F280" i="8"/>
  <c r="F281" i="8"/>
  <c r="F282" i="8"/>
  <c r="F283" i="8"/>
  <c r="F284" i="8"/>
  <c r="F285" i="8"/>
  <c r="F286" i="8"/>
  <c r="F287" i="8"/>
  <c r="F288" i="8"/>
  <c r="F289" i="8"/>
  <c r="F290" i="8"/>
  <c r="F291" i="8"/>
  <c r="F292" i="8"/>
  <c r="F293" i="8"/>
  <c r="F294" i="8"/>
  <c r="F295" i="8"/>
  <c r="F296" i="8"/>
  <c r="F297" i="8"/>
  <c r="F298" i="8"/>
  <c r="F299" i="8"/>
  <c r="F300" i="8"/>
  <c r="F301" i="8"/>
  <c r="F302" i="8"/>
  <c r="F303" i="8"/>
  <c r="F304" i="8"/>
  <c r="F305" i="8"/>
  <c r="F306" i="8"/>
  <c r="F307" i="8"/>
  <c r="F308" i="8"/>
  <c r="F309" i="8"/>
  <c r="F310" i="8"/>
  <c r="F311" i="8"/>
  <c r="F312" i="8"/>
  <c r="F313" i="8"/>
  <c r="F314" i="8"/>
  <c r="F315" i="8"/>
  <c r="F316" i="8"/>
  <c r="F317" i="8"/>
  <c r="F318" i="8"/>
  <c r="F319" i="8"/>
  <c r="F320" i="8"/>
  <c r="F321" i="8"/>
  <c r="F322" i="8"/>
  <c r="F323" i="8"/>
  <c r="F324" i="8"/>
  <c r="F325" i="8"/>
  <c r="F326" i="8"/>
  <c r="F327" i="8"/>
  <c r="F328" i="8"/>
  <c r="F329" i="8"/>
  <c r="F330" i="8"/>
  <c r="F331" i="8"/>
  <c r="F332" i="8"/>
  <c r="F333" i="8"/>
  <c r="F334" i="8"/>
  <c r="F335" i="8"/>
  <c r="F336" i="8"/>
  <c r="F337" i="8"/>
  <c r="F338" i="8"/>
  <c r="F339" i="8"/>
  <c r="F340" i="8"/>
  <c r="F341" i="8"/>
  <c r="F342" i="8"/>
  <c r="F343" i="8"/>
  <c r="F344" i="8"/>
  <c r="F345" i="8"/>
  <c r="F346" i="8"/>
  <c r="F347" i="8"/>
  <c r="F348" i="8"/>
  <c r="F349" i="8"/>
  <c r="F350" i="8"/>
  <c r="F351" i="8"/>
  <c r="F352" i="8"/>
  <c r="F353" i="8"/>
  <c r="F354" i="8"/>
  <c r="F355" i="8"/>
  <c r="F356" i="8"/>
  <c r="F357" i="8"/>
  <c r="F358" i="8"/>
  <c r="F359" i="8"/>
  <c r="F360" i="8"/>
  <c r="F361" i="8"/>
  <c r="F362" i="8"/>
  <c r="F363" i="8"/>
  <c r="F364" i="8"/>
  <c r="F365" i="8"/>
  <c r="F366" i="8"/>
  <c r="F367" i="8"/>
  <c r="F368" i="8"/>
  <c r="F369" i="8"/>
  <c r="F370" i="8"/>
  <c r="F371" i="8"/>
  <c r="F372" i="8"/>
  <c r="F373" i="8"/>
  <c r="F374" i="8"/>
  <c r="F375" i="8"/>
  <c r="F376" i="8"/>
  <c r="F377" i="8"/>
  <c r="F378" i="8"/>
  <c r="F379" i="8"/>
  <c r="F380" i="8"/>
  <c r="F381" i="8"/>
  <c r="F382" i="8"/>
  <c r="F383" i="8"/>
  <c r="F384" i="8"/>
  <c r="F385" i="8"/>
  <c r="F386" i="8"/>
  <c r="F387" i="8"/>
  <c r="F388" i="8"/>
  <c r="F389" i="8"/>
  <c r="F390" i="8"/>
  <c r="F391" i="8"/>
  <c r="F392" i="8"/>
  <c r="F393" i="8"/>
  <c r="F394" i="8"/>
  <c r="F395" i="8"/>
  <c r="F396" i="8"/>
  <c r="F397" i="8"/>
  <c r="F398" i="8"/>
  <c r="F399" i="8"/>
  <c r="F400" i="8"/>
  <c r="F401" i="8"/>
  <c r="F402" i="8"/>
  <c r="F403" i="8"/>
  <c r="F404" i="8"/>
  <c r="F405" i="8"/>
  <c r="F406" i="8"/>
  <c r="F407" i="8"/>
  <c r="F408" i="8"/>
  <c r="F409" i="8"/>
  <c r="F410" i="8"/>
  <c r="F411" i="8"/>
  <c r="F412" i="8"/>
  <c r="F413" i="8"/>
  <c r="F414" i="8"/>
  <c r="F415" i="8"/>
  <c r="F416" i="8"/>
  <c r="F417" i="8"/>
  <c r="F418" i="8"/>
  <c r="F419" i="8"/>
  <c r="F420" i="8"/>
  <c r="F421" i="8"/>
  <c r="F422" i="8"/>
  <c r="F423" i="8"/>
  <c r="F424" i="8"/>
  <c r="F425" i="8"/>
  <c r="F426" i="8"/>
  <c r="F427" i="8"/>
  <c r="F428" i="8"/>
  <c r="F429" i="8"/>
  <c r="F430" i="8"/>
  <c r="F431" i="8"/>
  <c r="F432" i="8"/>
  <c r="F433" i="8"/>
  <c r="F434" i="8"/>
  <c r="F435" i="8"/>
  <c r="F436" i="8"/>
  <c r="F437" i="8"/>
  <c r="F438" i="8"/>
  <c r="F439" i="8"/>
  <c r="F440" i="8"/>
  <c r="F441" i="8"/>
  <c r="F442" i="8"/>
  <c r="F443" i="8"/>
  <c r="F444" i="8"/>
  <c r="F445" i="8"/>
  <c r="F446" i="8"/>
  <c r="F447" i="8"/>
  <c r="F448" i="8"/>
  <c r="F449" i="8"/>
  <c r="F450" i="8"/>
  <c r="F451" i="8"/>
  <c r="F452" i="8"/>
  <c r="F453" i="8"/>
  <c r="F454" i="8"/>
  <c r="F455" i="8"/>
  <c r="F456" i="8"/>
  <c r="F457" i="8"/>
  <c r="F458" i="8"/>
  <c r="F459" i="8"/>
  <c r="F460" i="8"/>
  <c r="F461" i="8"/>
  <c r="F462" i="8"/>
  <c r="F463" i="8"/>
  <c r="F464" i="8"/>
  <c r="F465" i="8"/>
  <c r="F466" i="8"/>
  <c r="F467" i="8"/>
  <c r="F468" i="8"/>
  <c r="F469" i="8"/>
  <c r="F470" i="8"/>
  <c r="F471" i="8"/>
  <c r="F472" i="8"/>
  <c r="F473" i="8"/>
  <c r="F474" i="8"/>
  <c r="F475" i="8"/>
  <c r="F476" i="8"/>
  <c r="F477" i="8"/>
  <c r="F478" i="8"/>
  <c r="F479" i="8"/>
  <c r="F480" i="8"/>
  <c r="F481" i="8"/>
  <c r="F482" i="8"/>
  <c r="F483" i="8"/>
  <c r="F484" i="8"/>
  <c r="F485" i="8"/>
  <c r="F486" i="8"/>
  <c r="F487" i="8"/>
  <c r="F488" i="8"/>
  <c r="F489" i="8"/>
  <c r="F490" i="8"/>
  <c r="F491" i="8"/>
  <c r="F492" i="8"/>
  <c r="F493" i="8"/>
  <c r="F494" i="8"/>
  <c r="F495" i="8"/>
  <c r="F496" i="8"/>
  <c r="F497" i="8"/>
  <c r="F498" i="8"/>
  <c r="F499" i="8"/>
  <c r="F500" i="8"/>
  <c r="F501" i="8"/>
  <c r="F502" i="8"/>
  <c r="F503" i="8"/>
  <c r="F504" i="8"/>
  <c r="F505" i="8"/>
  <c r="F506" i="8"/>
  <c r="F507" i="8"/>
  <c r="F508" i="8"/>
  <c r="F509" i="8"/>
  <c r="F510" i="8"/>
  <c r="F511" i="8"/>
  <c r="F512" i="8"/>
  <c r="F513" i="8"/>
  <c r="F514" i="8"/>
  <c r="F515" i="8"/>
  <c r="F516" i="8"/>
  <c r="F517" i="8"/>
  <c r="F518" i="8"/>
  <c r="F519" i="8"/>
  <c r="F520" i="8"/>
  <c r="F521" i="8"/>
  <c r="F522" i="8"/>
  <c r="F523" i="8"/>
  <c r="F524" i="8"/>
  <c r="F525" i="8"/>
  <c r="F526" i="8"/>
  <c r="F527" i="8"/>
  <c r="F528" i="8"/>
  <c r="F529" i="8"/>
  <c r="F530" i="8"/>
  <c r="F531" i="8"/>
  <c r="F532" i="8"/>
  <c r="F533" i="8"/>
  <c r="F534" i="8"/>
  <c r="F535" i="8"/>
  <c r="F536" i="8"/>
  <c r="F537" i="8"/>
  <c r="F538" i="8"/>
  <c r="F539" i="8"/>
  <c r="F540" i="8"/>
  <c r="F541" i="8"/>
  <c r="F542" i="8"/>
  <c r="F543" i="8"/>
  <c r="F544" i="8"/>
  <c r="F545" i="8"/>
  <c r="F546" i="8"/>
  <c r="F547" i="8"/>
  <c r="F548" i="8"/>
  <c r="F549" i="8"/>
  <c r="F550" i="8"/>
  <c r="F551" i="8"/>
  <c r="F552" i="8"/>
  <c r="F553" i="8"/>
  <c r="F554" i="8"/>
  <c r="F555" i="8"/>
  <c r="F556" i="8"/>
  <c r="F557" i="8"/>
  <c r="F558" i="8"/>
  <c r="F559" i="8"/>
  <c r="F560" i="8"/>
  <c r="F561" i="8"/>
  <c r="F562" i="8"/>
  <c r="F563" i="8"/>
  <c r="F564" i="8"/>
  <c r="F565" i="8"/>
  <c r="F566" i="8"/>
  <c r="F567" i="8"/>
  <c r="F568" i="8"/>
  <c r="F569" i="8"/>
  <c r="F570" i="8"/>
  <c r="F571" i="8"/>
  <c r="F572" i="8"/>
  <c r="F573" i="8"/>
  <c r="F574" i="8"/>
  <c r="F575" i="8"/>
  <c r="F576" i="8"/>
  <c r="F577" i="8"/>
  <c r="F578" i="8"/>
  <c r="F579" i="8"/>
  <c r="F580" i="8"/>
  <c r="F581" i="8"/>
  <c r="F582" i="8"/>
  <c r="F583" i="8"/>
  <c r="F584" i="8"/>
  <c r="F585" i="8"/>
  <c r="F586" i="8"/>
  <c r="F587" i="8"/>
  <c r="F588" i="8"/>
  <c r="F589" i="8"/>
  <c r="F590" i="8"/>
  <c r="F591" i="8"/>
  <c r="F592" i="8"/>
  <c r="F593" i="8"/>
  <c r="F594" i="8"/>
  <c r="F595" i="8"/>
  <c r="F596" i="8"/>
  <c r="F597" i="8"/>
  <c r="F598" i="8"/>
  <c r="F599" i="8"/>
  <c r="F600" i="8"/>
  <c r="F601" i="8"/>
  <c r="F602" i="8"/>
  <c r="F603" i="8"/>
  <c r="F604" i="8"/>
  <c r="F605" i="8"/>
  <c r="F606" i="8"/>
  <c r="F607" i="8"/>
  <c r="F608" i="8"/>
  <c r="F609" i="8"/>
  <c r="F610" i="8"/>
  <c r="F611" i="8"/>
  <c r="F612" i="8"/>
  <c r="F613" i="8"/>
  <c r="F614" i="8"/>
  <c r="F615" i="8"/>
  <c r="F616" i="8"/>
  <c r="F617" i="8"/>
  <c r="F618" i="8"/>
  <c r="F619" i="8"/>
  <c r="F620" i="8"/>
  <c r="F621" i="8"/>
  <c r="F622" i="8"/>
  <c r="F623" i="8"/>
  <c r="F624" i="8"/>
  <c r="F625" i="8"/>
  <c r="F626" i="8"/>
  <c r="F627" i="8"/>
  <c r="F628" i="8"/>
  <c r="F629" i="8"/>
  <c r="F630" i="8"/>
  <c r="F631" i="8"/>
  <c r="F632" i="8"/>
  <c r="F633" i="8"/>
  <c r="F634" i="8"/>
  <c r="F635" i="8"/>
  <c r="F636" i="8"/>
  <c r="F637" i="8"/>
  <c r="F638" i="8"/>
  <c r="F639" i="8"/>
  <c r="F640" i="8"/>
  <c r="F641" i="8"/>
  <c r="F642" i="8"/>
  <c r="F643" i="8"/>
  <c r="F644" i="8"/>
  <c r="F645" i="8"/>
  <c r="F646" i="8"/>
  <c r="F647" i="8"/>
  <c r="F648" i="8"/>
  <c r="F649" i="8"/>
  <c r="F650" i="8"/>
  <c r="F651" i="8"/>
  <c r="F652" i="8"/>
  <c r="F653" i="8"/>
  <c r="F654" i="8"/>
  <c r="F655" i="8"/>
  <c r="F656" i="8"/>
  <c r="F657" i="8"/>
  <c r="F658" i="8"/>
  <c r="F659" i="8"/>
  <c r="F660" i="8"/>
  <c r="F661" i="8"/>
  <c r="F662" i="8"/>
  <c r="F663" i="8"/>
  <c r="F664" i="8"/>
  <c r="F665" i="8"/>
  <c r="F666" i="8"/>
  <c r="F667" i="8"/>
  <c r="F668" i="8"/>
  <c r="F669" i="8"/>
  <c r="F670" i="8"/>
  <c r="F671" i="8"/>
  <c r="F672" i="8"/>
  <c r="F673" i="8"/>
  <c r="F674" i="8"/>
  <c r="F675" i="8"/>
  <c r="F676" i="8"/>
  <c r="F677" i="8"/>
  <c r="F678" i="8"/>
  <c r="F679" i="8"/>
  <c r="F680" i="8"/>
  <c r="F681" i="8"/>
  <c r="F682" i="8"/>
  <c r="F683" i="8"/>
  <c r="F684" i="8"/>
  <c r="F685" i="8"/>
  <c r="F686" i="8"/>
  <c r="F687" i="8"/>
  <c r="F688" i="8"/>
  <c r="F689" i="8"/>
  <c r="F690" i="8"/>
  <c r="F691" i="8"/>
  <c r="F692" i="8"/>
  <c r="F693" i="8"/>
  <c r="F694" i="8"/>
  <c r="F695" i="8"/>
  <c r="F696" i="8"/>
  <c r="F697" i="8"/>
  <c r="F698" i="8"/>
  <c r="F699" i="8"/>
  <c r="F700" i="8"/>
  <c r="F701" i="8"/>
  <c r="F702" i="8"/>
  <c r="F703" i="8"/>
  <c r="F704" i="8"/>
  <c r="F705" i="8"/>
  <c r="F706" i="8"/>
  <c r="F707" i="8"/>
  <c r="F708" i="8"/>
  <c r="F709" i="8"/>
  <c r="F710" i="8"/>
  <c r="F711" i="8"/>
  <c r="F712" i="8"/>
  <c r="F713" i="8"/>
  <c r="F714" i="8"/>
  <c r="F715" i="8"/>
  <c r="F716" i="8"/>
  <c r="F717" i="8"/>
  <c r="F718" i="8"/>
  <c r="F719" i="8"/>
  <c r="F720" i="8"/>
  <c r="F721" i="8"/>
  <c r="F722" i="8"/>
  <c r="F723" i="8"/>
  <c r="F724" i="8"/>
  <c r="F725" i="8"/>
  <c r="F726" i="8"/>
  <c r="F727" i="8"/>
  <c r="F728" i="8"/>
  <c r="F729" i="8"/>
  <c r="F730" i="8"/>
  <c r="F731" i="8"/>
  <c r="F732" i="8"/>
  <c r="F733" i="8"/>
  <c r="F734" i="8"/>
  <c r="F735" i="8"/>
  <c r="F736" i="8"/>
  <c r="F737" i="8"/>
  <c r="F738" i="8"/>
  <c r="F739" i="8"/>
  <c r="F740" i="8"/>
  <c r="F741" i="8"/>
  <c r="F742" i="8"/>
  <c r="F743" i="8"/>
  <c r="F744" i="8"/>
  <c r="F745" i="8"/>
  <c r="F746" i="8"/>
  <c r="F747" i="8"/>
  <c r="F748" i="8"/>
  <c r="F749" i="8"/>
  <c r="F750" i="8"/>
  <c r="F751" i="8"/>
  <c r="F752" i="8"/>
  <c r="F753" i="8"/>
  <c r="F754" i="8"/>
  <c r="F755" i="8"/>
  <c r="F756" i="8"/>
  <c r="F757" i="8"/>
  <c r="F758" i="8"/>
  <c r="F759" i="8"/>
  <c r="F760" i="8"/>
  <c r="F761" i="8"/>
  <c r="F762" i="8"/>
  <c r="F763" i="8"/>
  <c r="F764" i="8"/>
  <c r="F765" i="8"/>
  <c r="F766" i="8"/>
  <c r="F767" i="8"/>
  <c r="F768" i="8"/>
  <c r="F769" i="8"/>
  <c r="F770" i="8"/>
  <c r="F771" i="8"/>
  <c r="F772" i="8"/>
  <c r="F773" i="8"/>
  <c r="F774" i="8"/>
  <c r="F775" i="8"/>
  <c r="F776" i="8"/>
  <c r="F777" i="8"/>
  <c r="F778" i="8"/>
  <c r="F779" i="8"/>
  <c r="F780" i="8"/>
  <c r="F781" i="8"/>
  <c r="F782" i="8"/>
  <c r="F783" i="8"/>
  <c r="F784" i="8"/>
  <c r="F785" i="8"/>
  <c r="F786" i="8"/>
  <c r="F787" i="8"/>
  <c r="F788" i="8"/>
  <c r="F789" i="8"/>
  <c r="F790" i="8"/>
  <c r="F791" i="8"/>
  <c r="F792" i="8"/>
  <c r="F793" i="8"/>
  <c r="F794" i="8"/>
  <c r="F795" i="8"/>
  <c r="F796" i="8"/>
  <c r="F797" i="8"/>
  <c r="F798" i="8"/>
  <c r="F799" i="8"/>
  <c r="F800" i="8"/>
  <c r="F801" i="8"/>
  <c r="F802" i="8"/>
  <c r="F803" i="8"/>
  <c r="F804" i="8"/>
  <c r="F805" i="8"/>
  <c r="F806" i="8"/>
  <c r="F807" i="8"/>
  <c r="F808" i="8"/>
  <c r="F809" i="8"/>
  <c r="F810" i="8"/>
  <c r="F811" i="8"/>
  <c r="F812" i="8"/>
  <c r="F813" i="8"/>
  <c r="F814" i="8"/>
  <c r="F815" i="8"/>
  <c r="F816" i="8"/>
  <c r="F817" i="8"/>
  <c r="F818" i="8"/>
  <c r="F819" i="8"/>
  <c r="F820" i="8"/>
  <c r="F821" i="8"/>
  <c r="F822" i="8"/>
  <c r="F823" i="8"/>
  <c r="F824" i="8"/>
  <c r="F825" i="8"/>
  <c r="F826" i="8"/>
  <c r="F827" i="8"/>
  <c r="F828" i="8"/>
  <c r="F829" i="8"/>
  <c r="F830" i="8"/>
  <c r="F831" i="8"/>
  <c r="F832" i="8"/>
  <c r="F833" i="8"/>
  <c r="F834" i="8"/>
  <c r="F835" i="8"/>
  <c r="F836" i="8"/>
  <c r="F837" i="8"/>
  <c r="F838" i="8"/>
  <c r="F839" i="8"/>
  <c r="F840" i="8"/>
  <c r="F841" i="8"/>
  <c r="F842" i="8"/>
  <c r="F843" i="8"/>
  <c r="F844" i="8"/>
  <c r="F845" i="8"/>
  <c r="F846" i="8"/>
  <c r="F847" i="8"/>
  <c r="F848" i="8"/>
  <c r="F849" i="8"/>
  <c r="F850" i="8"/>
  <c r="F851" i="8"/>
  <c r="F852" i="8"/>
  <c r="F853" i="8"/>
  <c r="F854" i="8"/>
  <c r="F855" i="8"/>
  <c r="F856" i="8"/>
  <c r="F857" i="8"/>
  <c r="F858" i="8"/>
  <c r="F859" i="8"/>
  <c r="F860" i="8"/>
  <c r="F861" i="8"/>
  <c r="F862" i="8"/>
  <c r="F863" i="8"/>
  <c r="F864" i="8"/>
  <c r="F865" i="8"/>
  <c r="F866" i="8"/>
  <c r="F867" i="8"/>
  <c r="F868" i="8"/>
  <c r="F869" i="8"/>
  <c r="F870" i="8"/>
  <c r="F871" i="8"/>
  <c r="F872" i="8"/>
  <c r="F873" i="8"/>
  <c r="F874" i="8"/>
  <c r="F875" i="8"/>
  <c r="F876" i="8"/>
  <c r="F877" i="8"/>
  <c r="F878" i="8"/>
  <c r="F879" i="8"/>
  <c r="F880" i="8"/>
  <c r="F881" i="8"/>
  <c r="F882" i="8"/>
  <c r="F883" i="8"/>
  <c r="F884" i="8"/>
  <c r="F885" i="8"/>
  <c r="F886" i="8"/>
  <c r="F887" i="8"/>
  <c r="F888" i="8"/>
  <c r="F889" i="8"/>
  <c r="F890" i="8"/>
  <c r="F891" i="8"/>
  <c r="F892" i="8"/>
  <c r="F893" i="8"/>
  <c r="F894" i="8"/>
  <c r="F895" i="8"/>
  <c r="F896" i="8"/>
  <c r="F897" i="8"/>
  <c r="F898" i="8"/>
  <c r="F899" i="8"/>
  <c r="F900" i="8"/>
  <c r="F901" i="8"/>
  <c r="F902" i="8"/>
  <c r="F903" i="8"/>
  <c r="F904" i="8"/>
  <c r="F905" i="8"/>
  <c r="F906" i="8"/>
  <c r="F907" i="8"/>
  <c r="F908" i="8"/>
  <c r="F909" i="8"/>
  <c r="F910" i="8"/>
  <c r="F911" i="8"/>
  <c r="F912" i="8"/>
  <c r="F913" i="8"/>
  <c r="F914" i="8"/>
  <c r="F915" i="8"/>
  <c r="F916" i="8"/>
  <c r="F917" i="8"/>
  <c r="F918" i="8"/>
  <c r="F919" i="8"/>
  <c r="F920" i="8"/>
  <c r="F921" i="8"/>
  <c r="F922" i="8"/>
  <c r="F923" i="8"/>
  <c r="F924" i="8"/>
  <c r="F925" i="8"/>
  <c r="F926" i="8"/>
  <c r="F927" i="8"/>
  <c r="F928" i="8"/>
  <c r="F929" i="8"/>
  <c r="F930" i="8"/>
  <c r="F931" i="8"/>
  <c r="F932" i="8"/>
  <c r="F933" i="8"/>
  <c r="F934" i="8"/>
  <c r="F935" i="8"/>
  <c r="F936" i="8"/>
  <c r="F937" i="8"/>
  <c r="F938" i="8"/>
  <c r="F939" i="8"/>
  <c r="F940" i="8"/>
  <c r="F941" i="8"/>
  <c r="F942" i="8"/>
  <c r="F943" i="8"/>
  <c r="F944" i="8"/>
  <c r="F945" i="8"/>
  <c r="F946" i="8"/>
  <c r="F947" i="8"/>
  <c r="F948" i="8"/>
  <c r="F949" i="8"/>
  <c r="F950" i="8"/>
  <c r="F951" i="8"/>
  <c r="F952" i="8"/>
  <c r="F953" i="8"/>
  <c r="F954" i="8"/>
  <c r="F955" i="8"/>
  <c r="F956" i="8"/>
  <c r="F957" i="8"/>
  <c r="F958" i="8"/>
  <c r="F959" i="8"/>
  <c r="F960" i="8"/>
  <c r="F961" i="8"/>
  <c r="F962" i="8"/>
  <c r="F963" i="8"/>
  <c r="F964" i="8"/>
  <c r="F965" i="8"/>
  <c r="F966" i="8"/>
  <c r="F967" i="8"/>
  <c r="F968" i="8"/>
  <c r="F969" i="8"/>
  <c r="F970" i="8"/>
  <c r="F971" i="8"/>
  <c r="F972" i="8"/>
  <c r="F973" i="8"/>
  <c r="F974" i="8"/>
  <c r="F975" i="8"/>
  <c r="F976" i="8"/>
  <c r="F977" i="8"/>
  <c r="F978" i="8"/>
  <c r="F979" i="8"/>
  <c r="F980" i="8"/>
  <c r="F981" i="8"/>
  <c r="F982" i="8"/>
  <c r="F983" i="8"/>
  <c r="F984" i="8"/>
  <c r="F985" i="8"/>
  <c r="F986" i="8"/>
  <c r="F987" i="8"/>
  <c r="F988" i="8"/>
  <c r="F989" i="8"/>
  <c r="F990" i="8"/>
  <c r="F991" i="8"/>
  <c r="F992" i="8"/>
  <c r="F993" i="8"/>
  <c r="F994" i="8"/>
  <c r="F995" i="8"/>
  <c r="F996" i="8"/>
  <c r="F997" i="8"/>
  <c r="F998" i="8"/>
  <c r="F999" i="8"/>
  <c r="F1000" i="8"/>
  <c r="F1001" i="8"/>
  <c r="F1002" i="8"/>
  <c r="F1003" i="8"/>
  <c r="F1004" i="8"/>
  <c r="F1005" i="8"/>
  <c r="F1006" i="8"/>
  <c r="F1007" i="8"/>
  <c r="F1008" i="8"/>
  <c r="F1009" i="8"/>
  <c r="F1010" i="8"/>
  <c r="F1011" i="8"/>
  <c r="F1012" i="8"/>
  <c r="F1013" i="8"/>
  <c r="F1014" i="8"/>
  <c r="F1015" i="8"/>
  <c r="F1016" i="8"/>
  <c r="F1017" i="8"/>
  <c r="F1018" i="8"/>
  <c r="F1019" i="8"/>
  <c r="F1020" i="8"/>
  <c r="F1021" i="8"/>
  <c r="F1022" i="8"/>
  <c r="F1023" i="8"/>
  <c r="F1024" i="8"/>
  <c r="F1025" i="8"/>
  <c r="F1026" i="8"/>
  <c r="F1027" i="8"/>
  <c r="F1028" i="8"/>
  <c r="F1029" i="8"/>
  <c r="F1030" i="8"/>
  <c r="F1031" i="8"/>
  <c r="F1032" i="8"/>
  <c r="F1033" i="8"/>
  <c r="F1034" i="8"/>
  <c r="F1035" i="8"/>
  <c r="F1036" i="8"/>
  <c r="F1037" i="8"/>
  <c r="F1038" i="8"/>
  <c r="F1039" i="8"/>
  <c r="F1040" i="8"/>
  <c r="F1041" i="8"/>
  <c r="F1042" i="8"/>
  <c r="F1043" i="8"/>
  <c r="F1044" i="8"/>
  <c r="F1045" i="8"/>
  <c r="F1046" i="8"/>
  <c r="F1047" i="8"/>
  <c r="F1048" i="8"/>
  <c r="F1049" i="8"/>
  <c r="F1050" i="8"/>
  <c r="F1051" i="8"/>
  <c r="F1052" i="8"/>
  <c r="F1053" i="8"/>
  <c r="F1054" i="8"/>
  <c r="F1055" i="8"/>
  <c r="F1056" i="8"/>
  <c r="F1057" i="8"/>
  <c r="F1058" i="8"/>
  <c r="F1059" i="8"/>
  <c r="F1060" i="8"/>
  <c r="F1061" i="8"/>
  <c r="F1062" i="8"/>
  <c r="F1063" i="8"/>
  <c r="F1064" i="8"/>
  <c r="F1065" i="8"/>
  <c r="F1066" i="8"/>
  <c r="F1067" i="8"/>
  <c r="F1068" i="8"/>
  <c r="F1069" i="8"/>
  <c r="F1070" i="8"/>
  <c r="F1071" i="8"/>
  <c r="F1072" i="8"/>
  <c r="F1073" i="8"/>
  <c r="F1074" i="8"/>
  <c r="F1075" i="8"/>
  <c r="F1076" i="8"/>
  <c r="F1077" i="8"/>
  <c r="F1078" i="8"/>
  <c r="F1079" i="8"/>
  <c r="F1080" i="8"/>
  <c r="F1081" i="8"/>
  <c r="F1082" i="8"/>
  <c r="F1083" i="8"/>
  <c r="F1084" i="8"/>
  <c r="F1085" i="8"/>
  <c r="F1086" i="8"/>
  <c r="F1087" i="8"/>
  <c r="F1088" i="8"/>
  <c r="F1089" i="8"/>
  <c r="F1090" i="8"/>
  <c r="F1091" i="8"/>
  <c r="F1092" i="8"/>
  <c r="F1093" i="8"/>
  <c r="F1094" i="8"/>
  <c r="F1095" i="8"/>
  <c r="F1096" i="8"/>
  <c r="F1097" i="8"/>
  <c r="F1098" i="8"/>
  <c r="F1099" i="8"/>
  <c r="F1100" i="8"/>
  <c r="F1101" i="8"/>
  <c r="F1102" i="8"/>
  <c r="F1103" i="8"/>
  <c r="F1104" i="8"/>
  <c r="F1105" i="8"/>
  <c r="F1106" i="8"/>
  <c r="F1107" i="8"/>
  <c r="F1108" i="8"/>
  <c r="F1109" i="8"/>
  <c r="F1110" i="8"/>
  <c r="F1111" i="8"/>
  <c r="F1112" i="8"/>
  <c r="F1113" i="8"/>
  <c r="F1114" i="8"/>
  <c r="F1115" i="8"/>
  <c r="F1116" i="8"/>
  <c r="F1117" i="8"/>
  <c r="F1118" i="8"/>
  <c r="F1119" i="8"/>
  <c r="F1120" i="8"/>
  <c r="F1121" i="8"/>
  <c r="F1122" i="8"/>
  <c r="F1123" i="8"/>
  <c r="F1124" i="8"/>
  <c r="F1125" i="8"/>
  <c r="F1126" i="8"/>
  <c r="F1127" i="8"/>
  <c r="F1128" i="8"/>
  <c r="F1129" i="8"/>
  <c r="F1130" i="8"/>
  <c r="F1131" i="8"/>
  <c r="F1132" i="8"/>
  <c r="F1133" i="8"/>
  <c r="F1134" i="8"/>
  <c r="F1135" i="8"/>
  <c r="F1136" i="8"/>
  <c r="F1137" i="8"/>
  <c r="F1138" i="8"/>
  <c r="F1139" i="8"/>
  <c r="F1140" i="8"/>
  <c r="F1141" i="8"/>
  <c r="F1142" i="8"/>
  <c r="F1143" i="8"/>
  <c r="F1144" i="8"/>
  <c r="F1145" i="8"/>
  <c r="F1146" i="8"/>
  <c r="F1147" i="8"/>
  <c r="F1148" i="8"/>
  <c r="F1149" i="8"/>
  <c r="F1150" i="8"/>
  <c r="F1151" i="8"/>
  <c r="F1152" i="8"/>
  <c r="F1153" i="8"/>
  <c r="F1154" i="8"/>
  <c r="F1155" i="8"/>
  <c r="F1156" i="8"/>
  <c r="F1157" i="8"/>
  <c r="F1158" i="8"/>
  <c r="F1159" i="8"/>
  <c r="F1160" i="8"/>
  <c r="F1161" i="8"/>
  <c r="F1162" i="8"/>
  <c r="F1163" i="8"/>
  <c r="F1164" i="8"/>
  <c r="F1165" i="8"/>
  <c r="F1166" i="8"/>
  <c r="F1167" i="8"/>
  <c r="F1168" i="8"/>
  <c r="F1169" i="8"/>
  <c r="F1170" i="8"/>
  <c r="F1171" i="8"/>
  <c r="F1172" i="8"/>
  <c r="F1173" i="8"/>
  <c r="F1174" i="8"/>
  <c r="F1175" i="8"/>
  <c r="F1176" i="8"/>
  <c r="F1177" i="8"/>
  <c r="F1178" i="8"/>
  <c r="F1179" i="8"/>
  <c r="F1180" i="8"/>
  <c r="F1181" i="8"/>
  <c r="F1182" i="8"/>
  <c r="F1183" i="8"/>
  <c r="F1184" i="8"/>
  <c r="F1185" i="8"/>
  <c r="F1186" i="8"/>
  <c r="F1187" i="8"/>
  <c r="F1188" i="8"/>
  <c r="F1189" i="8"/>
  <c r="F1190" i="8"/>
  <c r="F1191" i="8"/>
  <c r="F1192" i="8"/>
  <c r="F1193" i="8"/>
  <c r="F1194" i="8"/>
  <c r="F1195" i="8"/>
  <c r="F1196" i="8"/>
  <c r="F1197" i="8"/>
  <c r="F1198" i="8"/>
  <c r="F1199" i="8"/>
  <c r="F1200" i="8"/>
  <c r="F1201" i="8"/>
  <c r="F1202" i="8"/>
  <c r="F1203" i="8"/>
  <c r="F1204" i="8"/>
  <c r="F1205" i="8"/>
  <c r="F1206" i="8"/>
  <c r="F1207" i="8"/>
  <c r="F1208" i="8"/>
  <c r="F1209" i="8"/>
  <c r="F1210" i="8"/>
  <c r="F1211" i="8"/>
  <c r="F1212" i="8"/>
  <c r="F1213" i="8"/>
  <c r="F1214" i="8"/>
  <c r="F1215" i="8"/>
  <c r="F1216" i="8"/>
  <c r="F1217" i="8"/>
  <c r="F1218" i="8"/>
  <c r="F1219" i="8"/>
  <c r="F1220" i="8"/>
  <c r="F1221" i="8"/>
  <c r="F1222" i="8"/>
  <c r="F1223" i="8"/>
  <c r="F1224" i="8"/>
  <c r="F1225" i="8"/>
  <c r="F1226" i="8"/>
  <c r="F1227" i="8"/>
  <c r="F1228" i="8"/>
  <c r="F1229" i="8"/>
  <c r="F1230" i="8"/>
  <c r="F1231" i="8"/>
  <c r="F1232" i="8"/>
  <c r="F1233" i="8"/>
  <c r="F1234" i="8"/>
  <c r="F1235" i="8"/>
  <c r="F1236" i="8"/>
  <c r="F1237" i="8"/>
  <c r="F1238" i="8"/>
  <c r="F1239" i="8"/>
  <c r="F1240" i="8"/>
  <c r="F1241" i="8"/>
  <c r="F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D643" i="8"/>
  <c r="D644" i="8"/>
  <c r="D645" i="8"/>
  <c r="D646" i="8"/>
  <c r="D647" i="8"/>
  <c r="D648" i="8"/>
  <c r="D649" i="8"/>
  <c r="D650" i="8"/>
  <c r="D651" i="8"/>
  <c r="D652" i="8"/>
  <c r="D653" i="8"/>
  <c r="D654" i="8"/>
  <c r="D655" i="8"/>
  <c r="D656" i="8"/>
  <c r="D657" i="8"/>
  <c r="D658" i="8"/>
  <c r="D659" i="8"/>
  <c r="D660" i="8"/>
  <c r="D661" i="8"/>
  <c r="D662" i="8"/>
  <c r="D663" i="8"/>
  <c r="D664" i="8"/>
  <c r="D665" i="8"/>
  <c r="D666" i="8"/>
  <c r="D667" i="8"/>
  <c r="D668" i="8"/>
  <c r="D669" i="8"/>
  <c r="D670" i="8"/>
  <c r="D671" i="8"/>
  <c r="D672" i="8"/>
  <c r="D673" i="8"/>
  <c r="D674" i="8"/>
  <c r="D675" i="8"/>
  <c r="D676" i="8"/>
  <c r="D677" i="8"/>
  <c r="D678" i="8"/>
  <c r="D679" i="8"/>
  <c r="D680" i="8"/>
  <c r="D681" i="8"/>
  <c r="D682" i="8"/>
  <c r="D683" i="8"/>
  <c r="D684" i="8"/>
  <c r="D685" i="8"/>
  <c r="D686" i="8"/>
  <c r="D687" i="8"/>
  <c r="D688" i="8"/>
  <c r="D689" i="8"/>
  <c r="D690" i="8"/>
  <c r="D691" i="8"/>
  <c r="D692" i="8"/>
  <c r="D693" i="8"/>
  <c r="D694" i="8"/>
  <c r="D695" i="8"/>
  <c r="D696" i="8"/>
  <c r="D697" i="8"/>
  <c r="D698" i="8"/>
  <c r="D699" i="8"/>
  <c r="D700" i="8"/>
  <c r="D701" i="8"/>
  <c r="D702" i="8"/>
  <c r="D703" i="8"/>
  <c r="D704" i="8"/>
  <c r="D705" i="8"/>
  <c r="D706" i="8"/>
  <c r="D707" i="8"/>
  <c r="D708" i="8"/>
  <c r="D709" i="8"/>
  <c r="D710" i="8"/>
  <c r="D711" i="8"/>
  <c r="D712" i="8"/>
  <c r="D713" i="8"/>
  <c r="D714" i="8"/>
  <c r="D715" i="8"/>
  <c r="D716" i="8"/>
  <c r="D717" i="8"/>
  <c r="D718" i="8"/>
  <c r="D719" i="8"/>
  <c r="D720" i="8"/>
  <c r="D721" i="8"/>
  <c r="D722" i="8"/>
  <c r="D723" i="8"/>
  <c r="D724" i="8"/>
  <c r="D725" i="8"/>
  <c r="D726" i="8"/>
  <c r="D727" i="8"/>
  <c r="D728" i="8"/>
  <c r="D729" i="8"/>
  <c r="D730" i="8"/>
  <c r="D731" i="8"/>
  <c r="D732" i="8"/>
  <c r="D733" i="8"/>
  <c r="D734" i="8"/>
  <c r="D735" i="8"/>
  <c r="D736" i="8"/>
  <c r="D737" i="8"/>
  <c r="D738" i="8"/>
  <c r="D739" i="8"/>
  <c r="D740" i="8"/>
  <c r="D741" i="8"/>
  <c r="D742" i="8"/>
  <c r="D743" i="8"/>
  <c r="D744" i="8"/>
  <c r="D745" i="8"/>
  <c r="D746" i="8"/>
  <c r="D747" i="8"/>
  <c r="D748" i="8"/>
  <c r="D749" i="8"/>
  <c r="D750" i="8"/>
  <c r="D751" i="8"/>
  <c r="D752" i="8"/>
  <c r="D753" i="8"/>
  <c r="D754" i="8"/>
  <c r="D755" i="8"/>
  <c r="D756" i="8"/>
  <c r="D757" i="8"/>
  <c r="D758" i="8"/>
  <c r="D759" i="8"/>
  <c r="D760" i="8"/>
  <c r="D761" i="8"/>
  <c r="D762" i="8"/>
  <c r="D763" i="8"/>
  <c r="D764" i="8"/>
  <c r="D765" i="8"/>
  <c r="D766" i="8"/>
  <c r="D767" i="8"/>
  <c r="D768" i="8"/>
  <c r="D769" i="8"/>
  <c r="D770" i="8"/>
  <c r="D771" i="8"/>
  <c r="D772" i="8"/>
  <c r="D773" i="8"/>
  <c r="D774" i="8"/>
  <c r="D775" i="8"/>
  <c r="D776" i="8"/>
  <c r="D777" i="8"/>
  <c r="D778" i="8"/>
  <c r="D779" i="8"/>
  <c r="D780" i="8"/>
  <c r="D781" i="8"/>
  <c r="D782" i="8"/>
  <c r="D783" i="8"/>
  <c r="D784" i="8"/>
  <c r="D785" i="8"/>
  <c r="D786" i="8"/>
  <c r="D787" i="8"/>
  <c r="D788" i="8"/>
  <c r="D789" i="8"/>
  <c r="D790" i="8"/>
  <c r="D791" i="8"/>
  <c r="D792" i="8"/>
  <c r="D793" i="8"/>
  <c r="D794" i="8"/>
  <c r="D795" i="8"/>
  <c r="D796" i="8"/>
  <c r="D797" i="8"/>
  <c r="D798" i="8"/>
  <c r="D799" i="8"/>
  <c r="D800" i="8"/>
  <c r="D801" i="8"/>
  <c r="D802" i="8"/>
  <c r="D803" i="8"/>
  <c r="D804" i="8"/>
  <c r="D805" i="8"/>
  <c r="D806" i="8"/>
  <c r="D807" i="8"/>
  <c r="D808" i="8"/>
  <c r="D809" i="8"/>
  <c r="D810" i="8"/>
  <c r="D811" i="8"/>
  <c r="D812" i="8"/>
  <c r="D813" i="8"/>
  <c r="D814" i="8"/>
  <c r="D815" i="8"/>
  <c r="D816" i="8"/>
  <c r="D817" i="8"/>
  <c r="D818" i="8"/>
  <c r="D819" i="8"/>
  <c r="D820" i="8"/>
  <c r="D821" i="8"/>
  <c r="D822" i="8"/>
  <c r="D823" i="8"/>
  <c r="D824" i="8"/>
  <c r="D825" i="8"/>
  <c r="D826" i="8"/>
  <c r="D827" i="8"/>
  <c r="D828" i="8"/>
  <c r="D829" i="8"/>
  <c r="D830" i="8"/>
  <c r="D831" i="8"/>
  <c r="D832" i="8"/>
  <c r="D833" i="8"/>
  <c r="D834" i="8"/>
  <c r="D835" i="8"/>
  <c r="D836" i="8"/>
  <c r="D837" i="8"/>
  <c r="D838" i="8"/>
  <c r="D839" i="8"/>
  <c r="D840" i="8"/>
  <c r="D841" i="8"/>
  <c r="D842" i="8"/>
  <c r="D843" i="8"/>
  <c r="D844" i="8"/>
  <c r="D845" i="8"/>
  <c r="D846" i="8"/>
  <c r="D847" i="8"/>
  <c r="D848" i="8"/>
  <c r="D849" i="8"/>
  <c r="D850" i="8"/>
  <c r="D851" i="8"/>
  <c r="D852" i="8"/>
  <c r="D853" i="8"/>
  <c r="D854" i="8"/>
  <c r="D855" i="8"/>
  <c r="D856" i="8"/>
  <c r="D857" i="8"/>
  <c r="D858" i="8"/>
  <c r="D859" i="8"/>
  <c r="D860" i="8"/>
  <c r="D861" i="8"/>
  <c r="D862" i="8"/>
  <c r="D863" i="8"/>
  <c r="D864" i="8"/>
  <c r="D865" i="8"/>
  <c r="D866" i="8"/>
  <c r="D867" i="8"/>
  <c r="D868" i="8"/>
  <c r="D869" i="8"/>
  <c r="D870" i="8"/>
  <c r="D871" i="8"/>
  <c r="D872" i="8"/>
  <c r="D873" i="8"/>
  <c r="D874" i="8"/>
  <c r="D875" i="8"/>
  <c r="D876" i="8"/>
  <c r="D877" i="8"/>
  <c r="D878" i="8"/>
  <c r="D879" i="8"/>
  <c r="D880" i="8"/>
  <c r="D881" i="8"/>
  <c r="D882" i="8"/>
  <c r="D883" i="8"/>
  <c r="D884" i="8"/>
  <c r="D885" i="8"/>
  <c r="D886" i="8"/>
  <c r="D887" i="8"/>
  <c r="D888" i="8"/>
  <c r="D889" i="8"/>
  <c r="D890" i="8"/>
  <c r="D891" i="8"/>
  <c r="D892" i="8"/>
  <c r="D893" i="8"/>
  <c r="D894" i="8"/>
  <c r="D895" i="8"/>
  <c r="D896" i="8"/>
  <c r="D897" i="8"/>
  <c r="D898" i="8"/>
  <c r="D899" i="8"/>
  <c r="D900" i="8"/>
  <c r="D901" i="8"/>
  <c r="D902" i="8"/>
  <c r="D903" i="8"/>
  <c r="D904" i="8"/>
  <c r="D905" i="8"/>
  <c r="D906" i="8"/>
  <c r="D907" i="8"/>
  <c r="D908" i="8"/>
  <c r="D909" i="8"/>
  <c r="D910" i="8"/>
  <c r="D911" i="8"/>
  <c r="D912" i="8"/>
  <c r="D913" i="8"/>
  <c r="D914" i="8"/>
  <c r="D915" i="8"/>
  <c r="D916" i="8"/>
  <c r="D917" i="8"/>
  <c r="D918" i="8"/>
  <c r="D919" i="8"/>
  <c r="D920" i="8"/>
  <c r="D921" i="8"/>
  <c r="D922" i="8"/>
  <c r="D923" i="8"/>
  <c r="D924" i="8"/>
  <c r="D925" i="8"/>
  <c r="D926" i="8"/>
  <c r="D927" i="8"/>
  <c r="D928" i="8"/>
  <c r="D929" i="8"/>
  <c r="D930" i="8"/>
  <c r="D931" i="8"/>
  <c r="D932" i="8"/>
  <c r="D933" i="8"/>
  <c r="D934" i="8"/>
  <c r="D935" i="8"/>
  <c r="D936" i="8"/>
  <c r="D937" i="8"/>
  <c r="D938" i="8"/>
  <c r="D939" i="8"/>
  <c r="D940" i="8"/>
  <c r="D941" i="8"/>
  <c r="D942" i="8"/>
  <c r="D943" i="8"/>
  <c r="D944" i="8"/>
  <c r="D945" i="8"/>
  <c r="D946" i="8"/>
  <c r="D947" i="8"/>
  <c r="D948" i="8"/>
  <c r="D949" i="8"/>
  <c r="D950" i="8"/>
  <c r="D951" i="8"/>
  <c r="D952" i="8"/>
  <c r="D953" i="8"/>
  <c r="D954" i="8"/>
  <c r="D955" i="8"/>
  <c r="D956" i="8"/>
  <c r="D957" i="8"/>
  <c r="D958" i="8"/>
  <c r="D959" i="8"/>
  <c r="D960" i="8"/>
  <c r="D961" i="8"/>
  <c r="D962" i="8"/>
  <c r="D963" i="8"/>
  <c r="D964" i="8"/>
  <c r="D965" i="8"/>
  <c r="D966" i="8"/>
  <c r="D967" i="8"/>
  <c r="D968" i="8"/>
  <c r="D969" i="8"/>
  <c r="D970" i="8"/>
  <c r="D971" i="8"/>
  <c r="D972" i="8"/>
  <c r="D973" i="8"/>
  <c r="D974" i="8"/>
  <c r="D975" i="8"/>
  <c r="D976" i="8"/>
  <c r="D977" i="8"/>
  <c r="D978" i="8"/>
  <c r="D979" i="8"/>
  <c r="D980" i="8"/>
  <c r="D981" i="8"/>
  <c r="D982" i="8"/>
  <c r="D983" i="8"/>
  <c r="D984" i="8"/>
  <c r="D985" i="8"/>
  <c r="D986" i="8"/>
  <c r="D987" i="8"/>
  <c r="D988" i="8"/>
  <c r="D989" i="8"/>
  <c r="D990" i="8"/>
  <c r="D991" i="8"/>
  <c r="D992" i="8"/>
  <c r="D993" i="8"/>
  <c r="D994" i="8"/>
  <c r="D995" i="8"/>
  <c r="D996" i="8"/>
  <c r="D997" i="8"/>
  <c r="D998" i="8"/>
  <c r="D999" i="8"/>
  <c r="D1000" i="8"/>
  <c r="D1001" i="8"/>
  <c r="D1002" i="8"/>
  <c r="D1003" i="8"/>
  <c r="D1004" i="8"/>
  <c r="D1005" i="8"/>
  <c r="D1006" i="8"/>
  <c r="D1007" i="8"/>
  <c r="D1008" i="8"/>
  <c r="D1009" i="8"/>
  <c r="D1010" i="8"/>
  <c r="D1011" i="8"/>
  <c r="D1012" i="8"/>
  <c r="D1013" i="8"/>
  <c r="D1014" i="8"/>
  <c r="D1015" i="8"/>
  <c r="D1016" i="8"/>
  <c r="D1017" i="8"/>
  <c r="D1018" i="8"/>
  <c r="D1019" i="8"/>
  <c r="D1020" i="8"/>
  <c r="D1021" i="8"/>
  <c r="D1022" i="8"/>
  <c r="D1023" i="8"/>
  <c r="D1024" i="8"/>
  <c r="D1025" i="8"/>
  <c r="D1026" i="8"/>
  <c r="D1027" i="8"/>
  <c r="D1028" i="8"/>
  <c r="D1029" i="8"/>
  <c r="D1030" i="8"/>
  <c r="D1031" i="8"/>
  <c r="D1032" i="8"/>
  <c r="D1033" i="8"/>
  <c r="D1034" i="8"/>
  <c r="D1035" i="8"/>
  <c r="D1036" i="8"/>
  <c r="D1037" i="8"/>
  <c r="D1038" i="8"/>
  <c r="D1039" i="8"/>
  <c r="D1040" i="8"/>
  <c r="D1041" i="8"/>
  <c r="D1042" i="8"/>
  <c r="D1043" i="8"/>
  <c r="D1044" i="8"/>
  <c r="D1045" i="8"/>
  <c r="D1046" i="8"/>
  <c r="D1047" i="8"/>
  <c r="D1048" i="8"/>
  <c r="D1049" i="8"/>
  <c r="D1050" i="8"/>
  <c r="D1051" i="8"/>
  <c r="D1052" i="8"/>
  <c r="D1053" i="8"/>
  <c r="D1054" i="8"/>
  <c r="D1055" i="8"/>
  <c r="D1056" i="8"/>
  <c r="D1057" i="8"/>
  <c r="D1058" i="8"/>
  <c r="D1059" i="8"/>
  <c r="D1060" i="8"/>
  <c r="D1061" i="8"/>
  <c r="D1062" i="8"/>
  <c r="D1063" i="8"/>
  <c r="D1064" i="8"/>
  <c r="D1065" i="8"/>
  <c r="D1066" i="8"/>
  <c r="D1067" i="8"/>
  <c r="D1068" i="8"/>
  <c r="D1069" i="8"/>
  <c r="D1070" i="8"/>
  <c r="D1071" i="8"/>
  <c r="D1072" i="8"/>
  <c r="D1073" i="8"/>
  <c r="D1074" i="8"/>
  <c r="D1075" i="8"/>
  <c r="D1076" i="8"/>
  <c r="D1077" i="8"/>
  <c r="D1078" i="8"/>
  <c r="D1079" i="8"/>
  <c r="D1080" i="8"/>
  <c r="D1081" i="8"/>
  <c r="D1082" i="8"/>
  <c r="D1083" i="8"/>
  <c r="D1084" i="8"/>
  <c r="D1085" i="8"/>
  <c r="D1086" i="8"/>
  <c r="D1087" i="8"/>
  <c r="D1088" i="8"/>
  <c r="D1089" i="8"/>
  <c r="D1090" i="8"/>
  <c r="D1091" i="8"/>
  <c r="D1092" i="8"/>
  <c r="D1093" i="8"/>
  <c r="D1094" i="8"/>
  <c r="D1095" i="8"/>
  <c r="D1096" i="8"/>
  <c r="D1097" i="8"/>
  <c r="D1098" i="8"/>
  <c r="D1099" i="8"/>
  <c r="D1100" i="8"/>
  <c r="D1101" i="8"/>
  <c r="D1102" i="8"/>
  <c r="D1103" i="8"/>
  <c r="D1104" i="8"/>
  <c r="D1105" i="8"/>
  <c r="D1106" i="8"/>
  <c r="D1107" i="8"/>
  <c r="D1108" i="8"/>
  <c r="D1109" i="8"/>
  <c r="D1110" i="8"/>
  <c r="D1111" i="8"/>
  <c r="D1112" i="8"/>
  <c r="D1113" i="8"/>
  <c r="D1114" i="8"/>
  <c r="D1115" i="8"/>
  <c r="D1116" i="8"/>
  <c r="D1117" i="8"/>
  <c r="D1118" i="8"/>
  <c r="D1119" i="8"/>
  <c r="D1120" i="8"/>
  <c r="D1121" i="8"/>
  <c r="D1122" i="8"/>
  <c r="D1123" i="8"/>
  <c r="D1124" i="8"/>
  <c r="D1125" i="8"/>
  <c r="D1126" i="8"/>
  <c r="D1127" i="8"/>
  <c r="D1128" i="8"/>
  <c r="D1129" i="8"/>
  <c r="D1130" i="8"/>
  <c r="D1131" i="8"/>
  <c r="D1132" i="8"/>
  <c r="D1133" i="8"/>
  <c r="D1134" i="8"/>
  <c r="D1135" i="8"/>
  <c r="D1136" i="8"/>
  <c r="D1137" i="8"/>
  <c r="D1138" i="8"/>
  <c r="D1139" i="8"/>
  <c r="D1140" i="8"/>
  <c r="D1141" i="8"/>
  <c r="D1142" i="8"/>
  <c r="D1143" i="8"/>
  <c r="D1144" i="8"/>
  <c r="D1145" i="8"/>
  <c r="D1146" i="8"/>
  <c r="D1147" i="8"/>
  <c r="D1148" i="8"/>
  <c r="D1149" i="8"/>
  <c r="D1150" i="8"/>
  <c r="D1151" i="8"/>
  <c r="D1152" i="8"/>
  <c r="D1153" i="8"/>
  <c r="D1154" i="8"/>
  <c r="D1155" i="8"/>
  <c r="D1156" i="8"/>
  <c r="D1157" i="8"/>
  <c r="D1158" i="8"/>
  <c r="D1159" i="8"/>
  <c r="D1160" i="8"/>
  <c r="D1161" i="8"/>
  <c r="D1162" i="8"/>
  <c r="D1163" i="8"/>
  <c r="D1164" i="8"/>
  <c r="D1165" i="8"/>
  <c r="D1166" i="8"/>
  <c r="D1167" i="8"/>
  <c r="D1168" i="8"/>
  <c r="D1169" i="8"/>
  <c r="D1170" i="8"/>
  <c r="D1171" i="8"/>
  <c r="D1172" i="8"/>
  <c r="D1173" i="8"/>
  <c r="D1174" i="8"/>
  <c r="D1175" i="8"/>
  <c r="D1176" i="8"/>
  <c r="D1177" i="8"/>
  <c r="D1178" i="8"/>
  <c r="D1179" i="8"/>
  <c r="D1180" i="8"/>
  <c r="D1181" i="8"/>
  <c r="D1182" i="8"/>
  <c r="D1183" i="8"/>
  <c r="D1184" i="8"/>
  <c r="D1185" i="8"/>
  <c r="D1186" i="8"/>
  <c r="D1187" i="8"/>
  <c r="D1188" i="8"/>
  <c r="D1189" i="8"/>
  <c r="D1190" i="8"/>
  <c r="D1191" i="8"/>
  <c r="D1192" i="8"/>
  <c r="D1193" i="8"/>
  <c r="D1194" i="8"/>
  <c r="D1195" i="8"/>
  <c r="D1196" i="8"/>
  <c r="D1197" i="8"/>
  <c r="D1198" i="8"/>
  <c r="D1199" i="8"/>
  <c r="D1200" i="8"/>
  <c r="D1201" i="8"/>
  <c r="D1202" i="8"/>
  <c r="D1203" i="8"/>
  <c r="D1204" i="8"/>
  <c r="D1205" i="8"/>
  <c r="D1206" i="8"/>
  <c r="D1207" i="8"/>
  <c r="D1208" i="8"/>
  <c r="D1209" i="8"/>
  <c r="D1210" i="8"/>
  <c r="D1211" i="8"/>
  <c r="D1212" i="8"/>
  <c r="D1213" i="8"/>
  <c r="D1214" i="8"/>
  <c r="D1215" i="8"/>
  <c r="D1216" i="8"/>
  <c r="D1217" i="8"/>
  <c r="D1218" i="8"/>
  <c r="D1219" i="8"/>
  <c r="D1220" i="8"/>
  <c r="D1221" i="8"/>
  <c r="D1222" i="8"/>
  <c r="D1223" i="8"/>
  <c r="D1224" i="8"/>
  <c r="D1225" i="8"/>
  <c r="D1226" i="8"/>
  <c r="D1227" i="8"/>
  <c r="D1228" i="8"/>
  <c r="D1229" i="8"/>
  <c r="D1230" i="8"/>
  <c r="D1231" i="8"/>
  <c r="D1232" i="8"/>
  <c r="D1233" i="8"/>
  <c r="D1234" i="8"/>
  <c r="D1235" i="8"/>
  <c r="D1236" i="8"/>
  <c r="D1237" i="8"/>
  <c r="D1238" i="8"/>
  <c r="D1239" i="8"/>
  <c r="D1240" i="8"/>
  <c r="D1241" i="8"/>
  <c r="D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301" i="8"/>
  <c r="G302" i="8"/>
  <c r="G303" i="8"/>
  <c r="G304" i="8"/>
  <c r="G305" i="8"/>
  <c r="G306" i="8"/>
  <c r="G307" i="8"/>
  <c r="G308" i="8"/>
  <c r="G309" i="8"/>
  <c r="G310" i="8"/>
  <c r="G311" i="8"/>
  <c r="G312" i="8"/>
  <c r="G313" i="8"/>
  <c r="G314" i="8"/>
  <c r="G315" i="8"/>
  <c r="G316" i="8"/>
  <c r="G317" i="8"/>
  <c r="G318" i="8"/>
  <c r="G319" i="8"/>
  <c r="G320" i="8"/>
  <c r="G321" i="8"/>
  <c r="G322" i="8"/>
  <c r="G323" i="8"/>
  <c r="G324" i="8"/>
  <c r="G325" i="8"/>
  <c r="G326" i="8"/>
  <c r="G327" i="8"/>
  <c r="G328" i="8"/>
  <c r="G329" i="8"/>
  <c r="G330" i="8"/>
  <c r="G331" i="8"/>
  <c r="G332" i="8"/>
  <c r="G333" i="8"/>
  <c r="G334" i="8"/>
  <c r="G335" i="8"/>
  <c r="G336" i="8"/>
  <c r="G337" i="8"/>
  <c r="G338" i="8"/>
  <c r="G339" i="8"/>
  <c r="G340" i="8"/>
  <c r="G341" i="8"/>
  <c r="G342" i="8"/>
  <c r="G343" i="8"/>
  <c r="G344" i="8"/>
  <c r="G345" i="8"/>
  <c r="G346" i="8"/>
  <c r="G347" i="8"/>
  <c r="G348" i="8"/>
  <c r="G349" i="8"/>
  <c r="G350" i="8"/>
  <c r="G351" i="8"/>
  <c r="G352" i="8"/>
  <c r="G353" i="8"/>
  <c r="G354" i="8"/>
  <c r="G355" i="8"/>
  <c r="G356" i="8"/>
  <c r="G357" i="8"/>
  <c r="G358" i="8"/>
  <c r="G359" i="8"/>
  <c r="G360" i="8"/>
  <c r="G361" i="8"/>
  <c r="G362" i="8"/>
  <c r="G363" i="8"/>
  <c r="G364" i="8"/>
  <c r="G365" i="8"/>
  <c r="G366" i="8"/>
  <c r="G367" i="8"/>
  <c r="G368" i="8"/>
  <c r="G369" i="8"/>
  <c r="G370" i="8"/>
  <c r="G371" i="8"/>
  <c r="G372" i="8"/>
  <c r="G373" i="8"/>
  <c r="G374" i="8"/>
  <c r="G375" i="8"/>
  <c r="G376" i="8"/>
  <c r="G377" i="8"/>
  <c r="G378" i="8"/>
  <c r="G379" i="8"/>
  <c r="G380" i="8"/>
  <c r="G381" i="8"/>
  <c r="G382" i="8"/>
  <c r="G383" i="8"/>
  <c r="G384" i="8"/>
  <c r="G385" i="8"/>
  <c r="G386" i="8"/>
  <c r="G387" i="8"/>
  <c r="G388" i="8"/>
  <c r="G389" i="8"/>
  <c r="G390" i="8"/>
  <c r="G391" i="8"/>
  <c r="G392" i="8"/>
  <c r="G393" i="8"/>
  <c r="G394" i="8"/>
  <c r="G395" i="8"/>
  <c r="G396" i="8"/>
  <c r="G397" i="8"/>
  <c r="G398" i="8"/>
  <c r="G399" i="8"/>
  <c r="G400" i="8"/>
  <c r="G401" i="8"/>
  <c r="G402" i="8"/>
  <c r="G403" i="8"/>
  <c r="G404" i="8"/>
  <c r="G405" i="8"/>
  <c r="G406" i="8"/>
  <c r="G407" i="8"/>
  <c r="G408" i="8"/>
  <c r="G409" i="8"/>
  <c r="G410" i="8"/>
  <c r="G411" i="8"/>
  <c r="G412" i="8"/>
  <c r="G413" i="8"/>
  <c r="G414" i="8"/>
  <c r="G415" i="8"/>
  <c r="G416" i="8"/>
  <c r="G417" i="8"/>
  <c r="G418" i="8"/>
  <c r="G419" i="8"/>
  <c r="G420" i="8"/>
  <c r="G421" i="8"/>
  <c r="G422" i="8"/>
  <c r="G423" i="8"/>
  <c r="G424" i="8"/>
  <c r="G425" i="8"/>
  <c r="G426" i="8"/>
  <c r="G427" i="8"/>
  <c r="G428" i="8"/>
  <c r="G429" i="8"/>
  <c r="G430" i="8"/>
  <c r="G431" i="8"/>
  <c r="G432" i="8"/>
  <c r="G433" i="8"/>
  <c r="G434" i="8"/>
  <c r="G435" i="8"/>
  <c r="G436" i="8"/>
  <c r="G437" i="8"/>
  <c r="G438" i="8"/>
  <c r="G439" i="8"/>
  <c r="G440" i="8"/>
  <c r="G441" i="8"/>
  <c r="G442" i="8"/>
  <c r="G443" i="8"/>
  <c r="G444" i="8"/>
  <c r="G445" i="8"/>
  <c r="G446" i="8"/>
  <c r="G447" i="8"/>
  <c r="G448" i="8"/>
  <c r="G449" i="8"/>
  <c r="G450" i="8"/>
  <c r="G451" i="8"/>
  <c r="G452" i="8"/>
  <c r="G453" i="8"/>
  <c r="G454" i="8"/>
  <c r="G455" i="8"/>
  <c r="G456" i="8"/>
  <c r="G457" i="8"/>
  <c r="G458" i="8"/>
  <c r="G459" i="8"/>
  <c r="G460" i="8"/>
  <c r="G461" i="8"/>
  <c r="G462" i="8"/>
  <c r="G463" i="8"/>
  <c r="G464" i="8"/>
  <c r="G465" i="8"/>
  <c r="G466" i="8"/>
  <c r="G467" i="8"/>
  <c r="G468" i="8"/>
  <c r="G469" i="8"/>
  <c r="G470" i="8"/>
  <c r="G471" i="8"/>
  <c r="G472" i="8"/>
  <c r="G473" i="8"/>
  <c r="G474" i="8"/>
  <c r="G475" i="8"/>
  <c r="G476" i="8"/>
  <c r="G477" i="8"/>
  <c r="G478" i="8"/>
  <c r="G479" i="8"/>
  <c r="G480" i="8"/>
  <c r="G481" i="8"/>
  <c r="G482" i="8"/>
  <c r="G483" i="8"/>
  <c r="G484" i="8"/>
  <c r="G485" i="8"/>
  <c r="G486" i="8"/>
  <c r="G487" i="8"/>
  <c r="G488" i="8"/>
  <c r="G489" i="8"/>
  <c r="G490" i="8"/>
  <c r="G491" i="8"/>
  <c r="G492" i="8"/>
  <c r="G493" i="8"/>
  <c r="G494" i="8"/>
  <c r="G495" i="8"/>
  <c r="G496" i="8"/>
  <c r="G497" i="8"/>
  <c r="G498" i="8"/>
  <c r="G499" i="8"/>
  <c r="G500" i="8"/>
  <c r="G501" i="8"/>
  <c r="G502" i="8"/>
  <c r="G503" i="8"/>
  <c r="G504" i="8"/>
  <c r="G505" i="8"/>
  <c r="G506" i="8"/>
  <c r="G507" i="8"/>
  <c r="G508" i="8"/>
  <c r="G509" i="8"/>
  <c r="G510" i="8"/>
  <c r="G511" i="8"/>
  <c r="G512" i="8"/>
  <c r="G513" i="8"/>
  <c r="G514" i="8"/>
  <c r="G515" i="8"/>
  <c r="G516" i="8"/>
  <c r="G517" i="8"/>
  <c r="G518" i="8"/>
  <c r="G519" i="8"/>
  <c r="G520" i="8"/>
  <c r="G521" i="8"/>
  <c r="G522" i="8"/>
  <c r="G523" i="8"/>
  <c r="G524" i="8"/>
  <c r="G525" i="8"/>
  <c r="G526" i="8"/>
  <c r="G527" i="8"/>
  <c r="G528" i="8"/>
  <c r="G529" i="8"/>
  <c r="G530" i="8"/>
  <c r="G531" i="8"/>
  <c r="G532" i="8"/>
  <c r="G533" i="8"/>
  <c r="G534" i="8"/>
  <c r="G535" i="8"/>
  <c r="G536" i="8"/>
  <c r="G537" i="8"/>
  <c r="G538" i="8"/>
  <c r="G539" i="8"/>
  <c r="G540" i="8"/>
  <c r="G541" i="8"/>
  <c r="G542" i="8"/>
  <c r="G543" i="8"/>
  <c r="G544" i="8"/>
  <c r="G545" i="8"/>
  <c r="G546" i="8"/>
  <c r="G547" i="8"/>
  <c r="G548" i="8"/>
  <c r="G549" i="8"/>
  <c r="G550" i="8"/>
  <c r="G551" i="8"/>
  <c r="G552" i="8"/>
  <c r="G553" i="8"/>
  <c r="G554" i="8"/>
  <c r="G555" i="8"/>
  <c r="G556" i="8"/>
  <c r="G557" i="8"/>
  <c r="G558" i="8"/>
  <c r="G559" i="8"/>
  <c r="G560" i="8"/>
  <c r="G561" i="8"/>
  <c r="G562" i="8"/>
  <c r="G563" i="8"/>
  <c r="G564" i="8"/>
  <c r="G565" i="8"/>
  <c r="G566" i="8"/>
  <c r="G567" i="8"/>
  <c r="G568" i="8"/>
  <c r="G569" i="8"/>
  <c r="G570" i="8"/>
  <c r="G571" i="8"/>
  <c r="G572" i="8"/>
  <c r="G573" i="8"/>
  <c r="G574" i="8"/>
  <c r="G575" i="8"/>
  <c r="G576" i="8"/>
  <c r="G577" i="8"/>
  <c r="G578" i="8"/>
  <c r="G579" i="8"/>
  <c r="G580" i="8"/>
  <c r="G581" i="8"/>
  <c r="G582" i="8"/>
  <c r="G583" i="8"/>
  <c r="G584" i="8"/>
  <c r="G585" i="8"/>
  <c r="G586" i="8"/>
  <c r="G587" i="8"/>
  <c r="G588" i="8"/>
  <c r="G589" i="8"/>
  <c r="G590" i="8"/>
  <c r="G591" i="8"/>
  <c r="G592" i="8"/>
  <c r="G593" i="8"/>
  <c r="G594" i="8"/>
  <c r="G595" i="8"/>
  <c r="G596" i="8"/>
  <c r="G597" i="8"/>
  <c r="G598" i="8"/>
  <c r="G599" i="8"/>
  <c r="G600" i="8"/>
  <c r="G601" i="8"/>
  <c r="G602" i="8"/>
  <c r="G603" i="8"/>
  <c r="G604" i="8"/>
  <c r="G605" i="8"/>
  <c r="G606" i="8"/>
  <c r="G607" i="8"/>
  <c r="G608" i="8"/>
  <c r="G609" i="8"/>
  <c r="G610" i="8"/>
  <c r="G611" i="8"/>
  <c r="G612" i="8"/>
  <c r="G613" i="8"/>
  <c r="G614" i="8"/>
  <c r="G615" i="8"/>
  <c r="G616" i="8"/>
  <c r="G617" i="8"/>
  <c r="G618" i="8"/>
  <c r="G619" i="8"/>
  <c r="G620" i="8"/>
  <c r="G621" i="8"/>
  <c r="G622" i="8"/>
  <c r="G623" i="8"/>
  <c r="G624" i="8"/>
  <c r="G625" i="8"/>
  <c r="G626" i="8"/>
  <c r="G627" i="8"/>
  <c r="G628" i="8"/>
  <c r="G629" i="8"/>
  <c r="G630" i="8"/>
  <c r="G631" i="8"/>
  <c r="G632" i="8"/>
  <c r="G633" i="8"/>
  <c r="G634" i="8"/>
  <c r="G635" i="8"/>
  <c r="G636" i="8"/>
  <c r="G637" i="8"/>
  <c r="G638" i="8"/>
  <c r="G639" i="8"/>
  <c r="G640" i="8"/>
  <c r="G641" i="8"/>
  <c r="G642" i="8"/>
  <c r="G643" i="8"/>
  <c r="G644" i="8"/>
  <c r="G645" i="8"/>
  <c r="G646" i="8"/>
  <c r="G647" i="8"/>
  <c r="G648" i="8"/>
  <c r="G649" i="8"/>
  <c r="G650" i="8"/>
  <c r="G651" i="8"/>
  <c r="G652" i="8"/>
  <c r="G653" i="8"/>
  <c r="G654" i="8"/>
  <c r="G655" i="8"/>
  <c r="G656" i="8"/>
  <c r="G657" i="8"/>
  <c r="G658" i="8"/>
  <c r="G659" i="8"/>
  <c r="G660" i="8"/>
  <c r="G661" i="8"/>
  <c r="G662" i="8"/>
  <c r="G663" i="8"/>
  <c r="G664" i="8"/>
  <c r="G665" i="8"/>
  <c r="G666" i="8"/>
  <c r="G667" i="8"/>
  <c r="G668" i="8"/>
  <c r="G669" i="8"/>
  <c r="G670" i="8"/>
  <c r="G671" i="8"/>
  <c r="G672" i="8"/>
  <c r="G673" i="8"/>
  <c r="G674" i="8"/>
  <c r="G675" i="8"/>
  <c r="G676" i="8"/>
  <c r="G677" i="8"/>
  <c r="G678" i="8"/>
  <c r="G679" i="8"/>
  <c r="G680" i="8"/>
  <c r="G681" i="8"/>
  <c r="G682" i="8"/>
  <c r="G683" i="8"/>
  <c r="G684" i="8"/>
  <c r="G685" i="8"/>
  <c r="G686" i="8"/>
  <c r="G687" i="8"/>
  <c r="G688" i="8"/>
  <c r="G689" i="8"/>
  <c r="G690" i="8"/>
  <c r="G691" i="8"/>
  <c r="G692" i="8"/>
  <c r="G693" i="8"/>
  <c r="G694" i="8"/>
  <c r="G695" i="8"/>
  <c r="G696" i="8"/>
  <c r="G697" i="8"/>
  <c r="G698" i="8"/>
  <c r="G699" i="8"/>
  <c r="G700" i="8"/>
  <c r="G701" i="8"/>
  <c r="G702" i="8"/>
  <c r="G703" i="8"/>
  <c r="G704" i="8"/>
  <c r="G705" i="8"/>
  <c r="G706" i="8"/>
  <c r="G707" i="8"/>
  <c r="G708" i="8"/>
  <c r="G709" i="8"/>
  <c r="G710" i="8"/>
  <c r="G711" i="8"/>
  <c r="G712" i="8"/>
  <c r="G713" i="8"/>
  <c r="G714" i="8"/>
  <c r="G715" i="8"/>
  <c r="G716" i="8"/>
  <c r="G717" i="8"/>
  <c r="G718" i="8"/>
  <c r="G719" i="8"/>
  <c r="G720" i="8"/>
  <c r="G721" i="8"/>
  <c r="G722" i="8"/>
  <c r="G723" i="8"/>
  <c r="G724" i="8"/>
  <c r="G725" i="8"/>
  <c r="G726" i="8"/>
  <c r="G727" i="8"/>
  <c r="G728" i="8"/>
  <c r="G729" i="8"/>
  <c r="G730" i="8"/>
  <c r="G731" i="8"/>
  <c r="G732" i="8"/>
  <c r="G733" i="8"/>
  <c r="G734" i="8"/>
  <c r="G735" i="8"/>
  <c r="G736" i="8"/>
  <c r="G737" i="8"/>
  <c r="G738" i="8"/>
  <c r="G739" i="8"/>
  <c r="G740" i="8"/>
  <c r="G741" i="8"/>
  <c r="G742" i="8"/>
  <c r="G743" i="8"/>
  <c r="G744" i="8"/>
  <c r="G745" i="8"/>
  <c r="G746" i="8"/>
  <c r="G747" i="8"/>
  <c r="G748" i="8"/>
  <c r="G749" i="8"/>
  <c r="G750" i="8"/>
  <c r="G751" i="8"/>
  <c r="G752" i="8"/>
  <c r="G753" i="8"/>
  <c r="G754" i="8"/>
  <c r="G755" i="8"/>
  <c r="G756" i="8"/>
  <c r="G757" i="8"/>
  <c r="G758" i="8"/>
  <c r="G759" i="8"/>
  <c r="G760" i="8"/>
  <c r="G761" i="8"/>
  <c r="G762" i="8"/>
  <c r="G763" i="8"/>
  <c r="G764" i="8"/>
  <c r="G765" i="8"/>
  <c r="G766" i="8"/>
  <c r="G767" i="8"/>
  <c r="G768" i="8"/>
  <c r="G769" i="8"/>
  <c r="G770" i="8"/>
  <c r="G771" i="8"/>
  <c r="G772" i="8"/>
  <c r="G773" i="8"/>
  <c r="G774" i="8"/>
  <c r="G775" i="8"/>
  <c r="G776" i="8"/>
  <c r="G777" i="8"/>
  <c r="G778" i="8"/>
  <c r="G779" i="8"/>
  <c r="G780" i="8"/>
  <c r="G781" i="8"/>
  <c r="G782" i="8"/>
  <c r="G783" i="8"/>
  <c r="G784" i="8"/>
  <c r="G785" i="8"/>
  <c r="G786" i="8"/>
  <c r="G787" i="8"/>
  <c r="G788" i="8"/>
  <c r="G789" i="8"/>
  <c r="G790" i="8"/>
  <c r="G791" i="8"/>
  <c r="G792" i="8"/>
  <c r="G793" i="8"/>
  <c r="G794" i="8"/>
  <c r="G795" i="8"/>
  <c r="G796" i="8"/>
  <c r="G797" i="8"/>
  <c r="G798" i="8"/>
  <c r="G799" i="8"/>
  <c r="G800" i="8"/>
  <c r="G801" i="8"/>
  <c r="G802" i="8"/>
  <c r="G803" i="8"/>
  <c r="G804" i="8"/>
  <c r="G805" i="8"/>
  <c r="G806" i="8"/>
  <c r="G807" i="8"/>
  <c r="G808" i="8"/>
  <c r="G809" i="8"/>
  <c r="G810" i="8"/>
  <c r="G811" i="8"/>
  <c r="G812" i="8"/>
  <c r="G813" i="8"/>
  <c r="G814" i="8"/>
  <c r="G815" i="8"/>
  <c r="G816" i="8"/>
  <c r="G817" i="8"/>
  <c r="G818" i="8"/>
  <c r="G819" i="8"/>
  <c r="G820" i="8"/>
  <c r="G821" i="8"/>
  <c r="G822" i="8"/>
  <c r="G823" i="8"/>
  <c r="G824" i="8"/>
  <c r="G825" i="8"/>
  <c r="G826" i="8"/>
  <c r="G827" i="8"/>
  <c r="G828" i="8"/>
  <c r="G829" i="8"/>
  <c r="G830" i="8"/>
  <c r="G831" i="8"/>
  <c r="G832" i="8"/>
  <c r="G833" i="8"/>
  <c r="G834" i="8"/>
  <c r="G835" i="8"/>
  <c r="G836" i="8"/>
  <c r="G837" i="8"/>
  <c r="G838" i="8"/>
  <c r="G839" i="8"/>
  <c r="G840" i="8"/>
  <c r="G841" i="8"/>
  <c r="G842" i="8"/>
  <c r="G843" i="8"/>
  <c r="G844" i="8"/>
  <c r="G845" i="8"/>
  <c r="G846" i="8"/>
  <c r="G847" i="8"/>
  <c r="G848" i="8"/>
  <c r="G849" i="8"/>
  <c r="G850" i="8"/>
  <c r="G851" i="8"/>
  <c r="G852" i="8"/>
  <c r="G853" i="8"/>
  <c r="G854" i="8"/>
  <c r="G855" i="8"/>
  <c r="G856" i="8"/>
  <c r="G857" i="8"/>
  <c r="G858" i="8"/>
  <c r="G859" i="8"/>
  <c r="G860" i="8"/>
  <c r="G861" i="8"/>
  <c r="G862" i="8"/>
  <c r="G863" i="8"/>
  <c r="G864" i="8"/>
  <c r="G865" i="8"/>
  <c r="G866" i="8"/>
  <c r="G867" i="8"/>
  <c r="G868" i="8"/>
  <c r="G869" i="8"/>
  <c r="G870" i="8"/>
  <c r="G871" i="8"/>
  <c r="G872" i="8"/>
  <c r="G873" i="8"/>
  <c r="G874" i="8"/>
  <c r="G875" i="8"/>
  <c r="G876" i="8"/>
  <c r="G877" i="8"/>
  <c r="G878" i="8"/>
  <c r="G879" i="8"/>
  <c r="G880" i="8"/>
  <c r="G881" i="8"/>
  <c r="G882" i="8"/>
  <c r="G883" i="8"/>
  <c r="G884" i="8"/>
  <c r="G885" i="8"/>
  <c r="G886" i="8"/>
  <c r="G887" i="8"/>
  <c r="G888" i="8"/>
  <c r="G889" i="8"/>
  <c r="G890" i="8"/>
  <c r="G891" i="8"/>
  <c r="G892" i="8"/>
  <c r="G893" i="8"/>
  <c r="G894" i="8"/>
  <c r="G895" i="8"/>
  <c r="G896" i="8"/>
  <c r="G897" i="8"/>
  <c r="G898" i="8"/>
  <c r="G899" i="8"/>
  <c r="G900" i="8"/>
  <c r="G901" i="8"/>
  <c r="G902" i="8"/>
  <c r="G903" i="8"/>
  <c r="G904" i="8"/>
  <c r="G905" i="8"/>
  <c r="G906" i="8"/>
  <c r="G907" i="8"/>
  <c r="G908" i="8"/>
  <c r="G909" i="8"/>
  <c r="G910" i="8"/>
  <c r="G911" i="8"/>
  <c r="G912" i="8"/>
  <c r="G913" i="8"/>
  <c r="G914" i="8"/>
  <c r="G915" i="8"/>
  <c r="G916" i="8"/>
  <c r="G917" i="8"/>
  <c r="G918" i="8"/>
  <c r="G919" i="8"/>
  <c r="G920" i="8"/>
  <c r="G921" i="8"/>
  <c r="G922" i="8"/>
  <c r="G923" i="8"/>
  <c r="G924" i="8"/>
  <c r="G925" i="8"/>
  <c r="G926" i="8"/>
  <c r="G927" i="8"/>
  <c r="G928" i="8"/>
  <c r="G929" i="8"/>
  <c r="G930" i="8"/>
  <c r="G931" i="8"/>
  <c r="G932" i="8"/>
  <c r="G933" i="8"/>
  <c r="G934" i="8"/>
  <c r="G935" i="8"/>
  <c r="G936" i="8"/>
  <c r="G937" i="8"/>
  <c r="G938" i="8"/>
  <c r="G939" i="8"/>
  <c r="G940" i="8"/>
  <c r="G941" i="8"/>
  <c r="G942" i="8"/>
  <c r="G943" i="8"/>
  <c r="G944" i="8"/>
  <c r="G945" i="8"/>
  <c r="G946" i="8"/>
  <c r="G947" i="8"/>
  <c r="G948" i="8"/>
  <c r="G949" i="8"/>
  <c r="G950" i="8"/>
  <c r="G951" i="8"/>
  <c r="G952" i="8"/>
  <c r="G953" i="8"/>
  <c r="G954" i="8"/>
  <c r="G955" i="8"/>
  <c r="G956" i="8"/>
  <c r="G957" i="8"/>
  <c r="G958" i="8"/>
  <c r="G959" i="8"/>
  <c r="G960" i="8"/>
  <c r="G961" i="8"/>
  <c r="G962" i="8"/>
  <c r="G963" i="8"/>
  <c r="G964" i="8"/>
  <c r="G965" i="8"/>
  <c r="G966" i="8"/>
  <c r="G967" i="8"/>
  <c r="G968" i="8"/>
  <c r="G969" i="8"/>
  <c r="G970" i="8"/>
  <c r="G971" i="8"/>
  <c r="G972" i="8"/>
  <c r="G973" i="8"/>
  <c r="G974" i="8"/>
  <c r="G975" i="8"/>
  <c r="G976" i="8"/>
  <c r="G977" i="8"/>
  <c r="G978" i="8"/>
  <c r="G979" i="8"/>
  <c r="G980" i="8"/>
  <c r="G981" i="8"/>
  <c r="G982" i="8"/>
  <c r="G983" i="8"/>
  <c r="G984" i="8"/>
  <c r="G985" i="8"/>
  <c r="G986" i="8"/>
  <c r="G987" i="8"/>
  <c r="G988" i="8"/>
  <c r="G989" i="8"/>
  <c r="G990" i="8"/>
  <c r="G991" i="8"/>
  <c r="G992" i="8"/>
  <c r="G993" i="8"/>
  <c r="G994" i="8"/>
  <c r="G995" i="8"/>
  <c r="G996" i="8"/>
  <c r="G997" i="8"/>
  <c r="G998" i="8"/>
  <c r="G999" i="8"/>
  <c r="G1000" i="8"/>
  <c r="G1001" i="8"/>
  <c r="G1002" i="8"/>
  <c r="G1003" i="8"/>
  <c r="G1004" i="8"/>
  <c r="G1005" i="8"/>
  <c r="G1006" i="8"/>
  <c r="G1007" i="8"/>
  <c r="G1008" i="8"/>
  <c r="G1009" i="8"/>
  <c r="G1010" i="8"/>
  <c r="G1011" i="8"/>
  <c r="G1012" i="8"/>
  <c r="G1013" i="8"/>
  <c r="G1014" i="8"/>
  <c r="G1015" i="8"/>
  <c r="G1016" i="8"/>
  <c r="G1017" i="8"/>
  <c r="G1018" i="8"/>
  <c r="G1019" i="8"/>
  <c r="G1020" i="8"/>
  <c r="G1021" i="8"/>
  <c r="G1022" i="8"/>
  <c r="G1023" i="8"/>
  <c r="G1024" i="8"/>
  <c r="G1025" i="8"/>
  <c r="G1026" i="8"/>
  <c r="G1027" i="8"/>
  <c r="G1028" i="8"/>
  <c r="G1029" i="8"/>
  <c r="G1030" i="8"/>
  <c r="G1031" i="8"/>
  <c r="G1032" i="8"/>
  <c r="G1033" i="8"/>
  <c r="G1034" i="8"/>
  <c r="G1035" i="8"/>
  <c r="G1036" i="8"/>
  <c r="G1037" i="8"/>
  <c r="G1038" i="8"/>
  <c r="G1039" i="8"/>
  <c r="G1040" i="8"/>
  <c r="G1041" i="8"/>
  <c r="G1042" i="8"/>
  <c r="G1043" i="8"/>
  <c r="G1044" i="8"/>
  <c r="G1045" i="8"/>
  <c r="G1046" i="8"/>
  <c r="G1047" i="8"/>
  <c r="G1048" i="8"/>
  <c r="G1049" i="8"/>
  <c r="G1050" i="8"/>
  <c r="G1051" i="8"/>
  <c r="G1052" i="8"/>
  <c r="G1053" i="8"/>
  <c r="G1054" i="8"/>
  <c r="G1055" i="8"/>
  <c r="G1056" i="8"/>
  <c r="G1057" i="8"/>
  <c r="G1058" i="8"/>
  <c r="G1059" i="8"/>
  <c r="G1060" i="8"/>
  <c r="G1061" i="8"/>
  <c r="G1062" i="8"/>
  <c r="G1063" i="8"/>
  <c r="G1064" i="8"/>
  <c r="G1065" i="8"/>
  <c r="G1066" i="8"/>
  <c r="G1067" i="8"/>
  <c r="G1068" i="8"/>
  <c r="G1069" i="8"/>
  <c r="G1070" i="8"/>
  <c r="G1071" i="8"/>
  <c r="G1072" i="8"/>
  <c r="G1073" i="8"/>
  <c r="G1074" i="8"/>
  <c r="G1075" i="8"/>
  <c r="G1076" i="8"/>
  <c r="G1077" i="8"/>
  <c r="G1078" i="8"/>
  <c r="G1079" i="8"/>
  <c r="G1080" i="8"/>
  <c r="G1081" i="8"/>
  <c r="G1082" i="8"/>
  <c r="G1083" i="8"/>
  <c r="G1084" i="8"/>
  <c r="G1085" i="8"/>
  <c r="G1086" i="8"/>
  <c r="G1087" i="8"/>
  <c r="G1088" i="8"/>
  <c r="G1089" i="8"/>
  <c r="G1090" i="8"/>
  <c r="G1091" i="8"/>
  <c r="G1092" i="8"/>
  <c r="G1093" i="8"/>
  <c r="G1094" i="8"/>
  <c r="G1095" i="8"/>
  <c r="G1096" i="8"/>
  <c r="G1097" i="8"/>
  <c r="G1098" i="8"/>
  <c r="G1099" i="8"/>
  <c r="G1100" i="8"/>
  <c r="G1101" i="8"/>
  <c r="G1102" i="8"/>
  <c r="G1103" i="8"/>
  <c r="G1104" i="8"/>
  <c r="G1105" i="8"/>
  <c r="G1106" i="8"/>
  <c r="G1107" i="8"/>
  <c r="G1108" i="8"/>
  <c r="G1109" i="8"/>
  <c r="G1110" i="8"/>
  <c r="G1111" i="8"/>
  <c r="G1112" i="8"/>
  <c r="G1113" i="8"/>
  <c r="G1114" i="8"/>
  <c r="G1115" i="8"/>
  <c r="G1116" i="8"/>
  <c r="G1117" i="8"/>
  <c r="G1118" i="8"/>
  <c r="G1119" i="8"/>
  <c r="G1120" i="8"/>
  <c r="G1121" i="8"/>
  <c r="G1122" i="8"/>
  <c r="G1123" i="8"/>
  <c r="G1124" i="8"/>
  <c r="G1125" i="8"/>
  <c r="G1126" i="8"/>
  <c r="G1127" i="8"/>
  <c r="G1128" i="8"/>
  <c r="G1129" i="8"/>
  <c r="G1130" i="8"/>
  <c r="G1131" i="8"/>
  <c r="G1132" i="8"/>
  <c r="G1133" i="8"/>
  <c r="G1134" i="8"/>
  <c r="G1135" i="8"/>
  <c r="G1136" i="8"/>
  <c r="G1137" i="8"/>
  <c r="G1138" i="8"/>
  <c r="G1139" i="8"/>
  <c r="G1140" i="8"/>
  <c r="G1141" i="8"/>
  <c r="G1142" i="8"/>
  <c r="G1143" i="8"/>
  <c r="G1144" i="8"/>
  <c r="G1145" i="8"/>
  <c r="G1146" i="8"/>
  <c r="G1147" i="8"/>
  <c r="G1148" i="8"/>
  <c r="G1149" i="8"/>
  <c r="G1150" i="8"/>
  <c r="G1151" i="8"/>
  <c r="G1152" i="8"/>
  <c r="G1153" i="8"/>
  <c r="G1154" i="8"/>
  <c r="G1155" i="8"/>
  <c r="G1156" i="8"/>
  <c r="G1157" i="8"/>
  <c r="G1158" i="8"/>
  <c r="G1159" i="8"/>
  <c r="G1160" i="8"/>
  <c r="G1161" i="8"/>
  <c r="G1162" i="8"/>
  <c r="G1163" i="8"/>
  <c r="G1164" i="8"/>
  <c r="G1165" i="8"/>
  <c r="G1166" i="8"/>
  <c r="G1167" i="8"/>
  <c r="G1168" i="8"/>
  <c r="G1169" i="8"/>
  <c r="G1170" i="8"/>
  <c r="G1171" i="8"/>
  <c r="G1172" i="8"/>
  <c r="G1173" i="8"/>
  <c r="G1174" i="8"/>
  <c r="G1175" i="8"/>
  <c r="G1176" i="8"/>
  <c r="G1177" i="8"/>
  <c r="G1178" i="8"/>
  <c r="G1179" i="8"/>
  <c r="G1180" i="8"/>
  <c r="G1181" i="8"/>
  <c r="G1182" i="8"/>
  <c r="G1183" i="8"/>
  <c r="G1184" i="8"/>
  <c r="G1185" i="8"/>
  <c r="G1186" i="8"/>
  <c r="G1187" i="8"/>
  <c r="G1188" i="8"/>
  <c r="G1189" i="8"/>
  <c r="G1190" i="8"/>
  <c r="G1191" i="8"/>
  <c r="G1192" i="8"/>
  <c r="G1193" i="8"/>
  <c r="G1194" i="8"/>
  <c r="G1195" i="8"/>
  <c r="G1196" i="8"/>
  <c r="G1197" i="8"/>
  <c r="G1198" i="8"/>
  <c r="G1199" i="8"/>
  <c r="G1200" i="8"/>
  <c r="G1201" i="8"/>
  <c r="G1202" i="8"/>
  <c r="G1203" i="8"/>
  <c r="G1204" i="8"/>
  <c r="G1205" i="8"/>
  <c r="G1206" i="8"/>
  <c r="G1207" i="8"/>
  <c r="G1208" i="8"/>
  <c r="G1209" i="8"/>
  <c r="G1210" i="8"/>
  <c r="G1211" i="8"/>
  <c r="G1212" i="8"/>
  <c r="G1213" i="8"/>
  <c r="G1214" i="8"/>
  <c r="G1215" i="8"/>
  <c r="G1216" i="8"/>
  <c r="G1217" i="8"/>
  <c r="G1218" i="8"/>
  <c r="G1219" i="8"/>
  <c r="G1220" i="8"/>
  <c r="G1221" i="8"/>
  <c r="G1222" i="8"/>
  <c r="G1223" i="8"/>
  <c r="G1224" i="8"/>
  <c r="G1225" i="8"/>
  <c r="G1226" i="8"/>
  <c r="G1227" i="8"/>
  <c r="G1228" i="8"/>
  <c r="G1229" i="8"/>
  <c r="G1230" i="8"/>
  <c r="G1231" i="8"/>
  <c r="G1232" i="8"/>
  <c r="G1233" i="8"/>
  <c r="G1234" i="8"/>
  <c r="G1235" i="8"/>
  <c r="G1236" i="8"/>
  <c r="G1237" i="8"/>
  <c r="G1238" i="8"/>
  <c r="G1239" i="8"/>
  <c r="G1240" i="8"/>
  <c r="G1241" i="8"/>
  <c r="I3" i="8"/>
  <c r="G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C643" i="8"/>
  <c r="C644" i="8"/>
  <c r="C645" i="8"/>
  <c r="C646" i="8"/>
  <c r="C647" i="8"/>
  <c r="C648" i="8"/>
  <c r="C649" i="8"/>
  <c r="C650" i="8"/>
  <c r="C651" i="8"/>
  <c r="C652" i="8"/>
  <c r="C653" i="8"/>
  <c r="C654" i="8"/>
  <c r="C655" i="8"/>
  <c r="C656" i="8"/>
  <c r="C657" i="8"/>
  <c r="C658" i="8"/>
  <c r="C659" i="8"/>
  <c r="C660" i="8"/>
  <c r="C661" i="8"/>
  <c r="C662" i="8"/>
  <c r="C663" i="8"/>
  <c r="C664" i="8"/>
  <c r="C665" i="8"/>
  <c r="C666" i="8"/>
  <c r="C667" i="8"/>
  <c r="C668" i="8"/>
  <c r="C669" i="8"/>
  <c r="C670" i="8"/>
  <c r="C671" i="8"/>
  <c r="C672" i="8"/>
  <c r="C673" i="8"/>
  <c r="C674" i="8"/>
  <c r="C675" i="8"/>
  <c r="C676" i="8"/>
  <c r="C677" i="8"/>
  <c r="C678" i="8"/>
  <c r="C679" i="8"/>
  <c r="C680" i="8"/>
  <c r="C681" i="8"/>
  <c r="C682" i="8"/>
  <c r="C683" i="8"/>
  <c r="C684" i="8"/>
  <c r="C685" i="8"/>
  <c r="C686" i="8"/>
  <c r="C687" i="8"/>
  <c r="C688" i="8"/>
  <c r="C689" i="8"/>
  <c r="C690" i="8"/>
  <c r="C691" i="8"/>
  <c r="C692" i="8"/>
  <c r="C693" i="8"/>
  <c r="C694" i="8"/>
  <c r="C695" i="8"/>
  <c r="C696" i="8"/>
  <c r="C697" i="8"/>
  <c r="C698" i="8"/>
  <c r="C699" i="8"/>
  <c r="C700" i="8"/>
  <c r="C701" i="8"/>
  <c r="C702" i="8"/>
  <c r="C703" i="8"/>
  <c r="C704" i="8"/>
  <c r="C705" i="8"/>
  <c r="C706" i="8"/>
  <c r="C707" i="8"/>
  <c r="C708" i="8"/>
  <c r="C709" i="8"/>
  <c r="C710" i="8"/>
  <c r="C711" i="8"/>
  <c r="C712" i="8"/>
  <c r="C713" i="8"/>
  <c r="C714" i="8"/>
  <c r="C715" i="8"/>
  <c r="C716" i="8"/>
  <c r="C717" i="8"/>
  <c r="C718" i="8"/>
  <c r="C719" i="8"/>
  <c r="C720" i="8"/>
  <c r="C721" i="8"/>
  <c r="C722" i="8"/>
  <c r="C723" i="8"/>
  <c r="C724" i="8"/>
  <c r="C725" i="8"/>
  <c r="C726" i="8"/>
  <c r="C727" i="8"/>
  <c r="C728" i="8"/>
  <c r="C729" i="8"/>
  <c r="C730" i="8"/>
  <c r="C731" i="8"/>
  <c r="C732" i="8"/>
  <c r="C733" i="8"/>
  <c r="C734" i="8"/>
  <c r="C735" i="8"/>
  <c r="C736" i="8"/>
  <c r="C737" i="8"/>
  <c r="C738" i="8"/>
  <c r="C739" i="8"/>
  <c r="C740" i="8"/>
  <c r="C741" i="8"/>
  <c r="C742" i="8"/>
  <c r="C743" i="8"/>
  <c r="C744" i="8"/>
  <c r="C745" i="8"/>
  <c r="C746" i="8"/>
  <c r="C747" i="8"/>
  <c r="C748" i="8"/>
  <c r="C749" i="8"/>
  <c r="C750" i="8"/>
  <c r="C751" i="8"/>
  <c r="C752" i="8"/>
  <c r="C753" i="8"/>
  <c r="C754" i="8"/>
  <c r="C755" i="8"/>
  <c r="C756" i="8"/>
  <c r="C757" i="8"/>
  <c r="C758" i="8"/>
  <c r="C759" i="8"/>
  <c r="C760" i="8"/>
  <c r="C761" i="8"/>
  <c r="C762" i="8"/>
  <c r="C763" i="8"/>
  <c r="C764" i="8"/>
  <c r="C765" i="8"/>
  <c r="C766" i="8"/>
  <c r="C767" i="8"/>
  <c r="C768" i="8"/>
  <c r="C769" i="8"/>
  <c r="C770" i="8"/>
  <c r="C771" i="8"/>
  <c r="C772" i="8"/>
  <c r="C773" i="8"/>
  <c r="C774" i="8"/>
  <c r="C775" i="8"/>
  <c r="C776" i="8"/>
  <c r="C777" i="8"/>
  <c r="C778" i="8"/>
  <c r="C779" i="8"/>
  <c r="C780" i="8"/>
  <c r="C781" i="8"/>
  <c r="C782" i="8"/>
  <c r="C783" i="8"/>
  <c r="C784" i="8"/>
  <c r="C785" i="8"/>
  <c r="C786" i="8"/>
  <c r="C787" i="8"/>
  <c r="C788" i="8"/>
  <c r="C789" i="8"/>
  <c r="C790" i="8"/>
  <c r="C791" i="8"/>
  <c r="C792" i="8"/>
  <c r="C793" i="8"/>
  <c r="C794" i="8"/>
  <c r="C795" i="8"/>
  <c r="C796" i="8"/>
  <c r="C797" i="8"/>
  <c r="C798" i="8"/>
  <c r="C799" i="8"/>
  <c r="C800" i="8"/>
  <c r="C801" i="8"/>
  <c r="C802" i="8"/>
  <c r="C803" i="8"/>
  <c r="C804" i="8"/>
  <c r="C805" i="8"/>
  <c r="C806" i="8"/>
  <c r="C807" i="8"/>
  <c r="C808" i="8"/>
  <c r="C809" i="8"/>
  <c r="C810" i="8"/>
  <c r="C811" i="8"/>
  <c r="C812" i="8"/>
  <c r="C813" i="8"/>
  <c r="C814" i="8"/>
  <c r="C815" i="8"/>
  <c r="C816" i="8"/>
  <c r="C817" i="8"/>
  <c r="C818" i="8"/>
  <c r="C819" i="8"/>
  <c r="C820" i="8"/>
  <c r="C821" i="8"/>
  <c r="C822" i="8"/>
  <c r="C823" i="8"/>
  <c r="C824" i="8"/>
  <c r="C825" i="8"/>
  <c r="C826" i="8"/>
  <c r="C827" i="8"/>
  <c r="C828" i="8"/>
  <c r="C829" i="8"/>
  <c r="C830" i="8"/>
  <c r="C831" i="8"/>
  <c r="C832" i="8"/>
  <c r="C833" i="8"/>
  <c r="C834" i="8"/>
  <c r="C835" i="8"/>
  <c r="C836" i="8"/>
  <c r="C837" i="8"/>
  <c r="C838" i="8"/>
  <c r="C839" i="8"/>
  <c r="C840" i="8"/>
  <c r="C841" i="8"/>
  <c r="C842" i="8"/>
  <c r="C843" i="8"/>
  <c r="C844" i="8"/>
  <c r="C845" i="8"/>
  <c r="C846" i="8"/>
  <c r="C847" i="8"/>
  <c r="C848" i="8"/>
  <c r="C849" i="8"/>
  <c r="C850" i="8"/>
  <c r="C851" i="8"/>
  <c r="C852" i="8"/>
  <c r="C853" i="8"/>
  <c r="C854" i="8"/>
  <c r="C855" i="8"/>
  <c r="C856" i="8"/>
  <c r="C857" i="8"/>
  <c r="C858" i="8"/>
  <c r="C859" i="8"/>
  <c r="C860" i="8"/>
  <c r="C861" i="8"/>
  <c r="C862" i="8"/>
  <c r="C863" i="8"/>
  <c r="C864" i="8"/>
  <c r="C865" i="8"/>
  <c r="C866" i="8"/>
  <c r="C867" i="8"/>
  <c r="C868" i="8"/>
  <c r="C869" i="8"/>
  <c r="C870" i="8"/>
  <c r="C871" i="8"/>
  <c r="C872" i="8"/>
  <c r="C873" i="8"/>
  <c r="C874" i="8"/>
  <c r="C875" i="8"/>
  <c r="C876" i="8"/>
  <c r="C877" i="8"/>
  <c r="C878" i="8"/>
  <c r="C879" i="8"/>
  <c r="C880" i="8"/>
  <c r="C881" i="8"/>
  <c r="C882" i="8"/>
  <c r="C883" i="8"/>
  <c r="C884" i="8"/>
  <c r="C885" i="8"/>
  <c r="C886" i="8"/>
  <c r="C887" i="8"/>
  <c r="C888" i="8"/>
  <c r="C889" i="8"/>
  <c r="C890" i="8"/>
  <c r="C891" i="8"/>
  <c r="C892" i="8"/>
  <c r="C893" i="8"/>
  <c r="C894" i="8"/>
  <c r="C895" i="8"/>
  <c r="C896" i="8"/>
  <c r="C897" i="8"/>
  <c r="C898" i="8"/>
  <c r="C899" i="8"/>
  <c r="C900" i="8"/>
  <c r="C901" i="8"/>
  <c r="C902" i="8"/>
  <c r="C903" i="8"/>
  <c r="C904" i="8"/>
  <c r="C905" i="8"/>
  <c r="C906" i="8"/>
  <c r="C907" i="8"/>
  <c r="C908" i="8"/>
  <c r="C909" i="8"/>
  <c r="C910" i="8"/>
  <c r="C911" i="8"/>
  <c r="C912" i="8"/>
  <c r="C913" i="8"/>
  <c r="C914" i="8"/>
  <c r="C915" i="8"/>
  <c r="C916" i="8"/>
  <c r="C917" i="8"/>
  <c r="C918" i="8"/>
  <c r="C919" i="8"/>
  <c r="C920" i="8"/>
  <c r="C921" i="8"/>
  <c r="C922" i="8"/>
  <c r="C923" i="8"/>
  <c r="C924" i="8"/>
  <c r="C925" i="8"/>
  <c r="C926" i="8"/>
  <c r="C927" i="8"/>
  <c r="C928" i="8"/>
  <c r="C929" i="8"/>
  <c r="C930" i="8"/>
  <c r="C931" i="8"/>
  <c r="C932" i="8"/>
  <c r="C933" i="8"/>
  <c r="C934" i="8"/>
  <c r="C935" i="8"/>
  <c r="C936" i="8"/>
  <c r="C937" i="8"/>
  <c r="C938" i="8"/>
  <c r="C939" i="8"/>
  <c r="C940" i="8"/>
  <c r="C941" i="8"/>
  <c r="C942" i="8"/>
  <c r="C943" i="8"/>
  <c r="C944" i="8"/>
  <c r="C945" i="8"/>
  <c r="C946" i="8"/>
  <c r="C947" i="8"/>
  <c r="C948" i="8"/>
  <c r="C949" i="8"/>
  <c r="C950" i="8"/>
  <c r="C951" i="8"/>
  <c r="C952" i="8"/>
  <c r="C953" i="8"/>
  <c r="C954" i="8"/>
  <c r="C955" i="8"/>
  <c r="C956" i="8"/>
  <c r="C957" i="8"/>
  <c r="C958" i="8"/>
  <c r="C959" i="8"/>
  <c r="C960" i="8"/>
  <c r="C961" i="8"/>
  <c r="C962" i="8"/>
  <c r="C963" i="8"/>
  <c r="C964" i="8"/>
  <c r="C965" i="8"/>
  <c r="C966" i="8"/>
  <c r="C967" i="8"/>
  <c r="C968" i="8"/>
  <c r="C969" i="8"/>
  <c r="C970" i="8"/>
  <c r="C971" i="8"/>
  <c r="C972" i="8"/>
  <c r="C973" i="8"/>
  <c r="C974" i="8"/>
  <c r="C975" i="8"/>
  <c r="C976" i="8"/>
  <c r="C977" i="8"/>
  <c r="C978" i="8"/>
  <c r="C979" i="8"/>
  <c r="C980" i="8"/>
  <c r="C981" i="8"/>
  <c r="C982" i="8"/>
  <c r="C983" i="8"/>
  <c r="C984" i="8"/>
  <c r="C985" i="8"/>
  <c r="C986" i="8"/>
  <c r="C987" i="8"/>
  <c r="C988" i="8"/>
  <c r="C989" i="8"/>
  <c r="C990" i="8"/>
  <c r="C991" i="8"/>
  <c r="C992" i="8"/>
  <c r="C993" i="8"/>
  <c r="C994" i="8"/>
  <c r="C995" i="8"/>
  <c r="C996" i="8"/>
  <c r="C997" i="8"/>
  <c r="C998" i="8"/>
  <c r="C999" i="8"/>
  <c r="C1000" i="8"/>
  <c r="C1001" i="8"/>
  <c r="C1002" i="8"/>
  <c r="C1003" i="8"/>
  <c r="C1004" i="8"/>
  <c r="C1005" i="8"/>
  <c r="C1006" i="8"/>
  <c r="C1007" i="8"/>
  <c r="C1008" i="8"/>
  <c r="C1009" i="8"/>
  <c r="C1010" i="8"/>
  <c r="C1011" i="8"/>
  <c r="C1012" i="8"/>
  <c r="C1013" i="8"/>
  <c r="C1014" i="8"/>
  <c r="C1015" i="8"/>
  <c r="C1016" i="8"/>
  <c r="C1017" i="8"/>
  <c r="C1018" i="8"/>
  <c r="C1019" i="8"/>
  <c r="C1020" i="8"/>
  <c r="C1021" i="8"/>
  <c r="C1022" i="8"/>
  <c r="C1023" i="8"/>
  <c r="C1024" i="8"/>
  <c r="C1025" i="8"/>
  <c r="C1026" i="8"/>
  <c r="C1027" i="8"/>
  <c r="C1028" i="8"/>
  <c r="C1029" i="8"/>
  <c r="C1030" i="8"/>
  <c r="C1031" i="8"/>
  <c r="C1032" i="8"/>
  <c r="C1033" i="8"/>
  <c r="C1034" i="8"/>
  <c r="C1035" i="8"/>
  <c r="C1036" i="8"/>
  <c r="C1037" i="8"/>
  <c r="C1038" i="8"/>
  <c r="C1039" i="8"/>
  <c r="C1040" i="8"/>
  <c r="C1041" i="8"/>
  <c r="C1042" i="8"/>
  <c r="C1043" i="8"/>
  <c r="C1044" i="8"/>
  <c r="C1045" i="8"/>
  <c r="C1046" i="8"/>
  <c r="C1047" i="8"/>
  <c r="C1048" i="8"/>
  <c r="C1049" i="8"/>
  <c r="C1050" i="8"/>
  <c r="C1051" i="8"/>
  <c r="C1052" i="8"/>
  <c r="C1053" i="8"/>
  <c r="C1054" i="8"/>
  <c r="C1055" i="8"/>
  <c r="C1056" i="8"/>
  <c r="C1057" i="8"/>
  <c r="C1058" i="8"/>
  <c r="C1059" i="8"/>
  <c r="C1060" i="8"/>
  <c r="C1061" i="8"/>
  <c r="C1062" i="8"/>
  <c r="C1063" i="8"/>
  <c r="C1064" i="8"/>
  <c r="C1065" i="8"/>
  <c r="C1066" i="8"/>
  <c r="C1067" i="8"/>
  <c r="C1068" i="8"/>
  <c r="C1069" i="8"/>
  <c r="C1070" i="8"/>
  <c r="C1071" i="8"/>
  <c r="C1072" i="8"/>
  <c r="C1073" i="8"/>
  <c r="C1074" i="8"/>
  <c r="C1075" i="8"/>
  <c r="C1076" i="8"/>
  <c r="C1077" i="8"/>
  <c r="C1078" i="8"/>
  <c r="C1079" i="8"/>
  <c r="C1080" i="8"/>
  <c r="C1081" i="8"/>
  <c r="C1082" i="8"/>
  <c r="C1083" i="8"/>
  <c r="C1084" i="8"/>
  <c r="C1085" i="8"/>
  <c r="C1086" i="8"/>
  <c r="C1087" i="8"/>
  <c r="C1088" i="8"/>
  <c r="C1089" i="8"/>
  <c r="C1090" i="8"/>
  <c r="C1091" i="8"/>
  <c r="C1092" i="8"/>
  <c r="C1093" i="8"/>
  <c r="C1094" i="8"/>
  <c r="C1095" i="8"/>
  <c r="C1096" i="8"/>
  <c r="C1097" i="8"/>
  <c r="C1098" i="8"/>
  <c r="C1099" i="8"/>
  <c r="C1100" i="8"/>
  <c r="C1101" i="8"/>
  <c r="C1102" i="8"/>
  <c r="C1103" i="8"/>
  <c r="C1104" i="8"/>
  <c r="C1105" i="8"/>
  <c r="C1106" i="8"/>
  <c r="C1107" i="8"/>
  <c r="C1108" i="8"/>
  <c r="C1109" i="8"/>
  <c r="C1110" i="8"/>
  <c r="C1111" i="8"/>
  <c r="C1112" i="8"/>
  <c r="C1113" i="8"/>
  <c r="C1114" i="8"/>
  <c r="C1115" i="8"/>
  <c r="C1116" i="8"/>
  <c r="C1117" i="8"/>
  <c r="C1118" i="8"/>
  <c r="C1119" i="8"/>
  <c r="C1120" i="8"/>
  <c r="C1121" i="8"/>
  <c r="C1122" i="8"/>
  <c r="C1123" i="8"/>
  <c r="C1124" i="8"/>
  <c r="C1125" i="8"/>
  <c r="C1126" i="8"/>
  <c r="C1127" i="8"/>
  <c r="C1128" i="8"/>
  <c r="C1129" i="8"/>
  <c r="C1130" i="8"/>
  <c r="C1131" i="8"/>
  <c r="C1132" i="8"/>
  <c r="C1133" i="8"/>
  <c r="C1134" i="8"/>
  <c r="C1135" i="8"/>
  <c r="C1136" i="8"/>
  <c r="C1137" i="8"/>
  <c r="C1138" i="8"/>
  <c r="C1139" i="8"/>
  <c r="C1140" i="8"/>
  <c r="C1141" i="8"/>
  <c r="C1142" i="8"/>
  <c r="C1143" i="8"/>
  <c r="C1144" i="8"/>
  <c r="C1145" i="8"/>
  <c r="C1146" i="8"/>
  <c r="C1147" i="8"/>
  <c r="C1148" i="8"/>
  <c r="C1149" i="8"/>
  <c r="C1150" i="8"/>
  <c r="C1151" i="8"/>
  <c r="C1152" i="8"/>
  <c r="C1153" i="8"/>
  <c r="C1154" i="8"/>
  <c r="C1155" i="8"/>
  <c r="C1156" i="8"/>
  <c r="C1157" i="8"/>
  <c r="C1158" i="8"/>
  <c r="C1159" i="8"/>
  <c r="C1160" i="8"/>
  <c r="C1161" i="8"/>
  <c r="C1162" i="8"/>
  <c r="C1163" i="8"/>
  <c r="C1164" i="8"/>
  <c r="C1165" i="8"/>
  <c r="C1166" i="8"/>
  <c r="C1167" i="8"/>
  <c r="C1168" i="8"/>
  <c r="C1169" i="8"/>
  <c r="C1170" i="8"/>
  <c r="C1171" i="8"/>
  <c r="C1172" i="8"/>
  <c r="C1173" i="8"/>
  <c r="C1174" i="8"/>
  <c r="C1175" i="8"/>
  <c r="C1176" i="8"/>
  <c r="C1177" i="8"/>
  <c r="C1178" i="8"/>
  <c r="C1179" i="8"/>
  <c r="C1180" i="8"/>
  <c r="C1181" i="8"/>
  <c r="C1182" i="8"/>
  <c r="C1183" i="8"/>
  <c r="C1184" i="8"/>
  <c r="C1185" i="8"/>
  <c r="C1186" i="8"/>
  <c r="C1187" i="8"/>
  <c r="C1188" i="8"/>
  <c r="C1189" i="8"/>
  <c r="C1190" i="8"/>
  <c r="C1191" i="8"/>
  <c r="C1192" i="8"/>
  <c r="C1193" i="8"/>
  <c r="C1194" i="8"/>
  <c r="C1195" i="8"/>
  <c r="C1196" i="8"/>
  <c r="C1197" i="8"/>
  <c r="C1198" i="8"/>
  <c r="C1199" i="8"/>
  <c r="C1200" i="8"/>
  <c r="C1201" i="8"/>
  <c r="C1202" i="8"/>
  <c r="C1203" i="8"/>
  <c r="C1204" i="8"/>
  <c r="C1205" i="8"/>
  <c r="C1206" i="8"/>
  <c r="C1207" i="8"/>
  <c r="C1208" i="8"/>
  <c r="C1209" i="8"/>
  <c r="C1210" i="8"/>
  <c r="C1211" i="8"/>
  <c r="C1212" i="8"/>
  <c r="C1213" i="8"/>
  <c r="C1214" i="8"/>
  <c r="C1215" i="8"/>
  <c r="C1216" i="8"/>
  <c r="C1217" i="8"/>
  <c r="C1218" i="8"/>
  <c r="C1219" i="8"/>
  <c r="C1220" i="8"/>
  <c r="C1221" i="8"/>
  <c r="C1222" i="8"/>
  <c r="C1223" i="8"/>
  <c r="C1224" i="8"/>
  <c r="C1225" i="8"/>
  <c r="C1226" i="8"/>
  <c r="C1227" i="8"/>
  <c r="C1228" i="8"/>
  <c r="C1229" i="8"/>
  <c r="C1230" i="8"/>
  <c r="C1231" i="8"/>
  <c r="C1232" i="8"/>
  <c r="C1233" i="8"/>
  <c r="C1234" i="8"/>
  <c r="C1235" i="8"/>
  <c r="C1236" i="8"/>
  <c r="C1237" i="8"/>
  <c r="C1238" i="8"/>
  <c r="C1239" i="8"/>
  <c r="C1240" i="8"/>
  <c r="C1241" i="8"/>
  <c r="E3" i="8"/>
  <c r="C3" i="8"/>
  <c r="D5" i="7"/>
  <c r="C5" i="7"/>
  <c r="D4" i="7"/>
  <c r="C4" i="7"/>
  <c r="I7" i="5"/>
  <c r="I6" i="5"/>
  <c r="H13" i="4"/>
  <c r="H12" i="4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2" i="6"/>
  <c r="A2" i="6" a="1"/>
  <c r="H4" i="6"/>
  <c r="H3" i="6"/>
  <c r="H2" i="6"/>
  <c r="G7" i="5"/>
  <c r="H7" i="5" s="1"/>
  <c r="G6" i="5"/>
  <c r="H6" i="5" s="1"/>
  <c r="G13" i="4"/>
  <c r="G12" i="4"/>
  <c r="F13" i="4"/>
  <c r="F12" i="4"/>
  <c r="F8" i="4"/>
  <c r="F7" i="4"/>
  <c r="F6" i="4"/>
  <c r="F5" i="4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5" i="3"/>
  <c r="D34" i="9" l="1"/>
  <c r="F256" i="9"/>
  <c r="D256" i="9"/>
  <c r="F255" i="9"/>
  <c r="D255" i="9"/>
  <c r="F254" i="9"/>
  <c r="D254" i="9"/>
  <c r="F253" i="9"/>
  <c r="D253" i="9"/>
  <c r="F252" i="9"/>
  <c r="D252" i="9"/>
  <c r="F251" i="9"/>
  <c r="D251" i="9"/>
  <c r="F250" i="9"/>
  <c r="D250" i="9"/>
  <c r="F249" i="9"/>
  <c r="D249" i="9"/>
  <c r="F248" i="9"/>
  <c r="D248" i="9"/>
  <c r="F247" i="9"/>
  <c r="D247" i="9"/>
  <c r="F246" i="9"/>
  <c r="D246" i="9"/>
  <c r="F245" i="9"/>
  <c r="D245" i="9"/>
  <c r="F244" i="9"/>
  <c r="D244" i="9"/>
  <c r="F243" i="9"/>
  <c r="D243" i="9"/>
  <c r="F242" i="9"/>
  <c r="D242" i="9"/>
  <c r="F241" i="9"/>
  <c r="D241" i="9"/>
  <c r="F240" i="9"/>
  <c r="D240" i="9"/>
  <c r="F239" i="9"/>
  <c r="D239" i="9"/>
  <c r="F238" i="9"/>
  <c r="D238" i="9"/>
  <c r="F237" i="9"/>
  <c r="D237" i="9"/>
  <c r="F236" i="9"/>
  <c r="D236" i="9"/>
  <c r="F235" i="9"/>
  <c r="D235" i="9"/>
  <c r="F234" i="9"/>
  <c r="D234" i="9"/>
  <c r="F233" i="9"/>
  <c r="D233" i="9"/>
  <c r="F232" i="9"/>
  <c r="D232" i="9"/>
  <c r="F231" i="9"/>
  <c r="D231" i="9"/>
  <c r="F230" i="9"/>
  <c r="D230" i="9"/>
  <c r="F229" i="9"/>
  <c r="D229" i="9"/>
  <c r="F228" i="9"/>
  <c r="D228" i="9"/>
  <c r="F227" i="9"/>
  <c r="D227" i="9"/>
  <c r="F226" i="9"/>
  <c r="D226" i="9"/>
  <c r="F225" i="9"/>
  <c r="D225" i="9"/>
  <c r="F224" i="9"/>
  <c r="D224" i="9"/>
  <c r="F223" i="9"/>
  <c r="D223" i="9"/>
  <c r="F222" i="9"/>
  <c r="D222" i="9"/>
  <c r="F221" i="9"/>
  <c r="D221" i="9"/>
  <c r="F220" i="9"/>
  <c r="D220" i="9"/>
  <c r="F219" i="9"/>
  <c r="D219" i="9"/>
  <c r="F218" i="9"/>
  <c r="D218" i="9"/>
  <c r="F217" i="9"/>
  <c r="D217" i="9"/>
  <c r="F216" i="9"/>
  <c r="D216" i="9"/>
  <c r="F215" i="9"/>
  <c r="D215" i="9"/>
  <c r="F214" i="9"/>
  <c r="D214" i="9"/>
  <c r="F213" i="9"/>
  <c r="D213" i="9"/>
  <c r="F212" i="9"/>
  <c r="D212" i="9"/>
  <c r="F211" i="9"/>
  <c r="D211" i="9"/>
  <c r="F210" i="9"/>
  <c r="D210" i="9"/>
  <c r="F209" i="9"/>
  <c r="D209" i="9"/>
  <c r="F208" i="9"/>
  <c r="D208" i="9"/>
  <c r="F207" i="9"/>
  <c r="D207" i="9"/>
  <c r="F206" i="9"/>
  <c r="D206" i="9"/>
  <c r="F205" i="9"/>
  <c r="D205" i="9"/>
  <c r="F204" i="9"/>
  <c r="D204" i="9"/>
  <c r="F203" i="9"/>
  <c r="D203" i="9"/>
  <c r="F202" i="9"/>
  <c r="D202" i="9"/>
  <c r="F201" i="9"/>
  <c r="D201" i="9"/>
  <c r="F200" i="9"/>
  <c r="D200" i="9"/>
  <c r="F199" i="9"/>
  <c r="D199" i="9"/>
  <c r="F198" i="9"/>
  <c r="D198" i="9"/>
  <c r="F197" i="9"/>
  <c r="D197" i="9"/>
  <c r="F196" i="9"/>
  <c r="D196" i="9"/>
  <c r="F195" i="9"/>
  <c r="D195" i="9"/>
  <c r="F194" i="9"/>
  <c r="D194" i="9"/>
  <c r="F193" i="9"/>
  <c r="D193" i="9"/>
  <c r="F192" i="9"/>
  <c r="D192" i="9"/>
  <c r="F191" i="9"/>
  <c r="D191" i="9"/>
  <c r="F190" i="9"/>
  <c r="D190" i="9"/>
  <c r="F189" i="9"/>
  <c r="D189" i="9"/>
  <c r="F188" i="9"/>
  <c r="D188" i="9"/>
  <c r="F187" i="9"/>
  <c r="D187" i="9"/>
  <c r="F186" i="9"/>
  <c r="D186" i="9"/>
  <c r="F185" i="9"/>
  <c r="D185" i="9"/>
  <c r="F184" i="9"/>
  <c r="D184" i="9"/>
  <c r="F183" i="9"/>
  <c r="D183" i="9"/>
  <c r="F182" i="9"/>
  <c r="D182" i="9"/>
  <c r="F181" i="9"/>
  <c r="D181" i="9"/>
  <c r="F180" i="9"/>
  <c r="D180" i="9"/>
  <c r="F179" i="9"/>
  <c r="D179" i="9"/>
  <c r="F178" i="9"/>
  <c r="D178" i="9"/>
  <c r="F177" i="9"/>
  <c r="D177" i="9"/>
  <c r="F176" i="9"/>
  <c r="D176" i="9"/>
  <c r="F175" i="9"/>
  <c r="D175" i="9"/>
  <c r="F174" i="9"/>
  <c r="D174" i="9"/>
  <c r="F173" i="9"/>
  <c r="D173" i="9"/>
  <c r="F172" i="9"/>
  <c r="D172" i="9"/>
  <c r="F171" i="9"/>
  <c r="D171" i="9"/>
  <c r="F170" i="9"/>
  <c r="D170" i="9"/>
  <c r="F169" i="9"/>
  <c r="D169" i="9"/>
  <c r="F168" i="9"/>
  <c r="D168" i="9"/>
  <c r="F167" i="9"/>
  <c r="D167" i="9"/>
  <c r="F166" i="9"/>
  <c r="D166" i="9"/>
  <c r="F165" i="9"/>
  <c r="D165" i="9"/>
  <c r="F164" i="9"/>
  <c r="D164" i="9"/>
  <c r="F163" i="9"/>
  <c r="D163" i="9"/>
  <c r="F162" i="9"/>
  <c r="D162" i="9"/>
  <c r="F161" i="9"/>
  <c r="D161" i="9"/>
  <c r="F160" i="9"/>
  <c r="D160" i="9"/>
  <c r="D159" i="9"/>
  <c r="D158" i="9"/>
  <c r="F157" i="9"/>
  <c r="F155" i="9"/>
  <c r="D155" i="9"/>
  <c r="D154" i="9"/>
  <c r="F148" i="9"/>
  <c r="D148" i="9"/>
  <c r="F147" i="9"/>
  <c r="D147" i="9"/>
  <c r="F146" i="9"/>
  <c r="D146" i="9"/>
  <c r="F145" i="9"/>
  <c r="D145" i="9"/>
  <c r="F144" i="9"/>
  <c r="D144" i="9"/>
  <c r="F143" i="9"/>
  <c r="D143" i="9"/>
  <c r="F142" i="9"/>
  <c r="D142" i="9"/>
  <c r="F141" i="9"/>
  <c r="D141" i="9"/>
  <c r="F140" i="9"/>
  <c r="D140" i="9"/>
  <c r="F139" i="9"/>
  <c r="D139" i="9"/>
  <c r="F138" i="9"/>
  <c r="D138" i="9"/>
  <c r="F137" i="9"/>
  <c r="D137" i="9"/>
  <c r="F136" i="9"/>
  <c r="D136" i="9"/>
  <c r="F135" i="9"/>
  <c r="D135" i="9"/>
  <c r="F134" i="9"/>
  <c r="D134" i="9"/>
  <c r="F133" i="9"/>
  <c r="D133" i="9"/>
  <c r="F132" i="9"/>
  <c r="D132" i="9"/>
  <c r="F131" i="9"/>
  <c r="D131" i="9"/>
  <c r="F130" i="9"/>
  <c r="D130" i="9"/>
  <c r="F129" i="9"/>
  <c r="D129" i="9"/>
  <c r="F128" i="9"/>
  <c r="D128" i="9"/>
  <c r="F127" i="9"/>
  <c r="D127" i="9"/>
  <c r="F126" i="9"/>
  <c r="D126" i="9"/>
  <c r="F125" i="9"/>
  <c r="D125" i="9"/>
  <c r="F124" i="9"/>
  <c r="D124" i="9"/>
  <c r="F123" i="9"/>
  <c r="D123" i="9"/>
  <c r="F122" i="9"/>
  <c r="D122" i="9"/>
  <c r="F121" i="9"/>
  <c r="D121" i="9"/>
  <c r="F120" i="9"/>
  <c r="D120" i="9"/>
  <c r="F119" i="9"/>
  <c r="D119" i="9"/>
  <c r="F118" i="9"/>
  <c r="D118" i="9"/>
  <c r="F117" i="9"/>
  <c r="D117" i="9"/>
  <c r="F116" i="9"/>
  <c r="D116" i="9"/>
  <c r="F115" i="9"/>
  <c r="D115" i="9"/>
  <c r="F114" i="9"/>
  <c r="D114" i="9"/>
  <c r="F113" i="9"/>
  <c r="D113" i="9"/>
  <c r="F112" i="9"/>
  <c r="D112" i="9"/>
  <c r="F111" i="9"/>
  <c r="D111" i="9"/>
  <c r="F110" i="9"/>
  <c r="D110" i="9"/>
  <c r="F109" i="9"/>
  <c r="D109" i="9"/>
  <c r="F108" i="9"/>
  <c r="D108" i="9"/>
  <c r="F107" i="9"/>
  <c r="D107" i="9"/>
  <c r="F106" i="9"/>
  <c r="D106" i="9"/>
  <c r="F105" i="9"/>
  <c r="D105" i="9"/>
  <c r="F104" i="9"/>
  <c r="D104" i="9"/>
  <c r="F103" i="9"/>
  <c r="D103" i="9"/>
  <c r="F102" i="9"/>
  <c r="D102" i="9"/>
  <c r="F101" i="9"/>
  <c r="D101" i="9"/>
  <c r="F100" i="9"/>
  <c r="D100" i="9"/>
  <c r="F99" i="9"/>
  <c r="D99" i="9"/>
  <c r="F98" i="9"/>
  <c r="D98" i="9"/>
  <c r="F97" i="9"/>
  <c r="D97" i="9"/>
  <c r="F96" i="9"/>
  <c r="D96" i="9"/>
  <c r="F95" i="9"/>
  <c r="D95" i="9"/>
  <c r="F94" i="9"/>
  <c r="D94" i="9"/>
  <c r="F93" i="9"/>
  <c r="D93" i="9"/>
  <c r="F92" i="9"/>
  <c r="D92" i="9"/>
  <c r="F91" i="9"/>
  <c r="D91" i="9"/>
  <c r="F90" i="9"/>
  <c r="D90" i="9"/>
  <c r="F89" i="9"/>
  <c r="D89" i="9"/>
  <c r="F88" i="9"/>
  <c r="D88" i="9"/>
  <c r="F87" i="9"/>
  <c r="D87" i="9"/>
  <c r="F86" i="9"/>
  <c r="D86" i="9"/>
  <c r="F85" i="9"/>
  <c r="D85" i="9"/>
  <c r="F84" i="9"/>
  <c r="D84" i="9"/>
  <c r="F83" i="9"/>
  <c r="D83" i="9"/>
  <c r="F82" i="9"/>
  <c r="D82" i="9"/>
  <c r="F81" i="9"/>
  <c r="D81" i="9"/>
  <c r="F80" i="9"/>
  <c r="D80" i="9"/>
  <c r="F79" i="9"/>
  <c r="D79" i="9"/>
  <c r="F78" i="9"/>
  <c r="D78" i="9"/>
  <c r="F77" i="9"/>
  <c r="D77" i="9"/>
  <c r="F76" i="9"/>
  <c r="D76" i="9"/>
  <c r="F75" i="9"/>
  <c r="D75" i="9"/>
  <c r="F74" i="9"/>
  <c r="D74" i="9"/>
  <c r="F73" i="9"/>
  <c r="D73" i="9"/>
  <c r="F72" i="9"/>
  <c r="D72" i="9"/>
  <c r="F71" i="9"/>
  <c r="D71" i="9"/>
  <c r="F70" i="9"/>
  <c r="D70" i="9"/>
  <c r="F69" i="9"/>
  <c r="D69" i="9"/>
  <c r="F68" i="9"/>
  <c r="D68" i="9"/>
  <c r="F67" i="9"/>
  <c r="D67" i="9"/>
  <c r="F66" i="9"/>
  <c r="D66" i="9"/>
  <c r="F65" i="9"/>
  <c r="D65" i="9"/>
  <c r="F64" i="9"/>
  <c r="D64" i="9"/>
  <c r="F63" i="9"/>
  <c r="D63" i="9"/>
  <c r="F62" i="9"/>
  <c r="D62" i="9"/>
  <c r="F61" i="9"/>
  <c r="D61" i="9"/>
  <c r="F60" i="9"/>
  <c r="D60" i="9"/>
  <c r="F59" i="9"/>
  <c r="D59" i="9"/>
  <c r="F58" i="9"/>
  <c r="D58" i="9"/>
  <c r="F57" i="9"/>
  <c r="D57" i="9"/>
  <c r="F56" i="9"/>
  <c r="D56" i="9"/>
  <c r="F55" i="9"/>
  <c r="D55" i="9"/>
  <c r="F54" i="9"/>
  <c r="D54" i="9"/>
  <c r="F53" i="9"/>
  <c r="D53" i="9"/>
  <c r="F52" i="9"/>
  <c r="D52" i="9"/>
  <c r="F51" i="9"/>
  <c r="D51" i="9"/>
  <c r="F50" i="9"/>
  <c r="D50" i="9"/>
  <c r="F49" i="9"/>
  <c r="D49" i="9"/>
  <c r="F48" i="9"/>
  <c r="D48" i="9"/>
  <c r="F47" i="9"/>
  <c r="D47" i="9"/>
  <c r="F46" i="9"/>
  <c r="D46" i="9"/>
  <c r="F45" i="9"/>
  <c r="D45" i="9"/>
  <c r="F44" i="9"/>
  <c r="D44" i="9"/>
  <c r="F43" i="9"/>
  <c r="D43" i="9"/>
  <c r="F42" i="9"/>
  <c r="D42" i="9"/>
  <c r="F41" i="9"/>
  <c r="D41" i="9"/>
  <c r="F40" i="9"/>
  <c r="D40" i="9"/>
  <c r="F39" i="9"/>
  <c r="D39" i="9"/>
  <c r="F38" i="9"/>
  <c r="D38" i="9"/>
  <c r="F37" i="9"/>
  <c r="D37" i="9"/>
  <c r="F36" i="9"/>
  <c r="D36" i="9"/>
  <c r="F35" i="9"/>
  <c r="F34" i="9"/>
  <c r="D33" i="9"/>
  <c r="F31" i="9"/>
  <c r="D31" i="9"/>
  <c r="F30" i="9"/>
  <c r="D30" i="9"/>
  <c r="F29" i="9"/>
  <c r="D29" i="9"/>
  <c r="F28" i="9"/>
  <c r="D28" i="9"/>
  <c r="F27" i="9"/>
  <c r="D27" i="9"/>
  <c r="F26" i="9"/>
  <c r="D26" i="9"/>
  <c r="F25" i="9"/>
  <c r="D25" i="9"/>
  <c r="F24" i="9"/>
  <c r="D24" i="9"/>
  <c r="F23" i="9"/>
  <c r="D23" i="9"/>
  <c r="F22" i="9"/>
  <c r="D22" i="9"/>
  <c r="F21" i="9"/>
  <c r="D21" i="9"/>
  <c r="F20" i="9"/>
  <c r="D20" i="9"/>
  <c r="F19" i="9"/>
  <c r="D19" i="9"/>
  <c r="F18" i="9"/>
  <c r="D18" i="9"/>
  <c r="F17" i="9"/>
  <c r="D17" i="9"/>
  <c r="F16" i="9"/>
  <c r="D16" i="9"/>
  <c r="F15" i="9"/>
  <c r="D15" i="9"/>
  <c r="F14" i="9"/>
  <c r="D14" i="9"/>
  <c r="F13" i="9"/>
  <c r="D13" i="9"/>
  <c r="F12" i="9"/>
  <c r="D12" i="9"/>
  <c r="F11" i="9"/>
  <c r="D11" i="9"/>
  <c r="F10" i="9"/>
  <c r="D10" i="9"/>
  <c r="F9" i="9"/>
  <c r="D9" i="9"/>
  <c r="F8" i="9"/>
  <c r="D8" i="9"/>
  <c r="F7" i="9"/>
  <c r="D7" i="9"/>
  <c r="F6" i="9"/>
  <c r="D6" i="9"/>
  <c r="F5" i="9"/>
  <c r="D5" i="9"/>
  <c r="F159" i="9"/>
  <c r="D156" i="9"/>
  <c r="F153" i="9"/>
  <c r="D153" i="9"/>
  <c r="F151" i="9"/>
  <c r="D151" i="9"/>
  <c r="D150" i="9"/>
  <c r="D149" i="9"/>
  <c r="D35" i="9"/>
  <c r="F33" i="9"/>
  <c r="F32" i="9"/>
  <c r="F158" i="9"/>
  <c r="D157" i="9"/>
  <c r="F156" i="9"/>
  <c r="F154" i="9"/>
  <c r="F152" i="9"/>
  <c r="D152" i="9"/>
  <c r="F150" i="9"/>
  <c r="F149" i="9"/>
  <c r="D32" i="9"/>
  <c r="V5" i="8"/>
  <c r="U5" i="8"/>
  <c r="V4" i="8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397" i="6"/>
  <c r="C400" i="6"/>
  <c r="C402" i="6"/>
  <c r="C404" i="6"/>
  <c r="C406" i="6"/>
  <c r="C409" i="6"/>
  <c r="C411" i="6"/>
  <c r="C413" i="6"/>
  <c r="C415" i="6"/>
  <c r="C417" i="6"/>
  <c r="C418" i="6"/>
  <c r="C420" i="6"/>
  <c r="C422" i="6"/>
  <c r="C424" i="6"/>
  <c r="C426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6" i="6"/>
  <c r="C637" i="6"/>
  <c r="C639" i="6"/>
  <c r="C641" i="6"/>
  <c r="C643" i="6"/>
  <c r="C645" i="6"/>
  <c r="C647" i="6"/>
  <c r="C649" i="6"/>
  <c r="C651" i="6"/>
  <c r="C653" i="6"/>
  <c r="C655" i="6"/>
  <c r="C657" i="6"/>
  <c r="C659" i="6"/>
  <c r="C661" i="6"/>
  <c r="C663" i="6"/>
  <c r="C665" i="6"/>
  <c r="C667" i="6"/>
  <c r="C669" i="6"/>
  <c r="C671" i="6"/>
  <c r="C673" i="6"/>
  <c r="C675" i="6"/>
  <c r="C677" i="6"/>
  <c r="C679" i="6"/>
  <c r="C681" i="6"/>
  <c r="C683" i="6"/>
  <c r="C685" i="6"/>
  <c r="C687" i="6"/>
  <c r="C689" i="6"/>
  <c r="C691" i="6"/>
  <c r="C693" i="6"/>
  <c r="C695" i="6"/>
  <c r="C697" i="6"/>
  <c r="C699" i="6"/>
  <c r="C701" i="6"/>
  <c r="C703" i="6"/>
  <c r="C705" i="6"/>
  <c r="C707" i="6"/>
  <c r="C709" i="6"/>
  <c r="C711" i="6"/>
  <c r="C713" i="6"/>
  <c r="C715" i="6"/>
  <c r="C717" i="6"/>
  <c r="C719" i="6"/>
  <c r="C721" i="6"/>
  <c r="C723" i="6"/>
  <c r="C725" i="6"/>
  <c r="C727" i="6"/>
  <c r="C728" i="6"/>
  <c r="C730" i="6"/>
  <c r="C732" i="6"/>
  <c r="C734" i="6"/>
  <c r="C736" i="6"/>
  <c r="C738" i="6"/>
  <c r="C740" i="6"/>
  <c r="C742" i="6"/>
  <c r="C744" i="6"/>
  <c r="C746" i="6"/>
  <c r="C748" i="6"/>
  <c r="C750" i="6"/>
  <c r="C751" i="6"/>
  <c r="C753" i="6"/>
  <c r="C755" i="6"/>
  <c r="C757" i="6"/>
  <c r="C758" i="6"/>
  <c r="C760" i="6"/>
  <c r="C762" i="6"/>
  <c r="C764" i="6"/>
  <c r="C766" i="6"/>
  <c r="C768" i="6"/>
  <c r="C770" i="6"/>
  <c r="C772" i="6"/>
  <c r="C774" i="6"/>
  <c r="C776" i="6"/>
  <c r="C778" i="6"/>
  <c r="C780" i="6"/>
  <c r="C782" i="6"/>
  <c r="C784" i="6"/>
  <c r="C786" i="6"/>
  <c r="C788" i="6"/>
  <c r="C790" i="6"/>
  <c r="C792" i="6"/>
  <c r="C794" i="6"/>
  <c r="C796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3" i="6"/>
  <c r="C814" i="6"/>
  <c r="C816" i="6"/>
  <c r="C818" i="6"/>
  <c r="C820" i="6"/>
  <c r="C822" i="6"/>
  <c r="C824" i="6"/>
  <c r="C826" i="6"/>
  <c r="C829" i="6"/>
  <c r="C831" i="6"/>
  <c r="C833" i="6"/>
  <c r="C835" i="6"/>
  <c r="C837" i="6"/>
  <c r="C839" i="6"/>
  <c r="C841" i="6"/>
  <c r="C843" i="6"/>
  <c r="C845" i="6"/>
  <c r="C847" i="6"/>
  <c r="C849" i="6"/>
  <c r="C851" i="6"/>
  <c r="C853" i="6"/>
  <c r="C855" i="6"/>
  <c r="C857" i="6"/>
  <c r="C859" i="6"/>
  <c r="C861" i="6"/>
  <c r="C863" i="6"/>
  <c r="C865" i="6"/>
  <c r="C867" i="6"/>
  <c r="C868" i="6"/>
  <c r="C870" i="6"/>
  <c r="C871" i="6"/>
  <c r="C873" i="6"/>
  <c r="C875" i="6"/>
  <c r="C877" i="6"/>
  <c r="C879" i="6"/>
  <c r="C881" i="6"/>
  <c r="C883" i="6"/>
  <c r="C885" i="6"/>
  <c r="C887" i="6"/>
  <c r="C889" i="6"/>
  <c r="C891" i="6"/>
  <c r="C893" i="6"/>
  <c r="C895" i="6"/>
  <c r="C896" i="6"/>
  <c r="C898" i="6"/>
  <c r="C900" i="6"/>
  <c r="C902" i="6"/>
  <c r="C904" i="6"/>
  <c r="C906" i="6"/>
  <c r="C908" i="6"/>
  <c r="C910" i="6"/>
  <c r="C912" i="6"/>
  <c r="C914" i="6"/>
  <c r="C916" i="6"/>
  <c r="C918" i="6"/>
  <c r="C920" i="6"/>
  <c r="C922" i="6"/>
  <c r="C924" i="6"/>
  <c r="C926" i="6"/>
  <c r="C927" i="6"/>
  <c r="C929" i="6"/>
  <c r="C931" i="6"/>
  <c r="C933" i="6"/>
  <c r="C935" i="6"/>
  <c r="C937" i="6"/>
  <c r="C939" i="6"/>
  <c r="C941" i="6"/>
  <c r="C943" i="6"/>
  <c r="C945" i="6"/>
  <c r="C947" i="6"/>
  <c r="C949" i="6"/>
  <c r="C951" i="6"/>
  <c r="C953" i="6"/>
  <c r="C955" i="6"/>
  <c r="C957" i="6"/>
  <c r="C958" i="6"/>
  <c r="C960" i="6"/>
  <c r="C962" i="6"/>
  <c r="C964" i="6"/>
  <c r="C966" i="6"/>
  <c r="C967" i="6"/>
  <c r="C969" i="6"/>
  <c r="C971" i="6"/>
  <c r="C973" i="6"/>
  <c r="C975" i="6"/>
  <c r="C977" i="6"/>
  <c r="C979" i="6"/>
  <c r="C981" i="6"/>
  <c r="C983" i="6"/>
  <c r="C985" i="6"/>
  <c r="C987" i="6"/>
  <c r="C988" i="6"/>
  <c r="C989" i="6"/>
  <c r="C990" i="6"/>
  <c r="C991" i="6"/>
  <c r="C992" i="6"/>
  <c r="C993" i="6"/>
  <c r="C994" i="6"/>
  <c r="C995" i="6"/>
  <c r="C996" i="6"/>
  <c r="C998" i="6"/>
  <c r="C1000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8" i="6"/>
  <c r="C399" i="6"/>
  <c r="C401" i="6"/>
  <c r="C403" i="6"/>
  <c r="C405" i="6"/>
  <c r="C407" i="6"/>
  <c r="C408" i="6"/>
  <c r="C410" i="6"/>
  <c r="C412" i="6"/>
  <c r="C414" i="6"/>
  <c r="C416" i="6"/>
  <c r="C419" i="6"/>
  <c r="C421" i="6"/>
  <c r="C423" i="6"/>
  <c r="C425" i="6"/>
  <c r="C427" i="6"/>
  <c r="C523" i="6"/>
  <c r="C524" i="6"/>
  <c r="C525" i="6"/>
  <c r="C526" i="6"/>
  <c r="C527" i="6"/>
  <c r="C528" i="6"/>
  <c r="C635" i="6"/>
  <c r="C638" i="6"/>
  <c r="C640" i="6"/>
  <c r="C642" i="6"/>
  <c r="C644" i="6"/>
  <c r="C646" i="6"/>
  <c r="C648" i="6"/>
  <c r="C650" i="6"/>
  <c r="C652" i="6"/>
  <c r="C654" i="6"/>
  <c r="C656" i="6"/>
  <c r="C658" i="6"/>
  <c r="C660" i="6"/>
  <c r="C662" i="6"/>
  <c r="C664" i="6"/>
  <c r="C666" i="6"/>
  <c r="C668" i="6"/>
  <c r="C670" i="6"/>
  <c r="C672" i="6"/>
  <c r="C674" i="6"/>
  <c r="C676" i="6"/>
  <c r="C678" i="6"/>
  <c r="C680" i="6"/>
  <c r="C682" i="6"/>
  <c r="C684" i="6"/>
  <c r="C686" i="6"/>
  <c r="C688" i="6"/>
  <c r="C690" i="6"/>
  <c r="C692" i="6"/>
  <c r="C694" i="6"/>
  <c r="C696" i="6"/>
  <c r="C698" i="6"/>
  <c r="C700" i="6"/>
  <c r="C702" i="6"/>
  <c r="C704" i="6"/>
  <c r="C706" i="6"/>
  <c r="C708" i="6"/>
  <c r="C710" i="6"/>
  <c r="C712" i="6"/>
  <c r="C714" i="6"/>
  <c r="C716" i="6"/>
  <c r="C718" i="6"/>
  <c r="C720" i="6"/>
  <c r="C722" i="6"/>
  <c r="C724" i="6"/>
  <c r="C726" i="6"/>
  <c r="C729" i="6"/>
  <c r="C731" i="6"/>
  <c r="C733" i="6"/>
  <c r="C735" i="6"/>
  <c r="C737" i="6"/>
  <c r="C739" i="6"/>
  <c r="C741" i="6"/>
  <c r="C743" i="6"/>
  <c r="C745" i="6"/>
  <c r="C747" i="6"/>
  <c r="C749" i="6"/>
  <c r="C752" i="6"/>
  <c r="C754" i="6"/>
  <c r="C756" i="6"/>
  <c r="C759" i="6"/>
  <c r="C761" i="6"/>
  <c r="C763" i="6"/>
  <c r="C765" i="6"/>
  <c r="C767" i="6"/>
  <c r="C769" i="6"/>
  <c r="C771" i="6"/>
  <c r="C773" i="6"/>
  <c r="C775" i="6"/>
  <c r="C777" i="6"/>
  <c r="C779" i="6"/>
  <c r="C781" i="6"/>
  <c r="C783" i="6"/>
  <c r="C785" i="6"/>
  <c r="C787" i="6"/>
  <c r="C789" i="6"/>
  <c r="C791" i="6"/>
  <c r="C793" i="6"/>
  <c r="C795" i="6"/>
  <c r="C797" i="6"/>
  <c r="C812" i="6"/>
  <c r="C815" i="6"/>
  <c r="C817" i="6"/>
  <c r="C819" i="6"/>
  <c r="C821" i="6"/>
  <c r="C823" i="6"/>
  <c r="C825" i="6"/>
  <c r="C827" i="6"/>
  <c r="C828" i="6"/>
  <c r="C830" i="6"/>
  <c r="C832" i="6"/>
  <c r="C834" i="6"/>
  <c r="C836" i="6"/>
  <c r="C838" i="6"/>
  <c r="C840" i="6"/>
  <c r="C842" i="6"/>
  <c r="C844" i="6"/>
  <c r="C846" i="6"/>
  <c r="C848" i="6"/>
  <c r="C850" i="6"/>
  <c r="C852" i="6"/>
  <c r="C854" i="6"/>
  <c r="C856" i="6"/>
  <c r="C858" i="6"/>
  <c r="C860" i="6"/>
  <c r="C862" i="6"/>
  <c r="C864" i="6"/>
  <c r="C866" i="6"/>
  <c r="C869" i="6"/>
  <c r="C872" i="6"/>
  <c r="C874" i="6"/>
  <c r="C876" i="6"/>
  <c r="C878" i="6"/>
  <c r="C880" i="6"/>
  <c r="C882" i="6"/>
  <c r="C884" i="6"/>
  <c r="C886" i="6"/>
  <c r="C888" i="6"/>
  <c r="C890" i="6"/>
  <c r="C892" i="6"/>
  <c r="C894" i="6"/>
  <c r="C897" i="6"/>
  <c r="C899" i="6"/>
  <c r="C901" i="6"/>
  <c r="C903" i="6"/>
  <c r="C905" i="6"/>
  <c r="C907" i="6"/>
  <c r="C909" i="6"/>
  <c r="C911" i="6"/>
  <c r="C913" i="6"/>
  <c r="C915" i="6"/>
  <c r="C917" i="6"/>
  <c r="C919" i="6"/>
  <c r="C921" i="6"/>
  <c r="C923" i="6"/>
  <c r="C925" i="6"/>
  <c r="C928" i="6"/>
  <c r="C930" i="6"/>
  <c r="C932" i="6"/>
  <c r="C934" i="6"/>
  <c r="C936" i="6"/>
  <c r="C938" i="6"/>
  <c r="C940" i="6"/>
  <c r="C942" i="6"/>
  <c r="C944" i="6"/>
  <c r="C946" i="6"/>
  <c r="C948" i="6"/>
  <c r="C950" i="6"/>
  <c r="C952" i="6"/>
  <c r="C954" i="6"/>
  <c r="C956" i="6"/>
  <c r="C959" i="6"/>
  <c r="C961" i="6"/>
  <c r="C963" i="6"/>
  <c r="C965" i="6"/>
  <c r="C968" i="6"/>
  <c r="C970" i="6"/>
  <c r="C972" i="6"/>
  <c r="C974" i="6"/>
  <c r="C976" i="6"/>
  <c r="C978" i="6"/>
  <c r="C980" i="6"/>
  <c r="C982" i="6"/>
  <c r="C984" i="6"/>
  <c r="C986" i="6"/>
  <c r="C997" i="6"/>
  <c r="C999" i="6"/>
  <c r="C1001" i="6"/>
  <c r="C2" i="6"/>
  <c r="I9" i="6" l="1"/>
  <c r="F6" i="11" s="1"/>
  <c r="D738" i="6"/>
  <c r="E738" i="6" s="1"/>
  <c r="D576" i="6"/>
  <c r="E576" i="6" s="1"/>
  <c r="D416" i="6"/>
  <c r="E416" i="6" s="1"/>
  <c r="D610" i="6"/>
  <c r="E610" i="6" s="1"/>
  <c r="D425" i="6"/>
  <c r="E425" i="6" s="1"/>
  <c r="D640" i="6"/>
  <c r="E640" i="6" s="1"/>
  <c r="D642" i="6"/>
  <c r="E642" i="6" s="1"/>
  <c r="D652" i="6"/>
  <c r="E652" i="6" s="1"/>
  <c r="D664" i="6"/>
  <c r="E664" i="6" s="1"/>
  <c r="D666" i="6"/>
  <c r="E666" i="6" s="1"/>
  <c r="D668" i="6"/>
  <c r="E668" i="6" s="1"/>
  <c r="D670" i="6"/>
  <c r="E670" i="6" s="1"/>
  <c r="D672" i="6"/>
  <c r="E672" i="6" s="1"/>
  <c r="D385" i="6"/>
  <c r="E385" i="6" s="1"/>
  <c r="D684" i="6"/>
  <c r="E684" i="6" s="1"/>
  <c r="D690" i="6"/>
  <c r="E690" i="6" s="1"/>
  <c r="D696" i="6"/>
  <c r="E696" i="6" s="1"/>
  <c r="D704" i="6"/>
  <c r="E704" i="6" s="1"/>
  <c r="D706" i="6"/>
  <c r="E706" i="6" s="1"/>
  <c r="D712" i="6"/>
  <c r="E712" i="6" s="1"/>
  <c r="D714" i="6"/>
  <c r="E714" i="6" s="1"/>
  <c r="D733" i="6"/>
  <c r="E733" i="6" s="1"/>
  <c r="D735" i="6"/>
  <c r="E735" i="6" s="1"/>
  <c r="D747" i="6"/>
  <c r="E747" i="6" s="1"/>
  <c r="D749" i="6"/>
  <c r="E749" i="6" s="1"/>
  <c r="D291" i="6"/>
  <c r="E291" i="6" s="1"/>
  <c r="D307" i="6"/>
  <c r="E307" i="6" s="1"/>
  <c r="D355" i="6"/>
  <c r="E355" i="6" s="1"/>
  <c r="D371" i="6"/>
  <c r="E371" i="6" s="1"/>
  <c r="D387" i="6"/>
  <c r="E387" i="6" s="1"/>
  <c r="D403" i="6"/>
  <c r="E403" i="6" s="1"/>
  <c r="D419" i="6"/>
  <c r="E419" i="6" s="1"/>
  <c r="D563" i="6"/>
  <c r="E563" i="6" s="1"/>
  <c r="D579" i="6"/>
  <c r="E579" i="6" s="1"/>
  <c r="D595" i="6"/>
  <c r="E595" i="6" s="1"/>
  <c r="D611" i="6"/>
  <c r="E611" i="6" s="1"/>
  <c r="D627" i="6"/>
  <c r="E627" i="6" s="1"/>
  <c r="D643" i="6"/>
  <c r="E643" i="6" s="1"/>
  <c r="D659" i="6"/>
  <c r="E659" i="6" s="1"/>
  <c r="D675" i="6"/>
  <c r="E675" i="6" s="1"/>
  <c r="D691" i="6"/>
  <c r="E691" i="6" s="1"/>
  <c r="D707" i="6"/>
  <c r="E707" i="6" s="1"/>
  <c r="D723" i="6"/>
  <c r="E723" i="6" s="1"/>
  <c r="D739" i="6"/>
  <c r="E739" i="6" s="1"/>
  <c r="D755" i="6"/>
  <c r="E755" i="6" s="1"/>
  <c r="D771" i="6"/>
  <c r="E771" i="6" s="1"/>
  <c r="D787" i="6"/>
  <c r="E787" i="6" s="1"/>
  <c r="D899" i="6"/>
  <c r="E899" i="6" s="1"/>
  <c r="D915" i="6"/>
  <c r="E915" i="6" s="1"/>
  <c r="D374" i="6"/>
  <c r="E374" i="6" s="1"/>
  <c r="D390" i="6"/>
  <c r="E390" i="6" s="1"/>
  <c r="D630" i="6"/>
  <c r="E630" i="6" s="1"/>
  <c r="D678" i="6"/>
  <c r="E678" i="6" s="1"/>
  <c r="D710" i="6"/>
  <c r="E710" i="6" s="1"/>
  <c r="D726" i="6"/>
  <c r="E726" i="6" s="1"/>
  <c r="D375" i="6"/>
  <c r="E375" i="6" s="1"/>
  <c r="D391" i="6"/>
  <c r="E391" i="6" s="1"/>
  <c r="D376" i="6"/>
  <c r="E376" i="6" s="1"/>
  <c r="D633" i="6"/>
  <c r="E633" i="6" s="1"/>
  <c r="D673" i="6"/>
  <c r="E673" i="6" s="1"/>
  <c r="D697" i="6"/>
  <c r="E697" i="6" s="1"/>
  <c r="D781" i="6"/>
  <c r="E781" i="6" s="1"/>
  <c r="D718" i="6"/>
  <c r="E718" i="6" s="1"/>
  <c r="D762" i="6"/>
  <c r="E762" i="6" s="1"/>
  <c r="D782" i="6"/>
  <c r="E782" i="6" s="1"/>
  <c r="D401" i="6"/>
  <c r="E401" i="6" s="1"/>
  <c r="D617" i="6"/>
  <c r="E617" i="6" s="1"/>
  <c r="D618" i="6"/>
  <c r="E618" i="6" s="1"/>
  <c r="D663" i="6"/>
  <c r="E663" i="6" s="1"/>
  <c r="D377" i="6"/>
  <c r="E377" i="6" s="1"/>
  <c r="D398" i="6"/>
  <c r="E398" i="6" s="1"/>
  <c r="D634" i="6"/>
  <c r="E634" i="6" s="1"/>
  <c r="D654" i="6"/>
  <c r="E654" i="6" s="1"/>
  <c r="D674" i="6"/>
  <c r="E674" i="6" s="1"/>
  <c r="D698" i="6"/>
  <c r="E698" i="6" s="1"/>
  <c r="D846" i="6"/>
  <c r="E846" i="6" s="1"/>
  <c r="D593" i="6"/>
  <c r="E593" i="6" s="1"/>
  <c r="D681" i="6"/>
  <c r="E681" i="6" s="1"/>
  <c r="D745" i="6"/>
  <c r="E745" i="6" s="1"/>
  <c r="D381" i="6"/>
  <c r="E381" i="6" s="1"/>
  <c r="D658" i="6"/>
  <c r="E658" i="6" s="1"/>
  <c r="D722" i="6"/>
  <c r="E722" i="6" s="1"/>
  <c r="D874" i="6"/>
  <c r="E874" i="6" s="1"/>
  <c r="D407" i="6"/>
  <c r="E407" i="6" s="1"/>
  <c r="D619" i="6"/>
  <c r="E619" i="6" s="1"/>
  <c r="D683" i="6"/>
  <c r="E683" i="6" s="1"/>
  <c r="D727" i="6"/>
  <c r="E727" i="6" s="1"/>
  <c r="D767" i="6"/>
  <c r="E767" i="6" s="1"/>
  <c r="D378" i="6"/>
  <c r="E378" i="6" s="1"/>
  <c r="D399" i="6"/>
  <c r="E399" i="6" s="1"/>
  <c r="D635" i="6"/>
  <c r="E635" i="6" s="1"/>
  <c r="D743" i="6"/>
  <c r="E743" i="6" s="1"/>
  <c r="D783" i="6"/>
  <c r="E783" i="6" s="1"/>
  <c r="D807" i="6"/>
  <c r="E807" i="6" s="1"/>
  <c r="D657" i="6"/>
  <c r="E657" i="6" s="1"/>
  <c r="D765" i="6"/>
  <c r="E765" i="6" s="1"/>
  <c r="D588" i="6"/>
  <c r="E588" i="6" s="1"/>
  <c r="D601" i="6"/>
  <c r="E601" i="6" s="1"/>
  <c r="D603" i="6"/>
  <c r="E603" i="6" s="1"/>
  <c r="D621" i="6"/>
  <c r="E621" i="6" s="1"/>
  <c r="D624" i="6"/>
  <c r="E624" i="6" s="1"/>
  <c r="D626" i="6"/>
  <c r="E626" i="6" s="1"/>
  <c r="D632" i="6"/>
  <c r="E632" i="6" s="1"/>
  <c r="D641" i="6"/>
  <c r="E641" i="6" s="1"/>
  <c r="D667" i="6"/>
  <c r="E667" i="6" s="1"/>
  <c r="D669" i="6"/>
  <c r="E669" i="6" s="1"/>
  <c r="D671" i="6"/>
  <c r="E671" i="6" s="1"/>
  <c r="D705" i="6"/>
  <c r="E705" i="6" s="1"/>
  <c r="D711" i="6"/>
  <c r="E711" i="6" s="1"/>
  <c r="D713" i="6"/>
  <c r="E713" i="6" s="1"/>
  <c r="D736" i="6"/>
  <c r="E736" i="6" s="1"/>
  <c r="D748" i="6"/>
  <c r="E748" i="6" s="1"/>
  <c r="D750" i="6"/>
  <c r="E750" i="6" s="1"/>
  <c r="D600" i="6"/>
  <c r="E600" i="6" s="1"/>
  <c r="D602" i="6"/>
  <c r="E602" i="6" s="1"/>
  <c r="D604" i="6"/>
  <c r="E604" i="6" s="1"/>
  <c r="D622" i="6"/>
  <c r="E622" i="6" s="1"/>
  <c r="D623" i="6"/>
  <c r="E623" i="6" s="1"/>
  <c r="D625" i="6"/>
  <c r="E625" i="6" s="1"/>
  <c r="D631" i="6"/>
  <c r="E631" i="6" s="1"/>
  <c r="D665" i="6"/>
  <c r="E665" i="6" s="1"/>
  <c r="D695" i="6"/>
  <c r="E695" i="6" s="1"/>
  <c r="D715" i="6"/>
  <c r="E715" i="6" s="1"/>
  <c r="D732" i="6"/>
  <c r="E732" i="6" s="1"/>
  <c r="D734" i="6"/>
  <c r="E734" i="6" s="1"/>
  <c r="D746" i="6"/>
  <c r="E746" i="6" s="1"/>
  <c r="D810" i="6"/>
  <c r="E810" i="6" s="1"/>
  <c r="D382" i="6"/>
  <c r="E382" i="6" s="1"/>
  <c r="D427" i="6"/>
  <c r="E427" i="6" s="1"/>
  <c r="D599" i="6"/>
  <c r="E599" i="6" s="1"/>
  <c r="D639" i="6"/>
  <c r="E639" i="6" s="1"/>
  <c r="D703" i="6"/>
  <c r="E703" i="6" s="1"/>
  <c r="D379" i="6"/>
  <c r="E379" i="6" s="1"/>
  <c r="D592" i="6"/>
  <c r="E592" i="6" s="1"/>
  <c r="D616" i="6"/>
  <c r="E616" i="6" s="1"/>
  <c r="D636" i="6"/>
  <c r="E636" i="6" s="1"/>
  <c r="D656" i="6"/>
  <c r="E656" i="6" s="1"/>
  <c r="D680" i="6"/>
  <c r="E680" i="6" s="1"/>
  <c r="D700" i="6"/>
  <c r="E700" i="6" s="1"/>
  <c r="D720" i="6"/>
  <c r="E720" i="6" s="1"/>
  <c r="D744" i="6"/>
  <c r="E744" i="6" s="1"/>
  <c r="D764" i="6"/>
  <c r="E764" i="6" s="1"/>
  <c r="D784" i="6"/>
  <c r="E784" i="6" s="1"/>
  <c r="D808" i="6"/>
  <c r="E808" i="6" s="1"/>
  <c r="D828" i="6"/>
  <c r="E828" i="6" s="1"/>
  <c r="D848" i="6"/>
  <c r="E848" i="6" s="1"/>
  <c r="D892" i="6"/>
  <c r="E892" i="6" s="1"/>
  <c r="D721" i="6"/>
  <c r="E721" i="6" s="1"/>
  <c r="D380" i="6"/>
  <c r="E380" i="6" s="1"/>
  <c r="D637" i="6"/>
  <c r="E637" i="6" s="1"/>
  <c r="D829" i="6"/>
  <c r="E829" i="6" s="1"/>
  <c r="D638" i="6"/>
  <c r="E638" i="6" s="1"/>
  <c r="D702" i="6"/>
  <c r="E702" i="6" s="1"/>
  <c r="D766" i="6"/>
  <c r="E766" i="6" s="1"/>
  <c r="D894" i="6"/>
  <c r="E894" i="6" s="1"/>
  <c r="D864" i="6"/>
  <c r="E864" i="6" s="1"/>
  <c r="D651" i="6"/>
  <c r="E651" i="6" s="1"/>
  <c r="D897" i="6"/>
  <c r="E897" i="6" s="1"/>
  <c r="D795" i="6"/>
  <c r="E795" i="6" s="1"/>
  <c r="D686" i="6"/>
  <c r="E686" i="6" s="1"/>
  <c r="D648" i="6"/>
  <c r="E648" i="6" s="1"/>
  <c r="D606" i="6"/>
  <c r="E606" i="6" s="1"/>
  <c r="D383" i="6"/>
  <c r="E383" i="6" s="1"/>
  <c r="D860" i="6"/>
  <c r="E860" i="6" s="1"/>
  <c r="D753" i="6"/>
  <c r="E753" i="6" s="1"/>
  <c r="D716" i="6"/>
  <c r="E716" i="6" s="1"/>
  <c r="D685" i="6"/>
  <c r="E685" i="6" s="1"/>
  <c r="D647" i="6"/>
  <c r="E647" i="6" s="1"/>
  <c r="D605" i="6"/>
  <c r="E605" i="6" s="1"/>
  <c r="D414" i="6"/>
  <c r="E414" i="6" s="1"/>
  <c r="D370" i="6"/>
  <c r="E370" i="6" s="1"/>
  <c r="D751" i="6"/>
  <c r="E751" i="6" s="1"/>
  <c r="D752" i="6"/>
  <c r="E752" i="6" s="1"/>
  <c r="D769" i="6"/>
  <c r="E769" i="6" s="1"/>
  <c r="D770" i="6"/>
  <c r="E770" i="6" s="1"/>
  <c r="D775" i="6"/>
  <c r="E775" i="6" s="1"/>
  <c r="D777" i="6"/>
  <c r="E777" i="6" s="1"/>
  <c r="D778" i="6"/>
  <c r="E778" i="6" s="1"/>
  <c r="D779" i="6"/>
  <c r="E779" i="6" s="1"/>
  <c r="D791" i="6"/>
  <c r="E791" i="6" s="1"/>
  <c r="D792" i="6"/>
  <c r="E792" i="6" s="1"/>
  <c r="D793" i="6"/>
  <c r="E793" i="6" s="1"/>
  <c r="D799" i="6"/>
  <c r="E799" i="6" s="1"/>
  <c r="D800" i="6"/>
  <c r="E800" i="6" s="1"/>
  <c r="D811" i="6"/>
  <c r="E811" i="6" s="1"/>
  <c r="D812" i="6"/>
  <c r="E812" i="6" s="1"/>
  <c r="D813" i="6"/>
  <c r="E813" i="6" s="1"/>
  <c r="D814" i="6"/>
  <c r="E814" i="6" s="1"/>
  <c r="D815" i="6"/>
  <c r="E815" i="6" s="1"/>
  <c r="D816" i="6"/>
  <c r="E816" i="6" s="1"/>
  <c r="D817" i="6"/>
  <c r="E817" i="6" s="1"/>
  <c r="D818" i="6"/>
  <c r="E818" i="6" s="1"/>
  <c r="D823" i="6"/>
  <c r="E823" i="6" s="1"/>
  <c r="D839" i="6"/>
  <c r="E839" i="6" s="1"/>
  <c r="D840" i="6"/>
  <c r="E840" i="6" s="1"/>
  <c r="D841" i="6"/>
  <c r="E841" i="6" s="1"/>
  <c r="D842" i="6"/>
  <c r="E842" i="6" s="1"/>
  <c r="D843" i="6"/>
  <c r="E843" i="6" s="1"/>
  <c r="D844" i="6"/>
  <c r="E844" i="6" s="1"/>
  <c r="D855" i="6"/>
  <c r="E855" i="6" s="1"/>
  <c r="D856" i="6"/>
  <c r="E856" i="6" s="1"/>
  <c r="D857" i="6"/>
  <c r="E857" i="6" s="1"/>
  <c r="D858" i="6"/>
  <c r="E858" i="6" s="1"/>
  <c r="D859" i="6"/>
  <c r="E859" i="6" s="1"/>
  <c r="D875" i="6"/>
  <c r="E875" i="6" s="1"/>
  <c r="D876" i="6"/>
  <c r="E876" i="6" s="1"/>
  <c r="D877" i="6"/>
  <c r="E877" i="6" s="1"/>
  <c r="D878" i="6"/>
  <c r="E878" i="6" s="1"/>
  <c r="D879" i="6"/>
  <c r="E879" i="6" s="1"/>
  <c r="D880" i="6"/>
  <c r="E880" i="6" s="1"/>
  <c r="D881" i="6"/>
  <c r="E881" i="6" s="1"/>
  <c r="D882" i="6"/>
  <c r="E882" i="6" s="1"/>
  <c r="D887" i="6"/>
  <c r="E887" i="6" s="1"/>
  <c r="D888" i="6"/>
  <c r="E888" i="6" s="1"/>
  <c r="D895" i="6"/>
  <c r="E895" i="6" s="1"/>
  <c r="D905" i="6"/>
  <c r="E905" i="6" s="1"/>
  <c r="D907" i="6"/>
  <c r="E907" i="6" s="1"/>
  <c r="D919" i="6"/>
  <c r="E919" i="6" s="1"/>
  <c r="D920" i="6"/>
  <c r="E920" i="6" s="1"/>
  <c r="D921" i="6"/>
  <c r="E921" i="6" s="1"/>
  <c r="D922" i="6"/>
  <c r="E922" i="6" s="1"/>
  <c r="D835" i="6"/>
  <c r="E835" i="6" s="1"/>
  <c r="D883" i="6"/>
  <c r="E883" i="6" s="1"/>
  <c r="D910" i="6"/>
  <c r="E910" i="6" s="1"/>
  <c r="D508" i="6"/>
  <c r="E508" i="6" s="1"/>
  <c r="D495" i="6"/>
  <c r="E495" i="6" s="1"/>
  <c r="D923" i="6"/>
  <c r="E923" i="6" s="1"/>
  <c r="D924" i="6"/>
  <c r="E924" i="6" s="1"/>
  <c r="D945" i="6"/>
  <c r="E945" i="6" s="1"/>
  <c r="D952" i="6"/>
  <c r="E952" i="6" s="1"/>
  <c r="D959" i="6"/>
  <c r="E959" i="6" s="1"/>
  <c r="D986" i="6"/>
  <c r="E986" i="6" s="1"/>
  <c r="D990" i="6"/>
  <c r="E990" i="6" s="1"/>
  <c r="D731" i="6"/>
  <c r="E731" i="6" s="1"/>
  <c r="D832" i="6"/>
  <c r="E832" i="6" s="1"/>
  <c r="D538" i="6"/>
  <c r="E538" i="6" s="1"/>
  <c r="D384" i="6"/>
  <c r="E384" i="6" s="1"/>
  <c r="D275" i="6"/>
  <c r="E275" i="6" s="1"/>
  <c r="D467" i="6"/>
  <c r="E467" i="6" s="1"/>
  <c r="D483" i="6"/>
  <c r="E483" i="6" s="1"/>
  <c r="D499" i="6"/>
  <c r="E499" i="6" s="1"/>
  <c r="D515" i="6"/>
  <c r="E515" i="6" s="1"/>
  <c r="D531" i="6"/>
  <c r="E531" i="6" s="1"/>
  <c r="D547" i="6"/>
  <c r="E547" i="6" s="1"/>
  <c r="D803" i="6"/>
  <c r="E803" i="6" s="1"/>
  <c r="D851" i="6"/>
  <c r="E851" i="6" s="1"/>
  <c r="D867" i="6"/>
  <c r="E867" i="6" s="1"/>
  <c r="D978" i="6"/>
  <c r="E978" i="6" s="1"/>
  <c r="D511" i="6"/>
  <c r="E511" i="6" s="1"/>
  <c r="D1000" i="6"/>
  <c r="E1000" i="6" s="1"/>
  <c r="D644" i="6"/>
  <c r="E644" i="6" s="1"/>
  <c r="D660" i="6"/>
  <c r="E660" i="6" s="1"/>
  <c r="D756" i="6"/>
  <c r="E756" i="6" s="1"/>
  <c r="D820" i="6"/>
  <c r="E820" i="6" s="1"/>
  <c r="D852" i="6"/>
  <c r="E852" i="6" s="1"/>
  <c r="D932" i="6"/>
  <c r="E932" i="6" s="1"/>
  <c r="D693" i="6"/>
  <c r="E693" i="6" s="1"/>
  <c r="D741" i="6"/>
  <c r="E741" i="6" s="1"/>
  <c r="D773" i="6"/>
  <c r="E773" i="6" s="1"/>
  <c r="D805" i="6"/>
  <c r="E805" i="6" s="1"/>
  <c r="D837" i="6"/>
  <c r="E837" i="6" s="1"/>
  <c r="D869" i="6"/>
  <c r="E869" i="6" s="1"/>
  <c r="D885" i="6"/>
  <c r="E885" i="6" s="1"/>
  <c r="D901" i="6"/>
  <c r="E901" i="6" s="1"/>
  <c r="D917" i="6"/>
  <c r="E917" i="6" s="1"/>
  <c r="D949" i="6"/>
  <c r="E949" i="6" s="1"/>
  <c r="D826" i="6"/>
  <c r="E826" i="6" s="1"/>
  <c r="D488" i="6"/>
  <c r="E488" i="6" s="1"/>
  <c r="D912" i="6"/>
  <c r="E912" i="6" s="1"/>
  <c r="D490" i="6"/>
  <c r="E490" i="6" s="1"/>
  <c r="D992" i="6"/>
  <c r="E992" i="6" s="1"/>
  <c r="D926" i="6"/>
  <c r="E926" i="6" s="1"/>
  <c r="D809" i="6"/>
  <c r="E809" i="6" s="1"/>
  <c r="D786" i="6"/>
  <c r="E786" i="6" s="1"/>
  <c r="D471" i="6"/>
  <c r="E471" i="6" s="1"/>
  <c r="D937" i="6"/>
  <c r="E937" i="6" s="1"/>
  <c r="D962" i="6"/>
  <c r="E962" i="6" s="1"/>
  <c r="D494" i="6"/>
  <c r="E494" i="6" s="1"/>
  <c r="D211" i="6"/>
  <c r="E211" i="6" s="1"/>
  <c r="D438" i="6"/>
  <c r="E438" i="6" s="1"/>
  <c r="D441" i="6"/>
  <c r="E441" i="6" s="1"/>
  <c r="D442" i="6"/>
  <c r="E442" i="6" s="1"/>
  <c r="D424" i="6"/>
  <c r="E424" i="6" s="1"/>
  <c r="D415" i="6"/>
  <c r="E415" i="6" s="1"/>
  <c r="D250" i="6"/>
  <c r="E250" i="6" s="1"/>
  <c r="D221" i="6"/>
  <c r="E221" i="6" s="1"/>
  <c r="D131" i="6"/>
  <c r="E131" i="6" s="1"/>
  <c r="D259" i="6"/>
  <c r="E259" i="6" s="1"/>
  <c r="D143" i="6"/>
  <c r="E143" i="6" s="1"/>
  <c r="D400" i="6"/>
  <c r="E400" i="6" s="1"/>
  <c r="D444" i="6"/>
  <c r="E444" i="6" s="1"/>
  <c r="D227" i="6"/>
  <c r="E227" i="6" s="1"/>
  <c r="D435" i="6"/>
  <c r="E435" i="6" s="1"/>
  <c r="D122" i="6"/>
  <c r="E122" i="6" s="1"/>
  <c r="D426" i="6"/>
  <c r="E426" i="6" s="1"/>
  <c r="D445" i="6"/>
  <c r="E445" i="6" s="1"/>
  <c r="D402" i="6"/>
  <c r="E402" i="6" s="1"/>
  <c r="D115" i="6"/>
  <c r="E115" i="6" s="1"/>
  <c r="D406" i="6"/>
  <c r="E406" i="6" s="1"/>
  <c r="D417" i="6"/>
  <c r="E417" i="6" s="1"/>
  <c r="D169" i="6"/>
  <c r="E169" i="6" s="1"/>
  <c r="D223" i="6"/>
  <c r="E223" i="6" s="1"/>
  <c r="D254" i="6"/>
  <c r="E254" i="6" s="1"/>
  <c r="D147" i="6"/>
  <c r="E147" i="6" s="1"/>
  <c r="D451" i="6"/>
  <c r="E451" i="6" s="1"/>
  <c r="D422" i="6"/>
  <c r="E422" i="6" s="1"/>
  <c r="D397" i="6"/>
  <c r="E397" i="6" s="1"/>
  <c r="D418" i="6"/>
  <c r="E418" i="6" s="1"/>
  <c r="I8" i="6"/>
  <c r="E6" i="11" s="1"/>
  <c r="D60" i="6"/>
  <c r="E60" i="6" s="1"/>
  <c r="D99" i="6"/>
  <c r="E99" i="6" s="1"/>
  <c r="D23" i="6"/>
  <c r="E23" i="6" s="1"/>
  <c r="D51" i="6"/>
  <c r="E51" i="6" s="1"/>
  <c r="D57" i="6"/>
  <c r="E57" i="6" s="1"/>
  <c r="D75" i="6"/>
  <c r="E75" i="6" s="1"/>
  <c r="D35" i="6"/>
  <c r="E35" i="6" s="1"/>
  <c r="D50" i="6"/>
  <c r="E50" i="6" s="1"/>
  <c r="D59" i="6"/>
  <c r="E59" i="6" s="1"/>
  <c r="D18" i="6"/>
  <c r="E18" i="6" s="1"/>
  <c r="D19" i="6"/>
  <c r="E19" i="6" s="1"/>
  <c r="D67" i="6"/>
  <c r="E67" i="6" s="1"/>
  <c r="D30" i="6"/>
  <c r="E30" i="6" s="1"/>
  <c r="D17" i="6"/>
  <c r="E17" i="6" s="1"/>
  <c r="D83" i="6"/>
  <c r="E83" i="6" s="1"/>
  <c r="D32" i="6"/>
  <c r="E32" i="6" s="1"/>
  <c r="D34" i="6"/>
  <c r="E34" i="6" s="1"/>
  <c r="D10" i="6"/>
  <c r="E10" i="6" s="1"/>
  <c r="D91" i="6"/>
  <c r="E91" i="6" s="1"/>
  <c r="D96" i="6"/>
  <c r="E96" i="6" s="1"/>
  <c r="D25" i="6"/>
  <c r="E25" i="6" s="1"/>
  <c r="D24" i="6"/>
  <c r="E24" i="6" s="1"/>
  <c r="D26" i="6"/>
  <c r="E26" i="6" s="1"/>
  <c r="D27" i="6"/>
  <c r="E27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E44" i="6" s="1"/>
  <c r="D45" i="6"/>
  <c r="E45" i="6" s="1"/>
  <c r="D62" i="6"/>
  <c r="E62" i="6" s="1"/>
  <c r="D63" i="6"/>
  <c r="E63" i="6" s="1"/>
  <c r="D64" i="6"/>
  <c r="E64" i="6" s="1"/>
  <c r="D65" i="6"/>
  <c r="E65" i="6" s="1"/>
  <c r="D66" i="6"/>
  <c r="E66" i="6" s="1"/>
  <c r="D72" i="6"/>
  <c r="E72" i="6" s="1"/>
  <c r="D79" i="6"/>
  <c r="E79" i="6" s="1"/>
  <c r="D80" i="6"/>
  <c r="E80" i="6" s="1"/>
  <c r="D81" i="6"/>
  <c r="E81" i="6" s="1"/>
  <c r="D82" i="6"/>
  <c r="E82" i="6" s="1"/>
  <c r="D88" i="6"/>
  <c r="E88" i="6" s="1"/>
  <c r="D106" i="6"/>
  <c r="E106" i="6" s="1"/>
  <c r="D107" i="6"/>
  <c r="E107" i="6" s="1"/>
  <c r="D108" i="6"/>
  <c r="E108" i="6" s="1"/>
  <c r="D109" i="6"/>
  <c r="E109" i="6" s="1"/>
  <c r="D110" i="6"/>
  <c r="E110" i="6" s="1"/>
  <c r="D111" i="6"/>
  <c r="E111" i="6" s="1"/>
  <c r="D112" i="6"/>
  <c r="E112" i="6" s="1"/>
  <c r="D113" i="6"/>
  <c r="E113" i="6" s="1"/>
  <c r="D114" i="6"/>
  <c r="E114" i="6" s="1"/>
  <c r="D127" i="6"/>
  <c r="E127" i="6" s="1"/>
  <c r="D128" i="6"/>
  <c r="E128" i="6" s="1"/>
  <c r="D139" i="6"/>
  <c r="E139" i="6" s="1"/>
  <c r="D140" i="6"/>
  <c r="E140" i="6" s="1"/>
  <c r="D153" i="6"/>
  <c r="E153" i="6" s="1"/>
  <c r="D154" i="6"/>
  <c r="E154" i="6" s="1"/>
  <c r="D155" i="6"/>
  <c r="E155" i="6" s="1"/>
  <c r="D156" i="6"/>
  <c r="E156" i="6" s="1"/>
  <c r="D157" i="6"/>
  <c r="E157" i="6" s="1"/>
  <c r="D158" i="6"/>
  <c r="E158" i="6" s="1"/>
  <c r="D159" i="6"/>
  <c r="E159" i="6" s="1"/>
  <c r="D160" i="6"/>
  <c r="E160" i="6" s="1"/>
  <c r="D161" i="6"/>
  <c r="E161" i="6" s="1"/>
  <c r="D184" i="6"/>
  <c r="E184" i="6" s="1"/>
  <c r="D185" i="6"/>
  <c r="E185" i="6" s="1"/>
  <c r="D200" i="6"/>
  <c r="E200" i="6" s="1"/>
  <c r="D201" i="6"/>
  <c r="E201" i="6" s="1"/>
  <c r="D202" i="6"/>
  <c r="E202" i="6" s="1"/>
  <c r="D203" i="6"/>
  <c r="E203" i="6" s="1"/>
  <c r="D204" i="6"/>
  <c r="E204" i="6" s="1"/>
  <c r="D205" i="6"/>
  <c r="E205" i="6" s="1"/>
  <c r="D206" i="6"/>
  <c r="E206" i="6" s="1"/>
  <c r="D224" i="6"/>
  <c r="E224" i="6" s="1"/>
  <c r="D225" i="6"/>
  <c r="E225" i="6" s="1"/>
  <c r="D226" i="6"/>
  <c r="E226" i="6" s="1"/>
  <c r="D232" i="6"/>
  <c r="E232" i="6" s="1"/>
  <c r="D233" i="6"/>
  <c r="E233" i="6" s="1"/>
  <c r="D242" i="6"/>
  <c r="E242" i="6" s="1"/>
  <c r="D248" i="6"/>
  <c r="E248" i="6" s="1"/>
  <c r="D249" i="6"/>
  <c r="E249" i="6" s="1"/>
  <c r="D251" i="6"/>
  <c r="E251" i="6" s="1"/>
  <c r="D269" i="6"/>
  <c r="E269" i="6" s="1"/>
  <c r="D270" i="6"/>
  <c r="E270" i="6" s="1"/>
  <c r="D271" i="6"/>
  <c r="E271" i="6" s="1"/>
  <c r="D272" i="6"/>
  <c r="E272" i="6" s="1"/>
  <c r="D273" i="6"/>
  <c r="E273" i="6" s="1"/>
  <c r="D274" i="6"/>
  <c r="E274" i="6" s="1"/>
  <c r="D280" i="6"/>
  <c r="E280" i="6" s="1"/>
  <c r="D281" i="6"/>
  <c r="E281" i="6" s="1"/>
  <c r="D289" i="6"/>
  <c r="E289" i="6" s="1"/>
  <c r="D290" i="6"/>
  <c r="E290" i="6" s="1"/>
  <c r="D296" i="6"/>
  <c r="E296" i="6" s="1"/>
  <c r="D302" i="6"/>
  <c r="E302" i="6" s="1"/>
  <c r="D315" i="6"/>
  <c r="E315" i="6" s="1"/>
  <c r="D316" i="6"/>
  <c r="E316" i="6" s="1"/>
  <c r="D317" i="6"/>
  <c r="E317" i="6" s="1"/>
  <c r="D318" i="6"/>
  <c r="E318" i="6" s="1"/>
  <c r="D319" i="6"/>
  <c r="E319" i="6" s="1"/>
  <c r="D320" i="6"/>
  <c r="E320" i="6" s="1"/>
  <c r="D321" i="6"/>
  <c r="E321" i="6" s="1"/>
  <c r="D322" i="6"/>
  <c r="E322" i="6" s="1"/>
  <c r="D328" i="6"/>
  <c r="E328" i="6" s="1"/>
  <c r="D541" i="6"/>
  <c r="E541" i="6" s="1"/>
  <c r="D542" i="6"/>
  <c r="E542" i="6" s="1"/>
  <c r="D543" i="6"/>
  <c r="E543" i="6" s="1"/>
  <c r="D544" i="6"/>
  <c r="E544" i="6" s="1"/>
  <c r="D556" i="6"/>
  <c r="E556" i="6" s="1"/>
  <c r="D557" i="6"/>
  <c r="E557" i="6" s="1"/>
  <c r="D558" i="6"/>
  <c r="E558" i="6" s="1"/>
  <c r="D559" i="6"/>
  <c r="E559" i="6" s="1"/>
  <c r="D560" i="6"/>
  <c r="E560" i="6" s="1"/>
  <c r="D561" i="6"/>
  <c r="E561" i="6" s="1"/>
  <c r="D562" i="6"/>
  <c r="E562" i="6" s="1"/>
  <c r="D583" i="6"/>
  <c r="E583" i="6" s="1"/>
  <c r="D584" i="6"/>
  <c r="E584" i="6" s="1"/>
  <c r="D585" i="6"/>
  <c r="E585" i="6" s="1"/>
  <c r="D586" i="6"/>
  <c r="E586" i="6" s="1"/>
  <c r="D587" i="6"/>
  <c r="E587" i="6" s="1"/>
  <c r="D965" i="6"/>
  <c r="E965" i="6" s="1"/>
  <c r="D278" i="6"/>
  <c r="E278" i="6" s="1"/>
  <c r="D294" i="6"/>
  <c r="E294" i="6" s="1"/>
  <c r="D310" i="6"/>
  <c r="E310" i="6" s="1"/>
  <c r="D326" i="6"/>
  <c r="E326" i="6" s="1"/>
  <c r="D342" i="6"/>
  <c r="E342" i="6" s="1"/>
  <c r="D358" i="6"/>
  <c r="E358" i="6" s="1"/>
  <c r="D614" i="6"/>
  <c r="E614" i="6" s="1"/>
  <c r="D790" i="6"/>
  <c r="E790" i="6" s="1"/>
  <c r="D7" i="6"/>
  <c r="E7" i="6" s="1"/>
  <c r="D263" i="6"/>
  <c r="E263" i="6" s="1"/>
  <c r="D279" i="6"/>
  <c r="E279" i="6" s="1"/>
  <c r="D295" i="6"/>
  <c r="E295" i="6" s="1"/>
  <c r="D311" i="6"/>
  <c r="E311" i="6" s="1"/>
  <c r="D327" i="6"/>
  <c r="E327" i="6" s="1"/>
  <c r="D343" i="6"/>
  <c r="E343" i="6" s="1"/>
  <c r="D359" i="6"/>
  <c r="E359" i="6" s="1"/>
  <c r="D8" i="6"/>
  <c r="E8" i="6" s="1"/>
  <c r="D28" i="6"/>
  <c r="E28" i="6" s="1"/>
  <c r="D48" i="6"/>
  <c r="E48" i="6" s="1"/>
  <c r="D282" i="6"/>
  <c r="E282" i="6" s="1"/>
  <c r="D303" i="6"/>
  <c r="E303" i="6" s="1"/>
  <c r="D329" i="6"/>
  <c r="E329" i="6" s="1"/>
  <c r="D350" i="6"/>
  <c r="E350" i="6" s="1"/>
  <c r="D717" i="6"/>
  <c r="E717" i="6" s="1"/>
  <c r="D801" i="6"/>
  <c r="E801" i="6" s="1"/>
  <c r="D845" i="6"/>
  <c r="E845" i="6" s="1"/>
  <c r="D865" i="6"/>
  <c r="E865" i="6" s="1"/>
  <c r="D929" i="6"/>
  <c r="E929" i="6" s="1"/>
  <c r="D953" i="6"/>
  <c r="E953" i="6" s="1"/>
  <c r="D973" i="6"/>
  <c r="E973" i="6" s="1"/>
  <c r="D993" i="6"/>
  <c r="E993" i="6" s="1"/>
  <c r="D286" i="6"/>
  <c r="E286" i="6" s="1"/>
  <c r="D553" i="6"/>
  <c r="E553" i="6" s="1"/>
  <c r="D873" i="6"/>
  <c r="E873" i="6" s="1"/>
  <c r="D957" i="6"/>
  <c r="E957" i="6" s="1"/>
  <c r="D13" i="6"/>
  <c r="E13" i="6" s="1"/>
  <c r="D266" i="6"/>
  <c r="E266" i="6" s="1"/>
  <c r="D360" i="6"/>
  <c r="E360" i="6" s="1"/>
  <c r="D530" i="6"/>
  <c r="E530" i="6" s="1"/>
  <c r="D58" i="6"/>
  <c r="E58" i="6" s="1"/>
  <c r="D9" i="6"/>
  <c r="E9" i="6" s="1"/>
  <c r="D29" i="6"/>
  <c r="E29" i="6" s="1"/>
  <c r="D49" i="6"/>
  <c r="E49" i="6" s="1"/>
  <c r="D74" i="6"/>
  <c r="E74" i="6" s="1"/>
  <c r="D95" i="6"/>
  <c r="E95" i="6" s="1"/>
  <c r="D121" i="6"/>
  <c r="E121" i="6" s="1"/>
  <c r="D283" i="6"/>
  <c r="E283" i="6" s="1"/>
  <c r="D304" i="6"/>
  <c r="E304" i="6" s="1"/>
  <c r="D330" i="6"/>
  <c r="E330" i="6" s="1"/>
  <c r="D351" i="6"/>
  <c r="E351" i="6" s="1"/>
  <c r="D526" i="6"/>
  <c r="E526" i="6" s="1"/>
  <c r="D546" i="6"/>
  <c r="E546" i="6" s="1"/>
  <c r="D570" i="6"/>
  <c r="E570" i="6" s="1"/>
  <c r="D590" i="6"/>
  <c r="E590" i="6" s="1"/>
  <c r="D890" i="6"/>
  <c r="E890" i="6" s="1"/>
  <c r="D974" i="6"/>
  <c r="E974" i="6" s="1"/>
  <c r="D994" i="6"/>
  <c r="E994" i="6" s="1"/>
  <c r="D171" i="6"/>
  <c r="E171" i="6" s="1"/>
  <c r="D265" i="6"/>
  <c r="E265" i="6" s="1"/>
  <c r="D354" i="6"/>
  <c r="E354" i="6" s="1"/>
  <c r="D893" i="6"/>
  <c r="E893" i="6" s="1"/>
  <c r="D193" i="6"/>
  <c r="E193" i="6" s="1"/>
  <c r="D287" i="6"/>
  <c r="E287" i="6" s="1"/>
  <c r="D574" i="6"/>
  <c r="E574" i="6" s="1"/>
  <c r="D938" i="6"/>
  <c r="E938" i="6" s="1"/>
  <c r="D126" i="6"/>
  <c r="E126" i="6" s="1"/>
  <c r="D173" i="6"/>
  <c r="E173" i="6" s="1"/>
  <c r="D220" i="6"/>
  <c r="E220" i="6" s="1"/>
  <c r="D267" i="6"/>
  <c r="E267" i="6" s="1"/>
  <c r="D314" i="6"/>
  <c r="E314" i="6" s="1"/>
  <c r="D361" i="6"/>
  <c r="E361" i="6" s="1"/>
  <c r="D535" i="6"/>
  <c r="E535" i="6" s="1"/>
  <c r="D575" i="6"/>
  <c r="E575" i="6" s="1"/>
  <c r="D190" i="6"/>
  <c r="E190" i="6" s="1"/>
  <c r="D216" i="6"/>
  <c r="E216" i="6" s="1"/>
  <c r="D237" i="6"/>
  <c r="E237" i="6" s="1"/>
  <c r="D284" i="6"/>
  <c r="E284" i="6" s="1"/>
  <c r="D305" i="6"/>
  <c r="E305" i="6" s="1"/>
  <c r="D331" i="6"/>
  <c r="E331" i="6" s="1"/>
  <c r="D352" i="6"/>
  <c r="E352" i="6" s="1"/>
  <c r="D423" i="6"/>
  <c r="E423" i="6" s="1"/>
  <c r="D443" i="6"/>
  <c r="E443" i="6" s="1"/>
  <c r="D527" i="6"/>
  <c r="E527" i="6" s="1"/>
  <c r="D551" i="6"/>
  <c r="E551" i="6" s="1"/>
  <c r="D571" i="6"/>
  <c r="E571" i="6" s="1"/>
  <c r="D591" i="6"/>
  <c r="E591" i="6" s="1"/>
  <c r="D615" i="6"/>
  <c r="E615" i="6" s="1"/>
  <c r="D655" i="6"/>
  <c r="E655" i="6" s="1"/>
  <c r="D679" i="6"/>
  <c r="E679" i="6" s="1"/>
  <c r="D699" i="6"/>
  <c r="E699" i="6" s="1"/>
  <c r="D719" i="6"/>
  <c r="E719" i="6" s="1"/>
  <c r="D763" i="6"/>
  <c r="E763" i="6" s="1"/>
  <c r="D827" i="6"/>
  <c r="E827" i="6" s="1"/>
  <c r="D847" i="6"/>
  <c r="E847" i="6" s="1"/>
  <c r="D871" i="6"/>
  <c r="E871" i="6" s="1"/>
  <c r="D891" i="6"/>
  <c r="E891" i="6" s="1"/>
  <c r="D911" i="6"/>
  <c r="E911" i="6" s="1"/>
  <c r="D935" i="6"/>
  <c r="E935" i="6" s="1"/>
  <c r="D955" i="6"/>
  <c r="E955" i="6" s="1"/>
  <c r="D975" i="6"/>
  <c r="E975" i="6" s="1"/>
  <c r="D999" i="6"/>
  <c r="E999" i="6" s="1"/>
  <c r="D12" i="6"/>
  <c r="E12" i="6" s="1"/>
  <c r="D145" i="6"/>
  <c r="E145" i="6" s="1"/>
  <c r="D239" i="6"/>
  <c r="E239" i="6" s="1"/>
  <c r="D333" i="6"/>
  <c r="E333" i="6" s="1"/>
  <c r="D573" i="6"/>
  <c r="E573" i="6" s="1"/>
  <c r="D849" i="6"/>
  <c r="E849" i="6" s="1"/>
  <c r="D913" i="6"/>
  <c r="E913" i="6" s="1"/>
  <c r="D977" i="6"/>
  <c r="E977" i="6" s="1"/>
  <c r="D78" i="6"/>
  <c r="E78" i="6" s="1"/>
  <c r="D146" i="6"/>
  <c r="E146" i="6" s="1"/>
  <c r="D240" i="6"/>
  <c r="E240" i="6" s="1"/>
  <c r="D334" i="6"/>
  <c r="E334" i="6" s="1"/>
  <c r="D682" i="6"/>
  <c r="E682" i="6" s="1"/>
  <c r="D850" i="6"/>
  <c r="E850" i="6" s="1"/>
  <c r="D914" i="6"/>
  <c r="E914" i="6" s="1"/>
  <c r="D14" i="6"/>
  <c r="E14" i="6" s="1"/>
  <c r="D105" i="6"/>
  <c r="E105" i="6" s="1"/>
  <c r="D152" i="6"/>
  <c r="E152" i="6" s="1"/>
  <c r="D194" i="6"/>
  <c r="E194" i="6" s="1"/>
  <c r="D241" i="6"/>
  <c r="E241" i="6" s="1"/>
  <c r="D288" i="6"/>
  <c r="E288" i="6" s="1"/>
  <c r="D335" i="6"/>
  <c r="E335" i="6" s="1"/>
  <c r="D555" i="6"/>
  <c r="E555" i="6" s="1"/>
  <c r="D11" i="6"/>
  <c r="E11" i="6" s="1"/>
  <c r="D31" i="6"/>
  <c r="E31" i="6" s="1"/>
  <c r="D55" i="6"/>
  <c r="E55" i="6" s="1"/>
  <c r="D76" i="6"/>
  <c r="E76" i="6" s="1"/>
  <c r="D97" i="6"/>
  <c r="E97" i="6" s="1"/>
  <c r="D936" i="6"/>
  <c r="E936" i="6" s="1"/>
  <c r="D956" i="6"/>
  <c r="E956" i="6" s="1"/>
  <c r="D56" i="6"/>
  <c r="E56" i="6" s="1"/>
  <c r="D124" i="6"/>
  <c r="E124" i="6" s="1"/>
  <c r="D218" i="6"/>
  <c r="E218" i="6" s="1"/>
  <c r="D529" i="6"/>
  <c r="E529" i="6" s="1"/>
  <c r="D125" i="6"/>
  <c r="E125" i="6" s="1"/>
  <c r="D219" i="6"/>
  <c r="E219" i="6" s="1"/>
  <c r="D830" i="6"/>
  <c r="E830" i="6" s="1"/>
  <c r="D967" i="6"/>
  <c r="E967" i="6" s="1"/>
  <c r="D123" i="6"/>
  <c r="E123" i="6" s="1"/>
  <c r="D144" i="6"/>
  <c r="E144" i="6" s="1"/>
  <c r="D170" i="6"/>
  <c r="E170" i="6" s="1"/>
  <c r="D191" i="6"/>
  <c r="E191" i="6" s="1"/>
  <c r="D217" i="6"/>
  <c r="E217" i="6" s="1"/>
  <c r="D238" i="6"/>
  <c r="E238" i="6" s="1"/>
  <c r="D264" i="6"/>
  <c r="E264" i="6" s="1"/>
  <c r="D285" i="6"/>
  <c r="E285" i="6" s="1"/>
  <c r="D306" i="6"/>
  <c r="E306" i="6" s="1"/>
  <c r="D332" i="6"/>
  <c r="E332" i="6" s="1"/>
  <c r="D353" i="6"/>
  <c r="E353" i="6" s="1"/>
  <c r="D464" i="6"/>
  <c r="E464" i="6" s="1"/>
  <c r="D528" i="6"/>
  <c r="E528" i="6" s="1"/>
  <c r="D552" i="6"/>
  <c r="E552" i="6" s="1"/>
  <c r="D572" i="6"/>
  <c r="E572" i="6" s="1"/>
  <c r="D872" i="6"/>
  <c r="E872" i="6" s="1"/>
  <c r="D976" i="6"/>
  <c r="E976" i="6" s="1"/>
  <c r="D98" i="6"/>
  <c r="E98" i="6" s="1"/>
  <c r="D312" i="6"/>
  <c r="E312" i="6" s="1"/>
  <c r="D33" i="6"/>
  <c r="E33" i="6" s="1"/>
  <c r="D313" i="6"/>
  <c r="E313" i="6" s="1"/>
  <c r="D554" i="6"/>
  <c r="E554" i="6" s="1"/>
  <c r="D958" i="6"/>
  <c r="E958" i="6" s="1"/>
  <c r="D93" i="6"/>
  <c r="E93" i="6" s="1"/>
  <c r="D927" i="6"/>
  <c r="E927" i="6" s="1"/>
  <c r="D861" i="6"/>
  <c r="E861" i="6" s="1"/>
  <c r="D831" i="6"/>
  <c r="E831" i="6" s="1"/>
  <c r="D754" i="6"/>
  <c r="E754" i="6" s="1"/>
  <c r="D728" i="6"/>
  <c r="E728" i="6" s="1"/>
  <c r="D568" i="6"/>
  <c r="E568" i="6" s="1"/>
  <c r="D537" i="6"/>
  <c r="E537" i="6" s="1"/>
  <c r="D457" i="6"/>
  <c r="E457" i="6" s="1"/>
  <c r="D338" i="6"/>
  <c r="E338" i="6" s="1"/>
  <c r="D298" i="6"/>
  <c r="E298" i="6" s="1"/>
  <c r="D253" i="6"/>
  <c r="E253" i="6" s="1"/>
  <c r="D208" i="6"/>
  <c r="E208" i="6" s="1"/>
  <c r="D175" i="6"/>
  <c r="E175" i="6" s="1"/>
  <c r="D130" i="6"/>
  <c r="E130" i="6" s="1"/>
  <c r="D90" i="6"/>
  <c r="E90" i="6" s="1"/>
  <c r="D47" i="6"/>
  <c r="E47" i="6" s="1"/>
  <c r="D16" i="6"/>
  <c r="E16" i="6" s="1"/>
  <c r="D834" i="6"/>
  <c r="E834" i="6" s="1"/>
  <c r="D61" i="6"/>
  <c r="E61" i="6" s="1"/>
  <c r="D896" i="6"/>
  <c r="E896" i="6" s="1"/>
  <c r="D824" i="6"/>
  <c r="E824" i="6" s="1"/>
  <c r="D794" i="6"/>
  <c r="E794" i="6" s="1"/>
  <c r="D567" i="6"/>
  <c r="E567" i="6" s="1"/>
  <c r="D536" i="6"/>
  <c r="E536" i="6" s="1"/>
  <c r="D456" i="6"/>
  <c r="E456" i="6" s="1"/>
  <c r="D337" i="6"/>
  <c r="E337" i="6" s="1"/>
  <c r="D297" i="6"/>
  <c r="E297" i="6" s="1"/>
  <c r="D252" i="6"/>
  <c r="E252" i="6" s="1"/>
  <c r="D207" i="6"/>
  <c r="E207" i="6" s="1"/>
  <c r="D174" i="6"/>
  <c r="E174" i="6" s="1"/>
  <c r="D129" i="6"/>
  <c r="E129" i="6" s="1"/>
  <c r="D89" i="6"/>
  <c r="E89" i="6" s="1"/>
  <c r="D46" i="6"/>
  <c r="E46" i="6" s="1"/>
  <c r="D15" i="6"/>
  <c r="E15" i="6" s="1"/>
  <c r="D931" i="6"/>
  <c r="E931" i="6" s="1"/>
  <c r="D947" i="6"/>
  <c r="E947" i="6" s="1"/>
  <c r="D963" i="6"/>
  <c r="E963" i="6" s="1"/>
  <c r="D979" i="6"/>
  <c r="E979" i="6" s="1"/>
  <c r="D995" i="6"/>
  <c r="E995" i="6" s="1"/>
  <c r="D4" i="6"/>
  <c r="E4" i="6" s="1"/>
  <c r="D20" i="6"/>
  <c r="E20" i="6" s="1"/>
  <c r="D36" i="6"/>
  <c r="E36" i="6" s="1"/>
  <c r="D52" i="6"/>
  <c r="E52" i="6" s="1"/>
  <c r="D68" i="6"/>
  <c r="E68" i="6" s="1"/>
  <c r="D84" i="6"/>
  <c r="E84" i="6" s="1"/>
  <c r="D100" i="6"/>
  <c r="E100" i="6" s="1"/>
  <c r="D116" i="6"/>
  <c r="E116" i="6" s="1"/>
  <c r="D132" i="6"/>
  <c r="E132" i="6" s="1"/>
  <c r="D148" i="6"/>
  <c r="E148" i="6" s="1"/>
  <c r="D164" i="6"/>
  <c r="E164" i="6" s="1"/>
  <c r="D180" i="6"/>
  <c r="E180" i="6" s="1"/>
  <c r="D196" i="6"/>
  <c r="E196" i="6" s="1"/>
  <c r="D212" i="6"/>
  <c r="E212" i="6" s="1"/>
  <c r="D228" i="6"/>
  <c r="E228" i="6" s="1"/>
  <c r="D244" i="6"/>
  <c r="E244" i="6" s="1"/>
  <c r="D260" i="6"/>
  <c r="E260" i="6" s="1"/>
  <c r="D276" i="6"/>
  <c r="E276" i="6" s="1"/>
  <c r="D292" i="6"/>
  <c r="E292" i="6" s="1"/>
  <c r="D308" i="6"/>
  <c r="E308" i="6" s="1"/>
  <c r="D324" i="6"/>
  <c r="E324" i="6" s="1"/>
  <c r="D340" i="6"/>
  <c r="E340" i="6" s="1"/>
  <c r="D356" i="6"/>
  <c r="E356" i="6" s="1"/>
  <c r="D372" i="6"/>
  <c r="E372" i="6" s="1"/>
  <c r="D388" i="6"/>
  <c r="E388" i="6" s="1"/>
  <c r="D404" i="6"/>
  <c r="E404" i="6" s="1"/>
  <c r="D420" i="6"/>
  <c r="E420" i="6" s="1"/>
  <c r="D436" i="6"/>
  <c r="E436" i="6" s="1"/>
  <c r="D452" i="6"/>
  <c r="E452" i="6" s="1"/>
  <c r="D468" i="6"/>
  <c r="E468" i="6" s="1"/>
  <c r="D484" i="6"/>
  <c r="E484" i="6" s="1"/>
  <c r="D500" i="6"/>
  <c r="E500" i="6" s="1"/>
  <c r="D516" i="6"/>
  <c r="E516" i="6" s="1"/>
  <c r="D532" i="6"/>
  <c r="E532" i="6" s="1"/>
  <c r="D548" i="6"/>
  <c r="E548" i="6" s="1"/>
  <c r="D564" i="6"/>
  <c r="E564" i="6" s="1"/>
  <c r="D580" i="6"/>
  <c r="E580" i="6" s="1"/>
  <c r="D596" i="6"/>
  <c r="E596" i="6" s="1"/>
  <c r="D612" i="6"/>
  <c r="E612" i="6" s="1"/>
  <c r="D628" i="6"/>
  <c r="E628" i="6" s="1"/>
  <c r="D676" i="6"/>
  <c r="E676" i="6" s="1"/>
  <c r="D692" i="6"/>
  <c r="E692" i="6" s="1"/>
  <c r="D708" i="6"/>
  <c r="E708" i="6" s="1"/>
  <c r="D724" i="6"/>
  <c r="E724" i="6" s="1"/>
  <c r="D740" i="6"/>
  <c r="E740" i="6" s="1"/>
  <c r="D772" i="6"/>
  <c r="E772" i="6" s="1"/>
  <c r="D788" i="6"/>
  <c r="E788" i="6" s="1"/>
  <c r="D804" i="6"/>
  <c r="E804" i="6" s="1"/>
  <c r="D836" i="6"/>
  <c r="E836" i="6" s="1"/>
  <c r="D868" i="6"/>
  <c r="E868" i="6" s="1"/>
  <c r="D884" i="6"/>
  <c r="E884" i="6" s="1"/>
  <c r="D900" i="6"/>
  <c r="E900" i="6" s="1"/>
  <c r="D916" i="6"/>
  <c r="E916" i="6" s="1"/>
  <c r="D948" i="6"/>
  <c r="E948" i="6" s="1"/>
  <c r="D964" i="6"/>
  <c r="E964" i="6" s="1"/>
  <c r="D980" i="6"/>
  <c r="E980" i="6" s="1"/>
  <c r="D996" i="6"/>
  <c r="E996" i="6" s="1"/>
  <c r="D5" i="6"/>
  <c r="E5" i="6" s="1"/>
  <c r="D21" i="6"/>
  <c r="E21" i="6" s="1"/>
  <c r="D37" i="6"/>
  <c r="E37" i="6" s="1"/>
  <c r="D53" i="6"/>
  <c r="E53" i="6" s="1"/>
  <c r="D69" i="6"/>
  <c r="E69" i="6" s="1"/>
  <c r="D85" i="6"/>
  <c r="E85" i="6" s="1"/>
  <c r="D101" i="6"/>
  <c r="E101" i="6" s="1"/>
  <c r="D117" i="6"/>
  <c r="E117" i="6" s="1"/>
  <c r="D133" i="6"/>
  <c r="E133" i="6" s="1"/>
  <c r="D149" i="6"/>
  <c r="E149" i="6" s="1"/>
  <c r="D165" i="6"/>
  <c r="E165" i="6" s="1"/>
  <c r="D181" i="6"/>
  <c r="E181" i="6" s="1"/>
  <c r="D197" i="6"/>
  <c r="E197" i="6" s="1"/>
  <c r="D213" i="6"/>
  <c r="E213" i="6" s="1"/>
  <c r="D229" i="6"/>
  <c r="E229" i="6" s="1"/>
  <c r="D245" i="6"/>
  <c r="E245" i="6" s="1"/>
  <c r="D261" i="6"/>
  <c r="E261" i="6" s="1"/>
  <c r="D277" i="6"/>
  <c r="E277" i="6" s="1"/>
  <c r="D293" i="6"/>
  <c r="E293" i="6" s="1"/>
  <c r="D309" i="6"/>
  <c r="E309" i="6" s="1"/>
  <c r="D325" i="6"/>
  <c r="E325" i="6" s="1"/>
  <c r="D341" i="6"/>
  <c r="E341" i="6" s="1"/>
  <c r="D357" i="6"/>
  <c r="E357" i="6" s="1"/>
  <c r="D373" i="6"/>
  <c r="E373" i="6" s="1"/>
  <c r="D389" i="6"/>
  <c r="E389" i="6" s="1"/>
  <c r="D405" i="6"/>
  <c r="E405" i="6" s="1"/>
  <c r="D421" i="6"/>
  <c r="E421" i="6" s="1"/>
  <c r="D437" i="6"/>
  <c r="E437" i="6" s="1"/>
  <c r="D453" i="6"/>
  <c r="E453" i="6" s="1"/>
  <c r="D469" i="6"/>
  <c r="E469" i="6" s="1"/>
  <c r="D485" i="6"/>
  <c r="E485" i="6" s="1"/>
  <c r="D501" i="6"/>
  <c r="E501" i="6" s="1"/>
  <c r="D517" i="6"/>
  <c r="E517" i="6" s="1"/>
  <c r="D533" i="6"/>
  <c r="E533" i="6" s="1"/>
  <c r="D549" i="6"/>
  <c r="E549" i="6" s="1"/>
  <c r="D565" i="6"/>
  <c r="E565" i="6" s="1"/>
  <c r="D581" i="6"/>
  <c r="E581" i="6" s="1"/>
  <c r="D597" i="6"/>
  <c r="E597" i="6" s="1"/>
  <c r="D613" i="6"/>
  <c r="E613" i="6" s="1"/>
  <c r="D629" i="6"/>
  <c r="E629" i="6" s="1"/>
  <c r="D645" i="6"/>
  <c r="E645" i="6" s="1"/>
  <c r="D661" i="6"/>
  <c r="E661" i="6" s="1"/>
  <c r="D677" i="6"/>
  <c r="E677" i="6" s="1"/>
  <c r="D709" i="6"/>
  <c r="E709" i="6" s="1"/>
  <c r="D725" i="6"/>
  <c r="E725" i="6" s="1"/>
  <c r="D757" i="6"/>
  <c r="E757" i="6" s="1"/>
  <c r="D789" i="6"/>
  <c r="E789" i="6" s="1"/>
  <c r="D821" i="6"/>
  <c r="E821" i="6" s="1"/>
  <c r="D853" i="6"/>
  <c r="E853" i="6" s="1"/>
  <c r="D933" i="6"/>
  <c r="E933" i="6" s="1"/>
  <c r="D981" i="6"/>
  <c r="E981" i="6" s="1"/>
  <c r="D997" i="6"/>
  <c r="E997" i="6" s="1"/>
  <c r="D6" i="6"/>
  <c r="E6" i="6" s="1"/>
  <c r="D22" i="6"/>
  <c r="E22" i="6" s="1"/>
  <c r="D38" i="6"/>
  <c r="E38" i="6" s="1"/>
  <c r="D54" i="6"/>
  <c r="E54" i="6" s="1"/>
  <c r="D70" i="6"/>
  <c r="E70" i="6" s="1"/>
  <c r="D86" i="6"/>
  <c r="E86" i="6" s="1"/>
  <c r="D102" i="6"/>
  <c r="E102" i="6" s="1"/>
  <c r="D118" i="6"/>
  <c r="E118" i="6" s="1"/>
  <c r="D134" i="6"/>
  <c r="E134" i="6" s="1"/>
  <c r="D150" i="6"/>
  <c r="E150" i="6" s="1"/>
  <c r="D166" i="6"/>
  <c r="E166" i="6" s="1"/>
  <c r="D182" i="6"/>
  <c r="E182" i="6" s="1"/>
  <c r="D198" i="6"/>
  <c r="E198" i="6" s="1"/>
  <c r="D214" i="6"/>
  <c r="E214" i="6" s="1"/>
  <c r="D230" i="6"/>
  <c r="E230" i="6" s="1"/>
  <c r="D246" i="6"/>
  <c r="E246" i="6" s="1"/>
  <c r="D262" i="6"/>
  <c r="E262" i="6" s="1"/>
  <c r="D454" i="6"/>
  <c r="E454" i="6" s="1"/>
  <c r="D470" i="6"/>
  <c r="E470" i="6" s="1"/>
  <c r="D486" i="6"/>
  <c r="E486" i="6" s="1"/>
  <c r="D502" i="6"/>
  <c r="E502" i="6" s="1"/>
  <c r="D518" i="6"/>
  <c r="E518" i="6" s="1"/>
  <c r="D534" i="6"/>
  <c r="E534" i="6" s="1"/>
  <c r="D550" i="6"/>
  <c r="E550" i="6" s="1"/>
  <c r="D566" i="6"/>
  <c r="E566" i="6" s="1"/>
  <c r="D582" i="6"/>
  <c r="E582" i="6" s="1"/>
  <c r="D598" i="6"/>
  <c r="E598" i="6" s="1"/>
  <c r="D646" i="6"/>
  <c r="E646" i="6" s="1"/>
  <c r="D662" i="6"/>
  <c r="E662" i="6" s="1"/>
  <c r="D694" i="6"/>
  <c r="E694" i="6" s="1"/>
  <c r="D742" i="6"/>
  <c r="E742" i="6" s="1"/>
  <c r="D758" i="6"/>
  <c r="E758" i="6" s="1"/>
  <c r="D774" i="6"/>
  <c r="E774" i="6" s="1"/>
  <c r="D806" i="6"/>
  <c r="E806" i="6" s="1"/>
  <c r="D822" i="6"/>
  <c r="E822" i="6" s="1"/>
  <c r="D838" i="6"/>
  <c r="E838" i="6" s="1"/>
  <c r="D854" i="6"/>
  <c r="E854" i="6" s="1"/>
  <c r="D870" i="6"/>
  <c r="E870" i="6" s="1"/>
  <c r="D886" i="6"/>
  <c r="E886" i="6" s="1"/>
  <c r="D902" i="6"/>
  <c r="E902" i="6" s="1"/>
  <c r="D918" i="6"/>
  <c r="E918" i="6" s="1"/>
  <c r="D934" i="6"/>
  <c r="E934" i="6" s="1"/>
  <c r="D950" i="6"/>
  <c r="E950" i="6" s="1"/>
  <c r="D966" i="6"/>
  <c r="E966" i="6" s="1"/>
  <c r="D982" i="6"/>
  <c r="E982" i="6" s="1"/>
  <c r="D998" i="6"/>
  <c r="E998" i="6" s="1"/>
  <c r="D71" i="6"/>
  <c r="E71" i="6" s="1"/>
  <c r="D87" i="6"/>
  <c r="E87" i="6" s="1"/>
  <c r="D103" i="6"/>
  <c r="E103" i="6" s="1"/>
  <c r="D119" i="6"/>
  <c r="E119" i="6" s="1"/>
  <c r="D135" i="6"/>
  <c r="E135" i="6" s="1"/>
  <c r="D151" i="6"/>
  <c r="E151" i="6" s="1"/>
  <c r="D167" i="6"/>
  <c r="E167" i="6" s="1"/>
  <c r="D183" i="6"/>
  <c r="E183" i="6" s="1"/>
  <c r="D199" i="6"/>
  <c r="E199" i="6" s="1"/>
  <c r="D215" i="6"/>
  <c r="E215" i="6" s="1"/>
  <c r="D231" i="6"/>
  <c r="E231" i="6" s="1"/>
  <c r="D247" i="6"/>
  <c r="E247" i="6" s="1"/>
  <c r="D73" i="6"/>
  <c r="E73" i="6" s="1"/>
  <c r="D94" i="6"/>
  <c r="E94" i="6" s="1"/>
  <c r="D120" i="6"/>
  <c r="E120" i="6" s="1"/>
  <c r="D141" i="6"/>
  <c r="E141" i="6" s="1"/>
  <c r="D162" i="6"/>
  <c r="E162" i="6" s="1"/>
  <c r="D188" i="6"/>
  <c r="E188" i="6" s="1"/>
  <c r="D209" i="6"/>
  <c r="E209" i="6" s="1"/>
  <c r="D235" i="6"/>
  <c r="E235" i="6" s="1"/>
  <c r="D256" i="6"/>
  <c r="E256" i="6" s="1"/>
  <c r="D461" i="6"/>
  <c r="E461" i="6" s="1"/>
  <c r="D481" i="6"/>
  <c r="E481" i="6" s="1"/>
  <c r="D505" i="6"/>
  <c r="E505" i="6" s="1"/>
  <c r="D525" i="6"/>
  <c r="E525" i="6" s="1"/>
  <c r="D545" i="6"/>
  <c r="E545" i="6" s="1"/>
  <c r="D569" i="6"/>
  <c r="E569" i="6" s="1"/>
  <c r="D589" i="6"/>
  <c r="E589" i="6" s="1"/>
  <c r="D609" i="6"/>
  <c r="E609" i="6" s="1"/>
  <c r="D653" i="6"/>
  <c r="E653" i="6" s="1"/>
  <c r="D737" i="6"/>
  <c r="E737" i="6" s="1"/>
  <c r="D761" i="6"/>
  <c r="E761" i="6" s="1"/>
  <c r="D825" i="6"/>
  <c r="E825" i="6" s="1"/>
  <c r="D889" i="6"/>
  <c r="E889" i="6" s="1"/>
  <c r="D909" i="6"/>
  <c r="E909" i="6" s="1"/>
  <c r="D77" i="6"/>
  <c r="E77" i="6" s="1"/>
  <c r="D192" i="6"/>
  <c r="E192" i="6" s="1"/>
  <c r="D465" i="6"/>
  <c r="E465" i="6" s="1"/>
  <c r="D701" i="6"/>
  <c r="E701" i="6" s="1"/>
  <c r="D785" i="6"/>
  <c r="E785" i="6" s="1"/>
  <c r="D104" i="6"/>
  <c r="E104" i="6" s="1"/>
  <c r="D172" i="6"/>
  <c r="E172" i="6" s="1"/>
  <c r="D446" i="6"/>
  <c r="E446" i="6" s="1"/>
  <c r="D142" i="6"/>
  <c r="E142" i="6" s="1"/>
  <c r="D168" i="6"/>
  <c r="E168" i="6" s="1"/>
  <c r="D189" i="6"/>
  <c r="E189" i="6" s="1"/>
  <c r="D210" i="6"/>
  <c r="E210" i="6" s="1"/>
  <c r="D236" i="6"/>
  <c r="E236" i="6" s="1"/>
  <c r="D257" i="6"/>
  <c r="E257" i="6" s="1"/>
  <c r="D462" i="6"/>
  <c r="E462" i="6" s="1"/>
  <c r="D482" i="6"/>
  <c r="E482" i="6" s="1"/>
  <c r="D506" i="6"/>
  <c r="E506" i="6" s="1"/>
  <c r="D802" i="6"/>
  <c r="E802" i="6" s="1"/>
  <c r="D866" i="6"/>
  <c r="E866" i="6" s="1"/>
  <c r="D930" i="6"/>
  <c r="E930" i="6" s="1"/>
  <c r="D509" i="6"/>
  <c r="E509" i="6" s="1"/>
  <c r="D466" i="6"/>
  <c r="E466" i="6" s="1"/>
  <c r="D447" i="6"/>
  <c r="E447" i="6" s="1"/>
  <c r="D491" i="6"/>
  <c r="E491" i="6" s="1"/>
  <c r="D258" i="6"/>
  <c r="E258" i="6" s="1"/>
  <c r="D463" i="6"/>
  <c r="E463" i="6" s="1"/>
  <c r="D487" i="6"/>
  <c r="E487" i="6" s="1"/>
  <c r="D507" i="6"/>
  <c r="E507" i="6" s="1"/>
  <c r="D489" i="6"/>
  <c r="E489" i="6" s="1"/>
  <c r="D510" i="6"/>
  <c r="E510" i="6" s="1"/>
  <c r="D594" i="6"/>
  <c r="E594" i="6" s="1"/>
  <c r="D519" i="6"/>
  <c r="E519" i="6" s="1"/>
  <c r="D522" i="6"/>
  <c r="E522" i="6" s="1"/>
  <c r="D513" i="6"/>
  <c r="E513" i="6" s="1"/>
  <c r="D954" i="6"/>
  <c r="E954" i="6" s="1"/>
  <c r="D689" i="6"/>
  <c r="E689" i="6" s="1"/>
  <c r="D620" i="6"/>
  <c r="E620" i="6" s="1"/>
  <c r="D578" i="6"/>
  <c r="E578" i="6" s="1"/>
  <c r="D540" i="6"/>
  <c r="E540" i="6" s="1"/>
  <c r="D386" i="6"/>
  <c r="E386" i="6" s="1"/>
  <c r="D346" i="6"/>
  <c r="E346" i="6" s="1"/>
  <c r="D301" i="6"/>
  <c r="E301" i="6" s="1"/>
  <c r="D268" i="6"/>
  <c r="E268" i="6" s="1"/>
  <c r="D903" i="6"/>
  <c r="E903" i="6" s="1"/>
  <c r="D863" i="6"/>
  <c r="E863" i="6" s="1"/>
  <c r="D760" i="6"/>
  <c r="E760" i="6" s="1"/>
  <c r="D730" i="6"/>
  <c r="E730" i="6" s="1"/>
  <c r="D688" i="6"/>
  <c r="E688" i="6" s="1"/>
  <c r="D650" i="6"/>
  <c r="E650" i="6" s="1"/>
  <c r="D608" i="6"/>
  <c r="E608" i="6" s="1"/>
  <c r="D577" i="6"/>
  <c r="E577" i="6" s="1"/>
  <c r="D539" i="6"/>
  <c r="E539" i="6" s="1"/>
  <c r="D428" i="6"/>
  <c r="E428" i="6" s="1"/>
  <c r="D345" i="6"/>
  <c r="E345" i="6" s="1"/>
  <c r="D300" i="6"/>
  <c r="E300" i="6" s="1"/>
  <c r="D137" i="6"/>
  <c r="E137" i="6" s="1"/>
  <c r="D92" i="6"/>
  <c r="E92" i="6" s="1"/>
  <c r="D940" i="6"/>
  <c r="E940" i="6" s="1"/>
  <c r="D138" i="6"/>
  <c r="E138" i="6" s="1"/>
  <c r="D968" i="6"/>
  <c r="E968" i="6" s="1"/>
  <c r="D928" i="6"/>
  <c r="E928" i="6" s="1"/>
  <c r="D898" i="6"/>
  <c r="E898" i="6" s="1"/>
  <c r="D796" i="6"/>
  <c r="E796" i="6" s="1"/>
  <c r="D759" i="6"/>
  <c r="E759" i="6" s="1"/>
  <c r="D729" i="6"/>
  <c r="E729" i="6" s="1"/>
  <c r="D687" i="6"/>
  <c r="E687" i="6" s="1"/>
  <c r="D649" i="6"/>
  <c r="E649" i="6" s="1"/>
  <c r="D607" i="6"/>
  <c r="E607" i="6" s="1"/>
  <c r="D496" i="6"/>
  <c r="E496" i="6" s="1"/>
  <c r="D458" i="6"/>
  <c r="E458" i="6" s="1"/>
  <c r="D344" i="6"/>
  <c r="E344" i="6" s="1"/>
  <c r="D299" i="6"/>
  <c r="E299" i="6" s="1"/>
  <c r="D136" i="6"/>
  <c r="E136" i="6" s="1"/>
  <c r="D163" i="6"/>
  <c r="E163" i="6" s="1"/>
  <c r="D179" i="6"/>
  <c r="E179" i="6" s="1"/>
  <c r="D195" i="6"/>
  <c r="E195" i="6" s="1"/>
  <c r="D243" i="6"/>
  <c r="E243" i="6" s="1"/>
  <c r="D323" i="6"/>
  <c r="E323" i="6" s="1"/>
  <c r="D339" i="6"/>
  <c r="E339" i="6" s="1"/>
  <c r="D819" i="6"/>
  <c r="E819" i="6" s="1"/>
  <c r="D336" i="6"/>
  <c r="E336" i="6" s="1"/>
  <c r="D347" i="6"/>
  <c r="E347" i="6" s="1"/>
  <c r="D348" i="6"/>
  <c r="E348" i="6" s="1"/>
  <c r="D349" i="6"/>
  <c r="E349" i="6" s="1"/>
  <c r="D362" i="6"/>
  <c r="E362" i="6" s="1"/>
  <c r="D363" i="6"/>
  <c r="E363" i="6" s="1"/>
  <c r="D364" i="6"/>
  <c r="E364" i="6" s="1"/>
  <c r="D365" i="6"/>
  <c r="E365" i="6" s="1"/>
  <c r="D366" i="6"/>
  <c r="E366" i="6" s="1"/>
  <c r="D367" i="6"/>
  <c r="E367" i="6" s="1"/>
  <c r="D368" i="6"/>
  <c r="E368" i="6" s="1"/>
  <c r="D369" i="6"/>
  <c r="E369" i="6" s="1"/>
  <c r="D392" i="6"/>
  <c r="E392" i="6" s="1"/>
  <c r="D393" i="6"/>
  <c r="E393" i="6" s="1"/>
  <c r="D394" i="6"/>
  <c r="E394" i="6" s="1"/>
  <c r="D395" i="6"/>
  <c r="E395" i="6" s="1"/>
  <c r="D396" i="6"/>
  <c r="E396" i="6" s="1"/>
  <c r="D408" i="6"/>
  <c r="E408" i="6" s="1"/>
  <c r="D409" i="6"/>
  <c r="E409" i="6" s="1"/>
  <c r="D410" i="6"/>
  <c r="E410" i="6" s="1"/>
  <c r="D411" i="6"/>
  <c r="E411" i="6" s="1"/>
  <c r="D412" i="6"/>
  <c r="E412" i="6" s="1"/>
  <c r="D413" i="6"/>
  <c r="E413" i="6" s="1"/>
  <c r="D430" i="6"/>
  <c r="E430" i="6" s="1"/>
  <c r="D431" i="6"/>
  <c r="E431" i="6" s="1"/>
  <c r="D432" i="6"/>
  <c r="E432" i="6" s="1"/>
  <c r="D433" i="6"/>
  <c r="E433" i="6" s="1"/>
  <c r="D434" i="6"/>
  <c r="E434" i="6" s="1"/>
  <c r="D439" i="6"/>
  <c r="E439" i="6" s="1"/>
  <c r="D440" i="6"/>
  <c r="E440" i="6" s="1"/>
  <c r="D448" i="6"/>
  <c r="E448" i="6" s="1"/>
  <c r="D449" i="6"/>
  <c r="E449" i="6" s="1"/>
  <c r="D450" i="6"/>
  <c r="E450" i="6" s="1"/>
  <c r="D455" i="6"/>
  <c r="E455" i="6" s="1"/>
  <c r="D472" i="6"/>
  <c r="E472" i="6" s="1"/>
  <c r="D473" i="6"/>
  <c r="E473" i="6" s="1"/>
  <c r="D474" i="6"/>
  <c r="E474" i="6" s="1"/>
  <c r="D475" i="6"/>
  <c r="E475" i="6" s="1"/>
  <c r="D476" i="6"/>
  <c r="E476" i="6" s="1"/>
  <c r="D477" i="6"/>
  <c r="E477" i="6" s="1"/>
  <c r="D478" i="6"/>
  <c r="E478" i="6" s="1"/>
  <c r="D479" i="6"/>
  <c r="E479" i="6" s="1"/>
  <c r="D480" i="6"/>
  <c r="E480" i="6" s="1"/>
  <c r="D492" i="6"/>
  <c r="E492" i="6" s="1"/>
  <c r="D493" i="6"/>
  <c r="E493" i="6" s="1"/>
  <c r="D503" i="6"/>
  <c r="E503" i="6" s="1"/>
  <c r="D504" i="6"/>
  <c r="E504" i="6" s="1"/>
  <c r="D512" i="6"/>
  <c r="E512" i="6" s="1"/>
  <c r="D514" i="6"/>
  <c r="E514" i="6" s="1"/>
  <c r="D520" i="6"/>
  <c r="E520" i="6" s="1"/>
  <c r="D521" i="6"/>
  <c r="E521" i="6" s="1"/>
  <c r="D523" i="6"/>
  <c r="E523" i="6" s="1"/>
  <c r="D524" i="6"/>
  <c r="E524" i="6" s="1"/>
  <c r="D906" i="6"/>
  <c r="E906" i="6" s="1"/>
  <c r="D908" i="6"/>
  <c r="E908" i="6" s="1"/>
  <c r="D776" i="6"/>
  <c r="E776" i="6" s="1"/>
  <c r="D780" i="6"/>
  <c r="E780" i="6" s="1"/>
  <c r="D925" i="6"/>
  <c r="E925" i="6" s="1"/>
  <c r="D941" i="6"/>
  <c r="E941" i="6" s="1"/>
  <c r="D942" i="6"/>
  <c r="E942" i="6" s="1"/>
  <c r="D943" i="6"/>
  <c r="E943" i="6" s="1"/>
  <c r="D944" i="6"/>
  <c r="E944" i="6" s="1"/>
  <c r="D946" i="6"/>
  <c r="E946" i="6" s="1"/>
  <c r="D951" i="6"/>
  <c r="E951" i="6" s="1"/>
  <c r="D960" i="6"/>
  <c r="E960" i="6" s="1"/>
  <c r="D961" i="6"/>
  <c r="E961" i="6" s="1"/>
  <c r="D971" i="6"/>
  <c r="E971" i="6" s="1"/>
  <c r="D972" i="6"/>
  <c r="E972" i="6" s="1"/>
  <c r="D983" i="6"/>
  <c r="E983" i="6" s="1"/>
  <c r="D984" i="6"/>
  <c r="E984" i="6" s="1"/>
  <c r="D985" i="6"/>
  <c r="E985" i="6" s="1"/>
  <c r="D987" i="6"/>
  <c r="E987" i="6" s="1"/>
  <c r="D988" i="6"/>
  <c r="E988" i="6" s="1"/>
  <c r="D989" i="6"/>
  <c r="E989" i="6" s="1"/>
  <c r="D991" i="6"/>
  <c r="E991" i="6" s="1"/>
  <c r="D1001" i="6"/>
  <c r="E1001" i="6" s="1"/>
  <c r="D186" i="6"/>
  <c r="E186" i="6" s="1"/>
  <c r="D187" i="6"/>
  <c r="E187" i="6" s="1"/>
  <c r="D234" i="6"/>
  <c r="E234" i="6" s="1"/>
  <c r="D970" i="6"/>
  <c r="E970" i="6" s="1"/>
  <c r="D904" i="6"/>
  <c r="E904" i="6" s="1"/>
  <c r="D798" i="6"/>
  <c r="E798" i="6" s="1"/>
  <c r="D498" i="6"/>
  <c r="E498" i="6" s="1"/>
  <c r="D460" i="6"/>
  <c r="E460" i="6" s="1"/>
  <c r="D429" i="6"/>
  <c r="E429" i="6" s="1"/>
  <c r="D178" i="6"/>
  <c r="E178" i="6" s="1"/>
  <c r="D969" i="6"/>
  <c r="E969" i="6" s="1"/>
  <c r="D939" i="6"/>
  <c r="E939" i="6" s="1"/>
  <c r="D833" i="6"/>
  <c r="E833" i="6" s="1"/>
  <c r="D797" i="6"/>
  <c r="E797" i="6" s="1"/>
  <c r="D497" i="6"/>
  <c r="E497" i="6" s="1"/>
  <c r="D459" i="6"/>
  <c r="E459" i="6" s="1"/>
  <c r="D255" i="6"/>
  <c r="E255" i="6" s="1"/>
  <c r="D222" i="6"/>
  <c r="E222" i="6" s="1"/>
  <c r="D177" i="6"/>
  <c r="E177" i="6" s="1"/>
  <c r="D768" i="6"/>
  <c r="E768" i="6" s="1"/>
  <c r="D862" i="6"/>
  <c r="E862" i="6" s="1"/>
  <c r="D176" i="6"/>
  <c r="E176" i="6" s="1"/>
  <c r="D3" i="6"/>
  <c r="E3" i="6" s="1"/>
  <c r="D2" i="6"/>
  <c r="E2" i="6" s="1"/>
  <c r="I1241" i="2"/>
  <c r="J1241" i="2"/>
  <c r="K1241" i="2"/>
  <c r="L1241" i="2"/>
  <c r="M1241" i="2"/>
  <c r="N1241" i="2"/>
  <c r="O1241" i="2"/>
  <c r="I4" i="2"/>
  <c r="J4" i="2"/>
  <c r="K4" i="2"/>
  <c r="L4" i="2"/>
  <c r="M4" i="2"/>
  <c r="N4" i="2"/>
  <c r="O4" i="2"/>
  <c r="I5" i="2"/>
  <c r="J5" i="2"/>
  <c r="K5" i="2"/>
  <c r="L5" i="2"/>
  <c r="M5" i="2"/>
  <c r="N5" i="2"/>
  <c r="O5" i="2"/>
  <c r="I6" i="2"/>
  <c r="J6" i="2"/>
  <c r="K6" i="2"/>
  <c r="L6" i="2"/>
  <c r="M6" i="2"/>
  <c r="N6" i="2"/>
  <c r="O6" i="2"/>
  <c r="I7" i="2"/>
  <c r="J7" i="2"/>
  <c r="K7" i="2"/>
  <c r="L7" i="2"/>
  <c r="M7" i="2"/>
  <c r="N7" i="2"/>
  <c r="O7" i="2"/>
  <c r="I8" i="2"/>
  <c r="J8" i="2"/>
  <c r="K8" i="2"/>
  <c r="L8" i="2"/>
  <c r="M8" i="2"/>
  <c r="N8" i="2"/>
  <c r="O8" i="2"/>
  <c r="I9" i="2"/>
  <c r="J9" i="2"/>
  <c r="K9" i="2"/>
  <c r="L9" i="2"/>
  <c r="M9" i="2"/>
  <c r="N9" i="2"/>
  <c r="O9" i="2"/>
  <c r="I10" i="2"/>
  <c r="J10" i="2"/>
  <c r="K10" i="2"/>
  <c r="L10" i="2"/>
  <c r="M10" i="2"/>
  <c r="N10" i="2"/>
  <c r="O10" i="2"/>
  <c r="I11" i="2"/>
  <c r="J11" i="2"/>
  <c r="K11" i="2"/>
  <c r="L11" i="2"/>
  <c r="M11" i="2"/>
  <c r="N11" i="2"/>
  <c r="O11" i="2"/>
  <c r="I12" i="2"/>
  <c r="J12" i="2"/>
  <c r="K12" i="2"/>
  <c r="L12" i="2"/>
  <c r="M12" i="2"/>
  <c r="N12" i="2"/>
  <c r="O12" i="2"/>
  <c r="I13" i="2"/>
  <c r="J13" i="2"/>
  <c r="K13" i="2"/>
  <c r="L13" i="2"/>
  <c r="M13" i="2"/>
  <c r="N13" i="2"/>
  <c r="O13" i="2"/>
  <c r="I14" i="2"/>
  <c r="J14" i="2"/>
  <c r="K14" i="2"/>
  <c r="L14" i="2"/>
  <c r="M14" i="2"/>
  <c r="N14" i="2"/>
  <c r="O14" i="2"/>
  <c r="I15" i="2"/>
  <c r="J15" i="2"/>
  <c r="K15" i="2"/>
  <c r="L15" i="2"/>
  <c r="M15" i="2"/>
  <c r="N15" i="2"/>
  <c r="O15" i="2"/>
  <c r="I16" i="2"/>
  <c r="J16" i="2"/>
  <c r="K16" i="2"/>
  <c r="L16" i="2"/>
  <c r="M16" i="2"/>
  <c r="N16" i="2"/>
  <c r="O16" i="2"/>
  <c r="I17" i="2"/>
  <c r="J17" i="2"/>
  <c r="K17" i="2"/>
  <c r="L17" i="2"/>
  <c r="M17" i="2"/>
  <c r="N17" i="2"/>
  <c r="O17" i="2"/>
  <c r="I18" i="2"/>
  <c r="J18" i="2"/>
  <c r="K18" i="2"/>
  <c r="L18" i="2"/>
  <c r="M18" i="2"/>
  <c r="N18" i="2"/>
  <c r="O18" i="2"/>
  <c r="I19" i="2"/>
  <c r="J19" i="2"/>
  <c r="K19" i="2"/>
  <c r="L19" i="2"/>
  <c r="M19" i="2"/>
  <c r="N19" i="2"/>
  <c r="O19" i="2"/>
  <c r="I20" i="2"/>
  <c r="J20" i="2"/>
  <c r="K20" i="2"/>
  <c r="L20" i="2"/>
  <c r="M20" i="2"/>
  <c r="N20" i="2"/>
  <c r="O20" i="2"/>
  <c r="I21" i="2"/>
  <c r="J21" i="2"/>
  <c r="K21" i="2"/>
  <c r="L21" i="2"/>
  <c r="M21" i="2"/>
  <c r="N21" i="2"/>
  <c r="O21" i="2"/>
  <c r="I22" i="2"/>
  <c r="J22" i="2"/>
  <c r="K22" i="2"/>
  <c r="L22" i="2"/>
  <c r="M22" i="2"/>
  <c r="N22" i="2"/>
  <c r="O22" i="2"/>
  <c r="I23" i="2"/>
  <c r="J23" i="2"/>
  <c r="K23" i="2"/>
  <c r="L23" i="2"/>
  <c r="M23" i="2"/>
  <c r="N23" i="2"/>
  <c r="O23" i="2"/>
  <c r="I24" i="2"/>
  <c r="J24" i="2"/>
  <c r="K24" i="2"/>
  <c r="L24" i="2"/>
  <c r="M24" i="2"/>
  <c r="N24" i="2"/>
  <c r="O24" i="2"/>
  <c r="I25" i="2"/>
  <c r="J25" i="2"/>
  <c r="K25" i="2"/>
  <c r="L25" i="2"/>
  <c r="M25" i="2"/>
  <c r="N25" i="2"/>
  <c r="O25" i="2"/>
  <c r="I26" i="2"/>
  <c r="J26" i="2"/>
  <c r="K26" i="2"/>
  <c r="L26" i="2"/>
  <c r="M26" i="2"/>
  <c r="N26" i="2"/>
  <c r="O26" i="2"/>
  <c r="I27" i="2"/>
  <c r="J27" i="2"/>
  <c r="K27" i="2"/>
  <c r="L27" i="2"/>
  <c r="M27" i="2"/>
  <c r="N27" i="2"/>
  <c r="O27" i="2"/>
  <c r="I28" i="2"/>
  <c r="J28" i="2"/>
  <c r="K28" i="2"/>
  <c r="L28" i="2"/>
  <c r="M28" i="2"/>
  <c r="N28" i="2"/>
  <c r="O28" i="2"/>
  <c r="I29" i="2"/>
  <c r="J29" i="2"/>
  <c r="K29" i="2"/>
  <c r="L29" i="2"/>
  <c r="M29" i="2"/>
  <c r="N29" i="2"/>
  <c r="O29" i="2"/>
  <c r="I30" i="2"/>
  <c r="J30" i="2"/>
  <c r="K30" i="2"/>
  <c r="L30" i="2"/>
  <c r="M30" i="2"/>
  <c r="N30" i="2"/>
  <c r="O30" i="2"/>
  <c r="I31" i="2"/>
  <c r="J31" i="2"/>
  <c r="K31" i="2"/>
  <c r="L31" i="2"/>
  <c r="M31" i="2"/>
  <c r="N31" i="2"/>
  <c r="O31" i="2"/>
  <c r="I32" i="2"/>
  <c r="J32" i="2"/>
  <c r="K32" i="2"/>
  <c r="L32" i="2"/>
  <c r="M32" i="2"/>
  <c r="N32" i="2"/>
  <c r="O32" i="2"/>
  <c r="I33" i="2"/>
  <c r="J33" i="2"/>
  <c r="K33" i="2"/>
  <c r="L33" i="2"/>
  <c r="M33" i="2"/>
  <c r="N33" i="2"/>
  <c r="O33" i="2"/>
  <c r="I34" i="2"/>
  <c r="J34" i="2"/>
  <c r="K34" i="2"/>
  <c r="L34" i="2"/>
  <c r="M34" i="2"/>
  <c r="N34" i="2"/>
  <c r="O34" i="2"/>
  <c r="I35" i="2"/>
  <c r="J35" i="2"/>
  <c r="K35" i="2"/>
  <c r="L35" i="2"/>
  <c r="M35" i="2"/>
  <c r="N35" i="2"/>
  <c r="O35" i="2"/>
  <c r="I36" i="2"/>
  <c r="J36" i="2"/>
  <c r="K36" i="2"/>
  <c r="L36" i="2"/>
  <c r="M36" i="2"/>
  <c r="N36" i="2"/>
  <c r="O36" i="2"/>
  <c r="I37" i="2"/>
  <c r="J37" i="2"/>
  <c r="K37" i="2"/>
  <c r="L37" i="2"/>
  <c r="M37" i="2"/>
  <c r="N37" i="2"/>
  <c r="O37" i="2"/>
  <c r="I38" i="2"/>
  <c r="J38" i="2"/>
  <c r="K38" i="2"/>
  <c r="L38" i="2"/>
  <c r="M38" i="2"/>
  <c r="N38" i="2"/>
  <c r="O38" i="2"/>
  <c r="I39" i="2"/>
  <c r="J39" i="2"/>
  <c r="K39" i="2"/>
  <c r="L39" i="2"/>
  <c r="M39" i="2"/>
  <c r="N39" i="2"/>
  <c r="O39" i="2"/>
  <c r="I40" i="2"/>
  <c r="J40" i="2"/>
  <c r="K40" i="2"/>
  <c r="L40" i="2"/>
  <c r="M40" i="2"/>
  <c r="N40" i="2"/>
  <c r="O40" i="2"/>
  <c r="I41" i="2"/>
  <c r="J41" i="2"/>
  <c r="K41" i="2"/>
  <c r="L41" i="2"/>
  <c r="M41" i="2"/>
  <c r="N41" i="2"/>
  <c r="O41" i="2"/>
  <c r="I42" i="2"/>
  <c r="J42" i="2"/>
  <c r="K42" i="2"/>
  <c r="L42" i="2"/>
  <c r="M42" i="2"/>
  <c r="N42" i="2"/>
  <c r="O42" i="2"/>
  <c r="I43" i="2"/>
  <c r="J43" i="2"/>
  <c r="K43" i="2"/>
  <c r="L43" i="2"/>
  <c r="M43" i="2"/>
  <c r="N43" i="2"/>
  <c r="O43" i="2"/>
  <c r="I44" i="2"/>
  <c r="J44" i="2"/>
  <c r="K44" i="2"/>
  <c r="L44" i="2"/>
  <c r="M44" i="2"/>
  <c r="N44" i="2"/>
  <c r="O44" i="2"/>
  <c r="I45" i="2"/>
  <c r="J45" i="2"/>
  <c r="K45" i="2"/>
  <c r="L45" i="2"/>
  <c r="M45" i="2"/>
  <c r="N45" i="2"/>
  <c r="O45" i="2"/>
  <c r="I46" i="2"/>
  <c r="J46" i="2"/>
  <c r="K46" i="2"/>
  <c r="L46" i="2"/>
  <c r="M46" i="2"/>
  <c r="N46" i="2"/>
  <c r="O46" i="2"/>
  <c r="I47" i="2"/>
  <c r="J47" i="2"/>
  <c r="K47" i="2"/>
  <c r="L47" i="2"/>
  <c r="M47" i="2"/>
  <c r="N47" i="2"/>
  <c r="O47" i="2"/>
  <c r="I48" i="2"/>
  <c r="J48" i="2"/>
  <c r="K48" i="2"/>
  <c r="L48" i="2"/>
  <c r="M48" i="2"/>
  <c r="N48" i="2"/>
  <c r="O48" i="2"/>
  <c r="I49" i="2"/>
  <c r="J49" i="2"/>
  <c r="K49" i="2"/>
  <c r="L49" i="2"/>
  <c r="M49" i="2"/>
  <c r="N49" i="2"/>
  <c r="O49" i="2"/>
  <c r="I50" i="2"/>
  <c r="J50" i="2"/>
  <c r="K50" i="2"/>
  <c r="L50" i="2"/>
  <c r="M50" i="2"/>
  <c r="N50" i="2"/>
  <c r="O50" i="2"/>
  <c r="I51" i="2"/>
  <c r="J51" i="2"/>
  <c r="K51" i="2"/>
  <c r="L51" i="2"/>
  <c r="M51" i="2"/>
  <c r="N51" i="2"/>
  <c r="O51" i="2"/>
  <c r="I52" i="2"/>
  <c r="J52" i="2"/>
  <c r="K52" i="2"/>
  <c r="L52" i="2"/>
  <c r="M52" i="2"/>
  <c r="N52" i="2"/>
  <c r="O52" i="2"/>
  <c r="I53" i="2"/>
  <c r="J53" i="2"/>
  <c r="K53" i="2"/>
  <c r="L53" i="2"/>
  <c r="M53" i="2"/>
  <c r="N53" i="2"/>
  <c r="O53" i="2"/>
  <c r="I54" i="2"/>
  <c r="J54" i="2"/>
  <c r="K54" i="2"/>
  <c r="L54" i="2"/>
  <c r="M54" i="2"/>
  <c r="N54" i="2"/>
  <c r="O54" i="2"/>
  <c r="I55" i="2"/>
  <c r="J55" i="2"/>
  <c r="K55" i="2"/>
  <c r="L55" i="2"/>
  <c r="M55" i="2"/>
  <c r="N55" i="2"/>
  <c r="O55" i="2"/>
  <c r="I56" i="2"/>
  <c r="J56" i="2"/>
  <c r="K56" i="2"/>
  <c r="L56" i="2"/>
  <c r="M56" i="2"/>
  <c r="N56" i="2"/>
  <c r="O56" i="2"/>
  <c r="I57" i="2"/>
  <c r="J57" i="2"/>
  <c r="K57" i="2"/>
  <c r="L57" i="2"/>
  <c r="M57" i="2"/>
  <c r="N57" i="2"/>
  <c r="O57" i="2"/>
  <c r="I58" i="2"/>
  <c r="J58" i="2"/>
  <c r="K58" i="2"/>
  <c r="L58" i="2"/>
  <c r="M58" i="2"/>
  <c r="N58" i="2"/>
  <c r="O58" i="2"/>
  <c r="I59" i="2"/>
  <c r="J59" i="2"/>
  <c r="K59" i="2"/>
  <c r="L59" i="2"/>
  <c r="M59" i="2"/>
  <c r="N59" i="2"/>
  <c r="O59" i="2"/>
  <c r="I60" i="2"/>
  <c r="J60" i="2"/>
  <c r="K60" i="2"/>
  <c r="L60" i="2"/>
  <c r="M60" i="2"/>
  <c r="N60" i="2"/>
  <c r="O60" i="2"/>
  <c r="I61" i="2"/>
  <c r="J61" i="2"/>
  <c r="K61" i="2"/>
  <c r="L61" i="2"/>
  <c r="M61" i="2"/>
  <c r="N61" i="2"/>
  <c r="O61" i="2"/>
  <c r="I62" i="2"/>
  <c r="J62" i="2"/>
  <c r="K62" i="2"/>
  <c r="L62" i="2"/>
  <c r="M62" i="2"/>
  <c r="N62" i="2"/>
  <c r="O62" i="2"/>
  <c r="I63" i="2"/>
  <c r="J63" i="2"/>
  <c r="K63" i="2"/>
  <c r="L63" i="2"/>
  <c r="M63" i="2"/>
  <c r="N63" i="2"/>
  <c r="O63" i="2"/>
  <c r="I64" i="2"/>
  <c r="J64" i="2"/>
  <c r="K64" i="2"/>
  <c r="L64" i="2"/>
  <c r="M64" i="2"/>
  <c r="N64" i="2"/>
  <c r="O64" i="2"/>
  <c r="I65" i="2"/>
  <c r="J65" i="2"/>
  <c r="K65" i="2"/>
  <c r="L65" i="2"/>
  <c r="M65" i="2"/>
  <c r="N65" i="2"/>
  <c r="O65" i="2"/>
  <c r="I66" i="2"/>
  <c r="J66" i="2"/>
  <c r="K66" i="2"/>
  <c r="L66" i="2"/>
  <c r="M66" i="2"/>
  <c r="N66" i="2"/>
  <c r="O66" i="2"/>
  <c r="I67" i="2"/>
  <c r="J67" i="2"/>
  <c r="K67" i="2"/>
  <c r="L67" i="2"/>
  <c r="M67" i="2"/>
  <c r="N67" i="2"/>
  <c r="O67" i="2"/>
  <c r="I68" i="2"/>
  <c r="J68" i="2"/>
  <c r="K68" i="2"/>
  <c r="L68" i="2"/>
  <c r="M68" i="2"/>
  <c r="N68" i="2"/>
  <c r="O68" i="2"/>
  <c r="I69" i="2"/>
  <c r="J69" i="2"/>
  <c r="K69" i="2"/>
  <c r="L69" i="2"/>
  <c r="M69" i="2"/>
  <c r="N69" i="2"/>
  <c r="O69" i="2"/>
  <c r="I70" i="2"/>
  <c r="J70" i="2"/>
  <c r="K70" i="2"/>
  <c r="L70" i="2"/>
  <c r="M70" i="2"/>
  <c r="N70" i="2"/>
  <c r="O70" i="2"/>
  <c r="I71" i="2"/>
  <c r="J71" i="2"/>
  <c r="K71" i="2"/>
  <c r="L71" i="2"/>
  <c r="M71" i="2"/>
  <c r="N71" i="2"/>
  <c r="O71" i="2"/>
  <c r="I72" i="2"/>
  <c r="J72" i="2"/>
  <c r="K72" i="2"/>
  <c r="L72" i="2"/>
  <c r="M72" i="2"/>
  <c r="N72" i="2"/>
  <c r="O72" i="2"/>
  <c r="I73" i="2"/>
  <c r="J73" i="2"/>
  <c r="K73" i="2"/>
  <c r="L73" i="2"/>
  <c r="M73" i="2"/>
  <c r="N73" i="2"/>
  <c r="O73" i="2"/>
  <c r="I74" i="2"/>
  <c r="J74" i="2"/>
  <c r="K74" i="2"/>
  <c r="L74" i="2"/>
  <c r="M74" i="2"/>
  <c r="N74" i="2"/>
  <c r="O74" i="2"/>
  <c r="I75" i="2"/>
  <c r="J75" i="2"/>
  <c r="K75" i="2"/>
  <c r="L75" i="2"/>
  <c r="M75" i="2"/>
  <c r="N75" i="2"/>
  <c r="O75" i="2"/>
  <c r="I76" i="2"/>
  <c r="J76" i="2"/>
  <c r="K76" i="2"/>
  <c r="L76" i="2"/>
  <c r="M76" i="2"/>
  <c r="N76" i="2"/>
  <c r="O76" i="2"/>
  <c r="I77" i="2"/>
  <c r="J77" i="2"/>
  <c r="K77" i="2"/>
  <c r="L77" i="2"/>
  <c r="M77" i="2"/>
  <c r="N77" i="2"/>
  <c r="O77" i="2"/>
  <c r="I78" i="2"/>
  <c r="J78" i="2"/>
  <c r="K78" i="2"/>
  <c r="L78" i="2"/>
  <c r="M78" i="2"/>
  <c r="N78" i="2"/>
  <c r="O78" i="2"/>
  <c r="I79" i="2"/>
  <c r="J79" i="2"/>
  <c r="K79" i="2"/>
  <c r="L79" i="2"/>
  <c r="M79" i="2"/>
  <c r="N79" i="2"/>
  <c r="O79" i="2"/>
  <c r="I80" i="2"/>
  <c r="J80" i="2"/>
  <c r="K80" i="2"/>
  <c r="L80" i="2"/>
  <c r="M80" i="2"/>
  <c r="N80" i="2"/>
  <c r="O80" i="2"/>
  <c r="I81" i="2"/>
  <c r="J81" i="2"/>
  <c r="K81" i="2"/>
  <c r="L81" i="2"/>
  <c r="M81" i="2"/>
  <c r="N81" i="2"/>
  <c r="O81" i="2"/>
  <c r="I82" i="2"/>
  <c r="J82" i="2"/>
  <c r="K82" i="2"/>
  <c r="L82" i="2"/>
  <c r="M82" i="2"/>
  <c r="N82" i="2"/>
  <c r="O82" i="2"/>
  <c r="I83" i="2"/>
  <c r="J83" i="2"/>
  <c r="K83" i="2"/>
  <c r="L83" i="2"/>
  <c r="M83" i="2"/>
  <c r="N83" i="2"/>
  <c r="O83" i="2"/>
  <c r="I84" i="2"/>
  <c r="J84" i="2"/>
  <c r="K84" i="2"/>
  <c r="L84" i="2"/>
  <c r="M84" i="2"/>
  <c r="N84" i="2"/>
  <c r="O84" i="2"/>
  <c r="I85" i="2"/>
  <c r="J85" i="2"/>
  <c r="K85" i="2"/>
  <c r="L85" i="2"/>
  <c r="M85" i="2"/>
  <c r="N85" i="2"/>
  <c r="O85" i="2"/>
  <c r="I86" i="2"/>
  <c r="J86" i="2"/>
  <c r="K86" i="2"/>
  <c r="L86" i="2"/>
  <c r="M86" i="2"/>
  <c r="N86" i="2"/>
  <c r="O86" i="2"/>
  <c r="I87" i="2"/>
  <c r="J87" i="2"/>
  <c r="K87" i="2"/>
  <c r="L87" i="2"/>
  <c r="M87" i="2"/>
  <c r="N87" i="2"/>
  <c r="O87" i="2"/>
  <c r="I88" i="2"/>
  <c r="J88" i="2"/>
  <c r="K88" i="2"/>
  <c r="L88" i="2"/>
  <c r="M88" i="2"/>
  <c r="N88" i="2"/>
  <c r="O88" i="2"/>
  <c r="I89" i="2"/>
  <c r="J89" i="2"/>
  <c r="K89" i="2"/>
  <c r="L89" i="2"/>
  <c r="M89" i="2"/>
  <c r="N89" i="2"/>
  <c r="O89" i="2"/>
  <c r="I90" i="2"/>
  <c r="J90" i="2"/>
  <c r="K90" i="2"/>
  <c r="L90" i="2"/>
  <c r="M90" i="2"/>
  <c r="N90" i="2"/>
  <c r="O90" i="2"/>
  <c r="I91" i="2"/>
  <c r="J91" i="2"/>
  <c r="K91" i="2"/>
  <c r="L91" i="2"/>
  <c r="M91" i="2"/>
  <c r="N91" i="2"/>
  <c r="O91" i="2"/>
  <c r="I92" i="2"/>
  <c r="J92" i="2"/>
  <c r="K92" i="2"/>
  <c r="L92" i="2"/>
  <c r="M92" i="2"/>
  <c r="N92" i="2"/>
  <c r="O92" i="2"/>
  <c r="I93" i="2"/>
  <c r="J93" i="2"/>
  <c r="K93" i="2"/>
  <c r="L93" i="2"/>
  <c r="M93" i="2"/>
  <c r="N93" i="2"/>
  <c r="O93" i="2"/>
  <c r="I94" i="2"/>
  <c r="J94" i="2"/>
  <c r="K94" i="2"/>
  <c r="L94" i="2"/>
  <c r="M94" i="2"/>
  <c r="N94" i="2"/>
  <c r="O94" i="2"/>
  <c r="I95" i="2"/>
  <c r="J95" i="2"/>
  <c r="K95" i="2"/>
  <c r="L95" i="2"/>
  <c r="M95" i="2"/>
  <c r="N95" i="2"/>
  <c r="O95" i="2"/>
  <c r="I96" i="2"/>
  <c r="J96" i="2"/>
  <c r="K96" i="2"/>
  <c r="L96" i="2"/>
  <c r="M96" i="2"/>
  <c r="N96" i="2"/>
  <c r="O96" i="2"/>
  <c r="I97" i="2"/>
  <c r="J97" i="2"/>
  <c r="K97" i="2"/>
  <c r="L97" i="2"/>
  <c r="M97" i="2"/>
  <c r="N97" i="2"/>
  <c r="O97" i="2"/>
  <c r="I98" i="2"/>
  <c r="J98" i="2"/>
  <c r="K98" i="2"/>
  <c r="L98" i="2"/>
  <c r="M98" i="2"/>
  <c r="N98" i="2"/>
  <c r="O98" i="2"/>
  <c r="I99" i="2"/>
  <c r="J99" i="2"/>
  <c r="K99" i="2"/>
  <c r="L99" i="2"/>
  <c r="M99" i="2"/>
  <c r="N99" i="2"/>
  <c r="O99" i="2"/>
  <c r="I100" i="2"/>
  <c r="J100" i="2"/>
  <c r="K100" i="2"/>
  <c r="L100" i="2"/>
  <c r="M100" i="2"/>
  <c r="N100" i="2"/>
  <c r="O100" i="2"/>
  <c r="I101" i="2"/>
  <c r="J101" i="2"/>
  <c r="K101" i="2"/>
  <c r="L101" i="2"/>
  <c r="M101" i="2"/>
  <c r="N101" i="2"/>
  <c r="O101" i="2"/>
  <c r="I102" i="2"/>
  <c r="J102" i="2"/>
  <c r="K102" i="2"/>
  <c r="L102" i="2"/>
  <c r="M102" i="2"/>
  <c r="N102" i="2"/>
  <c r="O102" i="2"/>
  <c r="I103" i="2"/>
  <c r="J103" i="2"/>
  <c r="K103" i="2"/>
  <c r="L103" i="2"/>
  <c r="M103" i="2"/>
  <c r="N103" i="2"/>
  <c r="O103" i="2"/>
  <c r="I104" i="2"/>
  <c r="J104" i="2"/>
  <c r="K104" i="2"/>
  <c r="L104" i="2"/>
  <c r="M104" i="2"/>
  <c r="N104" i="2"/>
  <c r="O104" i="2"/>
  <c r="I105" i="2"/>
  <c r="J105" i="2"/>
  <c r="K105" i="2"/>
  <c r="L105" i="2"/>
  <c r="M105" i="2"/>
  <c r="N105" i="2"/>
  <c r="O105" i="2"/>
  <c r="I106" i="2"/>
  <c r="J106" i="2"/>
  <c r="K106" i="2"/>
  <c r="L106" i="2"/>
  <c r="M106" i="2"/>
  <c r="N106" i="2"/>
  <c r="O106" i="2"/>
  <c r="I107" i="2"/>
  <c r="J107" i="2"/>
  <c r="K107" i="2"/>
  <c r="L107" i="2"/>
  <c r="M107" i="2"/>
  <c r="N107" i="2"/>
  <c r="O107" i="2"/>
  <c r="I108" i="2"/>
  <c r="J108" i="2"/>
  <c r="K108" i="2"/>
  <c r="L108" i="2"/>
  <c r="M108" i="2"/>
  <c r="N108" i="2"/>
  <c r="O108" i="2"/>
  <c r="I109" i="2"/>
  <c r="J109" i="2"/>
  <c r="K109" i="2"/>
  <c r="L109" i="2"/>
  <c r="M109" i="2"/>
  <c r="N109" i="2"/>
  <c r="O109" i="2"/>
  <c r="I110" i="2"/>
  <c r="J110" i="2"/>
  <c r="K110" i="2"/>
  <c r="L110" i="2"/>
  <c r="M110" i="2"/>
  <c r="N110" i="2"/>
  <c r="O110" i="2"/>
  <c r="I111" i="2"/>
  <c r="J111" i="2"/>
  <c r="K111" i="2"/>
  <c r="L111" i="2"/>
  <c r="M111" i="2"/>
  <c r="N111" i="2"/>
  <c r="O111" i="2"/>
  <c r="I112" i="2"/>
  <c r="J112" i="2"/>
  <c r="K112" i="2"/>
  <c r="L112" i="2"/>
  <c r="M112" i="2"/>
  <c r="N112" i="2"/>
  <c r="O112" i="2"/>
  <c r="I113" i="2"/>
  <c r="J113" i="2"/>
  <c r="K113" i="2"/>
  <c r="L113" i="2"/>
  <c r="M113" i="2"/>
  <c r="N113" i="2"/>
  <c r="O113" i="2"/>
  <c r="I114" i="2"/>
  <c r="J114" i="2"/>
  <c r="K114" i="2"/>
  <c r="L114" i="2"/>
  <c r="M114" i="2"/>
  <c r="N114" i="2"/>
  <c r="O114" i="2"/>
  <c r="I115" i="2"/>
  <c r="J115" i="2"/>
  <c r="K115" i="2"/>
  <c r="L115" i="2"/>
  <c r="M115" i="2"/>
  <c r="N115" i="2"/>
  <c r="O115" i="2"/>
  <c r="I116" i="2"/>
  <c r="J116" i="2"/>
  <c r="K116" i="2"/>
  <c r="L116" i="2"/>
  <c r="M116" i="2"/>
  <c r="N116" i="2"/>
  <c r="O116" i="2"/>
  <c r="I117" i="2"/>
  <c r="J117" i="2"/>
  <c r="K117" i="2"/>
  <c r="L117" i="2"/>
  <c r="M117" i="2"/>
  <c r="N117" i="2"/>
  <c r="O117" i="2"/>
  <c r="I118" i="2"/>
  <c r="J118" i="2"/>
  <c r="K118" i="2"/>
  <c r="L118" i="2"/>
  <c r="M118" i="2"/>
  <c r="N118" i="2"/>
  <c r="O118" i="2"/>
  <c r="I119" i="2"/>
  <c r="J119" i="2"/>
  <c r="K119" i="2"/>
  <c r="L119" i="2"/>
  <c r="M119" i="2"/>
  <c r="N119" i="2"/>
  <c r="O119" i="2"/>
  <c r="I120" i="2"/>
  <c r="J120" i="2"/>
  <c r="K120" i="2"/>
  <c r="L120" i="2"/>
  <c r="M120" i="2"/>
  <c r="N120" i="2"/>
  <c r="O120" i="2"/>
  <c r="I121" i="2"/>
  <c r="J121" i="2"/>
  <c r="K121" i="2"/>
  <c r="L121" i="2"/>
  <c r="M121" i="2"/>
  <c r="N121" i="2"/>
  <c r="O121" i="2"/>
  <c r="I122" i="2"/>
  <c r="J122" i="2"/>
  <c r="K122" i="2"/>
  <c r="L122" i="2"/>
  <c r="M122" i="2"/>
  <c r="N122" i="2"/>
  <c r="O122" i="2"/>
  <c r="I123" i="2"/>
  <c r="J123" i="2"/>
  <c r="K123" i="2"/>
  <c r="L123" i="2"/>
  <c r="M123" i="2"/>
  <c r="N123" i="2"/>
  <c r="O123" i="2"/>
  <c r="I124" i="2"/>
  <c r="J124" i="2"/>
  <c r="K124" i="2"/>
  <c r="L124" i="2"/>
  <c r="M124" i="2"/>
  <c r="N124" i="2"/>
  <c r="O124" i="2"/>
  <c r="I125" i="2"/>
  <c r="J125" i="2"/>
  <c r="K125" i="2"/>
  <c r="L125" i="2"/>
  <c r="M125" i="2"/>
  <c r="N125" i="2"/>
  <c r="O125" i="2"/>
  <c r="I126" i="2"/>
  <c r="J126" i="2"/>
  <c r="K126" i="2"/>
  <c r="L126" i="2"/>
  <c r="M126" i="2"/>
  <c r="N126" i="2"/>
  <c r="O126" i="2"/>
  <c r="I127" i="2"/>
  <c r="J127" i="2"/>
  <c r="K127" i="2"/>
  <c r="L127" i="2"/>
  <c r="M127" i="2"/>
  <c r="N127" i="2"/>
  <c r="O127" i="2"/>
  <c r="I128" i="2"/>
  <c r="J128" i="2"/>
  <c r="K128" i="2"/>
  <c r="L128" i="2"/>
  <c r="M128" i="2"/>
  <c r="N128" i="2"/>
  <c r="O128" i="2"/>
  <c r="I129" i="2"/>
  <c r="J129" i="2"/>
  <c r="K129" i="2"/>
  <c r="L129" i="2"/>
  <c r="M129" i="2"/>
  <c r="N129" i="2"/>
  <c r="O129" i="2"/>
  <c r="I130" i="2"/>
  <c r="J130" i="2"/>
  <c r="K130" i="2"/>
  <c r="L130" i="2"/>
  <c r="M130" i="2"/>
  <c r="N130" i="2"/>
  <c r="O130" i="2"/>
  <c r="I131" i="2"/>
  <c r="J131" i="2"/>
  <c r="K131" i="2"/>
  <c r="L131" i="2"/>
  <c r="M131" i="2"/>
  <c r="N131" i="2"/>
  <c r="O131" i="2"/>
  <c r="I132" i="2"/>
  <c r="J132" i="2"/>
  <c r="K132" i="2"/>
  <c r="L132" i="2"/>
  <c r="M132" i="2"/>
  <c r="N132" i="2"/>
  <c r="O132" i="2"/>
  <c r="I133" i="2"/>
  <c r="J133" i="2"/>
  <c r="K133" i="2"/>
  <c r="L133" i="2"/>
  <c r="M133" i="2"/>
  <c r="N133" i="2"/>
  <c r="O133" i="2"/>
  <c r="I134" i="2"/>
  <c r="J134" i="2"/>
  <c r="K134" i="2"/>
  <c r="L134" i="2"/>
  <c r="M134" i="2"/>
  <c r="N134" i="2"/>
  <c r="O134" i="2"/>
  <c r="I135" i="2"/>
  <c r="J135" i="2"/>
  <c r="K135" i="2"/>
  <c r="L135" i="2"/>
  <c r="M135" i="2"/>
  <c r="N135" i="2"/>
  <c r="O135" i="2"/>
  <c r="I136" i="2"/>
  <c r="J136" i="2"/>
  <c r="K136" i="2"/>
  <c r="L136" i="2"/>
  <c r="M136" i="2"/>
  <c r="N136" i="2"/>
  <c r="O136" i="2"/>
  <c r="I137" i="2"/>
  <c r="J137" i="2"/>
  <c r="K137" i="2"/>
  <c r="L137" i="2"/>
  <c r="M137" i="2"/>
  <c r="N137" i="2"/>
  <c r="O137" i="2"/>
  <c r="I138" i="2"/>
  <c r="J138" i="2"/>
  <c r="K138" i="2"/>
  <c r="L138" i="2"/>
  <c r="M138" i="2"/>
  <c r="N138" i="2"/>
  <c r="O138" i="2"/>
  <c r="I139" i="2"/>
  <c r="J139" i="2"/>
  <c r="K139" i="2"/>
  <c r="L139" i="2"/>
  <c r="M139" i="2"/>
  <c r="N139" i="2"/>
  <c r="O139" i="2"/>
  <c r="I140" i="2"/>
  <c r="J140" i="2"/>
  <c r="K140" i="2"/>
  <c r="L140" i="2"/>
  <c r="M140" i="2"/>
  <c r="N140" i="2"/>
  <c r="O140" i="2"/>
  <c r="I141" i="2"/>
  <c r="J141" i="2"/>
  <c r="K141" i="2"/>
  <c r="L141" i="2"/>
  <c r="M141" i="2"/>
  <c r="N141" i="2"/>
  <c r="O141" i="2"/>
  <c r="I142" i="2"/>
  <c r="J142" i="2"/>
  <c r="K142" i="2"/>
  <c r="L142" i="2"/>
  <c r="M142" i="2"/>
  <c r="N142" i="2"/>
  <c r="O142" i="2"/>
  <c r="I143" i="2"/>
  <c r="J143" i="2"/>
  <c r="K143" i="2"/>
  <c r="L143" i="2"/>
  <c r="M143" i="2"/>
  <c r="N143" i="2"/>
  <c r="O143" i="2"/>
  <c r="I144" i="2"/>
  <c r="J144" i="2"/>
  <c r="K144" i="2"/>
  <c r="L144" i="2"/>
  <c r="M144" i="2"/>
  <c r="N144" i="2"/>
  <c r="O144" i="2"/>
  <c r="I145" i="2"/>
  <c r="J145" i="2"/>
  <c r="K145" i="2"/>
  <c r="L145" i="2"/>
  <c r="M145" i="2"/>
  <c r="N145" i="2"/>
  <c r="O145" i="2"/>
  <c r="I146" i="2"/>
  <c r="J146" i="2"/>
  <c r="K146" i="2"/>
  <c r="L146" i="2"/>
  <c r="M146" i="2"/>
  <c r="N146" i="2"/>
  <c r="O146" i="2"/>
  <c r="I147" i="2"/>
  <c r="J147" i="2"/>
  <c r="K147" i="2"/>
  <c r="L147" i="2"/>
  <c r="M147" i="2"/>
  <c r="N147" i="2"/>
  <c r="O147" i="2"/>
  <c r="I148" i="2"/>
  <c r="J148" i="2"/>
  <c r="K148" i="2"/>
  <c r="L148" i="2"/>
  <c r="M148" i="2"/>
  <c r="N148" i="2"/>
  <c r="O148" i="2"/>
  <c r="I149" i="2"/>
  <c r="J149" i="2"/>
  <c r="K149" i="2"/>
  <c r="L149" i="2"/>
  <c r="M149" i="2"/>
  <c r="N149" i="2"/>
  <c r="O149" i="2"/>
  <c r="I150" i="2"/>
  <c r="J150" i="2"/>
  <c r="K150" i="2"/>
  <c r="L150" i="2"/>
  <c r="M150" i="2"/>
  <c r="N150" i="2"/>
  <c r="O150" i="2"/>
  <c r="I151" i="2"/>
  <c r="J151" i="2"/>
  <c r="K151" i="2"/>
  <c r="L151" i="2"/>
  <c r="M151" i="2"/>
  <c r="N151" i="2"/>
  <c r="O151" i="2"/>
  <c r="I152" i="2"/>
  <c r="J152" i="2"/>
  <c r="K152" i="2"/>
  <c r="L152" i="2"/>
  <c r="M152" i="2"/>
  <c r="N152" i="2"/>
  <c r="O152" i="2"/>
  <c r="I153" i="2"/>
  <c r="J153" i="2"/>
  <c r="K153" i="2"/>
  <c r="L153" i="2"/>
  <c r="M153" i="2"/>
  <c r="N153" i="2"/>
  <c r="O153" i="2"/>
  <c r="I154" i="2"/>
  <c r="J154" i="2"/>
  <c r="K154" i="2"/>
  <c r="L154" i="2"/>
  <c r="M154" i="2"/>
  <c r="N154" i="2"/>
  <c r="O154" i="2"/>
  <c r="I155" i="2"/>
  <c r="J155" i="2"/>
  <c r="K155" i="2"/>
  <c r="L155" i="2"/>
  <c r="M155" i="2"/>
  <c r="N155" i="2"/>
  <c r="O155" i="2"/>
  <c r="I156" i="2"/>
  <c r="J156" i="2"/>
  <c r="K156" i="2"/>
  <c r="L156" i="2"/>
  <c r="M156" i="2"/>
  <c r="N156" i="2"/>
  <c r="O156" i="2"/>
  <c r="I157" i="2"/>
  <c r="J157" i="2"/>
  <c r="K157" i="2"/>
  <c r="L157" i="2"/>
  <c r="M157" i="2"/>
  <c r="N157" i="2"/>
  <c r="O157" i="2"/>
  <c r="I158" i="2"/>
  <c r="J158" i="2"/>
  <c r="K158" i="2"/>
  <c r="L158" i="2"/>
  <c r="M158" i="2"/>
  <c r="N158" i="2"/>
  <c r="O158" i="2"/>
  <c r="I159" i="2"/>
  <c r="J159" i="2"/>
  <c r="K159" i="2"/>
  <c r="L159" i="2"/>
  <c r="M159" i="2"/>
  <c r="N159" i="2"/>
  <c r="O159" i="2"/>
  <c r="I160" i="2"/>
  <c r="J160" i="2"/>
  <c r="K160" i="2"/>
  <c r="L160" i="2"/>
  <c r="M160" i="2"/>
  <c r="N160" i="2"/>
  <c r="O160" i="2"/>
  <c r="I161" i="2"/>
  <c r="J161" i="2"/>
  <c r="K161" i="2"/>
  <c r="L161" i="2"/>
  <c r="M161" i="2"/>
  <c r="N161" i="2"/>
  <c r="O161" i="2"/>
  <c r="I162" i="2"/>
  <c r="J162" i="2"/>
  <c r="K162" i="2"/>
  <c r="L162" i="2"/>
  <c r="M162" i="2"/>
  <c r="N162" i="2"/>
  <c r="O162" i="2"/>
  <c r="I163" i="2"/>
  <c r="J163" i="2"/>
  <c r="K163" i="2"/>
  <c r="L163" i="2"/>
  <c r="M163" i="2"/>
  <c r="N163" i="2"/>
  <c r="O163" i="2"/>
  <c r="I164" i="2"/>
  <c r="J164" i="2"/>
  <c r="K164" i="2"/>
  <c r="L164" i="2"/>
  <c r="M164" i="2"/>
  <c r="N164" i="2"/>
  <c r="O164" i="2"/>
  <c r="I165" i="2"/>
  <c r="J165" i="2"/>
  <c r="K165" i="2"/>
  <c r="L165" i="2"/>
  <c r="M165" i="2"/>
  <c r="N165" i="2"/>
  <c r="O165" i="2"/>
  <c r="I166" i="2"/>
  <c r="J166" i="2"/>
  <c r="K166" i="2"/>
  <c r="L166" i="2"/>
  <c r="M166" i="2"/>
  <c r="N166" i="2"/>
  <c r="O166" i="2"/>
  <c r="I167" i="2"/>
  <c r="J167" i="2"/>
  <c r="K167" i="2"/>
  <c r="L167" i="2"/>
  <c r="M167" i="2"/>
  <c r="N167" i="2"/>
  <c r="O167" i="2"/>
  <c r="I168" i="2"/>
  <c r="J168" i="2"/>
  <c r="K168" i="2"/>
  <c r="L168" i="2"/>
  <c r="M168" i="2"/>
  <c r="N168" i="2"/>
  <c r="O168" i="2"/>
  <c r="I169" i="2"/>
  <c r="J169" i="2"/>
  <c r="K169" i="2"/>
  <c r="L169" i="2"/>
  <c r="M169" i="2"/>
  <c r="N169" i="2"/>
  <c r="O169" i="2"/>
  <c r="I170" i="2"/>
  <c r="J170" i="2"/>
  <c r="K170" i="2"/>
  <c r="L170" i="2"/>
  <c r="M170" i="2"/>
  <c r="N170" i="2"/>
  <c r="O170" i="2"/>
  <c r="I171" i="2"/>
  <c r="J171" i="2"/>
  <c r="K171" i="2"/>
  <c r="L171" i="2"/>
  <c r="M171" i="2"/>
  <c r="N171" i="2"/>
  <c r="O171" i="2"/>
  <c r="I172" i="2"/>
  <c r="J172" i="2"/>
  <c r="K172" i="2"/>
  <c r="L172" i="2"/>
  <c r="M172" i="2"/>
  <c r="N172" i="2"/>
  <c r="O172" i="2"/>
  <c r="I173" i="2"/>
  <c r="J173" i="2"/>
  <c r="K173" i="2"/>
  <c r="L173" i="2"/>
  <c r="M173" i="2"/>
  <c r="N173" i="2"/>
  <c r="O173" i="2"/>
  <c r="I174" i="2"/>
  <c r="J174" i="2"/>
  <c r="K174" i="2"/>
  <c r="L174" i="2"/>
  <c r="M174" i="2"/>
  <c r="N174" i="2"/>
  <c r="O174" i="2"/>
  <c r="I175" i="2"/>
  <c r="J175" i="2"/>
  <c r="K175" i="2"/>
  <c r="L175" i="2"/>
  <c r="M175" i="2"/>
  <c r="N175" i="2"/>
  <c r="O175" i="2"/>
  <c r="I176" i="2"/>
  <c r="J176" i="2"/>
  <c r="K176" i="2"/>
  <c r="L176" i="2"/>
  <c r="M176" i="2"/>
  <c r="N176" i="2"/>
  <c r="O176" i="2"/>
  <c r="I177" i="2"/>
  <c r="J177" i="2"/>
  <c r="K177" i="2"/>
  <c r="L177" i="2"/>
  <c r="M177" i="2"/>
  <c r="N177" i="2"/>
  <c r="O177" i="2"/>
  <c r="I178" i="2"/>
  <c r="J178" i="2"/>
  <c r="K178" i="2"/>
  <c r="L178" i="2"/>
  <c r="M178" i="2"/>
  <c r="N178" i="2"/>
  <c r="O178" i="2"/>
  <c r="I179" i="2"/>
  <c r="J179" i="2"/>
  <c r="K179" i="2"/>
  <c r="L179" i="2"/>
  <c r="M179" i="2"/>
  <c r="N179" i="2"/>
  <c r="O179" i="2"/>
  <c r="I180" i="2"/>
  <c r="J180" i="2"/>
  <c r="K180" i="2"/>
  <c r="L180" i="2"/>
  <c r="M180" i="2"/>
  <c r="N180" i="2"/>
  <c r="O180" i="2"/>
  <c r="I181" i="2"/>
  <c r="J181" i="2"/>
  <c r="K181" i="2"/>
  <c r="L181" i="2"/>
  <c r="M181" i="2"/>
  <c r="N181" i="2"/>
  <c r="O181" i="2"/>
  <c r="I182" i="2"/>
  <c r="J182" i="2"/>
  <c r="K182" i="2"/>
  <c r="L182" i="2"/>
  <c r="M182" i="2"/>
  <c r="N182" i="2"/>
  <c r="O182" i="2"/>
  <c r="I183" i="2"/>
  <c r="J183" i="2"/>
  <c r="K183" i="2"/>
  <c r="L183" i="2"/>
  <c r="M183" i="2"/>
  <c r="N183" i="2"/>
  <c r="O183" i="2"/>
  <c r="I184" i="2"/>
  <c r="J184" i="2"/>
  <c r="K184" i="2"/>
  <c r="L184" i="2"/>
  <c r="M184" i="2"/>
  <c r="N184" i="2"/>
  <c r="O184" i="2"/>
  <c r="I185" i="2"/>
  <c r="J185" i="2"/>
  <c r="K185" i="2"/>
  <c r="L185" i="2"/>
  <c r="M185" i="2"/>
  <c r="N185" i="2"/>
  <c r="O185" i="2"/>
  <c r="I186" i="2"/>
  <c r="J186" i="2"/>
  <c r="K186" i="2"/>
  <c r="L186" i="2"/>
  <c r="M186" i="2"/>
  <c r="N186" i="2"/>
  <c r="O186" i="2"/>
  <c r="I187" i="2"/>
  <c r="J187" i="2"/>
  <c r="K187" i="2"/>
  <c r="L187" i="2"/>
  <c r="M187" i="2"/>
  <c r="N187" i="2"/>
  <c r="O187" i="2"/>
  <c r="I188" i="2"/>
  <c r="J188" i="2"/>
  <c r="K188" i="2"/>
  <c r="L188" i="2"/>
  <c r="M188" i="2"/>
  <c r="N188" i="2"/>
  <c r="O188" i="2"/>
  <c r="I189" i="2"/>
  <c r="J189" i="2"/>
  <c r="K189" i="2"/>
  <c r="L189" i="2"/>
  <c r="M189" i="2"/>
  <c r="N189" i="2"/>
  <c r="O189" i="2"/>
  <c r="I190" i="2"/>
  <c r="J190" i="2"/>
  <c r="K190" i="2"/>
  <c r="L190" i="2"/>
  <c r="M190" i="2"/>
  <c r="N190" i="2"/>
  <c r="O190" i="2"/>
  <c r="I191" i="2"/>
  <c r="J191" i="2"/>
  <c r="K191" i="2"/>
  <c r="L191" i="2"/>
  <c r="M191" i="2"/>
  <c r="N191" i="2"/>
  <c r="O191" i="2"/>
  <c r="I192" i="2"/>
  <c r="J192" i="2"/>
  <c r="K192" i="2"/>
  <c r="L192" i="2"/>
  <c r="M192" i="2"/>
  <c r="N192" i="2"/>
  <c r="O192" i="2"/>
  <c r="I193" i="2"/>
  <c r="J193" i="2"/>
  <c r="K193" i="2"/>
  <c r="L193" i="2"/>
  <c r="M193" i="2"/>
  <c r="N193" i="2"/>
  <c r="O193" i="2"/>
  <c r="I194" i="2"/>
  <c r="J194" i="2"/>
  <c r="K194" i="2"/>
  <c r="L194" i="2"/>
  <c r="M194" i="2"/>
  <c r="N194" i="2"/>
  <c r="O194" i="2"/>
  <c r="I195" i="2"/>
  <c r="J195" i="2"/>
  <c r="K195" i="2"/>
  <c r="L195" i="2"/>
  <c r="M195" i="2"/>
  <c r="N195" i="2"/>
  <c r="O195" i="2"/>
  <c r="I196" i="2"/>
  <c r="J196" i="2"/>
  <c r="K196" i="2"/>
  <c r="L196" i="2"/>
  <c r="M196" i="2"/>
  <c r="N196" i="2"/>
  <c r="O196" i="2"/>
  <c r="I197" i="2"/>
  <c r="J197" i="2"/>
  <c r="K197" i="2"/>
  <c r="L197" i="2"/>
  <c r="M197" i="2"/>
  <c r="N197" i="2"/>
  <c r="O197" i="2"/>
  <c r="I198" i="2"/>
  <c r="J198" i="2"/>
  <c r="K198" i="2"/>
  <c r="L198" i="2"/>
  <c r="M198" i="2"/>
  <c r="N198" i="2"/>
  <c r="O198" i="2"/>
  <c r="I199" i="2"/>
  <c r="J199" i="2"/>
  <c r="K199" i="2"/>
  <c r="L199" i="2"/>
  <c r="M199" i="2"/>
  <c r="N199" i="2"/>
  <c r="O199" i="2"/>
  <c r="I200" i="2"/>
  <c r="J200" i="2"/>
  <c r="K200" i="2"/>
  <c r="L200" i="2"/>
  <c r="M200" i="2"/>
  <c r="N200" i="2"/>
  <c r="O200" i="2"/>
  <c r="I201" i="2"/>
  <c r="J201" i="2"/>
  <c r="K201" i="2"/>
  <c r="L201" i="2"/>
  <c r="M201" i="2"/>
  <c r="N201" i="2"/>
  <c r="O201" i="2"/>
  <c r="I202" i="2"/>
  <c r="J202" i="2"/>
  <c r="K202" i="2"/>
  <c r="L202" i="2"/>
  <c r="M202" i="2"/>
  <c r="N202" i="2"/>
  <c r="O202" i="2"/>
  <c r="I203" i="2"/>
  <c r="J203" i="2"/>
  <c r="K203" i="2"/>
  <c r="L203" i="2"/>
  <c r="M203" i="2"/>
  <c r="N203" i="2"/>
  <c r="O203" i="2"/>
  <c r="I204" i="2"/>
  <c r="J204" i="2"/>
  <c r="K204" i="2"/>
  <c r="L204" i="2"/>
  <c r="M204" i="2"/>
  <c r="N204" i="2"/>
  <c r="O204" i="2"/>
  <c r="I205" i="2"/>
  <c r="J205" i="2"/>
  <c r="K205" i="2"/>
  <c r="L205" i="2"/>
  <c r="M205" i="2"/>
  <c r="N205" i="2"/>
  <c r="O205" i="2"/>
  <c r="I206" i="2"/>
  <c r="J206" i="2"/>
  <c r="K206" i="2"/>
  <c r="L206" i="2"/>
  <c r="M206" i="2"/>
  <c r="N206" i="2"/>
  <c r="O206" i="2"/>
  <c r="I207" i="2"/>
  <c r="J207" i="2"/>
  <c r="K207" i="2"/>
  <c r="L207" i="2"/>
  <c r="M207" i="2"/>
  <c r="N207" i="2"/>
  <c r="O207" i="2"/>
  <c r="I208" i="2"/>
  <c r="J208" i="2"/>
  <c r="K208" i="2"/>
  <c r="L208" i="2"/>
  <c r="M208" i="2"/>
  <c r="N208" i="2"/>
  <c r="O208" i="2"/>
  <c r="I209" i="2"/>
  <c r="J209" i="2"/>
  <c r="K209" i="2"/>
  <c r="L209" i="2"/>
  <c r="M209" i="2"/>
  <c r="N209" i="2"/>
  <c r="O209" i="2"/>
  <c r="I210" i="2"/>
  <c r="J210" i="2"/>
  <c r="K210" i="2"/>
  <c r="L210" i="2"/>
  <c r="M210" i="2"/>
  <c r="N210" i="2"/>
  <c r="O210" i="2"/>
  <c r="I211" i="2"/>
  <c r="J211" i="2"/>
  <c r="K211" i="2"/>
  <c r="L211" i="2"/>
  <c r="M211" i="2"/>
  <c r="N211" i="2"/>
  <c r="O211" i="2"/>
  <c r="I212" i="2"/>
  <c r="J212" i="2"/>
  <c r="K212" i="2"/>
  <c r="L212" i="2"/>
  <c r="M212" i="2"/>
  <c r="N212" i="2"/>
  <c r="O212" i="2"/>
  <c r="I213" i="2"/>
  <c r="J213" i="2"/>
  <c r="K213" i="2"/>
  <c r="L213" i="2"/>
  <c r="M213" i="2"/>
  <c r="N213" i="2"/>
  <c r="O213" i="2"/>
  <c r="I214" i="2"/>
  <c r="J214" i="2"/>
  <c r="K214" i="2"/>
  <c r="L214" i="2"/>
  <c r="M214" i="2"/>
  <c r="N214" i="2"/>
  <c r="O214" i="2"/>
  <c r="I215" i="2"/>
  <c r="J215" i="2"/>
  <c r="K215" i="2"/>
  <c r="L215" i="2"/>
  <c r="M215" i="2"/>
  <c r="N215" i="2"/>
  <c r="O215" i="2"/>
  <c r="I216" i="2"/>
  <c r="J216" i="2"/>
  <c r="K216" i="2"/>
  <c r="L216" i="2"/>
  <c r="M216" i="2"/>
  <c r="N216" i="2"/>
  <c r="O216" i="2"/>
  <c r="I217" i="2"/>
  <c r="J217" i="2"/>
  <c r="K217" i="2"/>
  <c r="L217" i="2"/>
  <c r="M217" i="2"/>
  <c r="N217" i="2"/>
  <c r="O217" i="2"/>
  <c r="I218" i="2"/>
  <c r="J218" i="2"/>
  <c r="K218" i="2"/>
  <c r="L218" i="2"/>
  <c r="M218" i="2"/>
  <c r="N218" i="2"/>
  <c r="O218" i="2"/>
  <c r="I219" i="2"/>
  <c r="J219" i="2"/>
  <c r="K219" i="2"/>
  <c r="L219" i="2"/>
  <c r="M219" i="2"/>
  <c r="N219" i="2"/>
  <c r="O219" i="2"/>
  <c r="I220" i="2"/>
  <c r="J220" i="2"/>
  <c r="K220" i="2"/>
  <c r="L220" i="2"/>
  <c r="M220" i="2"/>
  <c r="N220" i="2"/>
  <c r="O220" i="2"/>
  <c r="I221" i="2"/>
  <c r="J221" i="2"/>
  <c r="K221" i="2"/>
  <c r="L221" i="2"/>
  <c r="M221" i="2"/>
  <c r="N221" i="2"/>
  <c r="O221" i="2"/>
  <c r="I222" i="2"/>
  <c r="J222" i="2"/>
  <c r="K222" i="2"/>
  <c r="L222" i="2"/>
  <c r="M222" i="2"/>
  <c r="N222" i="2"/>
  <c r="O222" i="2"/>
  <c r="I223" i="2"/>
  <c r="J223" i="2"/>
  <c r="K223" i="2"/>
  <c r="L223" i="2"/>
  <c r="M223" i="2"/>
  <c r="N223" i="2"/>
  <c r="O223" i="2"/>
  <c r="I224" i="2"/>
  <c r="J224" i="2"/>
  <c r="K224" i="2"/>
  <c r="L224" i="2"/>
  <c r="M224" i="2"/>
  <c r="N224" i="2"/>
  <c r="O224" i="2"/>
  <c r="I225" i="2"/>
  <c r="J225" i="2"/>
  <c r="K225" i="2"/>
  <c r="L225" i="2"/>
  <c r="M225" i="2"/>
  <c r="N225" i="2"/>
  <c r="O225" i="2"/>
  <c r="I226" i="2"/>
  <c r="J226" i="2"/>
  <c r="K226" i="2"/>
  <c r="L226" i="2"/>
  <c r="M226" i="2"/>
  <c r="N226" i="2"/>
  <c r="O226" i="2"/>
  <c r="I227" i="2"/>
  <c r="J227" i="2"/>
  <c r="K227" i="2"/>
  <c r="L227" i="2"/>
  <c r="M227" i="2"/>
  <c r="N227" i="2"/>
  <c r="O227" i="2"/>
  <c r="I228" i="2"/>
  <c r="J228" i="2"/>
  <c r="K228" i="2"/>
  <c r="L228" i="2"/>
  <c r="M228" i="2"/>
  <c r="N228" i="2"/>
  <c r="O228" i="2"/>
  <c r="I229" i="2"/>
  <c r="J229" i="2"/>
  <c r="K229" i="2"/>
  <c r="L229" i="2"/>
  <c r="M229" i="2"/>
  <c r="N229" i="2"/>
  <c r="O229" i="2"/>
  <c r="I230" i="2"/>
  <c r="J230" i="2"/>
  <c r="K230" i="2"/>
  <c r="L230" i="2"/>
  <c r="M230" i="2"/>
  <c r="N230" i="2"/>
  <c r="O230" i="2"/>
  <c r="I231" i="2"/>
  <c r="J231" i="2"/>
  <c r="K231" i="2"/>
  <c r="L231" i="2"/>
  <c r="M231" i="2"/>
  <c r="N231" i="2"/>
  <c r="O231" i="2"/>
  <c r="I232" i="2"/>
  <c r="J232" i="2"/>
  <c r="K232" i="2"/>
  <c r="L232" i="2"/>
  <c r="M232" i="2"/>
  <c r="N232" i="2"/>
  <c r="O232" i="2"/>
  <c r="I233" i="2"/>
  <c r="J233" i="2"/>
  <c r="K233" i="2"/>
  <c r="L233" i="2"/>
  <c r="M233" i="2"/>
  <c r="N233" i="2"/>
  <c r="O233" i="2"/>
  <c r="I234" i="2"/>
  <c r="J234" i="2"/>
  <c r="K234" i="2"/>
  <c r="L234" i="2"/>
  <c r="M234" i="2"/>
  <c r="N234" i="2"/>
  <c r="O234" i="2"/>
  <c r="I235" i="2"/>
  <c r="J235" i="2"/>
  <c r="K235" i="2"/>
  <c r="L235" i="2"/>
  <c r="M235" i="2"/>
  <c r="N235" i="2"/>
  <c r="O235" i="2"/>
  <c r="I236" i="2"/>
  <c r="J236" i="2"/>
  <c r="K236" i="2"/>
  <c r="L236" i="2"/>
  <c r="M236" i="2"/>
  <c r="N236" i="2"/>
  <c r="O236" i="2"/>
  <c r="I237" i="2"/>
  <c r="J237" i="2"/>
  <c r="K237" i="2"/>
  <c r="L237" i="2"/>
  <c r="M237" i="2"/>
  <c r="N237" i="2"/>
  <c r="O237" i="2"/>
  <c r="I238" i="2"/>
  <c r="J238" i="2"/>
  <c r="K238" i="2"/>
  <c r="L238" i="2"/>
  <c r="M238" i="2"/>
  <c r="N238" i="2"/>
  <c r="O238" i="2"/>
  <c r="I239" i="2"/>
  <c r="J239" i="2"/>
  <c r="K239" i="2"/>
  <c r="L239" i="2"/>
  <c r="M239" i="2"/>
  <c r="N239" i="2"/>
  <c r="O239" i="2"/>
  <c r="I240" i="2"/>
  <c r="J240" i="2"/>
  <c r="K240" i="2"/>
  <c r="L240" i="2"/>
  <c r="M240" i="2"/>
  <c r="N240" i="2"/>
  <c r="O240" i="2"/>
  <c r="I241" i="2"/>
  <c r="J241" i="2"/>
  <c r="K241" i="2"/>
  <c r="L241" i="2"/>
  <c r="M241" i="2"/>
  <c r="N241" i="2"/>
  <c r="O241" i="2"/>
  <c r="I242" i="2"/>
  <c r="J242" i="2"/>
  <c r="K242" i="2"/>
  <c r="L242" i="2"/>
  <c r="M242" i="2"/>
  <c r="N242" i="2"/>
  <c r="O242" i="2"/>
  <c r="I243" i="2"/>
  <c r="J243" i="2"/>
  <c r="K243" i="2"/>
  <c r="L243" i="2"/>
  <c r="M243" i="2"/>
  <c r="N243" i="2"/>
  <c r="O243" i="2"/>
  <c r="I244" i="2"/>
  <c r="J244" i="2"/>
  <c r="K244" i="2"/>
  <c r="L244" i="2"/>
  <c r="M244" i="2"/>
  <c r="N244" i="2"/>
  <c r="O244" i="2"/>
  <c r="I245" i="2"/>
  <c r="J245" i="2"/>
  <c r="K245" i="2"/>
  <c r="L245" i="2"/>
  <c r="M245" i="2"/>
  <c r="N245" i="2"/>
  <c r="O245" i="2"/>
  <c r="I246" i="2"/>
  <c r="J246" i="2"/>
  <c r="K246" i="2"/>
  <c r="L246" i="2"/>
  <c r="M246" i="2"/>
  <c r="N246" i="2"/>
  <c r="O246" i="2"/>
  <c r="I247" i="2"/>
  <c r="J247" i="2"/>
  <c r="K247" i="2"/>
  <c r="L247" i="2"/>
  <c r="M247" i="2"/>
  <c r="N247" i="2"/>
  <c r="O247" i="2"/>
  <c r="I248" i="2"/>
  <c r="J248" i="2"/>
  <c r="K248" i="2"/>
  <c r="L248" i="2"/>
  <c r="M248" i="2"/>
  <c r="N248" i="2"/>
  <c r="O248" i="2"/>
  <c r="I249" i="2"/>
  <c r="J249" i="2"/>
  <c r="K249" i="2"/>
  <c r="L249" i="2"/>
  <c r="M249" i="2"/>
  <c r="N249" i="2"/>
  <c r="O249" i="2"/>
  <c r="I250" i="2"/>
  <c r="J250" i="2"/>
  <c r="K250" i="2"/>
  <c r="L250" i="2"/>
  <c r="M250" i="2"/>
  <c r="N250" i="2"/>
  <c r="O250" i="2"/>
  <c r="I251" i="2"/>
  <c r="J251" i="2"/>
  <c r="K251" i="2"/>
  <c r="L251" i="2"/>
  <c r="M251" i="2"/>
  <c r="N251" i="2"/>
  <c r="O251" i="2"/>
  <c r="I252" i="2"/>
  <c r="J252" i="2"/>
  <c r="K252" i="2"/>
  <c r="L252" i="2"/>
  <c r="M252" i="2"/>
  <c r="N252" i="2"/>
  <c r="O252" i="2"/>
  <c r="I253" i="2"/>
  <c r="J253" i="2"/>
  <c r="K253" i="2"/>
  <c r="L253" i="2"/>
  <c r="M253" i="2"/>
  <c r="N253" i="2"/>
  <c r="O253" i="2"/>
  <c r="I254" i="2"/>
  <c r="J254" i="2"/>
  <c r="K254" i="2"/>
  <c r="L254" i="2"/>
  <c r="M254" i="2"/>
  <c r="N254" i="2"/>
  <c r="O254" i="2"/>
  <c r="I255" i="2"/>
  <c r="J255" i="2"/>
  <c r="K255" i="2"/>
  <c r="L255" i="2"/>
  <c r="M255" i="2"/>
  <c r="N255" i="2"/>
  <c r="O255" i="2"/>
  <c r="I256" i="2"/>
  <c r="J256" i="2"/>
  <c r="K256" i="2"/>
  <c r="L256" i="2"/>
  <c r="M256" i="2"/>
  <c r="N256" i="2"/>
  <c r="O256" i="2"/>
  <c r="I257" i="2"/>
  <c r="J257" i="2"/>
  <c r="K257" i="2"/>
  <c r="L257" i="2"/>
  <c r="M257" i="2"/>
  <c r="N257" i="2"/>
  <c r="O257" i="2"/>
  <c r="I258" i="2"/>
  <c r="J258" i="2"/>
  <c r="K258" i="2"/>
  <c r="L258" i="2"/>
  <c r="M258" i="2"/>
  <c r="N258" i="2"/>
  <c r="O258" i="2"/>
  <c r="I259" i="2"/>
  <c r="J259" i="2"/>
  <c r="K259" i="2"/>
  <c r="L259" i="2"/>
  <c r="M259" i="2"/>
  <c r="N259" i="2"/>
  <c r="O259" i="2"/>
  <c r="I260" i="2"/>
  <c r="J260" i="2"/>
  <c r="K260" i="2"/>
  <c r="L260" i="2"/>
  <c r="M260" i="2"/>
  <c r="N260" i="2"/>
  <c r="O260" i="2"/>
  <c r="I261" i="2"/>
  <c r="J261" i="2"/>
  <c r="K261" i="2"/>
  <c r="L261" i="2"/>
  <c r="M261" i="2"/>
  <c r="N261" i="2"/>
  <c r="O261" i="2"/>
  <c r="I262" i="2"/>
  <c r="J262" i="2"/>
  <c r="K262" i="2"/>
  <c r="L262" i="2"/>
  <c r="M262" i="2"/>
  <c r="N262" i="2"/>
  <c r="O262" i="2"/>
  <c r="I263" i="2"/>
  <c r="J263" i="2"/>
  <c r="K263" i="2"/>
  <c r="L263" i="2"/>
  <c r="M263" i="2"/>
  <c r="N263" i="2"/>
  <c r="O263" i="2"/>
  <c r="I264" i="2"/>
  <c r="J264" i="2"/>
  <c r="K264" i="2"/>
  <c r="L264" i="2"/>
  <c r="M264" i="2"/>
  <c r="N264" i="2"/>
  <c r="O264" i="2"/>
  <c r="I265" i="2"/>
  <c r="J265" i="2"/>
  <c r="K265" i="2"/>
  <c r="L265" i="2"/>
  <c r="M265" i="2"/>
  <c r="N265" i="2"/>
  <c r="O265" i="2"/>
  <c r="I266" i="2"/>
  <c r="J266" i="2"/>
  <c r="K266" i="2"/>
  <c r="L266" i="2"/>
  <c r="M266" i="2"/>
  <c r="N266" i="2"/>
  <c r="O266" i="2"/>
  <c r="I267" i="2"/>
  <c r="J267" i="2"/>
  <c r="K267" i="2"/>
  <c r="L267" i="2"/>
  <c r="M267" i="2"/>
  <c r="N267" i="2"/>
  <c r="O267" i="2"/>
  <c r="I268" i="2"/>
  <c r="J268" i="2"/>
  <c r="K268" i="2"/>
  <c r="L268" i="2"/>
  <c r="M268" i="2"/>
  <c r="N268" i="2"/>
  <c r="O268" i="2"/>
  <c r="I269" i="2"/>
  <c r="J269" i="2"/>
  <c r="K269" i="2"/>
  <c r="L269" i="2"/>
  <c r="M269" i="2"/>
  <c r="N269" i="2"/>
  <c r="O269" i="2"/>
  <c r="I270" i="2"/>
  <c r="J270" i="2"/>
  <c r="K270" i="2"/>
  <c r="L270" i="2"/>
  <c r="M270" i="2"/>
  <c r="N270" i="2"/>
  <c r="O270" i="2"/>
  <c r="I271" i="2"/>
  <c r="J271" i="2"/>
  <c r="K271" i="2"/>
  <c r="L271" i="2"/>
  <c r="M271" i="2"/>
  <c r="N271" i="2"/>
  <c r="O271" i="2"/>
  <c r="I272" i="2"/>
  <c r="J272" i="2"/>
  <c r="K272" i="2"/>
  <c r="L272" i="2"/>
  <c r="M272" i="2"/>
  <c r="N272" i="2"/>
  <c r="O272" i="2"/>
  <c r="I273" i="2"/>
  <c r="J273" i="2"/>
  <c r="K273" i="2"/>
  <c r="L273" i="2"/>
  <c r="M273" i="2"/>
  <c r="N273" i="2"/>
  <c r="O273" i="2"/>
  <c r="I274" i="2"/>
  <c r="J274" i="2"/>
  <c r="K274" i="2"/>
  <c r="L274" i="2"/>
  <c r="M274" i="2"/>
  <c r="N274" i="2"/>
  <c r="O274" i="2"/>
  <c r="I275" i="2"/>
  <c r="J275" i="2"/>
  <c r="K275" i="2"/>
  <c r="L275" i="2"/>
  <c r="M275" i="2"/>
  <c r="N275" i="2"/>
  <c r="O275" i="2"/>
  <c r="I276" i="2"/>
  <c r="J276" i="2"/>
  <c r="K276" i="2"/>
  <c r="L276" i="2"/>
  <c r="M276" i="2"/>
  <c r="N276" i="2"/>
  <c r="O276" i="2"/>
  <c r="I277" i="2"/>
  <c r="J277" i="2"/>
  <c r="K277" i="2"/>
  <c r="L277" i="2"/>
  <c r="M277" i="2"/>
  <c r="N277" i="2"/>
  <c r="O277" i="2"/>
  <c r="I278" i="2"/>
  <c r="J278" i="2"/>
  <c r="K278" i="2"/>
  <c r="L278" i="2"/>
  <c r="M278" i="2"/>
  <c r="N278" i="2"/>
  <c r="O278" i="2"/>
  <c r="I279" i="2"/>
  <c r="J279" i="2"/>
  <c r="K279" i="2"/>
  <c r="L279" i="2"/>
  <c r="M279" i="2"/>
  <c r="N279" i="2"/>
  <c r="O279" i="2"/>
  <c r="I280" i="2"/>
  <c r="J280" i="2"/>
  <c r="K280" i="2"/>
  <c r="L280" i="2"/>
  <c r="M280" i="2"/>
  <c r="N280" i="2"/>
  <c r="O280" i="2"/>
  <c r="I281" i="2"/>
  <c r="J281" i="2"/>
  <c r="K281" i="2"/>
  <c r="L281" i="2"/>
  <c r="M281" i="2"/>
  <c r="N281" i="2"/>
  <c r="O281" i="2"/>
  <c r="I282" i="2"/>
  <c r="J282" i="2"/>
  <c r="K282" i="2"/>
  <c r="L282" i="2"/>
  <c r="M282" i="2"/>
  <c r="N282" i="2"/>
  <c r="O282" i="2"/>
  <c r="I283" i="2"/>
  <c r="J283" i="2"/>
  <c r="K283" i="2"/>
  <c r="L283" i="2"/>
  <c r="M283" i="2"/>
  <c r="N283" i="2"/>
  <c r="O283" i="2"/>
  <c r="I284" i="2"/>
  <c r="J284" i="2"/>
  <c r="K284" i="2"/>
  <c r="L284" i="2"/>
  <c r="M284" i="2"/>
  <c r="N284" i="2"/>
  <c r="O284" i="2"/>
  <c r="I285" i="2"/>
  <c r="J285" i="2"/>
  <c r="K285" i="2"/>
  <c r="L285" i="2"/>
  <c r="M285" i="2"/>
  <c r="N285" i="2"/>
  <c r="O285" i="2"/>
  <c r="I286" i="2"/>
  <c r="J286" i="2"/>
  <c r="K286" i="2"/>
  <c r="L286" i="2"/>
  <c r="M286" i="2"/>
  <c r="N286" i="2"/>
  <c r="O286" i="2"/>
  <c r="I287" i="2"/>
  <c r="J287" i="2"/>
  <c r="K287" i="2"/>
  <c r="L287" i="2"/>
  <c r="M287" i="2"/>
  <c r="N287" i="2"/>
  <c r="O287" i="2"/>
  <c r="I288" i="2"/>
  <c r="J288" i="2"/>
  <c r="K288" i="2"/>
  <c r="L288" i="2"/>
  <c r="M288" i="2"/>
  <c r="N288" i="2"/>
  <c r="O288" i="2"/>
  <c r="I289" i="2"/>
  <c r="J289" i="2"/>
  <c r="K289" i="2"/>
  <c r="L289" i="2"/>
  <c r="M289" i="2"/>
  <c r="N289" i="2"/>
  <c r="O289" i="2"/>
  <c r="I290" i="2"/>
  <c r="J290" i="2"/>
  <c r="K290" i="2"/>
  <c r="L290" i="2"/>
  <c r="M290" i="2"/>
  <c r="N290" i="2"/>
  <c r="O290" i="2"/>
  <c r="I291" i="2"/>
  <c r="J291" i="2"/>
  <c r="K291" i="2"/>
  <c r="L291" i="2"/>
  <c r="M291" i="2"/>
  <c r="N291" i="2"/>
  <c r="O291" i="2"/>
  <c r="I292" i="2"/>
  <c r="J292" i="2"/>
  <c r="K292" i="2"/>
  <c r="L292" i="2"/>
  <c r="M292" i="2"/>
  <c r="N292" i="2"/>
  <c r="O292" i="2"/>
  <c r="I293" i="2"/>
  <c r="J293" i="2"/>
  <c r="K293" i="2"/>
  <c r="L293" i="2"/>
  <c r="M293" i="2"/>
  <c r="N293" i="2"/>
  <c r="O293" i="2"/>
  <c r="I294" i="2"/>
  <c r="J294" i="2"/>
  <c r="K294" i="2"/>
  <c r="L294" i="2"/>
  <c r="M294" i="2"/>
  <c r="N294" i="2"/>
  <c r="O294" i="2"/>
  <c r="I295" i="2"/>
  <c r="J295" i="2"/>
  <c r="K295" i="2"/>
  <c r="L295" i="2"/>
  <c r="M295" i="2"/>
  <c r="N295" i="2"/>
  <c r="O295" i="2"/>
  <c r="I296" i="2"/>
  <c r="J296" i="2"/>
  <c r="K296" i="2"/>
  <c r="L296" i="2"/>
  <c r="M296" i="2"/>
  <c r="N296" i="2"/>
  <c r="O296" i="2"/>
  <c r="I297" i="2"/>
  <c r="J297" i="2"/>
  <c r="K297" i="2"/>
  <c r="L297" i="2"/>
  <c r="M297" i="2"/>
  <c r="N297" i="2"/>
  <c r="O297" i="2"/>
  <c r="I298" i="2"/>
  <c r="J298" i="2"/>
  <c r="K298" i="2"/>
  <c r="L298" i="2"/>
  <c r="M298" i="2"/>
  <c r="N298" i="2"/>
  <c r="O298" i="2"/>
  <c r="I299" i="2"/>
  <c r="J299" i="2"/>
  <c r="K299" i="2"/>
  <c r="L299" i="2"/>
  <c r="M299" i="2"/>
  <c r="N299" i="2"/>
  <c r="O299" i="2"/>
  <c r="I300" i="2"/>
  <c r="J300" i="2"/>
  <c r="K300" i="2"/>
  <c r="L300" i="2"/>
  <c r="M300" i="2"/>
  <c r="N300" i="2"/>
  <c r="O300" i="2"/>
  <c r="I301" i="2"/>
  <c r="J301" i="2"/>
  <c r="K301" i="2"/>
  <c r="L301" i="2"/>
  <c r="M301" i="2"/>
  <c r="N301" i="2"/>
  <c r="O301" i="2"/>
  <c r="I302" i="2"/>
  <c r="J302" i="2"/>
  <c r="K302" i="2"/>
  <c r="L302" i="2"/>
  <c r="M302" i="2"/>
  <c r="N302" i="2"/>
  <c r="O302" i="2"/>
  <c r="I303" i="2"/>
  <c r="J303" i="2"/>
  <c r="K303" i="2"/>
  <c r="L303" i="2"/>
  <c r="M303" i="2"/>
  <c r="N303" i="2"/>
  <c r="O303" i="2"/>
  <c r="I304" i="2"/>
  <c r="J304" i="2"/>
  <c r="K304" i="2"/>
  <c r="L304" i="2"/>
  <c r="M304" i="2"/>
  <c r="N304" i="2"/>
  <c r="O304" i="2"/>
  <c r="I305" i="2"/>
  <c r="J305" i="2"/>
  <c r="K305" i="2"/>
  <c r="L305" i="2"/>
  <c r="M305" i="2"/>
  <c r="N305" i="2"/>
  <c r="O305" i="2"/>
  <c r="I306" i="2"/>
  <c r="J306" i="2"/>
  <c r="K306" i="2"/>
  <c r="L306" i="2"/>
  <c r="M306" i="2"/>
  <c r="N306" i="2"/>
  <c r="O306" i="2"/>
  <c r="I307" i="2"/>
  <c r="J307" i="2"/>
  <c r="K307" i="2"/>
  <c r="L307" i="2"/>
  <c r="M307" i="2"/>
  <c r="N307" i="2"/>
  <c r="O307" i="2"/>
  <c r="I308" i="2"/>
  <c r="J308" i="2"/>
  <c r="K308" i="2"/>
  <c r="L308" i="2"/>
  <c r="M308" i="2"/>
  <c r="N308" i="2"/>
  <c r="O308" i="2"/>
  <c r="I309" i="2"/>
  <c r="J309" i="2"/>
  <c r="K309" i="2"/>
  <c r="L309" i="2"/>
  <c r="M309" i="2"/>
  <c r="N309" i="2"/>
  <c r="O309" i="2"/>
  <c r="I310" i="2"/>
  <c r="J310" i="2"/>
  <c r="K310" i="2"/>
  <c r="L310" i="2"/>
  <c r="M310" i="2"/>
  <c r="N310" i="2"/>
  <c r="O310" i="2"/>
  <c r="I311" i="2"/>
  <c r="J311" i="2"/>
  <c r="K311" i="2"/>
  <c r="L311" i="2"/>
  <c r="M311" i="2"/>
  <c r="N311" i="2"/>
  <c r="O311" i="2"/>
  <c r="I312" i="2"/>
  <c r="J312" i="2"/>
  <c r="K312" i="2"/>
  <c r="L312" i="2"/>
  <c r="M312" i="2"/>
  <c r="N312" i="2"/>
  <c r="O312" i="2"/>
  <c r="I313" i="2"/>
  <c r="J313" i="2"/>
  <c r="K313" i="2"/>
  <c r="L313" i="2"/>
  <c r="M313" i="2"/>
  <c r="N313" i="2"/>
  <c r="O313" i="2"/>
  <c r="I314" i="2"/>
  <c r="J314" i="2"/>
  <c r="K314" i="2"/>
  <c r="L314" i="2"/>
  <c r="M314" i="2"/>
  <c r="N314" i="2"/>
  <c r="O314" i="2"/>
  <c r="I315" i="2"/>
  <c r="J315" i="2"/>
  <c r="K315" i="2"/>
  <c r="L315" i="2"/>
  <c r="M315" i="2"/>
  <c r="N315" i="2"/>
  <c r="O315" i="2"/>
  <c r="I316" i="2"/>
  <c r="J316" i="2"/>
  <c r="K316" i="2"/>
  <c r="L316" i="2"/>
  <c r="M316" i="2"/>
  <c r="N316" i="2"/>
  <c r="O316" i="2"/>
  <c r="I317" i="2"/>
  <c r="J317" i="2"/>
  <c r="K317" i="2"/>
  <c r="L317" i="2"/>
  <c r="M317" i="2"/>
  <c r="N317" i="2"/>
  <c r="O317" i="2"/>
  <c r="I318" i="2"/>
  <c r="J318" i="2"/>
  <c r="K318" i="2"/>
  <c r="L318" i="2"/>
  <c r="M318" i="2"/>
  <c r="N318" i="2"/>
  <c r="O318" i="2"/>
  <c r="I319" i="2"/>
  <c r="J319" i="2"/>
  <c r="K319" i="2"/>
  <c r="L319" i="2"/>
  <c r="M319" i="2"/>
  <c r="N319" i="2"/>
  <c r="O319" i="2"/>
  <c r="I320" i="2"/>
  <c r="J320" i="2"/>
  <c r="K320" i="2"/>
  <c r="L320" i="2"/>
  <c r="M320" i="2"/>
  <c r="N320" i="2"/>
  <c r="O320" i="2"/>
  <c r="I321" i="2"/>
  <c r="J321" i="2"/>
  <c r="K321" i="2"/>
  <c r="L321" i="2"/>
  <c r="M321" i="2"/>
  <c r="N321" i="2"/>
  <c r="O321" i="2"/>
  <c r="I322" i="2"/>
  <c r="J322" i="2"/>
  <c r="K322" i="2"/>
  <c r="L322" i="2"/>
  <c r="M322" i="2"/>
  <c r="N322" i="2"/>
  <c r="O322" i="2"/>
  <c r="I323" i="2"/>
  <c r="J323" i="2"/>
  <c r="K323" i="2"/>
  <c r="L323" i="2"/>
  <c r="M323" i="2"/>
  <c r="N323" i="2"/>
  <c r="O323" i="2"/>
  <c r="I324" i="2"/>
  <c r="J324" i="2"/>
  <c r="K324" i="2"/>
  <c r="L324" i="2"/>
  <c r="M324" i="2"/>
  <c r="N324" i="2"/>
  <c r="O324" i="2"/>
  <c r="I325" i="2"/>
  <c r="J325" i="2"/>
  <c r="K325" i="2"/>
  <c r="L325" i="2"/>
  <c r="M325" i="2"/>
  <c r="N325" i="2"/>
  <c r="O325" i="2"/>
  <c r="I326" i="2"/>
  <c r="J326" i="2"/>
  <c r="K326" i="2"/>
  <c r="L326" i="2"/>
  <c r="M326" i="2"/>
  <c r="N326" i="2"/>
  <c r="O326" i="2"/>
  <c r="I327" i="2"/>
  <c r="J327" i="2"/>
  <c r="K327" i="2"/>
  <c r="L327" i="2"/>
  <c r="M327" i="2"/>
  <c r="N327" i="2"/>
  <c r="O327" i="2"/>
  <c r="I328" i="2"/>
  <c r="J328" i="2"/>
  <c r="K328" i="2"/>
  <c r="L328" i="2"/>
  <c r="M328" i="2"/>
  <c r="N328" i="2"/>
  <c r="O328" i="2"/>
  <c r="I329" i="2"/>
  <c r="J329" i="2"/>
  <c r="K329" i="2"/>
  <c r="L329" i="2"/>
  <c r="M329" i="2"/>
  <c r="N329" i="2"/>
  <c r="O329" i="2"/>
  <c r="I330" i="2"/>
  <c r="J330" i="2"/>
  <c r="K330" i="2"/>
  <c r="L330" i="2"/>
  <c r="M330" i="2"/>
  <c r="N330" i="2"/>
  <c r="O330" i="2"/>
  <c r="I331" i="2"/>
  <c r="J331" i="2"/>
  <c r="K331" i="2"/>
  <c r="L331" i="2"/>
  <c r="M331" i="2"/>
  <c r="N331" i="2"/>
  <c r="O331" i="2"/>
  <c r="I332" i="2"/>
  <c r="J332" i="2"/>
  <c r="K332" i="2"/>
  <c r="L332" i="2"/>
  <c r="M332" i="2"/>
  <c r="N332" i="2"/>
  <c r="O332" i="2"/>
  <c r="I333" i="2"/>
  <c r="J333" i="2"/>
  <c r="K333" i="2"/>
  <c r="L333" i="2"/>
  <c r="M333" i="2"/>
  <c r="N333" i="2"/>
  <c r="O333" i="2"/>
  <c r="I334" i="2"/>
  <c r="J334" i="2"/>
  <c r="K334" i="2"/>
  <c r="L334" i="2"/>
  <c r="M334" i="2"/>
  <c r="N334" i="2"/>
  <c r="O334" i="2"/>
  <c r="I335" i="2"/>
  <c r="J335" i="2"/>
  <c r="K335" i="2"/>
  <c r="L335" i="2"/>
  <c r="M335" i="2"/>
  <c r="N335" i="2"/>
  <c r="O335" i="2"/>
  <c r="I336" i="2"/>
  <c r="J336" i="2"/>
  <c r="K336" i="2"/>
  <c r="L336" i="2"/>
  <c r="M336" i="2"/>
  <c r="N336" i="2"/>
  <c r="O336" i="2"/>
  <c r="I337" i="2"/>
  <c r="J337" i="2"/>
  <c r="K337" i="2"/>
  <c r="L337" i="2"/>
  <c r="M337" i="2"/>
  <c r="N337" i="2"/>
  <c r="O337" i="2"/>
  <c r="I338" i="2"/>
  <c r="J338" i="2"/>
  <c r="K338" i="2"/>
  <c r="L338" i="2"/>
  <c r="M338" i="2"/>
  <c r="N338" i="2"/>
  <c r="O338" i="2"/>
  <c r="I339" i="2"/>
  <c r="J339" i="2"/>
  <c r="K339" i="2"/>
  <c r="L339" i="2"/>
  <c r="M339" i="2"/>
  <c r="N339" i="2"/>
  <c r="O339" i="2"/>
  <c r="I340" i="2"/>
  <c r="J340" i="2"/>
  <c r="K340" i="2"/>
  <c r="L340" i="2"/>
  <c r="M340" i="2"/>
  <c r="N340" i="2"/>
  <c r="O340" i="2"/>
  <c r="I341" i="2"/>
  <c r="J341" i="2"/>
  <c r="K341" i="2"/>
  <c r="L341" i="2"/>
  <c r="M341" i="2"/>
  <c r="N341" i="2"/>
  <c r="O341" i="2"/>
  <c r="I342" i="2"/>
  <c r="J342" i="2"/>
  <c r="K342" i="2"/>
  <c r="L342" i="2"/>
  <c r="M342" i="2"/>
  <c r="N342" i="2"/>
  <c r="O342" i="2"/>
  <c r="I343" i="2"/>
  <c r="J343" i="2"/>
  <c r="K343" i="2"/>
  <c r="L343" i="2"/>
  <c r="M343" i="2"/>
  <c r="N343" i="2"/>
  <c r="O343" i="2"/>
  <c r="I344" i="2"/>
  <c r="J344" i="2"/>
  <c r="K344" i="2"/>
  <c r="L344" i="2"/>
  <c r="M344" i="2"/>
  <c r="N344" i="2"/>
  <c r="O344" i="2"/>
  <c r="I345" i="2"/>
  <c r="J345" i="2"/>
  <c r="K345" i="2"/>
  <c r="L345" i="2"/>
  <c r="M345" i="2"/>
  <c r="N345" i="2"/>
  <c r="O345" i="2"/>
  <c r="I346" i="2"/>
  <c r="J346" i="2"/>
  <c r="K346" i="2"/>
  <c r="L346" i="2"/>
  <c r="M346" i="2"/>
  <c r="N346" i="2"/>
  <c r="O346" i="2"/>
  <c r="I347" i="2"/>
  <c r="J347" i="2"/>
  <c r="K347" i="2"/>
  <c r="L347" i="2"/>
  <c r="M347" i="2"/>
  <c r="N347" i="2"/>
  <c r="O347" i="2"/>
  <c r="I348" i="2"/>
  <c r="J348" i="2"/>
  <c r="K348" i="2"/>
  <c r="L348" i="2"/>
  <c r="M348" i="2"/>
  <c r="N348" i="2"/>
  <c r="O348" i="2"/>
  <c r="I349" i="2"/>
  <c r="J349" i="2"/>
  <c r="K349" i="2"/>
  <c r="L349" i="2"/>
  <c r="M349" i="2"/>
  <c r="N349" i="2"/>
  <c r="O349" i="2"/>
  <c r="I350" i="2"/>
  <c r="J350" i="2"/>
  <c r="K350" i="2"/>
  <c r="L350" i="2"/>
  <c r="M350" i="2"/>
  <c r="N350" i="2"/>
  <c r="O350" i="2"/>
  <c r="I351" i="2"/>
  <c r="J351" i="2"/>
  <c r="K351" i="2"/>
  <c r="L351" i="2"/>
  <c r="M351" i="2"/>
  <c r="N351" i="2"/>
  <c r="O351" i="2"/>
  <c r="I352" i="2"/>
  <c r="J352" i="2"/>
  <c r="K352" i="2"/>
  <c r="L352" i="2"/>
  <c r="M352" i="2"/>
  <c r="N352" i="2"/>
  <c r="O352" i="2"/>
  <c r="I353" i="2"/>
  <c r="J353" i="2"/>
  <c r="K353" i="2"/>
  <c r="L353" i="2"/>
  <c r="M353" i="2"/>
  <c r="N353" i="2"/>
  <c r="O353" i="2"/>
  <c r="I354" i="2"/>
  <c r="J354" i="2"/>
  <c r="K354" i="2"/>
  <c r="L354" i="2"/>
  <c r="M354" i="2"/>
  <c r="N354" i="2"/>
  <c r="O354" i="2"/>
  <c r="I355" i="2"/>
  <c r="J355" i="2"/>
  <c r="K355" i="2"/>
  <c r="L355" i="2"/>
  <c r="M355" i="2"/>
  <c r="N355" i="2"/>
  <c r="O355" i="2"/>
  <c r="I356" i="2"/>
  <c r="J356" i="2"/>
  <c r="K356" i="2"/>
  <c r="L356" i="2"/>
  <c r="M356" i="2"/>
  <c r="N356" i="2"/>
  <c r="O356" i="2"/>
  <c r="I357" i="2"/>
  <c r="J357" i="2"/>
  <c r="K357" i="2"/>
  <c r="L357" i="2"/>
  <c r="M357" i="2"/>
  <c r="N357" i="2"/>
  <c r="O357" i="2"/>
  <c r="I358" i="2"/>
  <c r="J358" i="2"/>
  <c r="K358" i="2"/>
  <c r="L358" i="2"/>
  <c r="M358" i="2"/>
  <c r="N358" i="2"/>
  <c r="O358" i="2"/>
  <c r="I359" i="2"/>
  <c r="J359" i="2"/>
  <c r="K359" i="2"/>
  <c r="L359" i="2"/>
  <c r="M359" i="2"/>
  <c r="N359" i="2"/>
  <c r="O359" i="2"/>
  <c r="I360" i="2"/>
  <c r="J360" i="2"/>
  <c r="K360" i="2"/>
  <c r="L360" i="2"/>
  <c r="M360" i="2"/>
  <c r="N360" i="2"/>
  <c r="O360" i="2"/>
  <c r="I361" i="2"/>
  <c r="J361" i="2"/>
  <c r="K361" i="2"/>
  <c r="L361" i="2"/>
  <c r="M361" i="2"/>
  <c r="N361" i="2"/>
  <c r="O361" i="2"/>
  <c r="I362" i="2"/>
  <c r="J362" i="2"/>
  <c r="K362" i="2"/>
  <c r="L362" i="2"/>
  <c r="M362" i="2"/>
  <c r="N362" i="2"/>
  <c r="O362" i="2"/>
  <c r="I363" i="2"/>
  <c r="J363" i="2"/>
  <c r="K363" i="2"/>
  <c r="L363" i="2"/>
  <c r="M363" i="2"/>
  <c r="N363" i="2"/>
  <c r="O363" i="2"/>
  <c r="I364" i="2"/>
  <c r="J364" i="2"/>
  <c r="K364" i="2"/>
  <c r="L364" i="2"/>
  <c r="M364" i="2"/>
  <c r="N364" i="2"/>
  <c r="O364" i="2"/>
  <c r="I365" i="2"/>
  <c r="J365" i="2"/>
  <c r="K365" i="2"/>
  <c r="L365" i="2"/>
  <c r="M365" i="2"/>
  <c r="N365" i="2"/>
  <c r="O365" i="2"/>
  <c r="I366" i="2"/>
  <c r="J366" i="2"/>
  <c r="K366" i="2"/>
  <c r="L366" i="2"/>
  <c r="M366" i="2"/>
  <c r="N366" i="2"/>
  <c r="O366" i="2"/>
  <c r="I367" i="2"/>
  <c r="J367" i="2"/>
  <c r="K367" i="2"/>
  <c r="L367" i="2"/>
  <c r="M367" i="2"/>
  <c r="N367" i="2"/>
  <c r="O367" i="2"/>
  <c r="I368" i="2"/>
  <c r="J368" i="2"/>
  <c r="K368" i="2"/>
  <c r="L368" i="2"/>
  <c r="M368" i="2"/>
  <c r="N368" i="2"/>
  <c r="O368" i="2"/>
  <c r="I369" i="2"/>
  <c r="J369" i="2"/>
  <c r="K369" i="2"/>
  <c r="L369" i="2"/>
  <c r="M369" i="2"/>
  <c r="N369" i="2"/>
  <c r="O369" i="2"/>
  <c r="I370" i="2"/>
  <c r="J370" i="2"/>
  <c r="K370" i="2"/>
  <c r="L370" i="2"/>
  <c r="M370" i="2"/>
  <c r="N370" i="2"/>
  <c r="O370" i="2"/>
  <c r="I371" i="2"/>
  <c r="J371" i="2"/>
  <c r="K371" i="2"/>
  <c r="L371" i="2"/>
  <c r="M371" i="2"/>
  <c r="N371" i="2"/>
  <c r="O371" i="2"/>
  <c r="I372" i="2"/>
  <c r="J372" i="2"/>
  <c r="K372" i="2"/>
  <c r="L372" i="2"/>
  <c r="M372" i="2"/>
  <c r="N372" i="2"/>
  <c r="O372" i="2"/>
  <c r="I373" i="2"/>
  <c r="J373" i="2"/>
  <c r="K373" i="2"/>
  <c r="L373" i="2"/>
  <c r="M373" i="2"/>
  <c r="N373" i="2"/>
  <c r="O373" i="2"/>
  <c r="I374" i="2"/>
  <c r="J374" i="2"/>
  <c r="K374" i="2"/>
  <c r="L374" i="2"/>
  <c r="M374" i="2"/>
  <c r="N374" i="2"/>
  <c r="O374" i="2"/>
  <c r="I375" i="2"/>
  <c r="J375" i="2"/>
  <c r="K375" i="2"/>
  <c r="L375" i="2"/>
  <c r="M375" i="2"/>
  <c r="N375" i="2"/>
  <c r="O375" i="2"/>
  <c r="I376" i="2"/>
  <c r="J376" i="2"/>
  <c r="K376" i="2"/>
  <c r="L376" i="2"/>
  <c r="M376" i="2"/>
  <c r="N376" i="2"/>
  <c r="O376" i="2"/>
  <c r="I377" i="2"/>
  <c r="J377" i="2"/>
  <c r="K377" i="2"/>
  <c r="L377" i="2"/>
  <c r="M377" i="2"/>
  <c r="N377" i="2"/>
  <c r="O377" i="2"/>
  <c r="I378" i="2"/>
  <c r="J378" i="2"/>
  <c r="K378" i="2"/>
  <c r="L378" i="2"/>
  <c r="M378" i="2"/>
  <c r="N378" i="2"/>
  <c r="O378" i="2"/>
  <c r="I379" i="2"/>
  <c r="J379" i="2"/>
  <c r="K379" i="2"/>
  <c r="L379" i="2"/>
  <c r="M379" i="2"/>
  <c r="N379" i="2"/>
  <c r="O379" i="2"/>
  <c r="I380" i="2"/>
  <c r="J380" i="2"/>
  <c r="K380" i="2"/>
  <c r="L380" i="2"/>
  <c r="M380" i="2"/>
  <c r="N380" i="2"/>
  <c r="O380" i="2"/>
  <c r="I381" i="2"/>
  <c r="J381" i="2"/>
  <c r="K381" i="2"/>
  <c r="L381" i="2"/>
  <c r="M381" i="2"/>
  <c r="N381" i="2"/>
  <c r="O381" i="2"/>
  <c r="I382" i="2"/>
  <c r="J382" i="2"/>
  <c r="K382" i="2"/>
  <c r="L382" i="2"/>
  <c r="M382" i="2"/>
  <c r="N382" i="2"/>
  <c r="O382" i="2"/>
  <c r="I383" i="2"/>
  <c r="J383" i="2"/>
  <c r="K383" i="2"/>
  <c r="L383" i="2"/>
  <c r="M383" i="2"/>
  <c r="N383" i="2"/>
  <c r="O383" i="2"/>
  <c r="I384" i="2"/>
  <c r="J384" i="2"/>
  <c r="K384" i="2"/>
  <c r="L384" i="2"/>
  <c r="M384" i="2"/>
  <c r="N384" i="2"/>
  <c r="O384" i="2"/>
  <c r="I385" i="2"/>
  <c r="J385" i="2"/>
  <c r="K385" i="2"/>
  <c r="L385" i="2"/>
  <c r="M385" i="2"/>
  <c r="N385" i="2"/>
  <c r="O385" i="2"/>
  <c r="I386" i="2"/>
  <c r="J386" i="2"/>
  <c r="K386" i="2"/>
  <c r="L386" i="2"/>
  <c r="M386" i="2"/>
  <c r="N386" i="2"/>
  <c r="O386" i="2"/>
  <c r="I387" i="2"/>
  <c r="J387" i="2"/>
  <c r="K387" i="2"/>
  <c r="L387" i="2"/>
  <c r="M387" i="2"/>
  <c r="N387" i="2"/>
  <c r="O387" i="2"/>
  <c r="I388" i="2"/>
  <c r="J388" i="2"/>
  <c r="K388" i="2"/>
  <c r="L388" i="2"/>
  <c r="M388" i="2"/>
  <c r="N388" i="2"/>
  <c r="O388" i="2"/>
  <c r="I389" i="2"/>
  <c r="J389" i="2"/>
  <c r="K389" i="2"/>
  <c r="L389" i="2"/>
  <c r="M389" i="2"/>
  <c r="N389" i="2"/>
  <c r="O389" i="2"/>
  <c r="I390" i="2"/>
  <c r="J390" i="2"/>
  <c r="K390" i="2"/>
  <c r="L390" i="2"/>
  <c r="M390" i="2"/>
  <c r="N390" i="2"/>
  <c r="O390" i="2"/>
  <c r="I391" i="2"/>
  <c r="J391" i="2"/>
  <c r="K391" i="2"/>
  <c r="L391" i="2"/>
  <c r="M391" i="2"/>
  <c r="N391" i="2"/>
  <c r="O391" i="2"/>
  <c r="I392" i="2"/>
  <c r="J392" i="2"/>
  <c r="K392" i="2"/>
  <c r="L392" i="2"/>
  <c r="M392" i="2"/>
  <c r="N392" i="2"/>
  <c r="O392" i="2"/>
  <c r="I393" i="2"/>
  <c r="J393" i="2"/>
  <c r="K393" i="2"/>
  <c r="L393" i="2"/>
  <c r="M393" i="2"/>
  <c r="N393" i="2"/>
  <c r="O393" i="2"/>
  <c r="I394" i="2"/>
  <c r="J394" i="2"/>
  <c r="K394" i="2"/>
  <c r="L394" i="2"/>
  <c r="M394" i="2"/>
  <c r="N394" i="2"/>
  <c r="O394" i="2"/>
  <c r="I395" i="2"/>
  <c r="J395" i="2"/>
  <c r="K395" i="2"/>
  <c r="L395" i="2"/>
  <c r="M395" i="2"/>
  <c r="N395" i="2"/>
  <c r="O395" i="2"/>
  <c r="I396" i="2"/>
  <c r="J396" i="2"/>
  <c r="K396" i="2"/>
  <c r="L396" i="2"/>
  <c r="M396" i="2"/>
  <c r="N396" i="2"/>
  <c r="O396" i="2"/>
  <c r="I397" i="2"/>
  <c r="J397" i="2"/>
  <c r="K397" i="2"/>
  <c r="L397" i="2"/>
  <c r="M397" i="2"/>
  <c r="N397" i="2"/>
  <c r="O397" i="2"/>
  <c r="I398" i="2"/>
  <c r="J398" i="2"/>
  <c r="K398" i="2"/>
  <c r="L398" i="2"/>
  <c r="M398" i="2"/>
  <c r="N398" i="2"/>
  <c r="O398" i="2"/>
  <c r="I399" i="2"/>
  <c r="J399" i="2"/>
  <c r="K399" i="2"/>
  <c r="L399" i="2"/>
  <c r="M399" i="2"/>
  <c r="N399" i="2"/>
  <c r="O399" i="2"/>
  <c r="I400" i="2"/>
  <c r="J400" i="2"/>
  <c r="K400" i="2"/>
  <c r="L400" i="2"/>
  <c r="M400" i="2"/>
  <c r="N400" i="2"/>
  <c r="O400" i="2"/>
  <c r="I401" i="2"/>
  <c r="J401" i="2"/>
  <c r="K401" i="2"/>
  <c r="L401" i="2"/>
  <c r="M401" i="2"/>
  <c r="N401" i="2"/>
  <c r="O401" i="2"/>
  <c r="I402" i="2"/>
  <c r="J402" i="2"/>
  <c r="K402" i="2"/>
  <c r="L402" i="2"/>
  <c r="M402" i="2"/>
  <c r="N402" i="2"/>
  <c r="O402" i="2"/>
  <c r="I403" i="2"/>
  <c r="J403" i="2"/>
  <c r="K403" i="2"/>
  <c r="L403" i="2"/>
  <c r="M403" i="2"/>
  <c r="N403" i="2"/>
  <c r="O403" i="2"/>
  <c r="I404" i="2"/>
  <c r="J404" i="2"/>
  <c r="K404" i="2"/>
  <c r="L404" i="2"/>
  <c r="M404" i="2"/>
  <c r="N404" i="2"/>
  <c r="O404" i="2"/>
  <c r="I405" i="2"/>
  <c r="J405" i="2"/>
  <c r="K405" i="2"/>
  <c r="L405" i="2"/>
  <c r="M405" i="2"/>
  <c r="N405" i="2"/>
  <c r="O405" i="2"/>
  <c r="I406" i="2"/>
  <c r="J406" i="2"/>
  <c r="K406" i="2"/>
  <c r="L406" i="2"/>
  <c r="M406" i="2"/>
  <c r="N406" i="2"/>
  <c r="O406" i="2"/>
  <c r="I407" i="2"/>
  <c r="J407" i="2"/>
  <c r="K407" i="2"/>
  <c r="L407" i="2"/>
  <c r="M407" i="2"/>
  <c r="N407" i="2"/>
  <c r="O407" i="2"/>
  <c r="I408" i="2"/>
  <c r="J408" i="2"/>
  <c r="K408" i="2"/>
  <c r="L408" i="2"/>
  <c r="M408" i="2"/>
  <c r="N408" i="2"/>
  <c r="O408" i="2"/>
  <c r="I409" i="2"/>
  <c r="J409" i="2"/>
  <c r="K409" i="2"/>
  <c r="L409" i="2"/>
  <c r="M409" i="2"/>
  <c r="N409" i="2"/>
  <c r="O409" i="2"/>
  <c r="I410" i="2"/>
  <c r="J410" i="2"/>
  <c r="K410" i="2"/>
  <c r="L410" i="2"/>
  <c r="M410" i="2"/>
  <c r="N410" i="2"/>
  <c r="O410" i="2"/>
  <c r="I411" i="2"/>
  <c r="J411" i="2"/>
  <c r="K411" i="2"/>
  <c r="L411" i="2"/>
  <c r="M411" i="2"/>
  <c r="N411" i="2"/>
  <c r="O411" i="2"/>
  <c r="I412" i="2"/>
  <c r="J412" i="2"/>
  <c r="K412" i="2"/>
  <c r="L412" i="2"/>
  <c r="M412" i="2"/>
  <c r="N412" i="2"/>
  <c r="O412" i="2"/>
  <c r="I413" i="2"/>
  <c r="J413" i="2"/>
  <c r="K413" i="2"/>
  <c r="L413" i="2"/>
  <c r="M413" i="2"/>
  <c r="N413" i="2"/>
  <c r="O413" i="2"/>
  <c r="I414" i="2"/>
  <c r="J414" i="2"/>
  <c r="K414" i="2"/>
  <c r="L414" i="2"/>
  <c r="M414" i="2"/>
  <c r="N414" i="2"/>
  <c r="O414" i="2"/>
  <c r="I415" i="2"/>
  <c r="J415" i="2"/>
  <c r="K415" i="2"/>
  <c r="L415" i="2"/>
  <c r="M415" i="2"/>
  <c r="N415" i="2"/>
  <c r="O415" i="2"/>
  <c r="I416" i="2"/>
  <c r="J416" i="2"/>
  <c r="K416" i="2"/>
  <c r="L416" i="2"/>
  <c r="M416" i="2"/>
  <c r="N416" i="2"/>
  <c r="O416" i="2"/>
  <c r="I417" i="2"/>
  <c r="J417" i="2"/>
  <c r="K417" i="2"/>
  <c r="L417" i="2"/>
  <c r="M417" i="2"/>
  <c r="N417" i="2"/>
  <c r="O417" i="2"/>
  <c r="I418" i="2"/>
  <c r="J418" i="2"/>
  <c r="K418" i="2"/>
  <c r="L418" i="2"/>
  <c r="M418" i="2"/>
  <c r="N418" i="2"/>
  <c r="O418" i="2"/>
  <c r="I419" i="2"/>
  <c r="J419" i="2"/>
  <c r="K419" i="2"/>
  <c r="L419" i="2"/>
  <c r="M419" i="2"/>
  <c r="N419" i="2"/>
  <c r="O419" i="2"/>
  <c r="I420" i="2"/>
  <c r="J420" i="2"/>
  <c r="K420" i="2"/>
  <c r="L420" i="2"/>
  <c r="M420" i="2"/>
  <c r="N420" i="2"/>
  <c r="O420" i="2"/>
  <c r="I421" i="2"/>
  <c r="J421" i="2"/>
  <c r="K421" i="2"/>
  <c r="L421" i="2"/>
  <c r="M421" i="2"/>
  <c r="N421" i="2"/>
  <c r="O421" i="2"/>
  <c r="I422" i="2"/>
  <c r="J422" i="2"/>
  <c r="K422" i="2"/>
  <c r="L422" i="2"/>
  <c r="M422" i="2"/>
  <c r="N422" i="2"/>
  <c r="O422" i="2"/>
  <c r="I423" i="2"/>
  <c r="J423" i="2"/>
  <c r="K423" i="2"/>
  <c r="L423" i="2"/>
  <c r="M423" i="2"/>
  <c r="N423" i="2"/>
  <c r="O423" i="2"/>
  <c r="I424" i="2"/>
  <c r="J424" i="2"/>
  <c r="K424" i="2"/>
  <c r="L424" i="2"/>
  <c r="M424" i="2"/>
  <c r="N424" i="2"/>
  <c r="O424" i="2"/>
  <c r="I425" i="2"/>
  <c r="J425" i="2"/>
  <c r="K425" i="2"/>
  <c r="L425" i="2"/>
  <c r="M425" i="2"/>
  <c r="N425" i="2"/>
  <c r="O425" i="2"/>
  <c r="I426" i="2"/>
  <c r="J426" i="2"/>
  <c r="K426" i="2"/>
  <c r="L426" i="2"/>
  <c r="M426" i="2"/>
  <c r="N426" i="2"/>
  <c r="O426" i="2"/>
  <c r="I427" i="2"/>
  <c r="J427" i="2"/>
  <c r="K427" i="2"/>
  <c r="L427" i="2"/>
  <c r="M427" i="2"/>
  <c r="N427" i="2"/>
  <c r="O427" i="2"/>
  <c r="I428" i="2"/>
  <c r="J428" i="2"/>
  <c r="K428" i="2"/>
  <c r="L428" i="2"/>
  <c r="M428" i="2"/>
  <c r="N428" i="2"/>
  <c r="O428" i="2"/>
  <c r="I429" i="2"/>
  <c r="J429" i="2"/>
  <c r="K429" i="2"/>
  <c r="L429" i="2"/>
  <c r="M429" i="2"/>
  <c r="N429" i="2"/>
  <c r="O429" i="2"/>
  <c r="I430" i="2"/>
  <c r="J430" i="2"/>
  <c r="K430" i="2"/>
  <c r="L430" i="2"/>
  <c r="M430" i="2"/>
  <c r="N430" i="2"/>
  <c r="O430" i="2"/>
  <c r="I431" i="2"/>
  <c r="J431" i="2"/>
  <c r="K431" i="2"/>
  <c r="L431" i="2"/>
  <c r="M431" i="2"/>
  <c r="N431" i="2"/>
  <c r="O431" i="2"/>
  <c r="I432" i="2"/>
  <c r="J432" i="2"/>
  <c r="K432" i="2"/>
  <c r="L432" i="2"/>
  <c r="M432" i="2"/>
  <c r="N432" i="2"/>
  <c r="O432" i="2"/>
  <c r="I433" i="2"/>
  <c r="J433" i="2"/>
  <c r="K433" i="2"/>
  <c r="L433" i="2"/>
  <c r="M433" i="2"/>
  <c r="N433" i="2"/>
  <c r="O433" i="2"/>
  <c r="I434" i="2"/>
  <c r="J434" i="2"/>
  <c r="K434" i="2"/>
  <c r="L434" i="2"/>
  <c r="M434" i="2"/>
  <c r="N434" i="2"/>
  <c r="O434" i="2"/>
  <c r="I435" i="2"/>
  <c r="J435" i="2"/>
  <c r="K435" i="2"/>
  <c r="L435" i="2"/>
  <c r="M435" i="2"/>
  <c r="N435" i="2"/>
  <c r="O435" i="2"/>
  <c r="I436" i="2"/>
  <c r="J436" i="2"/>
  <c r="K436" i="2"/>
  <c r="L436" i="2"/>
  <c r="M436" i="2"/>
  <c r="N436" i="2"/>
  <c r="O436" i="2"/>
  <c r="I437" i="2"/>
  <c r="J437" i="2"/>
  <c r="K437" i="2"/>
  <c r="L437" i="2"/>
  <c r="M437" i="2"/>
  <c r="N437" i="2"/>
  <c r="O437" i="2"/>
  <c r="I438" i="2"/>
  <c r="J438" i="2"/>
  <c r="K438" i="2"/>
  <c r="L438" i="2"/>
  <c r="M438" i="2"/>
  <c r="N438" i="2"/>
  <c r="O438" i="2"/>
  <c r="I439" i="2"/>
  <c r="J439" i="2"/>
  <c r="K439" i="2"/>
  <c r="L439" i="2"/>
  <c r="M439" i="2"/>
  <c r="N439" i="2"/>
  <c r="O439" i="2"/>
  <c r="I440" i="2"/>
  <c r="J440" i="2"/>
  <c r="K440" i="2"/>
  <c r="L440" i="2"/>
  <c r="M440" i="2"/>
  <c r="N440" i="2"/>
  <c r="O440" i="2"/>
  <c r="I441" i="2"/>
  <c r="J441" i="2"/>
  <c r="K441" i="2"/>
  <c r="L441" i="2"/>
  <c r="M441" i="2"/>
  <c r="N441" i="2"/>
  <c r="O441" i="2"/>
  <c r="I442" i="2"/>
  <c r="J442" i="2"/>
  <c r="K442" i="2"/>
  <c r="L442" i="2"/>
  <c r="M442" i="2"/>
  <c r="N442" i="2"/>
  <c r="O442" i="2"/>
  <c r="I443" i="2"/>
  <c r="J443" i="2"/>
  <c r="K443" i="2"/>
  <c r="L443" i="2"/>
  <c r="M443" i="2"/>
  <c r="N443" i="2"/>
  <c r="O443" i="2"/>
  <c r="I444" i="2"/>
  <c r="J444" i="2"/>
  <c r="K444" i="2"/>
  <c r="L444" i="2"/>
  <c r="M444" i="2"/>
  <c r="N444" i="2"/>
  <c r="O444" i="2"/>
  <c r="I445" i="2"/>
  <c r="J445" i="2"/>
  <c r="K445" i="2"/>
  <c r="L445" i="2"/>
  <c r="M445" i="2"/>
  <c r="N445" i="2"/>
  <c r="O445" i="2"/>
  <c r="I446" i="2"/>
  <c r="J446" i="2"/>
  <c r="K446" i="2"/>
  <c r="L446" i="2"/>
  <c r="M446" i="2"/>
  <c r="N446" i="2"/>
  <c r="O446" i="2"/>
  <c r="I447" i="2"/>
  <c r="J447" i="2"/>
  <c r="K447" i="2"/>
  <c r="L447" i="2"/>
  <c r="M447" i="2"/>
  <c r="N447" i="2"/>
  <c r="O447" i="2"/>
  <c r="I448" i="2"/>
  <c r="J448" i="2"/>
  <c r="K448" i="2"/>
  <c r="L448" i="2"/>
  <c r="M448" i="2"/>
  <c r="N448" i="2"/>
  <c r="O448" i="2"/>
  <c r="I449" i="2"/>
  <c r="J449" i="2"/>
  <c r="K449" i="2"/>
  <c r="L449" i="2"/>
  <c r="M449" i="2"/>
  <c r="N449" i="2"/>
  <c r="O449" i="2"/>
  <c r="I450" i="2"/>
  <c r="J450" i="2"/>
  <c r="K450" i="2"/>
  <c r="L450" i="2"/>
  <c r="M450" i="2"/>
  <c r="N450" i="2"/>
  <c r="O450" i="2"/>
  <c r="I451" i="2"/>
  <c r="J451" i="2"/>
  <c r="K451" i="2"/>
  <c r="L451" i="2"/>
  <c r="M451" i="2"/>
  <c r="N451" i="2"/>
  <c r="O451" i="2"/>
  <c r="I452" i="2"/>
  <c r="J452" i="2"/>
  <c r="K452" i="2"/>
  <c r="L452" i="2"/>
  <c r="M452" i="2"/>
  <c r="N452" i="2"/>
  <c r="O452" i="2"/>
  <c r="I453" i="2"/>
  <c r="J453" i="2"/>
  <c r="K453" i="2"/>
  <c r="L453" i="2"/>
  <c r="M453" i="2"/>
  <c r="N453" i="2"/>
  <c r="O453" i="2"/>
  <c r="I454" i="2"/>
  <c r="J454" i="2"/>
  <c r="K454" i="2"/>
  <c r="L454" i="2"/>
  <c r="M454" i="2"/>
  <c r="N454" i="2"/>
  <c r="O454" i="2"/>
  <c r="I455" i="2"/>
  <c r="J455" i="2"/>
  <c r="K455" i="2"/>
  <c r="L455" i="2"/>
  <c r="M455" i="2"/>
  <c r="N455" i="2"/>
  <c r="O455" i="2"/>
  <c r="I456" i="2"/>
  <c r="J456" i="2"/>
  <c r="K456" i="2"/>
  <c r="L456" i="2"/>
  <c r="M456" i="2"/>
  <c r="N456" i="2"/>
  <c r="O456" i="2"/>
  <c r="I457" i="2"/>
  <c r="J457" i="2"/>
  <c r="K457" i="2"/>
  <c r="L457" i="2"/>
  <c r="M457" i="2"/>
  <c r="N457" i="2"/>
  <c r="O457" i="2"/>
  <c r="I458" i="2"/>
  <c r="J458" i="2"/>
  <c r="K458" i="2"/>
  <c r="L458" i="2"/>
  <c r="M458" i="2"/>
  <c r="N458" i="2"/>
  <c r="O458" i="2"/>
  <c r="I459" i="2"/>
  <c r="J459" i="2"/>
  <c r="K459" i="2"/>
  <c r="L459" i="2"/>
  <c r="M459" i="2"/>
  <c r="N459" i="2"/>
  <c r="O459" i="2"/>
  <c r="I460" i="2"/>
  <c r="J460" i="2"/>
  <c r="K460" i="2"/>
  <c r="L460" i="2"/>
  <c r="M460" i="2"/>
  <c r="N460" i="2"/>
  <c r="O460" i="2"/>
  <c r="I461" i="2"/>
  <c r="J461" i="2"/>
  <c r="K461" i="2"/>
  <c r="L461" i="2"/>
  <c r="M461" i="2"/>
  <c r="N461" i="2"/>
  <c r="O461" i="2"/>
  <c r="I462" i="2"/>
  <c r="J462" i="2"/>
  <c r="K462" i="2"/>
  <c r="L462" i="2"/>
  <c r="M462" i="2"/>
  <c r="N462" i="2"/>
  <c r="O462" i="2"/>
  <c r="I463" i="2"/>
  <c r="J463" i="2"/>
  <c r="K463" i="2"/>
  <c r="L463" i="2"/>
  <c r="M463" i="2"/>
  <c r="N463" i="2"/>
  <c r="O463" i="2"/>
  <c r="I464" i="2"/>
  <c r="J464" i="2"/>
  <c r="K464" i="2"/>
  <c r="L464" i="2"/>
  <c r="M464" i="2"/>
  <c r="N464" i="2"/>
  <c r="O464" i="2"/>
  <c r="I465" i="2"/>
  <c r="J465" i="2"/>
  <c r="K465" i="2"/>
  <c r="L465" i="2"/>
  <c r="M465" i="2"/>
  <c r="N465" i="2"/>
  <c r="O465" i="2"/>
  <c r="I466" i="2"/>
  <c r="J466" i="2"/>
  <c r="K466" i="2"/>
  <c r="L466" i="2"/>
  <c r="M466" i="2"/>
  <c r="N466" i="2"/>
  <c r="O466" i="2"/>
  <c r="I467" i="2"/>
  <c r="J467" i="2"/>
  <c r="K467" i="2"/>
  <c r="L467" i="2"/>
  <c r="M467" i="2"/>
  <c r="N467" i="2"/>
  <c r="O467" i="2"/>
  <c r="I468" i="2"/>
  <c r="J468" i="2"/>
  <c r="K468" i="2"/>
  <c r="L468" i="2"/>
  <c r="M468" i="2"/>
  <c r="N468" i="2"/>
  <c r="O468" i="2"/>
  <c r="I469" i="2"/>
  <c r="J469" i="2"/>
  <c r="K469" i="2"/>
  <c r="L469" i="2"/>
  <c r="M469" i="2"/>
  <c r="N469" i="2"/>
  <c r="O469" i="2"/>
  <c r="I470" i="2"/>
  <c r="J470" i="2"/>
  <c r="K470" i="2"/>
  <c r="L470" i="2"/>
  <c r="M470" i="2"/>
  <c r="N470" i="2"/>
  <c r="O470" i="2"/>
  <c r="I471" i="2"/>
  <c r="J471" i="2"/>
  <c r="K471" i="2"/>
  <c r="L471" i="2"/>
  <c r="M471" i="2"/>
  <c r="N471" i="2"/>
  <c r="O471" i="2"/>
  <c r="I472" i="2"/>
  <c r="J472" i="2"/>
  <c r="K472" i="2"/>
  <c r="L472" i="2"/>
  <c r="M472" i="2"/>
  <c r="N472" i="2"/>
  <c r="O472" i="2"/>
  <c r="I473" i="2"/>
  <c r="J473" i="2"/>
  <c r="K473" i="2"/>
  <c r="L473" i="2"/>
  <c r="M473" i="2"/>
  <c r="N473" i="2"/>
  <c r="O473" i="2"/>
  <c r="I474" i="2"/>
  <c r="J474" i="2"/>
  <c r="K474" i="2"/>
  <c r="L474" i="2"/>
  <c r="M474" i="2"/>
  <c r="N474" i="2"/>
  <c r="O474" i="2"/>
  <c r="I475" i="2"/>
  <c r="J475" i="2"/>
  <c r="K475" i="2"/>
  <c r="L475" i="2"/>
  <c r="M475" i="2"/>
  <c r="N475" i="2"/>
  <c r="O475" i="2"/>
  <c r="I476" i="2"/>
  <c r="J476" i="2"/>
  <c r="K476" i="2"/>
  <c r="L476" i="2"/>
  <c r="M476" i="2"/>
  <c r="N476" i="2"/>
  <c r="O476" i="2"/>
  <c r="I477" i="2"/>
  <c r="J477" i="2"/>
  <c r="K477" i="2"/>
  <c r="L477" i="2"/>
  <c r="M477" i="2"/>
  <c r="N477" i="2"/>
  <c r="O477" i="2"/>
  <c r="I478" i="2"/>
  <c r="J478" i="2"/>
  <c r="K478" i="2"/>
  <c r="L478" i="2"/>
  <c r="M478" i="2"/>
  <c r="N478" i="2"/>
  <c r="O478" i="2"/>
  <c r="I479" i="2"/>
  <c r="J479" i="2"/>
  <c r="K479" i="2"/>
  <c r="L479" i="2"/>
  <c r="M479" i="2"/>
  <c r="N479" i="2"/>
  <c r="O479" i="2"/>
  <c r="I480" i="2"/>
  <c r="J480" i="2"/>
  <c r="K480" i="2"/>
  <c r="L480" i="2"/>
  <c r="M480" i="2"/>
  <c r="N480" i="2"/>
  <c r="O480" i="2"/>
  <c r="I481" i="2"/>
  <c r="J481" i="2"/>
  <c r="K481" i="2"/>
  <c r="L481" i="2"/>
  <c r="M481" i="2"/>
  <c r="N481" i="2"/>
  <c r="O481" i="2"/>
  <c r="I482" i="2"/>
  <c r="J482" i="2"/>
  <c r="K482" i="2"/>
  <c r="L482" i="2"/>
  <c r="M482" i="2"/>
  <c r="N482" i="2"/>
  <c r="O482" i="2"/>
  <c r="I483" i="2"/>
  <c r="J483" i="2"/>
  <c r="K483" i="2"/>
  <c r="L483" i="2"/>
  <c r="M483" i="2"/>
  <c r="N483" i="2"/>
  <c r="O483" i="2"/>
  <c r="I484" i="2"/>
  <c r="J484" i="2"/>
  <c r="K484" i="2"/>
  <c r="L484" i="2"/>
  <c r="M484" i="2"/>
  <c r="N484" i="2"/>
  <c r="O484" i="2"/>
  <c r="I485" i="2"/>
  <c r="J485" i="2"/>
  <c r="K485" i="2"/>
  <c r="L485" i="2"/>
  <c r="M485" i="2"/>
  <c r="N485" i="2"/>
  <c r="O485" i="2"/>
  <c r="I486" i="2"/>
  <c r="J486" i="2"/>
  <c r="K486" i="2"/>
  <c r="L486" i="2"/>
  <c r="M486" i="2"/>
  <c r="N486" i="2"/>
  <c r="O486" i="2"/>
  <c r="I487" i="2"/>
  <c r="J487" i="2"/>
  <c r="K487" i="2"/>
  <c r="L487" i="2"/>
  <c r="M487" i="2"/>
  <c r="N487" i="2"/>
  <c r="O487" i="2"/>
  <c r="I488" i="2"/>
  <c r="J488" i="2"/>
  <c r="K488" i="2"/>
  <c r="L488" i="2"/>
  <c r="M488" i="2"/>
  <c r="N488" i="2"/>
  <c r="O488" i="2"/>
  <c r="I489" i="2"/>
  <c r="J489" i="2"/>
  <c r="K489" i="2"/>
  <c r="L489" i="2"/>
  <c r="M489" i="2"/>
  <c r="N489" i="2"/>
  <c r="O489" i="2"/>
  <c r="I490" i="2"/>
  <c r="J490" i="2"/>
  <c r="K490" i="2"/>
  <c r="L490" i="2"/>
  <c r="M490" i="2"/>
  <c r="N490" i="2"/>
  <c r="O490" i="2"/>
  <c r="I491" i="2"/>
  <c r="J491" i="2"/>
  <c r="K491" i="2"/>
  <c r="L491" i="2"/>
  <c r="M491" i="2"/>
  <c r="N491" i="2"/>
  <c r="O491" i="2"/>
  <c r="I492" i="2"/>
  <c r="J492" i="2"/>
  <c r="K492" i="2"/>
  <c r="L492" i="2"/>
  <c r="M492" i="2"/>
  <c r="N492" i="2"/>
  <c r="O492" i="2"/>
  <c r="I493" i="2"/>
  <c r="J493" i="2"/>
  <c r="K493" i="2"/>
  <c r="L493" i="2"/>
  <c r="M493" i="2"/>
  <c r="N493" i="2"/>
  <c r="O493" i="2"/>
  <c r="I494" i="2"/>
  <c r="J494" i="2"/>
  <c r="K494" i="2"/>
  <c r="L494" i="2"/>
  <c r="M494" i="2"/>
  <c r="N494" i="2"/>
  <c r="O494" i="2"/>
  <c r="I495" i="2"/>
  <c r="J495" i="2"/>
  <c r="K495" i="2"/>
  <c r="L495" i="2"/>
  <c r="M495" i="2"/>
  <c r="N495" i="2"/>
  <c r="O495" i="2"/>
  <c r="I496" i="2"/>
  <c r="J496" i="2"/>
  <c r="K496" i="2"/>
  <c r="L496" i="2"/>
  <c r="M496" i="2"/>
  <c r="N496" i="2"/>
  <c r="O496" i="2"/>
  <c r="I497" i="2"/>
  <c r="J497" i="2"/>
  <c r="K497" i="2"/>
  <c r="L497" i="2"/>
  <c r="M497" i="2"/>
  <c r="N497" i="2"/>
  <c r="O497" i="2"/>
  <c r="I498" i="2"/>
  <c r="J498" i="2"/>
  <c r="K498" i="2"/>
  <c r="L498" i="2"/>
  <c r="M498" i="2"/>
  <c r="N498" i="2"/>
  <c r="O498" i="2"/>
  <c r="I499" i="2"/>
  <c r="J499" i="2"/>
  <c r="K499" i="2"/>
  <c r="L499" i="2"/>
  <c r="M499" i="2"/>
  <c r="N499" i="2"/>
  <c r="O499" i="2"/>
  <c r="I500" i="2"/>
  <c r="J500" i="2"/>
  <c r="K500" i="2"/>
  <c r="L500" i="2"/>
  <c r="M500" i="2"/>
  <c r="N500" i="2"/>
  <c r="O500" i="2"/>
  <c r="I501" i="2"/>
  <c r="J501" i="2"/>
  <c r="K501" i="2"/>
  <c r="L501" i="2"/>
  <c r="M501" i="2"/>
  <c r="N501" i="2"/>
  <c r="O501" i="2"/>
  <c r="I502" i="2"/>
  <c r="J502" i="2"/>
  <c r="K502" i="2"/>
  <c r="L502" i="2"/>
  <c r="M502" i="2"/>
  <c r="N502" i="2"/>
  <c r="O502" i="2"/>
  <c r="I503" i="2"/>
  <c r="J503" i="2"/>
  <c r="K503" i="2"/>
  <c r="L503" i="2"/>
  <c r="M503" i="2"/>
  <c r="N503" i="2"/>
  <c r="O503" i="2"/>
  <c r="I504" i="2"/>
  <c r="J504" i="2"/>
  <c r="K504" i="2"/>
  <c r="L504" i="2"/>
  <c r="M504" i="2"/>
  <c r="N504" i="2"/>
  <c r="O504" i="2"/>
  <c r="I505" i="2"/>
  <c r="J505" i="2"/>
  <c r="K505" i="2"/>
  <c r="L505" i="2"/>
  <c r="M505" i="2"/>
  <c r="N505" i="2"/>
  <c r="O505" i="2"/>
  <c r="I506" i="2"/>
  <c r="J506" i="2"/>
  <c r="K506" i="2"/>
  <c r="L506" i="2"/>
  <c r="M506" i="2"/>
  <c r="N506" i="2"/>
  <c r="O506" i="2"/>
  <c r="I507" i="2"/>
  <c r="J507" i="2"/>
  <c r="K507" i="2"/>
  <c r="L507" i="2"/>
  <c r="M507" i="2"/>
  <c r="N507" i="2"/>
  <c r="O507" i="2"/>
  <c r="I508" i="2"/>
  <c r="J508" i="2"/>
  <c r="K508" i="2"/>
  <c r="L508" i="2"/>
  <c r="M508" i="2"/>
  <c r="N508" i="2"/>
  <c r="O508" i="2"/>
  <c r="I509" i="2"/>
  <c r="J509" i="2"/>
  <c r="K509" i="2"/>
  <c r="L509" i="2"/>
  <c r="M509" i="2"/>
  <c r="N509" i="2"/>
  <c r="O509" i="2"/>
  <c r="I510" i="2"/>
  <c r="J510" i="2"/>
  <c r="K510" i="2"/>
  <c r="L510" i="2"/>
  <c r="M510" i="2"/>
  <c r="N510" i="2"/>
  <c r="O510" i="2"/>
  <c r="I511" i="2"/>
  <c r="J511" i="2"/>
  <c r="K511" i="2"/>
  <c r="L511" i="2"/>
  <c r="M511" i="2"/>
  <c r="N511" i="2"/>
  <c r="O511" i="2"/>
  <c r="I512" i="2"/>
  <c r="J512" i="2"/>
  <c r="K512" i="2"/>
  <c r="L512" i="2"/>
  <c r="M512" i="2"/>
  <c r="N512" i="2"/>
  <c r="O512" i="2"/>
  <c r="I513" i="2"/>
  <c r="J513" i="2"/>
  <c r="K513" i="2"/>
  <c r="L513" i="2"/>
  <c r="M513" i="2"/>
  <c r="N513" i="2"/>
  <c r="O513" i="2"/>
  <c r="I514" i="2"/>
  <c r="J514" i="2"/>
  <c r="K514" i="2"/>
  <c r="L514" i="2"/>
  <c r="M514" i="2"/>
  <c r="N514" i="2"/>
  <c r="O514" i="2"/>
  <c r="I515" i="2"/>
  <c r="J515" i="2"/>
  <c r="K515" i="2"/>
  <c r="L515" i="2"/>
  <c r="M515" i="2"/>
  <c r="N515" i="2"/>
  <c r="O515" i="2"/>
  <c r="I516" i="2"/>
  <c r="J516" i="2"/>
  <c r="K516" i="2"/>
  <c r="L516" i="2"/>
  <c r="M516" i="2"/>
  <c r="N516" i="2"/>
  <c r="O516" i="2"/>
  <c r="I517" i="2"/>
  <c r="J517" i="2"/>
  <c r="K517" i="2"/>
  <c r="L517" i="2"/>
  <c r="M517" i="2"/>
  <c r="N517" i="2"/>
  <c r="O517" i="2"/>
  <c r="I518" i="2"/>
  <c r="J518" i="2"/>
  <c r="K518" i="2"/>
  <c r="L518" i="2"/>
  <c r="M518" i="2"/>
  <c r="N518" i="2"/>
  <c r="O518" i="2"/>
  <c r="I519" i="2"/>
  <c r="J519" i="2"/>
  <c r="K519" i="2"/>
  <c r="L519" i="2"/>
  <c r="M519" i="2"/>
  <c r="N519" i="2"/>
  <c r="O519" i="2"/>
  <c r="I520" i="2"/>
  <c r="J520" i="2"/>
  <c r="K520" i="2"/>
  <c r="L520" i="2"/>
  <c r="M520" i="2"/>
  <c r="N520" i="2"/>
  <c r="O520" i="2"/>
  <c r="I521" i="2"/>
  <c r="J521" i="2"/>
  <c r="K521" i="2"/>
  <c r="L521" i="2"/>
  <c r="M521" i="2"/>
  <c r="N521" i="2"/>
  <c r="O521" i="2"/>
  <c r="I522" i="2"/>
  <c r="J522" i="2"/>
  <c r="K522" i="2"/>
  <c r="L522" i="2"/>
  <c r="M522" i="2"/>
  <c r="N522" i="2"/>
  <c r="O522" i="2"/>
  <c r="I523" i="2"/>
  <c r="J523" i="2"/>
  <c r="K523" i="2"/>
  <c r="L523" i="2"/>
  <c r="M523" i="2"/>
  <c r="N523" i="2"/>
  <c r="O523" i="2"/>
  <c r="I524" i="2"/>
  <c r="J524" i="2"/>
  <c r="K524" i="2"/>
  <c r="L524" i="2"/>
  <c r="M524" i="2"/>
  <c r="N524" i="2"/>
  <c r="O524" i="2"/>
  <c r="I525" i="2"/>
  <c r="J525" i="2"/>
  <c r="K525" i="2"/>
  <c r="L525" i="2"/>
  <c r="M525" i="2"/>
  <c r="N525" i="2"/>
  <c r="O525" i="2"/>
  <c r="I526" i="2"/>
  <c r="J526" i="2"/>
  <c r="K526" i="2"/>
  <c r="L526" i="2"/>
  <c r="M526" i="2"/>
  <c r="N526" i="2"/>
  <c r="O526" i="2"/>
  <c r="I527" i="2"/>
  <c r="J527" i="2"/>
  <c r="K527" i="2"/>
  <c r="L527" i="2"/>
  <c r="M527" i="2"/>
  <c r="N527" i="2"/>
  <c r="O527" i="2"/>
  <c r="I528" i="2"/>
  <c r="J528" i="2"/>
  <c r="K528" i="2"/>
  <c r="L528" i="2"/>
  <c r="M528" i="2"/>
  <c r="N528" i="2"/>
  <c r="O528" i="2"/>
  <c r="I529" i="2"/>
  <c r="J529" i="2"/>
  <c r="K529" i="2"/>
  <c r="L529" i="2"/>
  <c r="M529" i="2"/>
  <c r="N529" i="2"/>
  <c r="O529" i="2"/>
  <c r="I530" i="2"/>
  <c r="J530" i="2"/>
  <c r="K530" i="2"/>
  <c r="L530" i="2"/>
  <c r="M530" i="2"/>
  <c r="N530" i="2"/>
  <c r="O530" i="2"/>
  <c r="I531" i="2"/>
  <c r="J531" i="2"/>
  <c r="K531" i="2"/>
  <c r="L531" i="2"/>
  <c r="M531" i="2"/>
  <c r="N531" i="2"/>
  <c r="O531" i="2"/>
  <c r="I532" i="2"/>
  <c r="J532" i="2"/>
  <c r="K532" i="2"/>
  <c r="L532" i="2"/>
  <c r="M532" i="2"/>
  <c r="N532" i="2"/>
  <c r="O532" i="2"/>
  <c r="I533" i="2"/>
  <c r="J533" i="2"/>
  <c r="K533" i="2"/>
  <c r="L533" i="2"/>
  <c r="M533" i="2"/>
  <c r="N533" i="2"/>
  <c r="O533" i="2"/>
  <c r="I534" i="2"/>
  <c r="J534" i="2"/>
  <c r="K534" i="2"/>
  <c r="L534" i="2"/>
  <c r="M534" i="2"/>
  <c r="N534" i="2"/>
  <c r="O534" i="2"/>
  <c r="I535" i="2"/>
  <c r="J535" i="2"/>
  <c r="K535" i="2"/>
  <c r="L535" i="2"/>
  <c r="M535" i="2"/>
  <c r="N535" i="2"/>
  <c r="O535" i="2"/>
  <c r="I536" i="2"/>
  <c r="J536" i="2"/>
  <c r="K536" i="2"/>
  <c r="L536" i="2"/>
  <c r="M536" i="2"/>
  <c r="N536" i="2"/>
  <c r="O536" i="2"/>
  <c r="I537" i="2"/>
  <c r="J537" i="2"/>
  <c r="K537" i="2"/>
  <c r="L537" i="2"/>
  <c r="M537" i="2"/>
  <c r="N537" i="2"/>
  <c r="O537" i="2"/>
  <c r="I538" i="2"/>
  <c r="J538" i="2"/>
  <c r="K538" i="2"/>
  <c r="L538" i="2"/>
  <c r="M538" i="2"/>
  <c r="N538" i="2"/>
  <c r="O538" i="2"/>
  <c r="I539" i="2"/>
  <c r="J539" i="2"/>
  <c r="K539" i="2"/>
  <c r="L539" i="2"/>
  <c r="M539" i="2"/>
  <c r="N539" i="2"/>
  <c r="O539" i="2"/>
  <c r="I540" i="2"/>
  <c r="J540" i="2"/>
  <c r="K540" i="2"/>
  <c r="L540" i="2"/>
  <c r="M540" i="2"/>
  <c r="N540" i="2"/>
  <c r="O540" i="2"/>
  <c r="I541" i="2"/>
  <c r="J541" i="2"/>
  <c r="K541" i="2"/>
  <c r="L541" i="2"/>
  <c r="M541" i="2"/>
  <c r="N541" i="2"/>
  <c r="O541" i="2"/>
  <c r="I542" i="2"/>
  <c r="J542" i="2"/>
  <c r="K542" i="2"/>
  <c r="L542" i="2"/>
  <c r="M542" i="2"/>
  <c r="N542" i="2"/>
  <c r="O542" i="2"/>
  <c r="I543" i="2"/>
  <c r="J543" i="2"/>
  <c r="K543" i="2"/>
  <c r="L543" i="2"/>
  <c r="M543" i="2"/>
  <c r="N543" i="2"/>
  <c r="O543" i="2"/>
  <c r="I544" i="2"/>
  <c r="J544" i="2"/>
  <c r="K544" i="2"/>
  <c r="L544" i="2"/>
  <c r="M544" i="2"/>
  <c r="N544" i="2"/>
  <c r="O544" i="2"/>
  <c r="I545" i="2"/>
  <c r="J545" i="2"/>
  <c r="K545" i="2"/>
  <c r="L545" i="2"/>
  <c r="M545" i="2"/>
  <c r="N545" i="2"/>
  <c r="O545" i="2"/>
  <c r="I546" i="2"/>
  <c r="J546" i="2"/>
  <c r="K546" i="2"/>
  <c r="L546" i="2"/>
  <c r="M546" i="2"/>
  <c r="N546" i="2"/>
  <c r="O546" i="2"/>
  <c r="I547" i="2"/>
  <c r="J547" i="2"/>
  <c r="K547" i="2"/>
  <c r="L547" i="2"/>
  <c r="M547" i="2"/>
  <c r="N547" i="2"/>
  <c r="O547" i="2"/>
  <c r="I548" i="2"/>
  <c r="J548" i="2"/>
  <c r="K548" i="2"/>
  <c r="L548" i="2"/>
  <c r="M548" i="2"/>
  <c r="N548" i="2"/>
  <c r="O548" i="2"/>
  <c r="I549" i="2"/>
  <c r="J549" i="2"/>
  <c r="K549" i="2"/>
  <c r="L549" i="2"/>
  <c r="M549" i="2"/>
  <c r="N549" i="2"/>
  <c r="O549" i="2"/>
  <c r="I550" i="2"/>
  <c r="J550" i="2"/>
  <c r="K550" i="2"/>
  <c r="L550" i="2"/>
  <c r="M550" i="2"/>
  <c r="N550" i="2"/>
  <c r="O550" i="2"/>
  <c r="I551" i="2"/>
  <c r="J551" i="2"/>
  <c r="K551" i="2"/>
  <c r="L551" i="2"/>
  <c r="M551" i="2"/>
  <c r="N551" i="2"/>
  <c r="O551" i="2"/>
  <c r="I552" i="2"/>
  <c r="J552" i="2"/>
  <c r="K552" i="2"/>
  <c r="L552" i="2"/>
  <c r="M552" i="2"/>
  <c r="N552" i="2"/>
  <c r="O552" i="2"/>
  <c r="I553" i="2"/>
  <c r="J553" i="2"/>
  <c r="K553" i="2"/>
  <c r="L553" i="2"/>
  <c r="M553" i="2"/>
  <c r="N553" i="2"/>
  <c r="O553" i="2"/>
  <c r="I554" i="2"/>
  <c r="J554" i="2"/>
  <c r="K554" i="2"/>
  <c r="L554" i="2"/>
  <c r="M554" i="2"/>
  <c r="N554" i="2"/>
  <c r="O554" i="2"/>
  <c r="I555" i="2"/>
  <c r="J555" i="2"/>
  <c r="K555" i="2"/>
  <c r="L555" i="2"/>
  <c r="M555" i="2"/>
  <c r="N555" i="2"/>
  <c r="O555" i="2"/>
  <c r="I556" i="2"/>
  <c r="J556" i="2"/>
  <c r="K556" i="2"/>
  <c r="L556" i="2"/>
  <c r="M556" i="2"/>
  <c r="N556" i="2"/>
  <c r="O556" i="2"/>
  <c r="I557" i="2"/>
  <c r="J557" i="2"/>
  <c r="K557" i="2"/>
  <c r="L557" i="2"/>
  <c r="M557" i="2"/>
  <c r="N557" i="2"/>
  <c r="O557" i="2"/>
  <c r="I558" i="2"/>
  <c r="J558" i="2"/>
  <c r="K558" i="2"/>
  <c r="L558" i="2"/>
  <c r="M558" i="2"/>
  <c r="N558" i="2"/>
  <c r="O558" i="2"/>
  <c r="I559" i="2"/>
  <c r="J559" i="2"/>
  <c r="K559" i="2"/>
  <c r="L559" i="2"/>
  <c r="M559" i="2"/>
  <c r="N559" i="2"/>
  <c r="O559" i="2"/>
  <c r="I560" i="2"/>
  <c r="J560" i="2"/>
  <c r="K560" i="2"/>
  <c r="L560" i="2"/>
  <c r="M560" i="2"/>
  <c r="N560" i="2"/>
  <c r="O560" i="2"/>
  <c r="I561" i="2"/>
  <c r="J561" i="2"/>
  <c r="K561" i="2"/>
  <c r="L561" i="2"/>
  <c r="M561" i="2"/>
  <c r="N561" i="2"/>
  <c r="O561" i="2"/>
  <c r="I562" i="2"/>
  <c r="J562" i="2"/>
  <c r="K562" i="2"/>
  <c r="L562" i="2"/>
  <c r="M562" i="2"/>
  <c r="N562" i="2"/>
  <c r="O562" i="2"/>
  <c r="I563" i="2"/>
  <c r="J563" i="2"/>
  <c r="K563" i="2"/>
  <c r="L563" i="2"/>
  <c r="M563" i="2"/>
  <c r="N563" i="2"/>
  <c r="O563" i="2"/>
  <c r="I564" i="2"/>
  <c r="J564" i="2"/>
  <c r="K564" i="2"/>
  <c r="L564" i="2"/>
  <c r="M564" i="2"/>
  <c r="N564" i="2"/>
  <c r="O564" i="2"/>
  <c r="I565" i="2"/>
  <c r="J565" i="2"/>
  <c r="K565" i="2"/>
  <c r="L565" i="2"/>
  <c r="M565" i="2"/>
  <c r="N565" i="2"/>
  <c r="O565" i="2"/>
  <c r="I566" i="2"/>
  <c r="J566" i="2"/>
  <c r="K566" i="2"/>
  <c r="L566" i="2"/>
  <c r="M566" i="2"/>
  <c r="N566" i="2"/>
  <c r="O566" i="2"/>
  <c r="I567" i="2"/>
  <c r="J567" i="2"/>
  <c r="K567" i="2"/>
  <c r="L567" i="2"/>
  <c r="M567" i="2"/>
  <c r="N567" i="2"/>
  <c r="O567" i="2"/>
  <c r="I568" i="2"/>
  <c r="J568" i="2"/>
  <c r="K568" i="2"/>
  <c r="L568" i="2"/>
  <c r="M568" i="2"/>
  <c r="N568" i="2"/>
  <c r="O568" i="2"/>
  <c r="I569" i="2"/>
  <c r="J569" i="2"/>
  <c r="K569" i="2"/>
  <c r="L569" i="2"/>
  <c r="M569" i="2"/>
  <c r="N569" i="2"/>
  <c r="O569" i="2"/>
  <c r="I570" i="2"/>
  <c r="J570" i="2"/>
  <c r="K570" i="2"/>
  <c r="L570" i="2"/>
  <c r="M570" i="2"/>
  <c r="N570" i="2"/>
  <c r="O570" i="2"/>
  <c r="I571" i="2"/>
  <c r="J571" i="2"/>
  <c r="K571" i="2"/>
  <c r="L571" i="2"/>
  <c r="M571" i="2"/>
  <c r="N571" i="2"/>
  <c r="O571" i="2"/>
  <c r="I572" i="2"/>
  <c r="J572" i="2"/>
  <c r="K572" i="2"/>
  <c r="L572" i="2"/>
  <c r="M572" i="2"/>
  <c r="N572" i="2"/>
  <c r="O572" i="2"/>
  <c r="I573" i="2"/>
  <c r="J573" i="2"/>
  <c r="K573" i="2"/>
  <c r="L573" i="2"/>
  <c r="M573" i="2"/>
  <c r="N573" i="2"/>
  <c r="O573" i="2"/>
  <c r="I574" i="2"/>
  <c r="J574" i="2"/>
  <c r="K574" i="2"/>
  <c r="L574" i="2"/>
  <c r="M574" i="2"/>
  <c r="N574" i="2"/>
  <c r="O574" i="2"/>
  <c r="I575" i="2"/>
  <c r="J575" i="2"/>
  <c r="K575" i="2"/>
  <c r="L575" i="2"/>
  <c r="M575" i="2"/>
  <c r="N575" i="2"/>
  <c r="O575" i="2"/>
  <c r="I576" i="2"/>
  <c r="J576" i="2"/>
  <c r="K576" i="2"/>
  <c r="L576" i="2"/>
  <c r="M576" i="2"/>
  <c r="N576" i="2"/>
  <c r="O576" i="2"/>
  <c r="I577" i="2"/>
  <c r="J577" i="2"/>
  <c r="K577" i="2"/>
  <c r="L577" i="2"/>
  <c r="M577" i="2"/>
  <c r="N577" i="2"/>
  <c r="O577" i="2"/>
  <c r="I578" i="2"/>
  <c r="J578" i="2"/>
  <c r="K578" i="2"/>
  <c r="L578" i="2"/>
  <c r="M578" i="2"/>
  <c r="N578" i="2"/>
  <c r="O578" i="2"/>
  <c r="I579" i="2"/>
  <c r="J579" i="2"/>
  <c r="K579" i="2"/>
  <c r="L579" i="2"/>
  <c r="M579" i="2"/>
  <c r="N579" i="2"/>
  <c r="O579" i="2"/>
  <c r="I580" i="2"/>
  <c r="J580" i="2"/>
  <c r="K580" i="2"/>
  <c r="L580" i="2"/>
  <c r="M580" i="2"/>
  <c r="N580" i="2"/>
  <c r="O580" i="2"/>
  <c r="I581" i="2"/>
  <c r="J581" i="2"/>
  <c r="K581" i="2"/>
  <c r="L581" i="2"/>
  <c r="M581" i="2"/>
  <c r="N581" i="2"/>
  <c r="O581" i="2"/>
  <c r="I582" i="2"/>
  <c r="J582" i="2"/>
  <c r="K582" i="2"/>
  <c r="L582" i="2"/>
  <c r="M582" i="2"/>
  <c r="N582" i="2"/>
  <c r="O582" i="2"/>
  <c r="I583" i="2"/>
  <c r="J583" i="2"/>
  <c r="K583" i="2"/>
  <c r="L583" i="2"/>
  <c r="M583" i="2"/>
  <c r="N583" i="2"/>
  <c r="O583" i="2"/>
  <c r="I584" i="2"/>
  <c r="J584" i="2"/>
  <c r="K584" i="2"/>
  <c r="L584" i="2"/>
  <c r="M584" i="2"/>
  <c r="N584" i="2"/>
  <c r="O584" i="2"/>
  <c r="I585" i="2"/>
  <c r="J585" i="2"/>
  <c r="K585" i="2"/>
  <c r="L585" i="2"/>
  <c r="M585" i="2"/>
  <c r="N585" i="2"/>
  <c r="O585" i="2"/>
  <c r="I586" i="2"/>
  <c r="J586" i="2"/>
  <c r="K586" i="2"/>
  <c r="L586" i="2"/>
  <c r="M586" i="2"/>
  <c r="N586" i="2"/>
  <c r="O586" i="2"/>
  <c r="I587" i="2"/>
  <c r="J587" i="2"/>
  <c r="K587" i="2"/>
  <c r="L587" i="2"/>
  <c r="M587" i="2"/>
  <c r="N587" i="2"/>
  <c r="O587" i="2"/>
  <c r="I588" i="2"/>
  <c r="J588" i="2"/>
  <c r="K588" i="2"/>
  <c r="L588" i="2"/>
  <c r="M588" i="2"/>
  <c r="N588" i="2"/>
  <c r="O588" i="2"/>
  <c r="I589" i="2"/>
  <c r="J589" i="2"/>
  <c r="K589" i="2"/>
  <c r="L589" i="2"/>
  <c r="M589" i="2"/>
  <c r="N589" i="2"/>
  <c r="O589" i="2"/>
  <c r="I590" i="2"/>
  <c r="J590" i="2"/>
  <c r="K590" i="2"/>
  <c r="L590" i="2"/>
  <c r="M590" i="2"/>
  <c r="N590" i="2"/>
  <c r="O590" i="2"/>
  <c r="I591" i="2"/>
  <c r="J591" i="2"/>
  <c r="K591" i="2"/>
  <c r="L591" i="2"/>
  <c r="M591" i="2"/>
  <c r="N591" i="2"/>
  <c r="O591" i="2"/>
  <c r="I592" i="2"/>
  <c r="J592" i="2"/>
  <c r="K592" i="2"/>
  <c r="L592" i="2"/>
  <c r="M592" i="2"/>
  <c r="N592" i="2"/>
  <c r="O592" i="2"/>
  <c r="I593" i="2"/>
  <c r="J593" i="2"/>
  <c r="K593" i="2"/>
  <c r="L593" i="2"/>
  <c r="M593" i="2"/>
  <c r="N593" i="2"/>
  <c r="O593" i="2"/>
  <c r="I594" i="2"/>
  <c r="J594" i="2"/>
  <c r="K594" i="2"/>
  <c r="L594" i="2"/>
  <c r="M594" i="2"/>
  <c r="N594" i="2"/>
  <c r="O594" i="2"/>
  <c r="I595" i="2"/>
  <c r="J595" i="2"/>
  <c r="K595" i="2"/>
  <c r="L595" i="2"/>
  <c r="M595" i="2"/>
  <c r="N595" i="2"/>
  <c r="O595" i="2"/>
  <c r="I596" i="2"/>
  <c r="J596" i="2"/>
  <c r="K596" i="2"/>
  <c r="L596" i="2"/>
  <c r="M596" i="2"/>
  <c r="N596" i="2"/>
  <c r="O596" i="2"/>
  <c r="I597" i="2"/>
  <c r="J597" i="2"/>
  <c r="K597" i="2"/>
  <c r="L597" i="2"/>
  <c r="M597" i="2"/>
  <c r="N597" i="2"/>
  <c r="O597" i="2"/>
  <c r="I598" i="2"/>
  <c r="J598" i="2"/>
  <c r="K598" i="2"/>
  <c r="L598" i="2"/>
  <c r="M598" i="2"/>
  <c r="N598" i="2"/>
  <c r="O598" i="2"/>
  <c r="I599" i="2"/>
  <c r="J599" i="2"/>
  <c r="K599" i="2"/>
  <c r="L599" i="2"/>
  <c r="M599" i="2"/>
  <c r="N599" i="2"/>
  <c r="O599" i="2"/>
  <c r="I600" i="2"/>
  <c r="J600" i="2"/>
  <c r="K600" i="2"/>
  <c r="L600" i="2"/>
  <c r="M600" i="2"/>
  <c r="N600" i="2"/>
  <c r="O600" i="2"/>
  <c r="I601" i="2"/>
  <c r="J601" i="2"/>
  <c r="K601" i="2"/>
  <c r="L601" i="2"/>
  <c r="M601" i="2"/>
  <c r="N601" i="2"/>
  <c r="O601" i="2"/>
  <c r="I602" i="2"/>
  <c r="J602" i="2"/>
  <c r="K602" i="2"/>
  <c r="L602" i="2"/>
  <c r="M602" i="2"/>
  <c r="N602" i="2"/>
  <c r="O602" i="2"/>
  <c r="I603" i="2"/>
  <c r="J603" i="2"/>
  <c r="K603" i="2"/>
  <c r="L603" i="2"/>
  <c r="M603" i="2"/>
  <c r="N603" i="2"/>
  <c r="O603" i="2"/>
  <c r="I604" i="2"/>
  <c r="J604" i="2"/>
  <c r="K604" i="2"/>
  <c r="L604" i="2"/>
  <c r="M604" i="2"/>
  <c r="N604" i="2"/>
  <c r="O604" i="2"/>
  <c r="I605" i="2"/>
  <c r="J605" i="2"/>
  <c r="K605" i="2"/>
  <c r="L605" i="2"/>
  <c r="M605" i="2"/>
  <c r="N605" i="2"/>
  <c r="O605" i="2"/>
  <c r="I606" i="2"/>
  <c r="J606" i="2"/>
  <c r="K606" i="2"/>
  <c r="L606" i="2"/>
  <c r="M606" i="2"/>
  <c r="N606" i="2"/>
  <c r="O606" i="2"/>
  <c r="I607" i="2"/>
  <c r="J607" i="2"/>
  <c r="K607" i="2"/>
  <c r="L607" i="2"/>
  <c r="M607" i="2"/>
  <c r="N607" i="2"/>
  <c r="O607" i="2"/>
  <c r="I608" i="2"/>
  <c r="J608" i="2"/>
  <c r="K608" i="2"/>
  <c r="L608" i="2"/>
  <c r="M608" i="2"/>
  <c r="N608" i="2"/>
  <c r="O608" i="2"/>
  <c r="I609" i="2"/>
  <c r="J609" i="2"/>
  <c r="K609" i="2"/>
  <c r="L609" i="2"/>
  <c r="M609" i="2"/>
  <c r="N609" i="2"/>
  <c r="O609" i="2"/>
  <c r="I610" i="2"/>
  <c r="J610" i="2"/>
  <c r="K610" i="2"/>
  <c r="L610" i="2"/>
  <c r="M610" i="2"/>
  <c r="N610" i="2"/>
  <c r="O610" i="2"/>
  <c r="I611" i="2"/>
  <c r="J611" i="2"/>
  <c r="K611" i="2"/>
  <c r="L611" i="2"/>
  <c r="M611" i="2"/>
  <c r="N611" i="2"/>
  <c r="O611" i="2"/>
  <c r="I612" i="2"/>
  <c r="J612" i="2"/>
  <c r="K612" i="2"/>
  <c r="L612" i="2"/>
  <c r="M612" i="2"/>
  <c r="N612" i="2"/>
  <c r="O612" i="2"/>
  <c r="I613" i="2"/>
  <c r="J613" i="2"/>
  <c r="K613" i="2"/>
  <c r="L613" i="2"/>
  <c r="M613" i="2"/>
  <c r="N613" i="2"/>
  <c r="O613" i="2"/>
  <c r="I614" i="2"/>
  <c r="J614" i="2"/>
  <c r="K614" i="2"/>
  <c r="L614" i="2"/>
  <c r="M614" i="2"/>
  <c r="N614" i="2"/>
  <c r="O614" i="2"/>
  <c r="I615" i="2"/>
  <c r="J615" i="2"/>
  <c r="K615" i="2"/>
  <c r="L615" i="2"/>
  <c r="M615" i="2"/>
  <c r="N615" i="2"/>
  <c r="O615" i="2"/>
  <c r="I616" i="2"/>
  <c r="J616" i="2"/>
  <c r="K616" i="2"/>
  <c r="L616" i="2"/>
  <c r="M616" i="2"/>
  <c r="N616" i="2"/>
  <c r="O616" i="2"/>
  <c r="I617" i="2"/>
  <c r="J617" i="2"/>
  <c r="K617" i="2"/>
  <c r="L617" i="2"/>
  <c r="M617" i="2"/>
  <c r="N617" i="2"/>
  <c r="O617" i="2"/>
  <c r="I618" i="2"/>
  <c r="J618" i="2"/>
  <c r="K618" i="2"/>
  <c r="L618" i="2"/>
  <c r="M618" i="2"/>
  <c r="N618" i="2"/>
  <c r="O618" i="2"/>
  <c r="I619" i="2"/>
  <c r="J619" i="2"/>
  <c r="K619" i="2"/>
  <c r="L619" i="2"/>
  <c r="M619" i="2"/>
  <c r="N619" i="2"/>
  <c r="O619" i="2"/>
  <c r="I620" i="2"/>
  <c r="J620" i="2"/>
  <c r="K620" i="2"/>
  <c r="L620" i="2"/>
  <c r="M620" i="2"/>
  <c r="N620" i="2"/>
  <c r="O620" i="2"/>
  <c r="I621" i="2"/>
  <c r="J621" i="2"/>
  <c r="K621" i="2"/>
  <c r="L621" i="2"/>
  <c r="M621" i="2"/>
  <c r="N621" i="2"/>
  <c r="O621" i="2"/>
  <c r="I622" i="2"/>
  <c r="J622" i="2"/>
  <c r="K622" i="2"/>
  <c r="L622" i="2"/>
  <c r="M622" i="2"/>
  <c r="N622" i="2"/>
  <c r="O622" i="2"/>
  <c r="I623" i="2"/>
  <c r="J623" i="2"/>
  <c r="K623" i="2"/>
  <c r="L623" i="2"/>
  <c r="M623" i="2"/>
  <c r="N623" i="2"/>
  <c r="O623" i="2"/>
  <c r="I624" i="2"/>
  <c r="J624" i="2"/>
  <c r="K624" i="2"/>
  <c r="L624" i="2"/>
  <c r="M624" i="2"/>
  <c r="N624" i="2"/>
  <c r="O624" i="2"/>
  <c r="I625" i="2"/>
  <c r="J625" i="2"/>
  <c r="K625" i="2"/>
  <c r="L625" i="2"/>
  <c r="M625" i="2"/>
  <c r="N625" i="2"/>
  <c r="O625" i="2"/>
  <c r="I626" i="2"/>
  <c r="J626" i="2"/>
  <c r="K626" i="2"/>
  <c r="L626" i="2"/>
  <c r="M626" i="2"/>
  <c r="N626" i="2"/>
  <c r="O626" i="2"/>
  <c r="I627" i="2"/>
  <c r="J627" i="2"/>
  <c r="K627" i="2"/>
  <c r="L627" i="2"/>
  <c r="M627" i="2"/>
  <c r="N627" i="2"/>
  <c r="O627" i="2"/>
  <c r="I628" i="2"/>
  <c r="J628" i="2"/>
  <c r="K628" i="2"/>
  <c r="L628" i="2"/>
  <c r="M628" i="2"/>
  <c r="N628" i="2"/>
  <c r="O628" i="2"/>
  <c r="I629" i="2"/>
  <c r="J629" i="2"/>
  <c r="K629" i="2"/>
  <c r="L629" i="2"/>
  <c r="M629" i="2"/>
  <c r="N629" i="2"/>
  <c r="O629" i="2"/>
  <c r="I630" i="2"/>
  <c r="J630" i="2"/>
  <c r="K630" i="2"/>
  <c r="L630" i="2"/>
  <c r="M630" i="2"/>
  <c r="N630" i="2"/>
  <c r="O630" i="2"/>
  <c r="I631" i="2"/>
  <c r="J631" i="2"/>
  <c r="K631" i="2"/>
  <c r="L631" i="2"/>
  <c r="M631" i="2"/>
  <c r="N631" i="2"/>
  <c r="O631" i="2"/>
  <c r="I632" i="2"/>
  <c r="J632" i="2"/>
  <c r="K632" i="2"/>
  <c r="L632" i="2"/>
  <c r="M632" i="2"/>
  <c r="N632" i="2"/>
  <c r="O632" i="2"/>
  <c r="I633" i="2"/>
  <c r="J633" i="2"/>
  <c r="K633" i="2"/>
  <c r="L633" i="2"/>
  <c r="M633" i="2"/>
  <c r="N633" i="2"/>
  <c r="O633" i="2"/>
  <c r="I634" i="2"/>
  <c r="J634" i="2"/>
  <c r="K634" i="2"/>
  <c r="L634" i="2"/>
  <c r="M634" i="2"/>
  <c r="N634" i="2"/>
  <c r="O634" i="2"/>
  <c r="I635" i="2"/>
  <c r="J635" i="2"/>
  <c r="K635" i="2"/>
  <c r="L635" i="2"/>
  <c r="M635" i="2"/>
  <c r="N635" i="2"/>
  <c r="O635" i="2"/>
  <c r="I636" i="2"/>
  <c r="J636" i="2"/>
  <c r="K636" i="2"/>
  <c r="L636" i="2"/>
  <c r="M636" i="2"/>
  <c r="N636" i="2"/>
  <c r="O636" i="2"/>
  <c r="I637" i="2"/>
  <c r="J637" i="2"/>
  <c r="K637" i="2"/>
  <c r="L637" i="2"/>
  <c r="M637" i="2"/>
  <c r="N637" i="2"/>
  <c r="O637" i="2"/>
  <c r="I638" i="2"/>
  <c r="J638" i="2"/>
  <c r="K638" i="2"/>
  <c r="L638" i="2"/>
  <c r="M638" i="2"/>
  <c r="N638" i="2"/>
  <c r="O638" i="2"/>
  <c r="I639" i="2"/>
  <c r="J639" i="2"/>
  <c r="K639" i="2"/>
  <c r="L639" i="2"/>
  <c r="M639" i="2"/>
  <c r="N639" i="2"/>
  <c r="O639" i="2"/>
  <c r="I640" i="2"/>
  <c r="J640" i="2"/>
  <c r="K640" i="2"/>
  <c r="L640" i="2"/>
  <c r="M640" i="2"/>
  <c r="N640" i="2"/>
  <c r="O640" i="2"/>
  <c r="I641" i="2"/>
  <c r="J641" i="2"/>
  <c r="K641" i="2"/>
  <c r="L641" i="2"/>
  <c r="M641" i="2"/>
  <c r="N641" i="2"/>
  <c r="O641" i="2"/>
  <c r="I642" i="2"/>
  <c r="J642" i="2"/>
  <c r="K642" i="2"/>
  <c r="L642" i="2"/>
  <c r="M642" i="2"/>
  <c r="N642" i="2"/>
  <c r="O642" i="2"/>
  <c r="I643" i="2"/>
  <c r="J643" i="2"/>
  <c r="K643" i="2"/>
  <c r="L643" i="2"/>
  <c r="M643" i="2"/>
  <c r="N643" i="2"/>
  <c r="O643" i="2"/>
  <c r="I644" i="2"/>
  <c r="J644" i="2"/>
  <c r="K644" i="2"/>
  <c r="L644" i="2"/>
  <c r="M644" i="2"/>
  <c r="N644" i="2"/>
  <c r="O644" i="2"/>
  <c r="I645" i="2"/>
  <c r="J645" i="2"/>
  <c r="K645" i="2"/>
  <c r="L645" i="2"/>
  <c r="M645" i="2"/>
  <c r="N645" i="2"/>
  <c r="O645" i="2"/>
  <c r="I646" i="2"/>
  <c r="J646" i="2"/>
  <c r="K646" i="2"/>
  <c r="L646" i="2"/>
  <c r="M646" i="2"/>
  <c r="N646" i="2"/>
  <c r="O646" i="2"/>
  <c r="I647" i="2"/>
  <c r="J647" i="2"/>
  <c r="K647" i="2"/>
  <c r="L647" i="2"/>
  <c r="M647" i="2"/>
  <c r="N647" i="2"/>
  <c r="O647" i="2"/>
  <c r="I648" i="2"/>
  <c r="J648" i="2"/>
  <c r="K648" i="2"/>
  <c r="L648" i="2"/>
  <c r="M648" i="2"/>
  <c r="N648" i="2"/>
  <c r="O648" i="2"/>
  <c r="I649" i="2"/>
  <c r="J649" i="2"/>
  <c r="K649" i="2"/>
  <c r="L649" i="2"/>
  <c r="M649" i="2"/>
  <c r="N649" i="2"/>
  <c r="O649" i="2"/>
  <c r="I650" i="2"/>
  <c r="J650" i="2"/>
  <c r="K650" i="2"/>
  <c r="L650" i="2"/>
  <c r="M650" i="2"/>
  <c r="N650" i="2"/>
  <c r="O650" i="2"/>
  <c r="I651" i="2"/>
  <c r="J651" i="2"/>
  <c r="K651" i="2"/>
  <c r="L651" i="2"/>
  <c r="M651" i="2"/>
  <c r="N651" i="2"/>
  <c r="O651" i="2"/>
  <c r="I652" i="2"/>
  <c r="J652" i="2"/>
  <c r="K652" i="2"/>
  <c r="L652" i="2"/>
  <c r="M652" i="2"/>
  <c r="N652" i="2"/>
  <c r="O652" i="2"/>
  <c r="I653" i="2"/>
  <c r="J653" i="2"/>
  <c r="K653" i="2"/>
  <c r="L653" i="2"/>
  <c r="M653" i="2"/>
  <c r="N653" i="2"/>
  <c r="O653" i="2"/>
  <c r="I654" i="2"/>
  <c r="J654" i="2"/>
  <c r="K654" i="2"/>
  <c r="L654" i="2"/>
  <c r="M654" i="2"/>
  <c r="N654" i="2"/>
  <c r="O654" i="2"/>
  <c r="I655" i="2"/>
  <c r="J655" i="2"/>
  <c r="K655" i="2"/>
  <c r="L655" i="2"/>
  <c r="M655" i="2"/>
  <c r="N655" i="2"/>
  <c r="O655" i="2"/>
  <c r="I656" i="2"/>
  <c r="J656" i="2"/>
  <c r="K656" i="2"/>
  <c r="L656" i="2"/>
  <c r="M656" i="2"/>
  <c r="N656" i="2"/>
  <c r="O656" i="2"/>
  <c r="I657" i="2"/>
  <c r="J657" i="2"/>
  <c r="K657" i="2"/>
  <c r="L657" i="2"/>
  <c r="M657" i="2"/>
  <c r="N657" i="2"/>
  <c r="O657" i="2"/>
  <c r="I658" i="2"/>
  <c r="J658" i="2"/>
  <c r="K658" i="2"/>
  <c r="L658" i="2"/>
  <c r="M658" i="2"/>
  <c r="N658" i="2"/>
  <c r="O658" i="2"/>
  <c r="I659" i="2"/>
  <c r="J659" i="2"/>
  <c r="K659" i="2"/>
  <c r="L659" i="2"/>
  <c r="M659" i="2"/>
  <c r="N659" i="2"/>
  <c r="O659" i="2"/>
  <c r="I660" i="2"/>
  <c r="J660" i="2"/>
  <c r="K660" i="2"/>
  <c r="L660" i="2"/>
  <c r="M660" i="2"/>
  <c r="N660" i="2"/>
  <c r="O660" i="2"/>
  <c r="I661" i="2"/>
  <c r="J661" i="2"/>
  <c r="K661" i="2"/>
  <c r="L661" i="2"/>
  <c r="M661" i="2"/>
  <c r="N661" i="2"/>
  <c r="O661" i="2"/>
  <c r="I662" i="2"/>
  <c r="J662" i="2"/>
  <c r="K662" i="2"/>
  <c r="L662" i="2"/>
  <c r="M662" i="2"/>
  <c r="N662" i="2"/>
  <c r="O662" i="2"/>
  <c r="I663" i="2"/>
  <c r="J663" i="2"/>
  <c r="K663" i="2"/>
  <c r="L663" i="2"/>
  <c r="M663" i="2"/>
  <c r="N663" i="2"/>
  <c r="O663" i="2"/>
  <c r="I664" i="2"/>
  <c r="J664" i="2"/>
  <c r="K664" i="2"/>
  <c r="L664" i="2"/>
  <c r="M664" i="2"/>
  <c r="N664" i="2"/>
  <c r="O664" i="2"/>
  <c r="I665" i="2"/>
  <c r="J665" i="2"/>
  <c r="K665" i="2"/>
  <c r="L665" i="2"/>
  <c r="M665" i="2"/>
  <c r="N665" i="2"/>
  <c r="O665" i="2"/>
  <c r="I666" i="2"/>
  <c r="J666" i="2"/>
  <c r="K666" i="2"/>
  <c r="L666" i="2"/>
  <c r="M666" i="2"/>
  <c r="N666" i="2"/>
  <c r="O666" i="2"/>
  <c r="I667" i="2"/>
  <c r="J667" i="2"/>
  <c r="K667" i="2"/>
  <c r="L667" i="2"/>
  <c r="M667" i="2"/>
  <c r="N667" i="2"/>
  <c r="O667" i="2"/>
  <c r="I668" i="2"/>
  <c r="J668" i="2"/>
  <c r="K668" i="2"/>
  <c r="L668" i="2"/>
  <c r="M668" i="2"/>
  <c r="N668" i="2"/>
  <c r="O668" i="2"/>
  <c r="I669" i="2"/>
  <c r="J669" i="2"/>
  <c r="K669" i="2"/>
  <c r="L669" i="2"/>
  <c r="M669" i="2"/>
  <c r="N669" i="2"/>
  <c r="O669" i="2"/>
  <c r="I670" i="2"/>
  <c r="J670" i="2"/>
  <c r="K670" i="2"/>
  <c r="L670" i="2"/>
  <c r="M670" i="2"/>
  <c r="N670" i="2"/>
  <c r="O670" i="2"/>
  <c r="I671" i="2"/>
  <c r="J671" i="2"/>
  <c r="K671" i="2"/>
  <c r="L671" i="2"/>
  <c r="M671" i="2"/>
  <c r="N671" i="2"/>
  <c r="O671" i="2"/>
  <c r="I672" i="2"/>
  <c r="J672" i="2"/>
  <c r="K672" i="2"/>
  <c r="L672" i="2"/>
  <c r="M672" i="2"/>
  <c r="N672" i="2"/>
  <c r="O672" i="2"/>
  <c r="I673" i="2"/>
  <c r="J673" i="2"/>
  <c r="K673" i="2"/>
  <c r="L673" i="2"/>
  <c r="M673" i="2"/>
  <c r="N673" i="2"/>
  <c r="O673" i="2"/>
  <c r="I674" i="2"/>
  <c r="J674" i="2"/>
  <c r="K674" i="2"/>
  <c r="L674" i="2"/>
  <c r="M674" i="2"/>
  <c r="N674" i="2"/>
  <c r="O674" i="2"/>
  <c r="I675" i="2"/>
  <c r="J675" i="2"/>
  <c r="K675" i="2"/>
  <c r="L675" i="2"/>
  <c r="M675" i="2"/>
  <c r="N675" i="2"/>
  <c r="O675" i="2"/>
  <c r="I676" i="2"/>
  <c r="J676" i="2"/>
  <c r="K676" i="2"/>
  <c r="L676" i="2"/>
  <c r="M676" i="2"/>
  <c r="N676" i="2"/>
  <c r="O676" i="2"/>
  <c r="I677" i="2"/>
  <c r="J677" i="2"/>
  <c r="K677" i="2"/>
  <c r="L677" i="2"/>
  <c r="M677" i="2"/>
  <c r="N677" i="2"/>
  <c r="O677" i="2"/>
  <c r="I678" i="2"/>
  <c r="J678" i="2"/>
  <c r="K678" i="2"/>
  <c r="L678" i="2"/>
  <c r="M678" i="2"/>
  <c r="N678" i="2"/>
  <c r="O678" i="2"/>
  <c r="I679" i="2"/>
  <c r="J679" i="2"/>
  <c r="K679" i="2"/>
  <c r="L679" i="2"/>
  <c r="M679" i="2"/>
  <c r="N679" i="2"/>
  <c r="O679" i="2"/>
  <c r="I680" i="2"/>
  <c r="J680" i="2"/>
  <c r="K680" i="2"/>
  <c r="L680" i="2"/>
  <c r="M680" i="2"/>
  <c r="N680" i="2"/>
  <c r="O680" i="2"/>
  <c r="I681" i="2"/>
  <c r="J681" i="2"/>
  <c r="K681" i="2"/>
  <c r="L681" i="2"/>
  <c r="M681" i="2"/>
  <c r="N681" i="2"/>
  <c r="O681" i="2"/>
  <c r="I682" i="2"/>
  <c r="J682" i="2"/>
  <c r="K682" i="2"/>
  <c r="L682" i="2"/>
  <c r="M682" i="2"/>
  <c r="N682" i="2"/>
  <c r="O682" i="2"/>
  <c r="I683" i="2"/>
  <c r="J683" i="2"/>
  <c r="K683" i="2"/>
  <c r="L683" i="2"/>
  <c r="M683" i="2"/>
  <c r="N683" i="2"/>
  <c r="O683" i="2"/>
  <c r="I684" i="2"/>
  <c r="J684" i="2"/>
  <c r="K684" i="2"/>
  <c r="L684" i="2"/>
  <c r="M684" i="2"/>
  <c r="N684" i="2"/>
  <c r="O684" i="2"/>
  <c r="I685" i="2"/>
  <c r="J685" i="2"/>
  <c r="K685" i="2"/>
  <c r="L685" i="2"/>
  <c r="M685" i="2"/>
  <c r="N685" i="2"/>
  <c r="O685" i="2"/>
  <c r="I686" i="2"/>
  <c r="J686" i="2"/>
  <c r="K686" i="2"/>
  <c r="L686" i="2"/>
  <c r="M686" i="2"/>
  <c r="N686" i="2"/>
  <c r="O686" i="2"/>
  <c r="I687" i="2"/>
  <c r="J687" i="2"/>
  <c r="K687" i="2"/>
  <c r="L687" i="2"/>
  <c r="M687" i="2"/>
  <c r="N687" i="2"/>
  <c r="O687" i="2"/>
  <c r="I688" i="2"/>
  <c r="J688" i="2"/>
  <c r="K688" i="2"/>
  <c r="L688" i="2"/>
  <c r="M688" i="2"/>
  <c r="N688" i="2"/>
  <c r="O688" i="2"/>
  <c r="I689" i="2"/>
  <c r="J689" i="2"/>
  <c r="K689" i="2"/>
  <c r="L689" i="2"/>
  <c r="M689" i="2"/>
  <c r="N689" i="2"/>
  <c r="O689" i="2"/>
  <c r="I690" i="2"/>
  <c r="J690" i="2"/>
  <c r="K690" i="2"/>
  <c r="L690" i="2"/>
  <c r="M690" i="2"/>
  <c r="N690" i="2"/>
  <c r="O690" i="2"/>
  <c r="I691" i="2"/>
  <c r="J691" i="2"/>
  <c r="K691" i="2"/>
  <c r="L691" i="2"/>
  <c r="M691" i="2"/>
  <c r="N691" i="2"/>
  <c r="O691" i="2"/>
  <c r="I692" i="2"/>
  <c r="J692" i="2"/>
  <c r="K692" i="2"/>
  <c r="L692" i="2"/>
  <c r="M692" i="2"/>
  <c r="N692" i="2"/>
  <c r="O692" i="2"/>
  <c r="I693" i="2"/>
  <c r="J693" i="2"/>
  <c r="K693" i="2"/>
  <c r="L693" i="2"/>
  <c r="M693" i="2"/>
  <c r="N693" i="2"/>
  <c r="O693" i="2"/>
  <c r="I694" i="2"/>
  <c r="J694" i="2"/>
  <c r="K694" i="2"/>
  <c r="L694" i="2"/>
  <c r="M694" i="2"/>
  <c r="N694" i="2"/>
  <c r="O694" i="2"/>
  <c r="I695" i="2"/>
  <c r="J695" i="2"/>
  <c r="K695" i="2"/>
  <c r="L695" i="2"/>
  <c r="M695" i="2"/>
  <c r="N695" i="2"/>
  <c r="O695" i="2"/>
  <c r="I696" i="2"/>
  <c r="J696" i="2"/>
  <c r="K696" i="2"/>
  <c r="L696" i="2"/>
  <c r="M696" i="2"/>
  <c r="N696" i="2"/>
  <c r="O696" i="2"/>
  <c r="I697" i="2"/>
  <c r="J697" i="2"/>
  <c r="K697" i="2"/>
  <c r="L697" i="2"/>
  <c r="M697" i="2"/>
  <c r="N697" i="2"/>
  <c r="O697" i="2"/>
  <c r="I698" i="2"/>
  <c r="J698" i="2"/>
  <c r="K698" i="2"/>
  <c r="L698" i="2"/>
  <c r="M698" i="2"/>
  <c r="N698" i="2"/>
  <c r="O698" i="2"/>
  <c r="I699" i="2"/>
  <c r="J699" i="2"/>
  <c r="K699" i="2"/>
  <c r="L699" i="2"/>
  <c r="M699" i="2"/>
  <c r="N699" i="2"/>
  <c r="O699" i="2"/>
  <c r="I700" i="2"/>
  <c r="J700" i="2"/>
  <c r="K700" i="2"/>
  <c r="L700" i="2"/>
  <c r="M700" i="2"/>
  <c r="N700" i="2"/>
  <c r="O700" i="2"/>
  <c r="I701" i="2"/>
  <c r="J701" i="2"/>
  <c r="K701" i="2"/>
  <c r="L701" i="2"/>
  <c r="M701" i="2"/>
  <c r="N701" i="2"/>
  <c r="O701" i="2"/>
  <c r="I702" i="2"/>
  <c r="J702" i="2"/>
  <c r="K702" i="2"/>
  <c r="L702" i="2"/>
  <c r="M702" i="2"/>
  <c r="N702" i="2"/>
  <c r="O702" i="2"/>
  <c r="I703" i="2"/>
  <c r="J703" i="2"/>
  <c r="K703" i="2"/>
  <c r="L703" i="2"/>
  <c r="M703" i="2"/>
  <c r="N703" i="2"/>
  <c r="O703" i="2"/>
  <c r="I704" i="2"/>
  <c r="J704" i="2"/>
  <c r="K704" i="2"/>
  <c r="L704" i="2"/>
  <c r="M704" i="2"/>
  <c r="N704" i="2"/>
  <c r="O704" i="2"/>
  <c r="I705" i="2"/>
  <c r="J705" i="2"/>
  <c r="K705" i="2"/>
  <c r="L705" i="2"/>
  <c r="M705" i="2"/>
  <c r="N705" i="2"/>
  <c r="O705" i="2"/>
  <c r="I706" i="2"/>
  <c r="J706" i="2"/>
  <c r="K706" i="2"/>
  <c r="L706" i="2"/>
  <c r="M706" i="2"/>
  <c r="N706" i="2"/>
  <c r="O706" i="2"/>
  <c r="I707" i="2"/>
  <c r="J707" i="2"/>
  <c r="K707" i="2"/>
  <c r="L707" i="2"/>
  <c r="M707" i="2"/>
  <c r="N707" i="2"/>
  <c r="O707" i="2"/>
  <c r="I708" i="2"/>
  <c r="J708" i="2"/>
  <c r="K708" i="2"/>
  <c r="L708" i="2"/>
  <c r="M708" i="2"/>
  <c r="N708" i="2"/>
  <c r="O708" i="2"/>
  <c r="I709" i="2"/>
  <c r="J709" i="2"/>
  <c r="K709" i="2"/>
  <c r="L709" i="2"/>
  <c r="M709" i="2"/>
  <c r="N709" i="2"/>
  <c r="O709" i="2"/>
  <c r="I710" i="2"/>
  <c r="J710" i="2"/>
  <c r="K710" i="2"/>
  <c r="L710" i="2"/>
  <c r="M710" i="2"/>
  <c r="N710" i="2"/>
  <c r="O710" i="2"/>
  <c r="I711" i="2"/>
  <c r="J711" i="2"/>
  <c r="K711" i="2"/>
  <c r="L711" i="2"/>
  <c r="M711" i="2"/>
  <c r="N711" i="2"/>
  <c r="O711" i="2"/>
  <c r="I712" i="2"/>
  <c r="J712" i="2"/>
  <c r="K712" i="2"/>
  <c r="L712" i="2"/>
  <c r="M712" i="2"/>
  <c r="N712" i="2"/>
  <c r="O712" i="2"/>
  <c r="I713" i="2"/>
  <c r="J713" i="2"/>
  <c r="K713" i="2"/>
  <c r="L713" i="2"/>
  <c r="M713" i="2"/>
  <c r="N713" i="2"/>
  <c r="O713" i="2"/>
  <c r="I714" i="2"/>
  <c r="J714" i="2"/>
  <c r="K714" i="2"/>
  <c r="L714" i="2"/>
  <c r="M714" i="2"/>
  <c r="N714" i="2"/>
  <c r="O714" i="2"/>
  <c r="I715" i="2"/>
  <c r="J715" i="2"/>
  <c r="K715" i="2"/>
  <c r="L715" i="2"/>
  <c r="M715" i="2"/>
  <c r="N715" i="2"/>
  <c r="O715" i="2"/>
  <c r="I716" i="2"/>
  <c r="J716" i="2"/>
  <c r="K716" i="2"/>
  <c r="L716" i="2"/>
  <c r="M716" i="2"/>
  <c r="N716" i="2"/>
  <c r="O716" i="2"/>
  <c r="I717" i="2"/>
  <c r="J717" i="2"/>
  <c r="K717" i="2"/>
  <c r="L717" i="2"/>
  <c r="M717" i="2"/>
  <c r="N717" i="2"/>
  <c r="O717" i="2"/>
  <c r="I718" i="2"/>
  <c r="J718" i="2"/>
  <c r="K718" i="2"/>
  <c r="L718" i="2"/>
  <c r="M718" i="2"/>
  <c r="N718" i="2"/>
  <c r="O718" i="2"/>
  <c r="I719" i="2"/>
  <c r="J719" i="2"/>
  <c r="K719" i="2"/>
  <c r="L719" i="2"/>
  <c r="M719" i="2"/>
  <c r="N719" i="2"/>
  <c r="O719" i="2"/>
  <c r="I720" i="2"/>
  <c r="J720" i="2"/>
  <c r="K720" i="2"/>
  <c r="L720" i="2"/>
  <c r="M720" i="2"/>
  <c r="N720" i="2"/>
  <c r="O720" i="2"/>
  <c r="I721" i="2"/>
  <c r="J721" i="2"/>
  <c r="K721" i="2"/>
  <c r="L721" i="2"/>
  <c r="M721" i="2"/>
  <c r="N721" i="2"/>
  <c r="O721" i="2"/>
  <c r="I722" i="2"/>
  <c r="J722" i="2"/>
  <c r="K722" i="2"/>
  <c r="L722" i="2"/>
  <c r="M722" i="2"/>
  <c r="N722" i="2"/>
  <c r="O722" i="2"/>
  <c r="I723" i="2"/>
  <c r="J723" i="2"/>
  <c r="K723" i="2"/>
  <c r="L723" i="2"/>
  <c r="M723" i="2"/>
  <c r="N723" i="2"/>
  <c r="O723" i="2"/>
  <c r="I724" i="2"/>
  <c r="J724" i="2"/>
  <c r="K724" i="2"/>
  <c r="L724" i="2"/>
  <c r="M724" i="2"/>
  <c r="N724" i="2"/>
  <c r="O724" i="2"/>
  <c r="I725" i="2"/>
  <c r="J725" i="2"/>
  <c r="K725" i="2"/>
  <c r="L725" i="2"/>
  <c r="M725" i="2"/>
  <c r="N725" i="2"/>
  <c r="O725" i="2"/>
  <c r="I726" i="2"/>
  <c r="J726" i="2"/>
  <c r="K726" i="2"/>
  <c r="L726" i="2"/>
  <c r="M726" i="2"/>
  <c r="N726" i="2"/>
  <c r="O726" i="2"/>
  <c r="I727" i="2"/>
  <c r="J727" i="2"/>
  <c r="K727" i="2"/>
  <c r="L727" i="2"/>
  <c r="M727" i="2"/>
  <c r="N727" i="2"/>
  <c r="O727" i="2"/>
  <c r="I728" i="2"/>
  <c r="J728" i="2"/>
  <c r="K728" i="2"/>
  <c r="L728" i="2"/>
  <c r="M728" i="2"/>
  <c r="N728" i="2"/>
  <c r="O728" i="2"/>
  <c r="I729" i="2"/>
  <c r="J729" i="2"/>
  <c r="K729" i="2"/>
  <c r="L729" i="2"/>
  <c r="M729" i="2"/>
  <c r="N729" i="2"/>
  <c r="O729" i="2"/>
  <c r="I730" i="2"/>
  <c r="J730" i="2"/>
  <c r="K730" i="2"/>
  <c r="L730" i="2"/>
  <c r="M730" i="2"/>
  <c r="N730" i="2"/>
  <c r="O730" i="2"/>
  <c r="I731" i="2"/>
  <c r="J731" i="2"/>
  <c r="K731" i="2"/>
  <c r="L731" i="2"/>
  <c r="M731" i="2"/>
  <c r="N731" i="2"/>
  <c r="O731" i="2"/>
  <c r="I732" i="2"/>
  <c r="J732" i="2"/>
  <c r="K732" i="2"/>
  <c r="L732" i="2"/>
  <c r="M732" i="2"/>
  <c r="N732" i="2"/>
  <c r="O732" i="2"/>
  <c r="I733" i="2"/>
  <c r="J733" i="2"/>
  <c r="K733" i="2"/>
  <c r="L733" i="2"/>
  <c r="M733" i="2"/>
  <c r="N733" i="2"/>
  <c r="O733" i="2"/>
  <c r="I734" i="2"/>
  <c r="J734" i="2"/>
  <c r="K734" i="2"/>
  <c r="L734" i="2"/>
  <c r="M734" i="2"/>
  <c r="N734" i="2"/>
  <c r="O734" i="2"/>
  <c r="I735" i="2"/>
  <c r="J735" i="2"/>
  <c r="K735" i="2"/>
  <c r="L735" i="2"/>
  <c r="M735" i="2"/>
  <c r="N735" i="2"/>
  <c r="O735" i="2"/>
  <c r="I736" i="2"/>
  <c r="J736" i="2"/>
  <c r="K736" i="2"/>
  <c r="L736" i="2"/>
  <c r="M736" i="2"/>
  <c r="N736" i="2"/>
  <c r="O736" i="2"/>
  <c r="I737" i="2"/>
  <c r="J737" i="2"/>
  <c r="K737" i="2"/>
  <c r="L737" i="2"/>
  <c r="M737" i="2"/>
  <c r="N737" i="2"/>
  <c r="O737" i="2"/>
  <c r="I738" i="2"/>
  <c r="J738" i="2"/>
  <c r="K738" i="2"/>
  <c r="L738" i="2"/>
  <c r="M738" i="2"/>
  <c r="N738" i="2"/>
  <c r="O738" i="2"/>
  <c r="I739" i="2"/>
  <c r="J739" i="2"/>
  <c r="K739" i="2"/>
  <c r="L739" i="2"/>
  <c r="M739" i="2"/>
  <c r="N739" i="2"/>
  <c r="O739" i="2"/>
  <c r="I740" i="2"/>
  <c r="J740" i="2"/>
  <c r="K740" i="2"/>
  <c r="L740" i="2"/>
  <c r="M740" i="2"/>
  <c r="N740" i="2"/>
  <c r="O740" i="2"/>
  <c r="I741" i="2"/>
  <c r="J741" i="2"/>
  <c r="K741" i="2"/>
  <c r="L741" i="2"/>
  <c r="M741" i="2"/>
  <c r="N741" i="2"/>
  <c r="O741" i="2"/>
  <c r="I742" i="2"/>
  <c r="J742" i="2"/>
  <c r="K742" i="2"/>
  <c r="L742" i="2"/>
  <c r="M742" i="2"/>
  <c r="N742" i="2"/>
  <c r="O742" i="2"/>
  <c r="I743" i="2"/>
  <c r="J743" i="2"/>
  <c r="K743" i="2"/>
  <c r="L743" i="2"/>
  <c r="M743" i="2"/>
  <c r="N743" i="2"/>
  <c r="O743" i="2"/>
  <c r="I744" i="2"/>
  <c r="J744" i="2"/>
  <c r="K744" i="2"/>
  <c r="L744" i="2"/>
  <c r="M744" i="2"/>
  <c r="N744" i="2"/>
  <c r="O744" i="2"/>
  <c r="I745" i="2"/>
  <c r="J745" i="2"/>
  <c r="K745" i="2"/>
  <c r="L745" i="2"/>
  <c r="M745" i="2"/>
  <c r="N745" i="2"/>
  <c r="O745" i="2"/>
  <c r="I746" i="2"/>
  <c r="J746" i="2"/>
  <c r="K746" i="2"/>
  <c r="L746" i="2"/>
  <c r="M746" i="2"/>
  <c r="N746" i="2"/>
  <c r="O746" i="2"/>
  <c r="I747" i="2"/>
  <c r="J747" i="2"/>
  <c r="K747" i="2"/>
  <c r="L747" i="2"/>
  <c r="M747" i="2"/>
  <c r="N747" i="2"/>
  <c r="O747" i="2"/>
  <c r="I748" i="2"/>
  <c r="J748" i="2"/>
  <c r="K748" i="2"/>
  <c r="L748" i="2"/>
  <c r="M748" i="2"/>
  <c r="N748" i="2"/>
  <c r="O748" i="2"/>
  <c r="I749" i="2"/>
  <c r="J749" i="2"/>
  <c r="K749" i="2"/>
  <c r="L749" i="2"/>
  <c r="M749" i="2"/>
  <c r="N749" i="2"/>
  <c r="O749" i="2"/>
  <c r="I750" i="2"/>
  <c r="J750" i="2"/>
  <c r="K750" i="2"/>
  <c r="L750" i="2"/>
  <c r="M750" i="2"/>
  <c r="N750" i="2"/>
  <c r="O750" i="2"/>
  <c r="I751" i="2"/>
  <c r="J751" i="2"/>
  <c r="K751" i="2"/>
  <c r="L751" i="2"/>
  <c r="M751" i="2"/>
  <c r="N751" i="2"/>
  <c r="O751" i="2"/>
  <c r="I752" i="2"/>
  <c r="J752" i="2"/>
  <c r="K752" i="2"/>
  <c r="L752" i="2"/>
  <c r="M752" i="2"/>
  <c r="N752" i="2"/>
  <c r="O752" i="2"/>
  <c r="I753" i="2"/>
  <c r="J753" i="2"/>
  <c r="K753" i="2"/>
  <c r="L753" i="2"/>
  <c r="M753" i="2"/>
  <c r="N753" i="2"/>
  <c r="O753" i="2"/>
  <c r="I754" i="2"/>
  <c r="J754" i="2"/>
  <c r="K754" i="2"/>
  <c r="L754" i="2"/>
  <c r="M754" i="2"/>
  <c r="N754" i="2"/>
  <c r="O754" i="2"/>
  <c r="I755" i="2"/>
  <c r="J755" i="2"/>
  <c r="K755" i="2"/>
  <c r="L755" i="2"/>
  <c r="M755" i="2"/>
  <c r="N755" i="2"/>
  <c r="O755" i="2"/>
  <c r="I756" i="2"/>
  <c r="J756" i="2"/>
  <c r="K756" i="2"/>
  <c r="L756" i="2"/>
  <c r="M756" i="2"/>
  <c r="N756" i="2"/>
  <c r="O756" i="2"/>
  <c r="I757" i="2"/>
  <c r="J757" i="2"/>
  <c r="K757" i="2"/>
  <c r="L757" i="2"/>
  <c r="M757" i="2"/>
  <c r="N757" i="2"/>
  <c r="O757" i="2"/>
  <c r="I758" i="2"/>
  <c r="J758" i="2"/>
  <c r="K758" i="2"/>
  <c r="L758" i="2"/>
  <c r="M758" i="2"/>
  <c r="N758" i="2"/>
  <c r="O758" i="2"/>
  <c r="I759" i="2"/>
  <c r="J759" i="2"/>
  <c r="K759" i="2"/>
  <c r="L759" i="2"/>
  <c r="M759" i="2"/>
  <c r="N759" i="2"/>
  <c r="O759" i="2"/>
  <c r="I760" i="2"/>
  <c r="J760" i="2"/>
  <c r="K760" i="2"/>
  <c r="L760" i="2"/>
  <c r="M760" i="2"/>
  <c r="N760" i="2"/>
  <c r="O760" i="2"/>
  <c r="I761" i="2"/>
  <c r="J761" i="2"/>
  <c r="K761" i="2"/>
  <c r="L761" i="2"/>
  <c r="M761" i="2"/>
  <c r="N761" i="2"/>
  <c r="O761" i="2"/>
  <c r="I762" i="2"/>
  <c r="J762" i="2"/>
  <c r="K762" i="2"/>
  <c r="L762" i="2"/>
  <c r="M762" i="2"/>
  <c r="N762" i="2"/>
  <c r="O762" i="2"/>
  <c r="I763" i="2"/>
  <c r="J763" i="2"/>
  <c r="K763" i="2"/>
  <c r="L763" i="2"/>
  <c r="M763" i="2"/>
  <c r="N763" i="2"/>
  <c r="O763" i="2"/>
  <c r="I764" i="2"/>
  <c r="J764" i="2"/>
  <c r="K764" i="2"/>
  <c r="L764" i="2"/>
  <c r="M764" i="2"/>
  <c r="N764" i="2"/>
  <c r="O764" i="2"/>
  <c r="I765" i="2"/>
  <c r="J765" i="2"/>
  <c r="K765" i="2"/>
  <c r="L765" i="2"/>
  <c r="M765" i="2"/>
  <c r="N765" i="2"/>
  <c r="O765" i="2"/>
  <c r="I766" i="2"/>
  <c r="J766" i="2"/>
  <c r="K766" i="2"/>
  <c r="L766" i="2"/>
  <c r="M766" i="2"/>
  <c r="N766" i="2"/>
  <c r="O766" i="2"/>
  <c r="I767" i="2"/>
  <c r="J767" i="2"/>
  <c r="K767" i="2"/>
  <c r="L767" i="2"/>
  <c r="M767" i="2"/>
  <c r="N767" i="2"/>
  <c r="O767" i="2"/>
  <c r="I768" i="2"/>
  <c r="J768" i="2"/>
  <c r="K768" i="2"/>
  <c r="L768" i="2"/>
  <c r="M768" i="2"/>
  <c r="N768" i="2"/>
  <c r="O768" i="2"/>
  <c r="I769" i="2"/>
  <c r="J769" i="2"/>
  <c r="K769" i="2"/>
  <c r="L769" i="2"/>
  <c r="M769" i="2"/>
  <c r="N769" i="2"/>
  <c r="O769" i="2"/>
  <c r="I770" i="2"/>
  <c r="J770" i="2"/>
  <c r="K770" i="2"/>
  <c r="L770" i="2"/>
  <c r="M770" i="2"/>
  <c r="N770" i="2"/>
  <c r="O770" i="2"/>
  <c r="I771" i="2"/>
  <c r="J771" i="2"/>
  <c r="K771" i="2"/>
  <c r="L771" i="2"/>
  <c r="M771" i="2"/>
  <c r="N771" i="2"/>
  <c r="O771" i="2"/>
  <c r="I772" i="2"/>
  <c r="J772" i="2"/>
  <c r="K772" i="2"/>
  <c r="L772" i="2"/>
  <c r="M772" i="2"/>
  <c r="N772" i="2"/>
  <c r="O772" i="2"/>
  <c r="I773" i="2"/>
  <c r="J773" i="2"/>
  <c r="K773" i="2"/>
  <c r="L773" i="2"/>
  <c r="M773" i="2"/>
  <c r="N773" i="2"/>
  <c r="O773" i="2"/>
  <c r="I774" i="2"/>
  <c r="J774" i="2"/>
  <c r="K774" i="2"/>
  <c r="L774" i="2"/>
  <c r="M774" i="2"/>
  <c r="N774" i="2"/>
  <c r="O774" i="2"/>
  <c r="I775" i="2"/>
  <c r="J775" i="2"/>
  <c r="K775" i="2"/>
  <c r="L775" i="2"/>
  <c r="M775" i="2"/>
  <c r="N775" i="2"/>
  <c r="O775" i="2"/>
  <c r="I776" i="2"/>
  <c r="J776" i="2"/>
  <c r="K776" i="2"/>
  <c r="L776" i="2"/>
  <c r="M776" i="2"/>
  <c r="N776" i="2"/>
  <c r="O776" i="2"/>
  <c r="I777" i="2"/>
  <c r="J777" i="2"/>
  <c r="K777" i="2"/>
  <c r="L777" i="2"/>
  <c r="M777" i="2"/>
  <c r="N777" i="2"/>
  <c r="O777" i="2"/>
  <c r="I778" i="2"/>
  <c r="J778" i="2"/>
  <c r="K778" i="2"/>
  <c r="L778" i="2"/>
  <c r="M778" i="2"/>
  <c r="N778" i="2"/>
  <c r="O778" i="2"/>
  <c r="I779" i="2"/>
  <c r="J779" i="2"/>
  <c r="K779" i="2"/>
  <c r="L779" i="2"/>
  <c r="M779" i="2"/>
  <c r="N779" i="2"/>
  <c r="O779" i="2"/>
  <c r="I780" i="2"/>
  <c r="J780" i="2"/>
  <c r="K780" i="2"/>
  <c r="L780" i="2"/>
  <c r="M780" i="2"/>
  <c r="N780" i="2"/>
  <c r="O780" i="2"/>
  <c r="I781" i="2"/>
  <c r="J781" i="2"/>
  <c r="K781" i="2"/>
  <c r="L781" i="2"/>
  <c r="M781" i="2"/>
  <c r="N781" i="2"/>
  <c r="O781" i="2"/>
  <c r="I782" i="2"/>
  <c r="J782" i="2"/>
  <c r="K782" i="2"/>
  <c r="L782" i="2"/>
  <c r="M782" i="2"/>
  <c r="N782" i="2"/>
  <c r="O782" i="2"/>
  <c r="I783" i="2"/>
  <c r="J783" i="2"/>
  <c r="K783" i="2"/>
  <c r="L783" i="2"/>
  <c r="M783" i="2"/>
  <c r="N783" i="2"/>
  <c r="O783" i="2"/>
  <c r="I784" i="2"/>
  <c r="J784" i="2"/>
  <c r="K784" i="2"/>
  <c r="L784" i="2"/>
  <c r="M784" i="2"/>
  <c r="N784" i="2"/>
  <c r="O784" i="2"/>
  <c r="I785" i="2"/>
  <c r="J785" i="2"/>
  <c r="K785" i="2"/>
  <c r="L785" i="2"/>
  <c r="M785" i="2"/>
  <c r="N785" i="2"/>
  <c r="O785" i="2"/>
  <c r="I786" i="2"/>
  <c r="J786" i="2"/>
  <c r="K786" i="2"/>
  <c r="L786" i="2"/>
  <c r="M786" i="2"/>
  <c r="N786" i="2"/>
  <c r="O786" i="2"/>
  <c r="I787" i="2"/>
  <c r="J787" i="2"/>
  <c r="K787" i="2"/>
  <c r="L787" i="2"/>
  <c r="M787" i="2"/>
  <c r="N787" i="2"/>
  <c r="O787" i="2"/>
  <c r="I788" i="2"/>
  <c r="J788" i="2"/>
  <c r="K788" i="2"/>
  <c r="L788" i="2"/>
  <c r="M788" i="2"/>
  <c r="N788" i="2"/>
  <c r="O788" i="2"/>
  <c r="I789" i="2"/>
  <c r="J789" i="2"/>
  <c r="K789" i="2"/>
  <c r="L789" i="2"/>
  <c r="M789" i="2"/>
  <c r="N789" i="2"/>
  <c r="O789" i="2"/>
  <c r="I790" i="2"/>
  <c r="J790" i="2"/>
  <c r="K790" i="2"/>
  <c r="L790" i="2"/>
  <c r="M790" i="2"/>
  <c r="N790" i="2"/>
  <c r="O790" i="2"/>
  <c r="I791" i="2"/>
  <c r="J791" i="2"/>
  <c r="K791" i="2"/>
  <c r="L791" i="2"/>
  <c r="M791" i="2"/>
  <c r="N791" i="2"/>
  <c r="O791" i="2"/>
  <c r="I792" i="2"/>
  <c r="J792" i="2"/>
  <c r="K792" i="2"/>
  <c r="L792" i="2"/>
  <c r="M792" i="2"/>
  <c r="N792" i="2"/>
  <c r="O792" i="2"/>
  <c r="I793" i="2"/>
  <c r="J793" i="2"/>
  <c r="K793" i="2"/>
  <c r="L793" i="2"/>
  <c r="M793" i="2"/>
  <c r="N793" i="2"/>
  <c r="O793" i="2"/>
  <c r="I794" i="2"/>
  <c r="J794" i="2"/>
  <c r="K794" i="2"/>
  <c r="L794" i="2"/>
  <c r="M794" i="2"/>
  <c r="N794" i="2"/>
  <c r="O794" i="2"/>
  <c r="I795" i="2"/>
  <c r="J795" i="2"/>
  <c r="K795" i="2"/>
  <c r="L795" i="2"/>
  <c r="M795" i="2"/>
  <c r="N795" i="2"/>
  <c r="O795" i="2"/>
  <c r="I796" i="2"/>
  <c r="J796" i="2"/>
  <c r="K796" i="2"/>
  <c r="L796" i="2"/>
  <c r="M796" i="2"/>
  <c r="N796" i="2"/>
  <c r="O796" i="2"/>
  <c r="I797" i="2"/>
  <c r="J797" i="2"/>
  <c r="K797" i="2"/>
  <c r="L797" i="2"/>
  <c r="M797" i="2"/>
  <c r="N797" i="2"/>
  <c r="O797" i="2"/>
  <c r="I798" i="2"/>
  <c r="J798" i="2"/>
  <c r="K798" i="2"/>
  <c r="L798" i="2"/>
  <c r="M798" i="2"/>
  <c r="N798" i="2"/>
  <c r="O798" i="2"/>
  <c r="I799" i="2"/>
  <c r="J799" i="2"/>
  <c r="K799" i="2"/>
  <c r="L799" i="2"/>
  <c r="M799" i="2"/>
  <c r="N799" i="2"/>
  <c r="O799" i="2"/>
  <c r="I800" i="2"/>
  <c r="J800" i="2"/>
  <c r="K800" i="2"/>
  <c r="L800" i="2"/>
  <c r="M800" i="2"/>
  <c r="N800" i="2"/>
  <c r="O800" i="2"/>
  <c r="I801" i="2"/>
  <c r="J801" i="2"/>
  <c r="K801" i="2"/>
  <c r="L801" i="2"/>
  <c r="M801" i="2"/>
  <c r="N801" i="2"/>
  <c r="O801" i="2"/>
  <c r="I802" i="2"/>
  <c r="J802" i="2"/>
  <c r="K802" i="2"/>
  <c r="L802" i="2"/>
  <c r="M802" i="2"/>
  <c r="N802" i="2"/>
  <c r="O802" i="2"/>
  <c r="I803" i="2"/>
  <c r="J803" i="2"/>
  <c r="K803" i="2"/>
  <c r="L803" i="2"/>
  <c r="M803" i="2"/>
  <c r="N803" i="2"/>
  <c r="O803" i="2"/>
  <c r="I804" i="2"/>
  <c r="J804" i="2"/>
  <c r="K804" i="2"/>
  <c r="L804" i="2"/>
  <c r="M804" i="2"/>
  <c r="N804" i="2"/>
  <c r="O804" i="2"/>
  <c r="I805" i="2"/>
  <c r="J805" i="2"/>
  <c r="K805" i="2"/>
  <c r="L805" i="2"/>
  <c r="M805" i="2"/>
  <c r="N805" i="2"/>
  <c r="O805" i="2"/>
  <c r="I806" i="2"/>
  <c r="J806" i="2"/>
  <c r="K806" i="2"/>
  <c r="L806" i="2"/>
  <c r="M806" i="2"/>
  <c r="N806" i="2"/>
  <c r="O806" i="2"/>
  <c r="I807" i="2"/>
  <c r="J807" i="2"/>
  <c r="K807" i="2"/>
  <c r="L807" i="2"/>
  <c r="M807" i="2"/>
  <c r="N807" i="2"/>
  <c r="O807" i="2"/>
  <c r="I808" i="2"/>
  <c r="J808" i="2"/>
  <c r="K808" i="2"/>
  <c r="L808" i="2"/>
  <c r="M808" i="2"/>
  <c r="N808" i="2"/>
  <c r="O808" i="2"/>
  <c r="I809" i="2"/>
  <c r="J809" i="2"/>
  <c r="K809" i="2"/>
  <c r="L809" i="2"/>
  <c r="M809" i="2"/>
  <c r="N809" i="2"/>
  <c r="O809" i="2"/>
  <c r="I810" i="2"/>
  <c r="J810" i="2"/>
  <c r="K810" i="2"/>
  <c r="L810" i="2"/>
  <c r="M810" i="2"/>
  <c r="N810" i="2"/>
  <c r="O810" i="2"/>
  <c r="I811" i="2"/>
  <c r="J811" i="2"/>
  <c r="K811" i="2"/>
  <c r="L811" i="2"/>
  <c r="M811" i="2"/>
  <c r="N811" i="2"/>
  <c r="O811" i="2"/>
  <c r="I812" i="2"/>
  <c r="J812" i="2"/>
  <c r="K812" i="2"/>
  <c r="L812" i="2"/>
  <c r="M812" i="2"/>
  <c r="N812" i="2"/>
  <c r="O812" i="2"/>
  <c r="I813" i="2"/>
  <c r="J813" i="2"/>
  <c r="K813" i="2"/>
  <c r="L813" i="2"/>
  <c r="M813" i="2"/>
  <c r="N813" i="2"/>
  <c r="O813" i="2"/>
  <c r="I814" i="2"/>
  <c r="J814" i="2"/>
  <c r="K814" i="2"/>
  <c r="L814" i="2"/>
  <c r="M814" i="2"/>
  <c r="N814" i="2"/>
  <c r="O814" i="2"/>
  <c r="I815" i="2"/>
  <c r="J815" i="2"/>
  <c r="K815" i="2"/>
  <c r="L815" i="2"/>
  <c r="M815" i="2"/>
  <c r="N815" i="2"/>
  <c r="O815" i="2"/>
  <c r="I816" i="2"/>
  <c r="J816" i="2"/>
  <c r="K816" i="2"/>
  <c r="L816" i="2"/>
  <c r="M816" i="2"/>
  <c r="N816" i="2"/>
  <c r="O816" i="2"/>
  <c r="I817" i="2"/>
  <c r="J817" i="2"/>
  <c r="K817" i="2"/>
  <c r="L817" i="2"/>
  <c r="M817" i="2"/>
  <c r="N817" i="2"/>
  <c r="O817" i="2"/>
  <c r="I818" i="2"/>
  <c r="J818" i="2"/>
  <c r="K818" i="2"/>
  <c r="L818" i="2"/>
  <c r="M818" i="2"/>
  <c r="N818" i="2"/>
  <c r="O818" i="2"/>
  <c r="I819" i="2"/>
  <c r="J819" i="2"/>
  <c r="K819" i="2"/>
  <c r="L819" i="2"/>
  <c r="M819" i="2"/>
  <c r="N819" i="2"/>
  <c r="O819" i="2"/>
  <c r="I820" i="2"/>
  <c r="J820" i="2"/>
  <c r="K820" i="2"/>
  <c r="L820" i="2"/>
  <c r="M820" i="2"/>
  <c r="N820" i="2"/>
  <c r="O820" i="2"/>
  <c r="I821" i="2"/>
  <c r="J821" i="2"/>
  <c r="K821" i="2"/>
  <c r="L821" i="2"/>
  <c r="M821" i="2"/>
  <c r="N821" i="2"/>
  <c r="O821" i="2"/>
  <c r="I822" i="2"/>
  <c r="J822" i="2"/>
  <c r="K822" i="2"/>
  <c r="L822" i="2"/>
  <c r="M822" i="2"/>
  <c r="N822" i="2"/>
  <c r="O822" i="2"/>
  <c r="I823" i="2"/>
  <c r="J823" i="2"/>
  <c r="K823" i="2"/>
  <c r="L823" i="2"/>
  <c r="M823" i="2"/>
  <c r="N823" i="2"/>
  <c r="O823" i="2"/>
  <c r="I824" i="2"/>
  <c r="J824" i="2"/>
  <c r="K824" i="2"/>
  <c r="L824" i="2"/>
  <c r="M824" i="2"/>
  <c r="N824" i="2"/>
  <c r="O824" i="2"/>
  <c r="I825" i="2"/>
  <c r="J825" i="2"/>
  <c r="K825" i="2"/>
  <c r="L825" i="2"/>
  <c r="M825" i="2"/>
  <c r="N825" i="2"/>
  <c r="O825" i="2"/>
  <c r="I826" i="2"/>
  <c r="J826" i="2"/>
  <c r="K826" i="2"/>
  <c r="L826" i="2"/>
  <c r="M826" i="2"/>
  <c r="N826" i="2"/>
  <c r="O826" i="2"/>
  <c r="I827" i="2"/>
  <c r="J827" i="2"/>
  <c r="K827" i="2"/>
  <c r="L827" i="2"/>
  <c r="M827" i="2"/>
  <c r="N827" i="2"/>
  <c r="O827" i="2"/>
  <c r="I828" i="2"/>
  <c r="J828" i="2"/>
  <c r="K828" i="2"/>
  <c r="L828" i="2"/>
  <c r="M828" i="2"/>
  <c r="N828" i="2"/>
  <c r="O828" i="2"/>
  <c r="I829" i="2"/>
  <c r="J829" i="2"/>
  <c r="K829" i="2"/>
  <c r="L829" i="2"/>
  <c r="M829" i="2"/>
  <c r="N829" i="2"/>
  <c r="O829" i="2"/>
  <c r="I830" i="2"/>
  <c r="J830" i="2"/>
  <c r="K830" i="2"/>
  <c r="L830" i="2"/>
  <c r="M830" i="2"/>
  <c r="N830" i="2"/>
  <c r="O830" i="2"/>
  <c r="I831" i="2"/>
  <c r="J831" i="2"/>
  <c r="K831" i="2"/>
  <c r="L831" i="2"/>
  <c r="M831" i="2"/>
  <c r="N831" i="2"/>
  <c r="O831" i="2"/>
  <c r="I832" i="2"/>
  <c r="J832" i="2"/>
  <c r="K832" i="2"/>
  <c r="L832" i="2"/>
  <c r="M832" i="2"/>
  <c r="N832" i="2"/>
  <c r="O832" i="2"/>
  <c r="I833" i="2"/>
  <c r="J833" i="2"/>
  <c r="K833" i="2"/>
  <c r="L833" i="2"/>
  <c r="M833" i="2"/>
  <c r="N833" i="2"/>
  <c r="O833" i="2"/>
  <c r="I834" i="2"/>
  <c r="J834" i="2"/>
  <c r="K834" i="2"/>
  <c r="L834" i="2"/>
  <c r="M834" i="2"/>
  <c r="N834" i="2"/>
  <c r="O834" i="2"/>
  <c r="I835" i="2"/>
  <c r="J835" i="2"/>
  <c r="K835" i="2"/>
  <c r="L835" i="2"/>
  <c r="M835" i="2"/>
  <c r="N835" i="2"/>
  <c r="O835" i="2"/>
  <c r="I836" i="2"/>
  <c r="J836" i="2"/>
  <c r="K836" i="2"/>
  <c r="L836" i="2"/>
  <c r="M836" i="2"/>
  <c r="N836" i="2"/>
  <c r="O836" i="2"/>
  <c r="I837" i="2"/>
  <c r="J837" i="2"/>
  <c r="K837" i="2"/>
  <c r="L837" i="2"/>
  <c r="M837" i="2"/>
  <c r="N837" i="2"/>
  <c r="O837" i="2"/>
  <c r="I838" i="2"/>
  <c r="J838" i="2"/>
  <c r="K838" i="2"/>
  <c r="L838" i="2"/>
  <c r="M838" i="2"/>
  <c r="N838" i="2"/>
  <c r="O838" i="2"/>
  <c r="I839" i="2"/>
  <c r="J839" i="2"/>
  <c r="K839" i="2"/>
  <c r="L839" i="2"/>
  <c r="M839" i="2"/>
  <c r="N839" i="2"/>
  <c r="O839" i="2"/>
  <c r="I840" i="2"/>
  <c r="J840" i="2"/>
  <c r="K840" i="2"/>
  <c r="L840" i="2"/>
  <c r="M840" i="2"/>
  <c r="N840" i="2"/>
  <c r="O840" i="2"/>
  <c r="I841" i="2"/>
  <c r="J841" i="2"/>
  <c r="K841" i="2"/>
  <c r="L841" i="2"/>
  <c r="M841" i="2"/>
  <c r="N841" i="2"/>
  <c r="O841" i="2"/>
  <c r="I842" i="2"/>
  <c r="J842" i="2"/>
  <c r="K842" i="2"/>
  <c r="L842" i="2"/>
  <c r="M842" i="2"/>
  <c r="N842" i="2"/>
  <c r="O842" i="2"/>
  <c r="I843" i="2"/>
  <c r="J843" i="2"/>
  <c r="K843" i="2"/>
  <c r="L843" i="2"/>
  <c r="M843" i="2"/>
  <c r="N843" i="2"/>
  <c r="O843" i="2"/>
  <c r="I844" i="2"/>
  <c r="J844" i="2"/>
  <c r="K844" i="2"/>
  <c r="L844" i="2"/>
  <c r="M844" i="2"/>
  <c r="N844" i="2"/>
  <c r="O844" i="2"/>
  <c r="I845" i="2"/>
  <c r="J845" i="2"/>
  <c r="K845" i="2"/>
  <c r="L845" i="2"/>
  <c r="M845" i="2"/>
  <c r="N845" i="2"/>
  <c r="O845" i="2"/>
  <c r="I846" i="2"/>
  <c r="J846" i="2"/>
  <c r="K846" i="2"/>
  <c r="L846" i="2"/>
  <c r="M846" i="2"/>
  <c r="N846" i="2"/>
  <c r="O846" i="2"/>
  <c r="I847" i="2"/>
  <c r="J847" i="2"/>
  <c r="K847" i="2"/>
  <c r="L847" i="2"/>
  <c r="M847" i="2"/>
  <c r="N847" i="2"/>
  <c r="O847" i="2"/>
  <c r="I848" i="2"/>
  <c r="J848" i="2"/>
  <c r="K848" i="2"/>
  <c r="L848" i="2"/>
  <c r="M848" i="2"/>
  <c r="N848" i="2"/>
  <c r="O848" i="2"/>
  <c r="I849" i="2"/>
  <c r="J849" i="2"/>
  <c r="K849" i="2"/>
  <c r="L849" i="2"/>
  <c r="M849" i="2"/>
  <c r="N849" i="2"/>
  <c r="O849" i="2"/>
  <c r="I850" i="2"/>
  <c r="J850" i="2"/>
  <c r="K850" i="2"/>
  <c r="L850" i="2"/>
  <c r="M850" i="2"/>
  <c r="N850" i="2"/>
  <c r="O850" i="2"/>
  <c r="I851" i="2"/>
  <c r="J851" i="2"/>
  <c r="K851" i="2"/>
  <c r="L851" i="2"/>
  <c r="M851" i="2"/>
  <c r="N851" i="2"/>
  <c r="O851" i="2"/>
  <c r="I852" i="2"/>
  <c r="J852" i="2"/>
  <c r="K852" i="2"/>
  <c r="L852" i="2"/>
  <c r="M852" i="2"/>
  <c r="N852" i="2"/>
  <c r="O852" i="2"/>
  <c r="I853" i="2"/>
  <c r="J853" i="2"/>
  <c r="K853" i="2"/>
  <c r="L853" i="2"/>
  <c r="M853" i="2"/>
  <c r="N853" i="2"/>
  <c r="O853" i="2"/>
  <c r="I854" i="2"/>
  <c r="J854" i="2"/>
  <c r="K854" i="2"/>
  <c r="L854" i="2"/>
  <c r="M854" i="2"/>
  <c r="N854" i="2"/>
  <c r="O854" i="2"/>
  <c r="I855" i="2"/>
  <c r="J855" i="2"/>
  <c r="K855" i="2"/>
  <c r="L855" i="2"/>
  <c r="M855" i="2"/>
  <c r="N855" i="2"/>
  <c r="O855" i="2"/>
  <c r="I856" i="2"/>
  <c r="J856" i="2"/>
  <c r="K856" i="2"/>
  <c r="L856" i="2"/>
  <c r="M856" i="2"/>
  <c r="N856" i="2"/>
  <c r="O856" i="2"/>
  <c r="I857" i="2"/>
  <c r="J857" i="2"/>
  <c r="K857" i="2"/>
  <c r="L857" i="2"/>
  <c r="M857" i="2"/>
  <c r="N857" i="2"/>
  <c r="O857" i="2"/>
  <c r="I858" i="2"/>
  <c r="J858" i="2"/>
  <c r="K858" i="2"/>
  <c r="L858" i="2"/>
  <c r="M858" i="2"/>
  <c r="N858" i="2"/>
  <c r="O858" i="2"/>
  <c r="I859" i="2"/>
  <c r="J859" i="2"/>
  <c r="K859" i="2"/>
  <c r="L859" i="2"/>
  <c r="M859" i="2"/>
  <c r="N859" i="2"/>
  <c r="O859" i="2"/>
  <c r="I860" i="2"/>
  <c r="J860" i="2"/>
  <c r="K860" i="2"/>
  <c r="L860" i="2"/>
  <c r="M860" i="2"/>
  <c r="N860" i="2"/>
  <c r="O860" i="2"/>
  <c r="I861" i="2"/>
  <c r="J861" i="2"/>
  <c r="K861" i="2"/>
  <c r="L861" i="2"/>
  <c r="M861" i="2"/>
  <c r="N861" i="2"/>
  <c r="O861" i="2"/>
  <c r="I862" i="2"/>
  <c r="J862" i="2"/>
  <c r="K862" i="2"/>
  <c r="L862" i="2"/>
  <c r="M862" i="2"/>
  <c r="N862" i="2"/>
  <c r="O862" i="2"/>
  <c r="I863" i="2"/>
  <c r="J863" i="2"/>
  <c r="K863" i="2"/>
  <c r="L863" i="2"/>
  <c r="M863" i="2"/>
  <c r="N863" i="2"/>
  <c r="O863" i="2"/>
  <c r="I864" i="2"/>
  <c r="J864" i="2"/>
  <c r="K864" i="2"/>
  <c r="L864" i="2"/>
  <c r="M864" i="2"/>
  <c r="N864" i="2"/>
  <c r="O864" i="2"/>
  <c r="I865" i="2"/>
  <c r="J865" i="2"/>
  <c r="K865" i="2"/>
  <c r="L865" i="2"/>
  <c r="M865" i="2"/>
  <c r="N865" i="2"/>
  <c r="O865" i="2"/>
  <c r="I866" i="2"/>
  <c r="J866" i="2"/>
  <c r="K866" i="2"/>
  <c r="L866" i="2"/>
  <c r="M866" i="2"/>
  <c r="N866" i="2"/>
  <c r="O866" i="2"/>
  <c r="I867" i="2"/>
  <c r="J867" i="2"/>
  <c r="K867" i="2"/>
  <c r="L867" i="2"/>
  <c r="M867" i="2"/>
  <c r="N867" i="2"/>
  <c r="O867" i="2"/>
  <c r="I868" i="2"/>
  <c r="J868" i="2"/>
  <c r="K868" i="2"/>
  <c r="L868" i="2"/>
  <c r="M868" i="2"/>
  <c r="N868" i="2"/>
  <c r="O868" i="2"/>
  <c r="I869" i="2"/>
  <c r="J869" i="2"/>
  <c r="K869" i="2"/>
  <c r="L869" i="2"/>
  <c r="M869" i="2"/>
  <c r="N869" i="2"/>
  <c r="O869" i="2"/>
  <c r="I870" i="2"/>
  <c r="J870" i="2"/>
  <c r="K870" i="2"/>
  <c r="L870" i="2"/>
  <c r="M870" i="2"/>
  <c r="N870" i="2"/>
  <c r="O870" i="2"/>
  <c r="I871" i="2"/>
  <c r="J871" i="2"/>
  <c r="K871" i="2"/>
  <c r="L871" i="2"/>
  <c r="M871" i="2"/>
  <c r="N871" i="2"/>
  <c r="O871" i="2"/>
  <c r="I872" i="2"/>
  <c r="J872" i="2"/>
  <c r="K872" i="2"/>
  <c r="L872" i="2"/>
  <c r="M872" i="2"/>
  <c r="N872" i="2"/>
  <c r="O872" i="2"/>
  <c r="I873" i="2"/>
  <c r="J873" i="2"/>
  <c r="K873" i="2"/>
  <c r="L873" i="2"/>
  <c r="M873" i="2"/>
  <c r="N873" i="2"/>
  <c r="O873" i="2"/>
  <c r="I874" i="2"/>
  <c r="J874" i="2"/>
  <c r="K874" i="2"/>
  <c r="L874" i="2"/>
  <c r="M874" i="2"/>
  <c r="N874" i="2"/>
  <c r="O874" i="2"/>
  <c r="I875" i="2"/>
  <c r="J875" i="2"/>
  <c r="K875" i="2"/>
  <c r="L875" i="2"/>
  <c r="M875" i="2"/>
  <c r="N875" i="2"/>
  <c r="O875" i="2"/>
  <c r="I876" i="2"/>
  <c r="J876" i="2"/>
  <c r="K876" i="2"/>
  <c r="L876" i="2"/>
  <c r="M876" i="2"/>
  <c r="N876" i="2"/>
  <c r="O876" i="2"/>
  <c r="I877" i="2"/>
  <c r="J877" i="2"/>
  <c r="K877" i="2"/>
  <c r="L877" i="2"/>
  <c r="M877" i="2"/>
  <c r="N877" i="2"/>
  <c r="O877" i="2"/>
  <c r="I878" i="2"/>
  <c r="J878" i="2"/>
  <c r="K878" i="2"/>
  <c r="L878" i="2"/>
  <c r="M878" i="2"/>
  <c r="N878" i="2"/>
  <c r="O878" i="2"/>
  <c r="I879" i="2"/>
  <c r="J879" i="2"/>
  <c r="K879" i="2"/>
  <c r="L879" i="2"/>
  <c r="M879" i="2"/>
  <c r="N879" i="2"/>
  <c r="O879" i="2"/>
  <c r="I880" i="2"/>
  <c r="J880" i="2"/>
  <c r="K880" i="2"/>
  <c r="L880" i="2"/>
  <c r="M880" i="2"/>
  <c r="N880" i="2"/>
  <c r="O880" i="2"/>
  <c r="I881" i="2"/>
  <c r="J881" i="2"/>
  <c r="K881" i="2"/>
  <c r="L881" i="2"/>
  <c r="M881" i="2"/>
  <c r="N881" i="2"/>
  <c r="O881" i="2"/>
  <c r="I882" i="2"/>
  <c r="J882" i="2"/>
  <c r="K882" i="2"/>
  <c r="L882" i="2"/>
  <c r="M882" i="2"/>
  <c r="N882" i="2"/>
  <c r="O882" i="2"/>
  <c r="I883" i="2"/>
  <c r="J883" i="2"/>
  <c r="K883" i="2"/>
  <c r="L883" i="2"/>
  <c r="M883" i="2"/>
  <c r="N883" i="2"/>
  <c r="O883" i="2"/>
  <c r="I884" i="2"/>
  <c r="J884" i="2"/>
  <c r="K884" i="2"/>
  <c r="L884" i="2"/>
  <c r="M884" i="2"/>
  <c r="N884" i="2"/>
  <c r="O884" i="2"/>
  <c r="I885" i="2"/>
  <c r="J885" i="2"/>
  <c r="K885" i="2"/>
  <c r="L885" i="2"/>
  <c r="M885" i="2"/>
  <c r="N885" i="2"/>
  <c r="O885" i="2"/>
  <c r="I886" i="2"/>
  <c r="J886" i="2"/>
  <c r="K886" i="2"/>
  <c r="L886" i="2"/>
  <c r="M886" i="2"/>
  <c r="N886" i="2"/>
  <c r="O886" i="2"/>
  <c r="I887" i="2"/>
  <c r="J887" i="2"/>
  <c r="K887" i="2"/>
  <c r="L887" i="2"/>
  <c r="M887" i="2"/>
  <c r="N887" i="2"/>
  <c r="O887" i="2"/>
  <c r="I888" i="2"/>
  <c r="J888" i="2"/>
  <c r="K888" i="2"/>
  <c r="L888" i="2"/>
  <c r="M888" i="2"/>
  <c r="N888" i="2"/>
  <c r="O888" i="2"/>
  <c r="I889" i="2"/>
  <c r="J889" i="2"/>
  <c r="K889" i="2"/>
  <c r="L889" i="2"/>
  <c r="M889" i="2"/>
  <c r="N889" i="2"/>
  <c r="O889" i="2"/>
  <c r="I890" i="2"/>
  <c r="J890" i="2"/>
  <c r="K890" i="2"/>
  <c r="L890" i="2"/>
  <c r="M890" i="2"/>
  <c r="N890" i="2"/>
  <c r="O890" i="2"/>
  <c r="I891" i="2"/>
  <c r="J891" i="2"/>
  <c r="K891" i="2"/>
  <c r="L891" i="2"/>
  <c r="M891" i="2"/>
  <c r="N891" i="2"/>
  <c r="O891" i="2"/>
  <c r="I892" i="2"/>
  <c r="J892" i="2"/>
  <c r="K892" i="2"/>
  <c r="L892" i="2"/>
  <c r="M892" i="2"/>
  <c r="N892" i="2"/>
  <c r="O892" i="2"/>
  <c r="I893" i="2"/>
  <c r="J893" i="2"/>
  <c r="K893" i="2"/>
  <c r="L893" i="2"/>
  <c r="M893" i="2"/>
  <c r="N893" i="2"/>
  <c r="O893" i="2"/>
  <c r="I894" i="2"/>
  <c r="J894" i="2"/>
  <c r="K894" i="2"/>
  <c r="L894" i="2"/>
  <c r="M894" i="2"/>
  <c r="N894" i="2"/>
  <c r="O894" i="2"/>
  <c r="I895" i="2"/>
  <c r="J895" i="2"/>
  <c r="K895" i="2"/>
  <c r="L895" i="2"/>
  <c r="M895" i="2"/>
  <c r="N895" i="2"/>
  <c r="O895" i="2"/>
  <c r="I896" i="2"/>
  <c r="J896" i="2"/>
  <c r="K896" i="2"/>
  <c r="L896" i="2"/>
  <c r="M896" i="2"/>
  <c r="N896" i="2"/>
  <c r="O896" i="2"/>
  <c r="I897" i="2"/>
  <c r="J897" i="2"/>
  <c r="K897" i="2"/>
  <c r="L897" i="2"/>
  <c r="M897" i="2"/>
  <c r="N897" i="2"/>
  <c r="O897" i="2"/>
  <c r="I898" i="2"/>
  <c r="J898" i="2"/>
  <c r="K898" i="2"/>
  <c r="L898" i="2"/>
  <c r="M898" i="2"/>
  <c r="N898" i="2"/>
  <c r="O898" i="2"/>
  <c r="I899" i="2"/>
  <c r="J899" i="2"/>
  <c r="K899" i="2"/>
  <c r="L899" i="2"/>
  <c r="M899" i="2"/>
  <c r="N899" i="2"/>
  <c r="O899" i="2"/>
  <c r="I900" i="2"/>
  <c r="J900" i="2"/>
  <c r="K900" i="2"/>
  <c r="L900" i="2"/>
  <c r="M900" i="2"/>
  <c r="N900" i="2"/>
  <c r="O900" i="2"/>
  <c r="I901" i="2"/>
  <c r="J901" i="2"/>
  <c r="K901" i="2"/>
  <c r="L901" i="2"/>
  <c r="M901" i="2"/>
  <c r="N901" i="2"/>
  <c r="O901" i="2"/>
  <c r="I902" i="2"/>
  <c r="J902" i="2"/>
  <c r="K902" i="2"/>
  <c r="L902" i="2"/>
  <c r="M902" i="2"/>
  <c r="N902" i="2"/>
  <c r="O902" i="2"/>
  <c r="I903" i="2"/>
  <c r="J903" i="2"/>
  <c r="K903" i="2"/>
  <c r="L903" i="2"/>
  <c r="M903" i="2"/>
  <c r="N903" i="2"/>
  <c r="O903" i="2"/>
  <c r="I904" i="2"/>
  <c r="J904" i="2"/>
  <c r="K904" i="2"/>
  <c r="L904" i="2"/>
  <c r="M904" i="2"/>
  <c r="N904" i="2"/>
  <c r="O904" i="2"/>
  <c r="I905" i="2"/>
  <c r="J905" i="2"/>
  <c r="K905" i="2"/>
  <c r="L905" i="2"/>
  <c r="M905" i="2"/>
  <c r="N905" i="2"/>
  <c r="O905" i="2"/>
  <c r="I906" i="2"/>
  <c r="J906" i="2"/>
  <c r="K906" i="2"/>
  <c r="L906" i="2"/>
  <c r="M906" i="2"/>
  <c r="N906" i="2"/>
  <c r="O906" i="2"/>
  <c r="I907" i="2"/>
  <c r="J907" i="2"/>
  <c r="K907" i="2"/>
  <c r="L907" i="2"/>
  <c r="M907" i="2"/>
  <c r="N907" i="2"/>
  <c r="O907" i="2"/>
  <c r="I908" i="2"/>
  <c r="J908" i="2"/>
  <c r="K908" i="2"/>
  <c r="L908" i="2"/>
  <c r="M908" i="2"/>
  <c r="N908" i="2"/>
  <c r="O908" i="2"/>
  <c r="I909" i="2"/>
  <c r="J909" i="2"/>
  <c r="K909" i="2"/>
  <c r="L909" i="2"/>
  <c r="M909" i="2"/>
  <c r="N909" i="2"/>
  <c r="O909" i="2"/>
  <c r="I910" i="2"/>
  <c r="J910" i="2"/>
  <c r="K910" i="2"/>
  <c r="L910" i="2"/>
  <c r="M910" i="2"/>
  <c r="N910" i="2"/>
  <c r="O910" i="2"/>
  <c r="I911" i="2"/>
  <c r="J911" i="2"/>
  <c r="K911" i="2"/>
  <c r="L911" i="2"/>
  <c r="M911" i="2"/>
  <c r="N911" i="2"/>
  <c r="O911" i="2"/>
  <c r="I912" i="2"/>
  <c r="J912" i="2"/>
  <c r="K912" i="2"/>
  <c r="L912" i="2"/>
  <c r="M912" i="2"/>
  <c r="N912" i="2"/>
  <c r="O912" i="2"/>
  <c r="I913" i="2"/>
  <c r="J913" i="2"/>
  <c r="K913" i="2"/>
  <c r="L913" i="2"/>
  <c r="M913" i="2"/>
  <c r="N913" i="2"/>
  <c r="O913" i="2"/>
  <c r="I914" i="2"/>
  <c r="J914" i="2"/>
  <c r="K914" i="2"/>
  <c r="L914" i="2"/>
  <c r="M914" i="2"/>
  <c r="N914" i="2"/>
  <c r="O914" i="2"/>
  <c r="I915" i="2"/>
  <c r="J915" i="2"/>
  <c r="K915" i="2"/>
  <c r="L915" i="2"/>
  <c r="M915" i="2"/>
  <c r="N915" i="2"/>
  <c r="O915" i="2"/>
  <c r="I916" i="2"/>
  <c r="J916" i="2"/>
  <c r="K916" i="2"/>
  <c r="L916" i="2"/>
  <c r="M916" i="2"/>
  <c r="N916" i="2"/>
  <c r="O916" i="2"/>
  <c r="I917" i="2"/>
  <c r="J917" i="2"/>
  <c r="K917" i="2"/>
  <c r="L917" i="2"/>
  <c r="M917" i="2"/>
  <c r="N917" i="2"/>
  <c r="O917" i="2"/>
  <c r="I918" i="2"/>
  <c r="J918" i="2"/>
  <c r="K918" i="2"/>
  <c r="L918" i="2"/>
  <c r="M918" i="2"/>
  <c r="N918" i="2"/>
  <c r="O918" i="2"/>
  <c r="I919" i="2"/>
  <c r="J919" i="2"/>
  <c r="K919" i="2"/>
  <c r="L919" i="2"/>
  <c r="M919" i="2"/>
  <c r="N919" i="2"/>
  <c r="O919" i="2"/>
  <c r="I920" i="2"/>
  <c r="J920" i="2"/>
  <c r="K920" i="2"/>
  <c r="L920" i="2"/>
  <c r="M920" i="2"/>
  <c r="N920" i="2"/>
  <c r="O920" i="2"/>
  <c r="I921" i="2"/>
  <c r="J921" i="2"/>
  <c r="K921" i="2"/>
  <c r="L921" i="2"/>
  <c r="M921" i="2"/>
  <c r="N921" i="2"/>
  <c r="O921" i="2"/>
  <c r="I922" i="2"/>
  <c r="J922" i="2"/>
  <c r="K922" i="2"/>
  <c r="L922" i="2"/>
  <c r="M922" i="2"/>
  <c r="N922" i="2"/>
  <c r="O922" i="2"/>
  <c r="I923" i="2"/>
  <c r="J923" i="2"/>
  <c r="K923" i="2"/>
  <c r="L923" i="2"/>
  <c r="M923" i="2"/>
  <c r="N923" i="2"/>
  <c r="O923" i="2"/>
  <c r="I924" i="2"/>
  <c r="J924" i="2"/>
  <c r="K924" i="2"/>
  <c r="L924" i="2"/>
  <c r="M924" i="2"/>
  <c r="N924" i="2"/>
  <c r="O924" i="2"/>
  <c r="I925" i="2"/>
  <c r="J925" i="2"/>
  <c r="K925" i="2"/>
  <c r="L925" i="2"/>
  <c r="M925" i="2"/>
  <c r="N925" i="2"/>
  <c r="O925" i="2"/>
  <c r="I926" i="2"/>
  <c r="J926" i="2"/>
  <c r="K926" i="2"/>
  <c r="L926" i="2"/>
  <c r="M926" i="2"/>
  <c r="N926" i="2"/>
  <c r="O926" i="2"/>
  <c r="I927" i="2"/>
  <c r="J927" i="2"/>
  <c r="K927" i="2"/>
  <c r="L927" i="2"/>
  <c r="M927" i="2"/>
  <c r="N927" i="2"/>
  <c r="O927" i="2"/>
  <c r="I928" i="2"/>
  <c r="J928" i="2"/>
  <c r="K928" i="2"/>
  <c r="L928" i="2"/>
  <c r="M928" i="2"/>
  <c r="N928" i="2"/>
  <c r="O928" i="2"/>
  <c r="I929" i="2"/>
  <c r="J929" i="2"/>
  <c r="K929" i="2"/>
  <c r="L929" i="2"/>
  <c r="M929" i="2"/>
  <c r="N929" i="2"/>
  <c r="O929" i="2"/>
  <c r="I930" i="2"/>
  <c r="J930" i="2"/>
  <c r="K930" i="2"/>
  <c r="L930" i="2"/>
  <c r="M930" i="2"/>
  <c r="N930" i="2"/>
  <c r="O930" i="2"/>
  <c r="I931" i="2"/>
  <c r="J931" i="2"/>
  <c r="K931" i="2"/>
  <c r="L931" i="2"/>
  <c r="M931" i="2"/>
  <c r="N931" i="2"/>
  <c r="O931" i="2"/>
  <c r="I932" i="2"/>
  <c r="J932" i="2"/>
  <c r="K932" i="2"/>
  <c r="L932" i="2"/>
  <c r="M932" i="2"/>
  <c r="N932" i="2"/>
  <c r="O932" i="2"/>
  <c r="I933" i="2"/>
  <c r="J933" i="2"/>
  <c r="K933" i="2"/>
  <c r="L933" i="2"/>
  <c r="M933" i="2"/>
  <c r="N933" i="2"/>
  <c r="O933" i="2"/>
  <c r="I934" i="2"/>
  <c r="J934" i="2"/>
  <c r="K934" i="2"/>
  <c r="L934" i="2"/>
  <c r="M934" i="2"/>
  <c r="N934" i="2"/>
  <c r="O934" i="2"/>
  <c r="I935" i="2"/>
  <c r="J935" i="2"/>
  <c r="K935" i="2"/>
  <c r="L935" i="2"/>
  <c r="M935" i="2"/>
  <c r="N935" i="2"/>
  <c r="O935" i="2"/>
  <c r="I936" i="2"/>
  <c r="J936" i="2"/>
  <c r="K936" i="2"/>
  <c r="L936" i="2"/>
  <c r="M936" i="2"/>
  <c r="N936" i="2"/>
  <c r="O936" i="2"/>
  <c r="I937" i="2"/>
  <c r="J937" i="2"/>
  <c r="K937" i="2"/>
  <c r="L937" i="2"/>
  <c r="M937" i="2"/>
  <c r="N937" i="2"/>
  <c r="O937" i="2"/>
  <c r="I938" i="2"/>
  <c r="J938" i="2"/>
  <c r="K938" i="2"/>
  <c r="L938" i="2"/>
  <c r="M938" i="2"/>
  <c r="N938" i="2"/>
  <c r="O938" i="2"/>
  <c r="I939" i="2"/>
  <c r="J939" i="2"/>
  <c r="K939" i="2"/>
  <c r="L939" i="2"/>
  <c r="M939" i="2"/>
  <c r="N939" i="2"/>
  <c r="O939" i="2"/>
  <c r="I940" i="2"/>
  <c r="J940" i="2"/>
  <c r="K940" i="2"/>
  <c r="L940" i="2"/>
  <c r="M940" i="2"/>
  <c r="N940" i="2"/>
  <c r="O940" i="2"/>
  <c r="I941" i="2"/>
  <c r="J941" i="2"/>
  <c r="K941" i="2"/>
  <c r="L941" i="2"/>
  <c r="M941" i="2"/>
  <c r="N941" i="2"/>
  <c r="O941" i="2"/>
  <c r="I942" i="2"/>
  <c r="J942" i="2"/>
  <c r="K942" i="2"/>
  <c r="L942" i="2"/>
  <c r="M942" i="2"/>
  <c r="N942" i="2"/>
  <c r="O942" i="2"/>
  <c r="I943" i="2"/>
  <c r="J943" i="2"/>
  <c r="K943" i="2"/>
  <c r="L943" i="2"/>
  <c r="M943" i="2"/>
  <c r="N943" i="2"/>
  <c r="O943" i="2"/>
  <c r="I944" i="2"/>
  <c r="J944" i="2"/>
  <c r="K944" i="2"/>
  <c r="L944" i="2"/>
  <c r="M944" i="2"/>
  <c r="N944" i="2"/>
  <c r="O944" i="2"/>
  <c r="I945" i="2"/>
  <c r="J945" i="2"/>
  <c r="K945" i="2"/>
  <c r="L945" i="2"/>
  <c r="M945" i="2"/>
  <c r="N945" i="2"/>
  <c r="O945" i="2"/>
  <c r="I946" i="2"/>
  <c r="J946" i="2"/>
  <c r="K946" i="2"/>
  <c r="L946" i="2"/>
  <c r="M946" i="2"/>
  <c r="N946" i="2"/>
  <c r="O946" i="2"/>
  <c r="I947" i="2"/>
  <c r="J947" i="2"/>
  <c r="K947" i="2"/>
  <c r="L947" i="2"/>
  <c r="M947" i="2"/>
  <c r="N947" i="2"/>
  <c r="O947" i="2"/>
  <c r="I948" i="2"/>
  <c r="J948" i="2"/>
  <c r="K948" i="2"/>
  <c r="L948" i="2"/>
  <c r="M948" i="2"/>
  <c r="N948" i="2"/>
  <c r="O948" i="2"/>
  <c r="I949" i="2"/>
  <c r="J949" i="2"/>
  <c r="K949" i="2"/>
  <c r="L949" i="2"/>
  <c r="M949" i="2"/>
  <c r="N949" i="2"/>
  <c r="O949" i="2"/>
  <c r="I950" i="2"/>
  <c r="J950" i="2"/>
  <c r="K950" i="2"/>
  <c r="L950" i="2"/>
  <c r="M950" i="2"/>
  <c r="N950" i="2"/>
  <c r="O950" i="2"/>
  <c r="I951" i="2"/>
  <c r="J951" i="2"/>
  <c r="K951" i="2"/>
  <c r="L951" i="2"/>
  <c r="M951" i="2"/>
  <c r="N951" i="2"/>
  <c r="O951" i="2"/>
  <c r="I952" i="2"/>
  <c r="J952" i="2"/>
  <c r="K952" i="2"/>
  <c r="L952" i="2"/>
  <c r="M952" i="2"/>
  <c r="N952" i="2"/>
  <c r="O952" i="2"/>
  <c r="I953" i="2"/>
  <c r="J953" i="2"/>
  <c r="K953" i="2"/>
  <c r="L953" i="2"/>
  <c r="M953" i="2"/>
  <c r="N953" i="2"/>
  <c r="O953" i="2"/>
  <c r="I954" i="2"/>
  <c r="J954" i="2"/>
  <c r="K954" i="2"/>
  <c r="L954" i="2"/>
  <c r="M954" i="2"/>
  <c r="N954" i="2"/>
  <c r="O954" i="2"/>
  <c r="I955" i="2"/>
  <c r="J955" i="2"/>
  <c r="K955" i="2"/>
  <c r="L955" i="2"/>
  <c r="M955" i="2"/>
  <c r="N955" i="2"/>
  <c r="O955" i="2"/>
  <c r="I956" i="2"/>
  <c r="J956" i="2"/>
  <c r="K956" i="2"/>
  <c r="L956" i="2"/>
  <c r="M956" i="2"/>
  <c r="N956" i="2"/>
  <c r="O956" i="2"/>
  <c r="I957" i="2"/>
  <c r="J957" i="2"/>
  <c r="K957" i="2"/>
  <c r="L957" i="2"/>
  <c r="M957" i="2"/>
  <c r="N957" i="2"/>
  <c r="O957" i="2"/>
  <c r="I958" i="2"/>
  <c r="J958" i="2"/>
  <c r="K958" i="2"/>
  <c r="L958" i="2"/>
  <c r="M958" i="2"/>
  <c r="N958" i="2"/>
  <c r="O958" i="2"/>
  <c r="I959" i="2"/>
  <c r="J959" i="2"/>
  <c r="K959" i="2"/>
  <c r="L959" i="2"/>
  <c r="M959" i="2"/>
  <c r="N959" i="2"/>
  <c r="O959" i="2"/>
  <c r="I960" i="2"/>
  <c r="J960" i="2"/>
  <c r="K960" i="2"/>
  <c r="L960" i="2"/>
  <c r="M960" i="2"/>
  <c r="N960" i="2"/>
  <c r="O960" i="2"/>
  <c r="I961" i="2"/>
  <c r="J961" i="2"/>
  <c r="K961" i="2"/>
  <c r="L961" i="2"/>
  <c r="M961" i="2"/>
  <c r="N961" i="2"/>
  <c r="O961" i="2"/>
  <c r="I962" i="2"/>
  <c r="J962" i="2"/>
  <c r="K962" i="2"/>
  <c r="L962" i="2"/>
  <c r="M962" i="2"/>
  <c r="N962" i="2"/>
  <c r="O962" i="2"/>
  <c r="I963" i="2"/>
  <c r="J963" i="2"/>
  <c r="K963" i="2"/>
  <c r="L963" i="2"/>
  <c r="M963" i="2"/>
  <c r="N963" i="2"/>
  <c r="O963" i="2"/>
  <c r="I964" i="2"/>
  <c r="J964" i="2"/>
  <c r="K964" i="2"/>
  <c r="L964" i="2"/>
  <c r="M964" i="2"/>
  <c r="N964" i="2"/>
  <c r="O964" i="2"/>
  <c r="I965" i="2"/>
  <c r="J965" i="2"/>
  <c r="K965" i="2"/>
  <c r="L965" i="2"/>
  <c r="M965" i="2"/>
  <c r="N965" i="2"/>
  <c r="O965" i="2"/>
  <c r="I966" i="2"/>
  <c r="J966" i="2"/>
  <c r="K966" i="2"/>
  <c r="L966" i="2"/>
  <c r="M966" i="2"/>
  <c r="N966" i="2"/>
  <c r="O966" i="2"/>
  <c r="I967" i="2"/>
  <c r="J967" i="2"/>
  <c r="K967" i="2"/>
  <c r="L967" i="2"/>
  <c r="M967" i="2"/>
  <c r="N967" i="2"/>
  <c r="O967" i="2"/>
  <c r="I968" i="2"/>
  <c r="J968" i="2"/>
  <c r="K968" i="2"/>
  <c r="L968" i="2"/>
  <c r="M968" i="2"/>
  <c r="N968" i="2"/>
  <c r="O968" i="2"/>
  <c r="I969" i="2"/>
  <c r="J969" i="2"/>
  <c r="K969" i="2"/>
  <c r="L969" i="2"/>
  <c r="M969" i="2"/>
  <c r="N969" i="2"/>
  <c r="O969" i="2"/>
  <c r="I970" i="2"/>
  <c r="J970" i="2"/>
  <c r="K970" i="2"/>
  <c r="L970" i="2"/>
  <c r="M970" i="2"/>
  <c r="N970" i="2"/>
  <c r="O970" i="2"/>
  <c r="I971" i="2"/>
  <c r="J971" i="2"/>
  <c r="K971" i="2"/>
  <c r="L971" i="2"/>
  <c r="M971" i="2"/>
  <c r="N971" i="2"/>
  <c r="O971" i="2"/>
  <c r="I972" i="2"/>
  <c r="J972" i="2"/>
  <c r="K972" i="2"/>
  <c r="L972" i="2"/>
  <c r="M972" i="2"/>
  <c r="N972" i="2"/>
  <c r="O972" i="2"/>
  <c r="I973" i="2"/>
  <c r="J973" i="2"/>
  <c r="K973" i="2"/>
  <c r="L973" i="2"/>
  <c r="M973" i="2"/>
  <c r="N973" i="2"/>
  <c r="O973" i="2"/>
  <c r="I974" i="2"/>
  <c r="J974" i="2"/>
  <c r="K974" i="2"/>
  <c r="L974" i="2"/>
  <c r="M974" i="2"/>
  <c r="N974" i="2"/>
  <c r="O974" i="2"/>
  <c r="I975" i="2"/>
  <c r="J975" i="2"/>
  <c r="K975" i="2"/>
  <c r="L975" i="2"/>
  <c r="M975" i="2"/>
  <c r="N975" i="2"/>
  <c r="O975" i="2"/>
  <c r="I976" i="2"/>
  <c r="J976" i="2"/>
  <c r="K976" i="2"/>
  <c r="L976" i="2"/>
  <c r="M976" i="2"/>
  <c r="N976" i="2"/>
  <c r="O976" i="2"/>
  <c r="I977" i="2"/>
  <c r="J977" i="2"/>
  <c r="K977" i="2"/>
  <c r="L977" i="2"/>
  <c r="M977" i="2"/>
  <c r="N977" i="2"/>
  <c r="O977" i="2"/>
  <c r="I978" i="2"/>
  <c r="J978" i="2"/>
  <c r="K978" i="2"/>
  <c r="L978" i="2"/>
  <c r="M978" i="2"/>
  <c r="N978" i="2"/>
  <c r="O978" i="2"/>
  <c r="I979" i="2"/>
  <c r="J979" i="2"/>
  <c r="K979" i="2"/>
  <c r="L979" i="2"/>
  <c r="M979" i="2"/>
  <c r="N979" i="2"/>
  <c r="O979" i="2"/>
  <c r="I980" i="2"/>
  <c r="J980" i="2"/>
  <c r="K980" i="2"/>
  <c r="L980" i="2"/>
  <c r="M980" i="2"/>
  <c r="N980" i="2"/>
  <c r="O980" i="2"/>
  <c r="I981" i="2"/>
  <c r="J981" i="2"/>
  <c r="K981" i="2"/>
  <c r="L981" i="2"/>
  <c r="M981" i="2"/>
  <c r="N981" i="2"/>
  <c r="O981" i="2"/>
  <c r="I982" i="2"/>
  <c r="J982" i="2"/>
  <c r="K982" i="2"/>
  <c r="L982" i="2"/>
  <c r="M982" i="2"/>
  <c r="N982" i="2"/>
  <c r="O982" i="2"/>
  <c r="I983" i="2"/>
  <c r="J983" i="2"/>
  <c r="K983" i="2"/>
  <c r="L983" i="2"/>
  <c r="M983" i="2"/>
  <c r="N983" i="2"/>
  <c r="O983" i="2"/>
  <c r="I984" i="2"/>
  <c r="J984" i="2"/>
  <c r="K984" i="2"/>
  <c r="L984" i="2"/>
  <c r="M984" i="2"/>
  <c r="N984" i="2"/>
  <c r="O984" i="2"/>
  <c r="I985" i="2"/>
  <c r="J985" i="2"/>
  <c r="K985" i="2"/>
  <c r="L985" i="2"/>
  <c r="M985" i="2"/>
  <c r="N985" i="2"/>
  <c r="O985" i="2"/>
  <c r="I986" i="2"/>
  <c r="J986" i="2"/>
  <c r="K986" i="2"/>
  <c r="L986" i="2"/>
  <c r="M986" i="2"/>
  <c r="N986" i="2"/>
  <c r="O986" i="2"/>
  <c r="I987" i="2"/>
  <c r="J987" i="2"/>
  <c r="K987" i="2"/>
  <c r="L987" i="2"/>
  <c r="M987" i="2"/>
  <c r="N987" i="2"/>
  <c r="O987" i="2"/>
  <c r="I988" i="2"/>
  <c r="J988" i="2"/>
  <c r="K988" i="2"/>
  <c r="L988" i="2"/>
  <c r="M988" i="2"/>
  <c r="N988" i="2"/>
  <c r="O988" i="2"/>
  <c r="I989" i="2"/>
  <c r="J989" i="2"/>
  <c r="K989" i="2"/>
  <c r="L989" i="2"/>
  <c r="M989" i="2"/>
  <c r="N989" i="2"/>
  <c r="O989" i="2"/>
  <c r="I990" i="2"/>
  <c r="J990" i="2"/>
  <c r="K990" i="2"/>
  <c r="L990" i="2"/>
  <c r="M990" i="2"/>
  <c r="N990" i="2"/>
  <c r="O990" i="2"/>
  <c r="I991" i="2"/>
  <c r="J991" i="2"/>
  <c r="K991" i="2"/>
  <c r="L991" i="2"/>
  <c r="M991" i="2"/>
  <c r="N991" i="2"/>
  <c r="O991" i="2"/>
  <c r="I992" i="2"/>
  <c r="J992" i="2"/>
  <c r="K992" i="2"/>
  <c r="L992" i="2"/>
  <c r="M992" i="2"/>
  <c r="N992" i="2"/>
  <c r="O992" i="2"/>
  <c r="I993" i="2"/>
  <c r="J993" i="2"/>
  <c r="K993" i="2"/>
  <c r="L993" i="2"/>
  <c r="M993" i="2"/>
  <c r="N993" i="2"/>
  <c r="O993" i="2"/>
  <c r="I994" i="2"/>
  <c r="J994" i="2"/>
  <c r="K994" i="2"/>
  <c r="L994" i="2"/>
  <c r="M994" i="2"/>
  <c r="N994" i="2"/>
  <c r="O994" i="2"/>
  <c r="I995" i="2"/>
  <c r="J995" i="2"/>
  <c r="K995" i="2"/>
  <c r="L995" i="2"/>
  <c r="M995" i="2"/>
  <c r="N995" i="2"/>
  <c r="O995" i="2"/>
  <c r="I996" i="2"/>
  <c r="J996" i="2"/>
  <c r="K996" i="2"/>
  <c r="L996" i="2"/>
  <c r="M996" i="2"/>
  <c r="N996" i="2"/>
  <c r="O996" i="2"/>
  <c r="I997" i="2"/>
  <c r="J997" i="2"/>
  <c r="K997" i="2"/>
  <c r="L997" i="2"/>
  <c r="M997" i="2"/>
  <c r="N997" i="2"/>
  <c r="O997" i="2"/>
  <c r="I998" i="2"/>
  <c r="J998" i="2"/>
  <c r="K998" i="2"/>
  <c r="L998" i="2"/>
  <c r="M998" i="2"/>
  <c r="N998" i="2"/>
  <c r="O998" i="2"/>
  <c r="I999" i="2"/>
  <c r="J999" i="2"/>
  <c r="K999" i="2"/>
  <c r="L999" i="2"/>
  <c r="M999" i="2"/>
  <c r="N999" i="2"/>
  <c r="O999" i="2"/>
  <c r="I1000" i="2"/>
  <c r="J1000" i="2"/>
  <c r="K1000" i="2"/>
  <c r="L1000" i="2"/>
  <c r="M1000" i="2"/>
  <c r="N1000" i="2"/>
  <c r="O1000" i="2"/>
  <c r="I1001" i="2"/>
  <c r="J1001" i="2"/>
  <c r="K1001" i="2"/>
  <c r="L1001" i="2"/>
  <c r="M1001" i="2"/>
  <c r="N1001" i="2"/>
  <c r="O1001" i="2"/>
  <c r="I1002" i="2"/>
  <c r="J1002" i="2"/>
  <c r="K1002" i="2"/>
  <c r="L1002" i="2"/>
  <c r="M1002" i="2"/>
  <c r="N1002" i="2"/>
  <c r="O1002" i="2"/>
  <c r="I1003" i="2"/>
  <c r="J1003" i="2"/>
  <c r="K1003" i="2"/>
  <c r="L1003" i="2"/>
  <c r="M1003" i="2"/>
  <c r="N1003" i="2"/>
  <c r="O1003" i="2"/>
  <c r="I1004" i="2"/>
  <c r="J1004" i="2"/>
  <c r="K1004" i="2"/>
  <c r="L1004" i="2"/>
  <c r="M1004" i="2"/>
  <c r="N1004" i="2"/>
  <c r="O1004" i="2"/>
  <c r="I1005" i="2"/>
  <c r="J1005" i="2"/>
  <c r="K1005" i="2"/>
  <c r="L1005" i="2"/>
  <c r="M1005" i="2"/>
  <c r="N1005" i="2"/>
  <c r="O1005" i="2"/>
  <c r="I1006" i="2"/>
  <c r="J1006" i="2"/>
  <c r="K1006" i="2"/>
  <c r="L1006" i="2"/>
  <c r="M1006" i="2"/>
  <c r="N1006" i="2"/>
  <c r="O1006" i="2"/>
  <c r="I1007" i="2"/>
  <c r="J1007" i="2"/>
  <c r="K1007" i="2"/>
  <c r="L1007" i="2"/>
  <c r="M1007" i="2"/>
  <c r="N1007" i="2"/>
  <c r="O1007" i="2"/>
  <c r="I1008" i="2"/>
  <c r="J1008" i="2"/>
  <c r="K1008" i="2"/>
  <c r="L1008" i="2"/>
  <c r="M1008" i="2"/>
  <c r="N1008" i="2"/>
  <c r="O1008" i="2"/>
  <c r="I1009" i="2"/>
  <c r="J1009" i="2"/>
  <c r="K1009" i="2"/>
  <c r="L1009" i="2"/>
  <c r="M1009" i="2"/>
  <c r="N1009" i="2"/>
  <c r="O1009" i="2"/>
  <c r="I1010" i="2"/>
  <c r="J1010" i="2"/>
  <c r="K1010" i="2"/>
  <c r="L1010" i="2"/>
  <c r="M1010" i="2"/>
  <c r="N1010" i="2"/>
  <c r="O1010" i="2"/>
  <c r="I1011" i="2"/>
  <c r="J1011" i="2"/>
  <c r="K1011" i="2"/>
  <c r="L1011" i="2"/>
  <c r="M1011" i="2"/>
  <c r="N1011" i="2"/>
  <c r="O1011" i="2"/>
  <c r="I1012" i="2"/>
  <c r="J1012" i="2"/>
  <c r="K1012" i="2"/>
  <c r="L1012" i="2"/>
  <c r="M1012" i="2"/>
  <c r="N1012" i="2"/>
  <c r="O1012" i="2"/>
  <c r="I1013" i="2"/>
  <c r="J1013" i="2"/>
  <c r="K1013" i="2"/>
  <c r="L1013" i="2"/>
  <c r="M1013" i="2"/>
  <c r="N1013" i="2"/>
  <c r="O1013" i="2"/>
  <c r="I1014" i="2"/>
  <c r="J1014" i="2"/>
  <c r="K1014" i="2"/>
  <c r="L1014" i="2"/>
  <c r="M1014" i="2"/>
  <c r="N1014" i="2"/>
  <c r="O1014" i="2"/>
  <c r="I1015" i="2"/>
  <c r="J1015" i="2"/>
  <c r="K1015" i="2"/>
  <c r="L1015" i="2"/>
  <c r="M1015" i="2"/>
  <c r="N1015" i="2"/>
  <c r="O1015" i="2"/>
  <c r="I1016" i="2"/>
  <c r="J1016" i="2"/>
  <c r="K1016" i="2"/>
  <c r="L1016" i="2"/>
  <c r="M1016" i="2"/>
  <c r="N1016" i="2"/>
  <c r="O1016" i="2"/>
  <c r="I1017" i="2"/>
  <c r="J1017" i="2"/>
  <c r="K1017" i="2"/>
  <c r="L1017" i="2"/>
  <c r="M1017" i="2"/>
  <c r="N1017" i="2"/>
  <c r="O1017" i="2"/>
  <c r="I1018" i="2"/>
  <c r="J1018" i="2"/>
  <c r="K1018" i="2"/>
  <c r="L1018" i="2"/>
  <c r="M1018" i="2"/>
  <c r="N1018" i="2"/>
  <c r="O1018" i="2"/>
  <c r="I1019" i="2"/>
  <c r="J1019" i="2"/>
  <c r="K1019" i="2"/>
  <c r="L1019" i="2"/>
  <c r="M1019" i="2"/>
  <c r="N1019" i="2"/>
  <c r="O1019" i="2"/>
  <c r="I1020" i="2"/>
  <c r="J1020" i="2"/>
  <c r="K1020" i="2"/>
  <c r="L1020" i="2"/>
  <c r="M1020" i="2"/>
  <c r="N1020" i="2"/>
  <c r="O1020" i="2"/>
  <c r="I1021" i="2"/>
  <c r="J1021" i="2"/>
  <c r="K1021" i="2"/>
  <c r="L1021" i="2"/>
  <c r="M1021" i="2"/>
  <c r="N1021" i="2"/>
  <c r="O1021" i="2"/>
  <c r="I1022" i="2"/>
  <c r="J1022" i="2"/>
  <c r="K1022" i="2"/>
  <c r="L1022" i="2"/>
  <c r="M1022" i="2"/>
  <c r="N1022" i="2"/>
  <c r="O1022" i="2"/>
  <c r="I1023" i="2"/>
  <c r="J1023" i="2"/>
  <c r="K1023" i="2"/>
  <c r="L1023" i="2"/>
  <c r="M1023" i="2"/>
  <c r="N1023" i="2"/>
  <c r="O1023" i="2"/>
  <c r="I1024" i="2"/>
  <c r="J1024" i="2"/>
  <c r="K1024" i="2"/>
  <c r="L1024" i="2"/>
  <c r="M1024" i="2"/>
  <c r="N1024" i="2"/>
  <c r="O1024" i="2"/>
  <c r="I1025" i="2"/>
  <c r="J1025" i="2"/>
  <c r="K1025" i="2"/>
  <c r="L1025" i="2"/>
  <c r="M1025" i="2"/>
  <c r="N1025" i="2"/>
  <c r="O1025" i="2"/>
  <c r="I1026" i="2"/>
  <c r="J1026" i="2"/>
  <c r="K1026" i="2"/>
  <c r="L1026" i="2"/>
  <c r="M1026" i="2"/>
  <c r="N1026" i="2"/>
  <c r="O1026" i="2"/>
  <c r="I1027" i="2"/>
  <c r="J1027" i="2"/>
  <c r="K1027" i="2"/>
  <c r="L1027" i="2"/>
  <c r="M1027" i="2"/>
  <c r="N1027" i="2"/>
  <c r="O1027" i="2"/>
  <c r="I1028" i="2"/>
  <c r="J1028" i="2"/>
  <c r="K1028" i="2"/>
  <c r="L1028" i="2"/>
  <c r="M1028" i="2"/>
  <c r="N1028" i="2"/>
  <c r="O1028" i="2"/>
  <c r="I1029" i="2"/>
  <c r="J1029" i="2"/>
  <c r="K1029" i="2"/>
  <c r="L1029" i="2"/>
  <c r="M1029" i="2"/>
  <c r="N1029" i="2"/>
  <c r="O1029" i="2"/>
  <c r="I1030" i="2"/>
  <c r="J1030" i="2"/>
  <c r="K1030" i="2"/>
  <c r="L1030" i="2"/>
  <c r="M1030" i="2"/>
  <c r="N1030" i="2"/>
  <c r="O1030" i="2"/>
  <c r="I1031" i="2"/>
  <c r="J1031" i="2"/>
  <c r="K1031" i="2"/>
  <c r="L1031" i="2"/>
  <c r="M1031" i="2"/>
  <c r="N1031" i="2"/>
  <c r="O1031" i="2"/>
  <c r="I1032" i="2"/>
  <c r="J1032" i="2"/>
  <c r="K1032" i="2"/>
  <c r="L1032" i="2"/>
  <c r="M1032" i="2"/>
  <c r="N1032" i="2"/>
  <c r="O1032" i="2"/>
  <c r="I1033" i="2"/>
  <c r="J1033" i="2"/>
  <c r="K1033" i="2"/>
  <c r="L1033" i="2"/>
  <c r="M1033" i="2"/>
  <c r="N1033" i="2"/>
  <c r="O1033" i="2"/>
  <c r="I1034" i="2"/>
  <c r="J1034" i="2"/>
  <c r="K1034" i="2"/>
  <c r="L1034" i="2"/>
  <c r="M1034" i="2"/>
  <c r="N1034" i="2"/>
  <c r="O1034" i="2"/>
  <c r="I1035" i="2"/>
  <c r="J1035" i="2"/>
  <c r="K1035" i="2"/>
  <c r="L1035" i="2"/>
  <c r="M1035" i="2"/>
  <c r="N1035" i="2"/>
  <c r="O1035" i="2"/>
  <c r="I1036" i="2"/>
  <c r="J1036" i="2"/>
  <c r="K1036" i="2"/>
  <c r="L1036" i="2"/>
  <c r="M1036" i="2"/>
  <c r="N1036" i="2"/>
  <c r="O1036" i="2"/>
  <c r="I1037" i="2"/>
  <c r="J1037" i="2"/>
  <c r="K1037" i="2"/>
  <c r="L1037" i="2"/>
  <c r="M1037" i="2"/>
  <c r="N1037" i="2"/>
  <c r="O1037" i="2"/>
  <c r="I1038" i="2"/>
  <c r="J1038" i="2"/>
  <c r="K1038" i="2"/>
  <c r="L1038" i="2"/>
  <c r="M1038" i="2"/>
  <c r="N1038" i="2"/>
  <c r="O1038" i="2"/>
  <c r="I1039" i="2"/>
  <c r="J1039" i="2"/>
  <c r="K1039" i="2"/>
  <c r="L1039" i="2"/>
  <c r="M1039" i="2"/>
  <c r="N1039" i="2"/>
  <c r="O1039" i="2"/>
  <c r="I1040" i="2"/>
  <c r="J1040" i="2"/>
  <c r="K1040" i="2"/>
  <c r="L1040" i="2"/>
  <c r="M1040" i="2"/>
  <c r="N1040" i="2"/>
  <c r="O1040" i="2"/>
  <c r="I1041" i="2"/>
  <c r="J1041" i="2"/>
  <c r="K1041" i="2"/>
  <c r="L1041" i="2"/>
  <c r="M1041" i="2"/>
  <c r="N1041" i="2"/>
  <c r="O1041" i="2"/>
  <c r="I1042" i="2"/>
  <c r="J1042" i="2"/>
  <c r="K1042" i="2"/>
  <c r="L1042" i="2"/>
  <c r="M1042" i="2"/>
  <c r="N1042" i="2"/>
  <c r="O1042" i="2"/>
  <c r="I1043" i="2"/>
  <c r="J1043" i="2"/>
  <c r="K1043" i="2"/>
  <c r="L1043" i="2"/>
  <c r="M1043" i="2"/>
  <c r="N1043" i="2"/>
  <c r="O1043" i="2"/>
  <c r="I1044" i="2"/>
  <c r="J1044" i="2"/>
  <c r="K1044" i="2"/>
  <c r="L1044" i="2"/>
  <c r="M1044" i="2"/>
  <c r="N1044" i="2"/>
  <c r="O1044" i="2"/>
  <c r="I1045" i="2"/>
  <c r="J1045" i="2"/>
  <c r="K1045" i="2"/>
  <c r="L1045" i="2"/>
  <c r="M1045" i="2"/>
  <c r="N1045" i="2"/>
  <c r="O1045" i="2"/>
  <c r="I1046" i="2"/>
  <c r="J1046" i="2"/>
  <c r="K1046" i="2"/>
  <c r="L1046" i="2"/>
  <c r="M1046" i="2"/>
  <c r="N1046" i="2"/>
  <c r="O1046" i="2"/>
  <c r="I1047" i="2"/>
  <c r="J1047" i="2"/>
  <c r="K1047" i="2"/>
  <c r="L1047" i="2"/>
  <c r="M1047" i="2"/>
  <c r="N1047" i="2"/>
  <c r="O1047" i="2"/>
  <c r="I1048" i="2"/>
  <c r="J1048" i="2"/>
  <c r="K1048" i="2"/>
  <c r="L1048" i="2"/>
  <c r="M1048" i="2"/>
  <c r="N1048" i="2"/>
  <c r="O1048" i="2"/>
  <c r="I1049" i="2"/>
  <c r="J1049" i="2"/>
  <c r="K1049" i="2"/>
  <c r="L1049" i="2"/>
  <c r="M1049" i="2"/>
  <c r="N1049" i="2"/>
  <c r="O1049" i="2"/>
  <c r="I1050" i="2"/>
  <c r="J1050" i="2"/>
  <c r="K1050" i="2"/>
  <c r="L1050" i="2"/>
  <c r="M1050" i="2"/>
  <c r="N1050" i="2"/>
  <c r="O1050" i="2"/>
  <c r="I1051" i="2"/>
  <c r="J1051" i="2"/>
  <c r="K1051" i="2"/>
  <c r="L1051" i="2"/>
  <c r="M1051" i="2"/>
  <c r="N1051" i="2"/>
  <c r="O1051" i="2"/>
  <c r="I1052" i="2"/>
  <c r="J1052" i="2"/>
  <c r="K1052" i="2"/>
  <c r="L1052" i="2"/>
  <c r="M1052" i="2"/>
  <c r="N1052" i="2"/>
  <c r="O1052" i="2"/>
  <c r="I1053" i="2"/>
  <c r="J1053" i="2"/>
  <c r="K1053" i="2"/>
  <c r="L1053" i="2"/>
  <c r="M1053" i="2"/>
  <c r="N1053" i="2"/>
  <c r="O1053" i="2"/>
  <c r="I1054" i="2"/>
  <c r="J1054" i="2"/>
  <c r="K1054" i="2"/>
  <c r="L1054" i="2"/>
  <c r="M1054" i="2"/>
  <c r="N1054" i="2"/>
  <c r="O1054" i="2"/>
  <c r="I1055" i="2"/>
  <c r="J1055" i="2"/>
  <c r="K1055" i="2"/>
  <c r="L1055" i="2"/>
  <c r="M1055" i="2"/>
  <c r="N1055" i="2"/>
  <c r="O1055" i="2"/>
  <c r="I1056" i="2"/>
  <c r="J1056" i="2"/>
  <c r="K1056" i="2"/>
  <c r="L1056" i="2"/>
  <c r="M1056" i="2"/>
  <c r="N1056" i="2"/>
  <c r="O1056" i="2"/>
  <c r="I1057" i="2"/>
  <c r="J1057" i="2"/>
  <c r="K1057" i="2"/>
  <c r="L1057" i="2"/>
  <c r="M1057" i="2"/>
  <c r="N1057" i="2"/>
  <c r="O1057" i="2"/>
  <c r="I1058" i="2"/>
  <c r="J1058" i="2"/>
  <c r="K1058" i="2"/>
  <c r="L1058" i="2"/>
  <c r="M1058" i="2"/>
  <c r="N1058" i="2"/>
  <c r="O1058" i="2"/>
  <c r="I1059" i="2"/>
  <c r="J1059" i="2"/>
  <c r="K1059" i="2"/>
  <c r="L1059" i="2"/>
  <c r="M1059" i="2"/>
  <c r="N1059" i="2"/>
  <c r="O1059" i="2"/>
  <c r="I1060" i="2"/>
  <c r="J1060" i="2"/>
  <c r="K1060" i="2"/>
  <c r="L1060" i="2"/>
  <c r="M1060" i="2"/>
  <c r="N1060" i="2"/>
  <c r="O1060" i="2"/>
  <c r="I1061" i="2"/>
  <c r="J1061" i="2"/>
  <c r="K1061" i="2"/>
  <c r="L1061" i="2"/>
  <c r="M1061" i="2"/>
  <c r="N1061" i="2"/>
  <c r="O1061" i="2"/>
  <c r="I1062" i="2"/>
  <c r="J1062" i="2"/>
  <c r="K1062" i="2"/>
  <c r="L1062" i="2"/>
  <c r="M1062" i="2"/>
  <c r="N1062" i="2"/>
  <c r="O1062" i="2"/>
  <c r="I1063" i="2"/>
  <c r="J1063" i="2"/>
  <c r="K1063" i="2"/>
  <c r="L1063" i="2"/>
  <c r="M1063" i="2"/>
  <c r="N1063" i="2"/>
  <c r="O1063" i="2"/>
  <c r="I1064" i="2"/>
  <c r="J1064" i="2"/>
  <c r="K1064" i="2"/>
  <c r="L1064" i="2"/>
  <c r="M1064" i="2"/>
  <c r="N1064" i="2"/>
  <c r="O1064" i="2"/>
  <c r="I1065" i="2"/>
  <c r="J1065" i="2"/>
  <c r="K1065" i="2"/>
  <c r="L1065" i="2"/>
  <c r="M1065" i="2"/>
  <c r="N1065" i="2"/>
  <c r="O1065" i="2"/>
  <c r="I1066" i="2"/>
  <c r="J1066" i="2"/>
  <c r="K1066" i="2"/>
  <c r="L1066" i="2"/>
  <c r="M1066" i="2"/>
  <c r="N1066" i="2"/>
  <c r="O1066" i="2"/>
  <c r="I1067" i="2"/>
  <c r="J1067" i="2"/>
  <c r="K1067" i="2"/>
  <c r="L1067" i="2"/>
  <c r="M1067" i="2"/>
  <c r="N1067" i="2"/>
  <c r="O1067" i="2"/>
  <c r="I1068" i="2"/>
  <c r="J1068" i="2"/>
  <c r="K1068" i="2"/>
  <c r="L1068" i="2"/>
  <c r="M1068" i="2"/>
  <c r="N1068" i="2"/>
  <c r="O1068" i="2"/>
  <c r="I1069" i="2"/>
  <c r="J1069" i="2"/>
  <c r="K1069" i="2"/>
  <c r="L1069" i="2"/>
  <c r="M1069" i="2"/>
  <c r="N1069" i="2"/>
  <c r="O1069" i="2"/>
  <c r="I1070" i="2"/>
  <c r="J1070" i="2"/>
  <c r="K1070" i="2"/>
  <c r="L1070" i="2"/>
  <c r="M1070" i="2"/>
  <c r="N1070" i="2"/>
  <c r="O1070" i="2"/>
  <c r="I1071" i="2"/>
  <c r="J1071" i="2"/>
  <c r="K1071" i="2"/>
  <c r="L1071" i="2"/>
  <c r="M1071" i="2"/>
  <c r="N1071" i="2"/>
  <c r="O1071" i="2"/>
  <c r="I1072" i="2"/>
  <c r="J1072" i="2"/>
  <c r="K1072" i="2"/>
  <c r="L1072" i="2"/>
  <c r="M1072" i="2"/>
  <c r="N1072" i="2"/>
  <c r="O1072" i="2"/>
  <c r="I1073" i="2"/>
  <c r="J1073" i="2"/>
  <c r="K1073" i="2"/>
  <c r="L1073" i="2"/>
  <c r="M1073" i="2"/>
  <c r="N1073" i="2"/>
  <c r="O1073" i="2"/>
  <c r="I1074" i="2"/>
  <c r="J1074" i="2"/>
  <c r="K1074" i="2"/>
  <c r="L1074" i="2"/>
  <c r="M1074" i="2"/>
  <c r="N1074" i="2"/>
  <c r="O1074" i="2"/>
  <c r="I1075" i="2"/>
  <c r="J1075" i="2"/>
  <c r="K1075" i="2"/>
  <c r="L1075" i="2"/>
  <c r="M1075" i="2"/>
  <c r="N1075" i="2"/>
  <c r="O1075" i="2"/>
  <c r="I1076" i="2"/>
  <c r="J1076" i="2"/>
  <c r="K1076" i="2"/>
  <c r="L1076" i="2"/>
  <c r="M1076" i="2"/>
  <c r="N1076" i="2"/>
  <c r="O1076" i="2"/>
  <c r="I1077" i="2"/>
  <c r="J1077" i="2"/>
  <c r="K1077" i="2"/>
  <c r="L1077" i="2"/>
  <c r="M1077" i="2"/>
  <c r="N1077" i="2"/>
  <c r="O1077" i="2"/>
  <c r="I1078" i="2"/>
  <c r="J1078" i="2"/>
  <c r="K1078" i="2"/>
  <c r="L1078" i="2"/>
  <c r="M1078" i="2"/>
  <c r="N1078" i="2"/>
  <c r="O1078" i="2"/>
  <c r="I1079" i="2"/>
  <c r="J1079" i="2"/>
  <c r="K1079" i="2"/>
  <c r="L1079" i="2"/>
  <c r="M1079" i="2"/>
  <c r="N1079" i="2"/>
  <c r="O1079" i="2"/>
  <c r="I1080" i="2"/>
  <c r="J1080" i="2"/>
  <c r="K1080" i="2"/>
  <c r="L1080" i="2"/>
  <c r="M1080" i="2"/>
  <c r="N1080" i="2"/>
  <c r="O1080" i="2"/>
  <c r="I1081" i="2"/>
  <c r="J1081" i="2"/>
  <c r="K1081" i="2"/>
  <c r="L1081" i="2"/>
  <c r="M1081" i="2"/>
  <c r="N1081" i="2"/>
  <c r="O1081" i="2"/>
  <c r="I1082" i="2"/>
  <c r="J1082" i="2"/>
  <c r="K1082" i="2"/>
  <c r="L1082" i="2"/>
  <c r="M1082" i="2"/>
  <c r="N1082" i="2"/>
  <c r="O1082" i="2"/>
  <c r="I1083" i="2"/>
  <c r="J1083" i="2"/>
  <c r="K1083" i="2"/>
  <c r="L1083" i="2"/>
  <c r="M1083" i="2"/>
  <c r="N1083" i="2"/>
  <c r="O1083" i="2"/>
  <c r="I1084" i="2"/>
  <c r="J1084" i="2"/>
  <c r="K1084" i="2"/>
  <c r="L1084" i="2"/>
  <c r="M1084" i="2"/>
  <c r="N1084" i="2"/>
  <c r="O1084" i="2"/>
  <c r="I1085" i="2"/>
  <c r="J1085" i="2"/>
  <c r="K1085" i="2"/>
  <c r="L1085" i="2"/>
  <c r="M1085" i="2"/>
  <c r="N1085" i="2"/>
  <c r="O1085" i="2"/>
  <c r="I1086" i="2"/>
  <c r="J1086" i="2"/>
  <c r="K1086" i="2"/>
  <c r="L1086" i="2"/>
  <c r="M1086" i="2"/>
  <c r="N1086" i="2"/>
  <c r="O1086" i="2"/>
  <c r="I1087" i="2"/>
  <c r="J1087" i="2"/>
  <c r="K1087" i="2"/>
  <c r="L1087" i="2"/>
  <c r="M1087" i="2"/>
  <c r="N1087" i="2"/>
  <c r="O1087" i="2"/>
  <c r="I1088" i="2"/>
  <c r="J1088" i="2"/>
  <c r="K1088" i="2"/>
  <c r="L1088" i="2"/>
  <c r="M1088" i="2"/>
  <c r="N1088" i="2"/>
  <c r="O1088" i="2"/>
  <c r="I1089" i="2"/>
  <c r="J1089" i="2"/>
  <c r="K1089" i="2"/>
  <c r="L1089" i="2"/>
  <c r="M1089" i="2"/>
  <c r="N1089" i="2"/>
  <c r="O1089" i="2"/>
  <c r="I1090" i="2"/>
  <c r="J1090" i="2"/>
  <c r="K1090" i="2"/>
  <c r="L1090" i="2"/>
  <c r="M1090" i="2"/>
  <c r="N1090" i="2"/>
  <c r="O1090" i="2"/>
  <c r="I1091" i="2"/>
  <c r="J1091" i="2"/>
  <c r="K1091" i="2"/>
  <c r="L1091" i="2"/>
  <c r="M1091" i="2"/>
  <c r="N1091" i="2"/>
  <c r="O1091" i="2"/>
  <c r="I1092" i="2"/>
  <c r="J1092" i="2"/>
  <c r="K1092" i="2"/>
  <c r="L1092" i="2"/>
  <c r="M1092" i="2"/>
  <c r="N1092" i="2"/>
  <c r="O1092" i="2"/>
  <c r="I1093" i="2"/>
  <c r="J1093" i="2"/>
  <c r="K1093" i="2"/>
  <c r="L1093" i="2"/>
  <c r="M1093" i="2"/>
  <c r="N1093" i="2"/>
  <c r="O1093" i="2"/>
  <c r="I1094" i="2"/>
  <c r="J1094" i="2"/>
  <c r="K1094" i="2"/>
  <c r="L1094" i="2"/>
  <c r="M1094" i="2"/>
  <c r="N1094" i="2"/>
  <c r="O1094" i="2"/>
  <c r="I1095" i="2"/>
  <c r="J1095" i="2"/>
  <c r="K1095" i="2"/>
  <c r="L1095" i="2"/>
  <c r="M1095" i="2"/>
  <c r="N1095" i="2"/>
  <c r="O1095" i="2"/>
  <c r="I1096" i="2"/>
  <c r="J1096" i="2"/>
  <c r="K1096" i="2"/>
  <c r="L1096" i="2"/>
  <c r="M1096" i="2"/>
  <c r="N1096" i="2"/>
  <c r="O1096" i="2"/>
  <c r="I1097" i="2"/>
  <c r="J1097" i="2"/>
  <c r="K1097" i="2"/>
  <c r="L1097" i="2"/>
  <c r="M1097" i="2"/>
  <c r="N1097" i="2"/>
  <c r="O1097" i="2"/>
  <c r="I1098" i="2"/>
  <c r="J1098" i="2"/>
  <c r="K1098" i="2"/>
  <c r="L1098" i="2"/>
  <c r="M1098" i="2"/>
  <c r="N1098" i="2"/>
  <c r="O1098" i="2"/>
  <c r="I1099" i="2"/>
  <c r="J1099" i="2"/>
  <c r="K1099" i="2"/>
  <c r="L1099" i="2"/>
  <c r="M1099" i="2"/>
  <c r="N1099" i="2"/>
  <c r="O1099" i="2"/>
  <c r="I1100" i="2"/>
  <c r="J1100" i="2"/>
  <c r="K1100" i="2"/>
  <c r="L1100" i="2"/>
  <c r="M1100" i="2"/>
  <c r="N1100" i="2"/>
  <c r="O1100" i="2"/>
  <c r="I1101" i="2"/>
  <c r="J1101" i="2"/>
  <c r="K1101" i="2"/>
  <c r="L1101" i="2"/>
  <c r="M1101" i="2"/>
  <c r="N1101" i="2"/>
  <c r="O1101" i="2"/>
  <c r="I1102" i="2"/>
  <c r="J1102" i="2"/>
  <c r="K1102" i="2"/>
  <c r="L1102" i="2"/>
  <c r="M1102" i="2"/>
  <c r="N1102" i="2"/>
  <c r="O1102" i="2"/>
  <c r="I1103" i="2"/>
  <c r="J1103" i="2"/>
  <c r="K1103" i="2"/>
  <c r="L1103" i="2"/>
  <c r="M1103" i="2"/>
  <c r="N1103" i="2"/>
  <c r="O1103" i="2"/>
  <c r="I1104" i="2"/>
  <c r="J1104" i="2"/>
  <c r="K1104" i="2"/>
  <c r="L1104" i="2"/>
  <c r="M1104" i="2"/>
  <c r="N1104" i="2"/>
  <c r="O1104" i="2"/>
  <c r="I1105" i="2"/>
  <c r="J1105" i="2"/>
  <c r="K1105" i="2"/>
  <c r="L1105" i="2"/>
  <c r="M1105" i="2"/>
  <c r="N1105" i="2"/>
  <c r="O1105" i="2"/>
  <c r="I1106" i="2"/>
  <c r="J1106" i="2"/>
  <c r="K1106" i="2"/>
  <c r="L1106" i="2"/>
  <c r="M1106" i="2"/>
  <c r="N1106" i="2"/>
  <c r="O1106" i="2"/>
  <c r="I1107" i="2"/>
  <c r="J1107" i="2"/>
  <c r="K1107" i="2"/>
  <c r="L1107" i="2"/>
  <c r="M1107" i="2"/>
  <c r="N1107" i="2"/>
  <c r="O1107" i="2"/>
  <c r="I1108" i="2"/>
  <c r="J1108" i="2"/>
  <c r="K1108" i="2"/>
  <c r="L1108" i="2"/>
  <c r="M1108" i="2"/>
  <c r="N1108" i="2"/>
  <c r="O1108" i="2"/>
  <c r="I1109" i="2"/>
  <c r="J1109" i="2"/>
  <c r="K1109" i="2"/>
  <c r="L1109" i="2"/>
  <c r="M1109" i="2"/>
  <c r="N1109" i="2"/>
  <c r="O1109" i="2"/>
  <c r="I1110" i="2"/>
  <c r="J1110" i="2"/>
  <c r="K1110" i="2"/>
  <c r="L1110" i="2"/>
  <c r="M1110" i="2"/>
  <c r="N1110" i="2"/>
  <c r="O1110" i="2"/>
  <c r="I1111" i="2"/>
  <c r="J1111" i="2"/>
  <c r="K1111" i="2"/>
  <c r="L1111" i="2"/>
  <c r="M1111" i="2"/>
  <c r="N1111" i="2"/>
  <c r="O1111" i="2"/>
  <c r="I1112" i="2"/>
  <c r="J1112" i="2"/>
  <c r="K1112" i="2"/>
  <c r="L1112" i="2"/>
  <c r="M1112" i="2"/>
  <c r="N1112" i="2"/>
  <c r="O1112" i="2"/>
  <c r="I1113" i="2"/>
  <c r="J1113" i="2"/>
  <c r="K1113" i="2"/>
  <c r="L1113" i="2"/>
  <c r="M1113" i="2"/>
  <c r="N1113" i="2"/>
  <c r="O1113" i="2"/>
  <c r="I1114" i="2"/>
  <c r="J1114" i="2"/>
  <c r="K1114" i="2"/>
  <c r="L1114" i="2"/>
  <c r="M1114" i="2"/>
  <c r="N1114" i="2"/>
  <c r="O1114" i="2"/>
  <c r="I1115" i="2"/>
  <c r="J1115" i="2"/>
  <c r="K1115" i="2"/>
  <c r="L1115" i="2"/>
  <c r="M1115" i="2"/>
  <c r="N1115" i="2"/>
  <c r="O1115" i="2"/>
  <c r="I1116" i="2"/>
  <c r="J1116" i="2"/>
  <c r="K1116" i="2"/>
  <c r="L1116" i="2"/>
  <c r="M1116" i="2"/>
  <c r="N1116" i="2"/>
  <c r="O1116" i="2"/>
  <c r="I1117" i="2"/>
  <c r="J1117" i="2"/>
  <c r="K1117" i="2"/>
  <c r="L1117" i="2"/>
  <c r="M1117" i="2"/>
  <c r="N1117" i="2"/>
  <c r="O1117" i="2"/>
  <c r="I1118" i="2"/>
  <c r="J1118" i="2"/>
  <c r="K1118" i="2"/>
  <c r="L1118" i="2"/>
  <c r="M1118" i="2"/>
  <c r="N1118" i="2"/>
  <c r="O1118" i="2"/>
  <c r="I1119" i="2"/>
  <c r="J1119" i="2"/>
  <c r="K1119" i="2"/>
  <c r="L1119" i="2"/>
  <c r="M1119" i="2"/>
  <c r="N1119" i="2"/>
  <c r="O1119" i="2"/>
  <c r="I1120" i="2"/>
  <c r="J1120" i="2"/>
  <c r="K1120" i="2"/>
  <c r="L1120" i="2"/>
  <c r="M1120" i="2"/>
  <c r="N1120" i="2"/>
  <c r="O1120" i="2"/>
  <c r="I1121" i="2"/>
  <c r="J1121" i="2"/>
  <c r="K1121" i="2"/>
  <c r="L1121" i="2"/>
  <c r="M1121" i="2"/>
  <c r="N1121" i="2"/>
  <c r="O1121" i="2"/>
  <c r="I1122" i="2"/>
  <c r="J1122" i="2"/>
  <c r="K1122" i="2"/>
  <c r="L1122" i="2"/>
  <c r="M1122" i="2"/>
  <c r="N1122" i="2"/>
  <c r="O1122" i="2"/>
  <c r="I1123" i="2"/>
  <c r="J1123" i="2"/>
  <c r="K1123" i="2"/>
  <c r="L1123" i="2"/>
  <c r="M1123" i="2"/>
  <c r="N1123" i="2"/>
  <c r="O1123" i="2"/>
  <c r="I1124" i="2"/>
  <c r="J1124" i="2"/>
  <c r="K1124" i="2"/>
  <c r="L1124" i="2"/>
  <c r="M1124" i="2"/>
  <c r="N1124" i="2"/>
  <c r="O1124" i="2"/>
  <c r="I1125" i="2"/>
  <c r="J1125" i="2"/>
  <c r="K1125" i="2"/>
  <c r="L1125" i="2"/>
  <c r="M1125" i="2"/>
  <c r="N1125" i="2"/>
  <c r="O1125" i="2"/>
  <c r="I1126" i="2"/>
  <c r="J1126" i="2"/>
  <c r="K1126" i="2"/>
  <c r="L1126" i="2"/>
  <c r="M1126" i="2"/>
  <c r="N1126" i="2"/>
  <c r="O1126" i="2"/>
  <c r="I1127" i="2"/>
  <c r="J1127" i="2"/>
  <c r="K1127" i="2"/>
  <c r="L1127" i="2"/>
  <c r="M1127" i="2"/>
  <c r="N1127" i="2"/>
  <c r="O1127" i="2"/>
  <c r="I1128" i="2"/>
  <c r="J1128" i="2"/>
  <c r="K1128" i="2"/>
  <c r="L1128" i="2"/>
  <c r="M1128" i="2"/>
  <c r="N1128" i="2"/>
  <c r="O1128" i="2"/>
  <c r="I1129" i="2"/>
  <c r="J1129" i="2"/>
  <c r="K1129" i="2"/>
  <c r="L1129" i="2"/>
  <c r="M1129" i="2"/>
  <c r="N1129" i="2"/>
  <c r="O1129" i="2"/>
  <c r="I1130" i="2"/>
  <c r="J1130" i="2"/>
  <c r="K1130" i="2"/>
  <c r="L1130" i="2"/>
  <c r="M1130" i="2"/>
  <c r="N1130" i="2"/>
  <c r="O1130" i="2"/>
  <c r="I1131" i="2"/>
  <c r="J1131" i="2"/>
  <c r="K1131" i="2"/>
  <c r="L1131" i="2"/>
  <c r="M1131" i="2"/>
  <c r="N1131" i="2"/>
  <c r="O1131" i="2"/>
  <c r="I1132" i="2"/>
  <c r="J1132" i="2"/>
  <c r="K1132" i="2"/>
  <c r="L1132" i="2"/>
  <c r="M1132" i="2"/>
  <c r="N1132" i="2"/>
  <c r="O1132" i="2"/>
  <c r="I1133" i="2"/>
  <c r="J1133" i="2"/>
  <c r="K1133" i="2"/>
  <c r="L1133" i="2"/>
  <c r="M1133" i="2"/>
  <c r="N1133" i="2"/>
  <c r="O1133" i="2"/>
  <c r="I1134" i="2"/>
  <c r="J1134" i="2"/>
  <c r="K1134" i="2"/>
  <c r="L1134" i="2"/>
  <c r="M1134" i="2"/>
  <c r="N1134" i="2"/>
  <c r="O1134" i="2"/>
  <c r="I1135" i="2"/>
  <c r="J1135" i="2"/>
  <c r="K1135" i="2"/>
  <c r="L1135" i="2"/>
  <c r="M1135" i="2"/>
  <c r="N1135" i="2"/>
  <c r="O1135" i="2"/>
  <c r="I1136" i="2"/>
  <c r="J1136" i="2"/>
  <c r="K1136" i="2"/>
  <c r="L1136" i="2"/>
  <c r="M1136" i="2"/>
  <c r="N1136" i="2"/>
  <c r="O1136" i="2"/>
  <c r="I1137" i="2"/>
  <c r="J1137" i="2"/>
  <c r="K1137" i="2"/>
  <c r="L1137" i="2"/>
  <c r="M1137" i="2"/>
  <c r="N1137" i="2"/>
  <c r="O1137" i="2"/>
  <c r="I1138" i="2"/>
  <c r="J1138" i="2"/>
  <c r="K1138" i="2"/>
  <c r="L1138" i="2"/>
  <c r="M1138" i="2"/>
  <c r="N1138" i="2"/>
  <c r="O1138" i="2"/>
  <c r="I1139" i="2"/>
  <c r="J1139" i="2"/>
  <c r="K1139" i="2"/>
  <c r="L1139" i="2"/>
  <c r="M1139" i="2"/>
  <c r="N1139" i="2"/>
  <c r="O1139" i="2"/>
  <c r="I1140" i="2"/>
  <c r="J1140" i="2"/>
  <c r="K1140" i="2"/>
  <c r="L1140" i="2"/>
  <c r="M1140" i="2"/>
  <c r="N1140" i="2"/>
  <c r="O1140" i="2"/>
  <c r="I1141" i="2"/>
  <c r="J1141" i="2"/>
  <c r="K1141" i="2"/>
  <c r="L1141" i="2"/>
  <c r="M1141" i="2"/>
  <c r="N1141" i="2"/>
  <c r="O1141" i="2"/>
  <c r="I1142" i="2"/>
  <c r="J1142" i="2"/>
  <c r="K1142" i="2"/>
  <c r="L1142" i="2"/>
  <c r="M1142" i="2"/>
  <c r="N1142" i="2"/>
  <c r="O1142" i="2"/>
  <c r="I1143" i="2"/>
  <c r="J1143" i="2"/>
  <c r="K1143" i="2"/>
  <c r="L1143" i="2"/>
  <c r="M1143" i="2"/>
  <c r="N1143" i="2"/>
  <c r="O1143" i="2"/>
  <c r="I1144" i="2"/>
  <c r="J1144" i="2"/>
  <c r="K1144" i="2"/>
  <c r="L1144" i="2"/>
  <c r="M1144" i="2"/>
  <c r="N1144" i="2"/>
  <c r="O1144" i="2"/>
  <c r="I1145" i="2"/>
  <c r="J1145" i="2"/>
  <c r="K1145" i="2"/>
  <c r="L1145" i="2"/>
  <c r="M1145" i="2"/>
  <c r="N1145" i="2"/>
  <c r="O1145" i="2"/>
  <c r="I1146" i="2"/>
  <c r="J1146" i="2"/>
  <c r="K1146" i="2"/>
  <c r="L1146" i="2"/>
  <c r="M1146" i="2"/>
  <c r="N1146" i="2"/>
  <c r="O1146" i="2"/>
  <c r="I1147" i="2"/>
  <c r="J1147" i="2"/>
  <c r="K1147" i="2"/>
  <c r="L1147" i="2"/>
  <c r="M1147" i="2"/>
  <c r="N1147" i="2"/>
  <c r="O1147" i="2"/>
  <c r="I1148" i="2"/>
  <c r="J1148" i="2"/>
  <c r="K1148" i="2"/>
  <c r="L1148" i="2"/>
  <c r="M1148" i="2"/>
  <c r="N1148" i="2"/>
  <c r="O1148" i="2"/>
  <c r="I1149" i="2"/>
  <c r="J1149" i="2"/>
  <c r="K1149" i="2"/>
  <c r="L1149" i="2"/>
  <c r="M1149" i="2"/>
  <c r="N1149" i="2"/>
  <c r="O1149" i="2"/>
  <c r="I1150" i="2"/>
  <c r="J1150" i="2"/>
  <c r="K1150" i="2"/>
  <c r="L1150" i="2"/>
  <c r="M1150" i="2"/>
  <c r="N1150" i="2"/>
  <c r="O1150" i="2"/>
  <c r="I1151" i="2"/>
  <c r="J1151" i="2"/>
  <c r="K1151" i="2"/>
  <c r="L1151" i="2"/>
  <c r="M1151" i="2"/>
  <c r="N1151" i="2"/>
  <c r="O1151" i="2"/>
  <c r="I1152" i="2"/>
  <c r="J1152" i="2"/>
  <c r="K1152" i="2"/>
  <c r="L1152" i="2"/>
  <c r="M1152" i="2"/>
  <c r="N1152" i="2"/>
  <c r="O1152" i="2"/>
  <c r="I1153" i="2"/>
  <c r="J1153" i="2"/>
  <c r="K1153" i="2"/>
  <c r="L1153" i="2"/>
  <c r="M1153" i="2"/>
  <c r="N1153" i="2"/>
  <c r="O1153" i="2"/>
  <c r="I1154" i="2"/>
  <c r="J1154" i="2"/>
  <c r="K1154" i="2"/>
  <c r="L1154" i="2"/>
  <c r="M1154" i="2"/>
  <c r="N1154" i="2"/>
  <c r="O1154" i="2"/>
  <c r="I1155" i="2"/>
  <c r="J1155" i="2"/>
  <c r="K1155" i="2"/>
  <c r="L1155" i="2"/>
  <c r="M1155" i="2"/>
  <c r="N1155" i="2"/>
  <c r="O1155" i="2"/>
  <c r="I1156" i="2"/>
  <c r="J1156" i="2"/>
  <c r="K1156" i="2"/>
  <c r="L1156" i="2"/>
  <c r="M1156" i="2"/>
  <c r="N1156" i="2"/>
  <c r="O1156" i="2"/>
  <c r="I1157" i="2"/>
  <c r="J1157" i="2"/>
  <c r="K1157" i="2"/>
  <c r="L1157" i="2"/>
  <c r="M1157" i="2"/>
  <c r="N1157" i="2"/>
  <c r="O1157" i="2"/>
  <c r="I1158" i="2"/>
  <c r="J1158" i="2"/>
  <c r="K1158" i="2"/>
  <c r="L1158" i="2"/>
  <c r="M1158" i="2"/>
  <c r="N1158" i="2"/>
  <c r="O1158" i="2"/>
  <c r="I1159" i="2"/>
  <c r="J1159" i="2"/>
  <c r="K1159" i="2"/>
  <c r="L1159" i="2"/>
  <c r="M1159" i="2"/>
  <c r="N1159" i="2"/>
  <c r="O1159" i="2"/>
  <c r="I1160" i="2"/>
  <c r="J1160" i="2"/>
  <c r="K1160" i="2"/>
  <c r="L1160" i="2"/>
  <c r="M1160" i="2"/>
  <c r="N1160" i="2"/>
  <c r="O1160" i="2"/>
  <c r="I1161" i="2"/>
  <c r="J1161" i="2"/>
  <c r="K1161" i="2"/>
  <c r="L1161" i="2"/>
  <c r="M1161" i="2"/>
  <c r="N1161" i="2"/>
  <c r="O1161" i="2"/>
  <c r="I1162" i="2"/>
  <c r="J1162" i="2"/>
  <c r="K1162" i="2"/>
  <c r="L1162" i="2"/>
  <c r="M1162" i="2"/>
  <c r="N1162" i="2"/>
  <c r="O1162" i="2"/>
  <c r="I1163" i="2"/>
  <c r="J1163" i="2"/>
  <c r="K1163" i="2"/>
  <c r="L1163" i="2"/>
  <c r="M1163" i="2"/>
  <c r="N1163" i="2"/>
  <c r="O1163" i="2"/>
  <c r="I1164" i="2"/>
  <c r="J1164" i="2"/>
  <c r="K1164" i="2"/>
  <c r="L1164" i="2"/>
  <c r="M1164" i="2"/>
  <c r="N1164" i="2"/>
  <c r="O1164" i="2"/>
  <c r="I1165" i="2"/>
  <c r="J1165" i="2"/>
  <c r="K1165" i="2"/>
  <c r="L1165" i="2"/>
  <c r="M1165" i="2"/>
  <c r="N1165" i="2"/>
  <c r="O1165" i="2"/>
  <c r="I1166" i="2"/>
  <c r="J1166" i="2"/>
  <c r="K1166" i="2"/>
  <c r="L1166" i="2"/>
  <c r="M1166" i="2"/>
  <c r="N1166" i="2"/>
  <c r="O1166" i="2"/>
  <c r="I1167" i="2"/>
  <c r="J1167" i="2"/>
  <c r="K1167" i="2"/>
  <c r="L1167" i="2"/>
  <c r="M1167" i="2"/>
  <c r="N1167" i="2"/>
  <c r="O1167" i="2"/>
  <c r="I1168" i="2"/>
  <c r="J1168" i="2"/>
  <c r="K1168" i="2"/>
  <c r="L1168" i="2"/>
  <c r="M1168" i="2"/>
  <c r="N1168" i="2"/>
  <c r="O1168" i="2"/>
  <c r="I1169" i="2"/>
  <c r="J1169" i="2"/>
  <c r="K1169" i="2"/>
  <c r="L1169" i="2"/>
  <c r="M1169" i="2"/>
  <c r="N1169" i="2"/>
  <c r="O1169" i="2"/>
  <c r="I1170" i="2"/>
  <c r="J1170" i="2"/>
  <c r="K1170" i="2"/>
  <c r="L1170" i="2"/>
  <c r="M1170" i="2"/>
  <c r="N1170" i="2"/>
  <c r="O1170" i="2"/>
  <c r="I1171" i="2"/>
  <c r="J1171" i="2"/>
  <c r="K1171" i="2"/>
  <c r="L1171" i="2"/>
  <c r="M1171" i="2"/>
  <c r="N1171" i="2"/>
  <c r="O1171" i="2"/>
  <c r="I1172" i="2"/>
  <c r="J1172" i="2"/>
  <c r="K1172" i="2"/>
  <c r="L1172" i="2"/>
  <c r="M1172" i="2"/>
  <c r="N1172" i="2"/>
  <c r="O1172" i="2"/>
  <c r="I1173" i="2"/>
  <c r="J1173" i="2"/>
  <c r="K1173" i="2"/>
  <c r="L1173" i="2"/>
  <c r="M1173" i="2"/>
  <c r="N1173" i="2"/>
  <c r="O1173" i="2"/>
  <c r="I1174" i="2"/>
  <c r="J1174" i="2"/>
  <c r="K1174" i="2"/>
  <c r="L1174" i="2"/>
  <c r="M1174" i="2"/>
  <c r="N1174" i="2"/>
  <c r="O1174" i="2"/>
  <c r="I1175" i="2"/>
  <c r="J1175" i="2"/>
  <c r="K1175" i="2"/>
  <c r="L1175" i="2"/>
  <c r="M1175" i="2"/>
  <c r="N1175" i="2"/>
  <c r="O1175" i="2"/>
  <c r="I1176" i="2"/>
  <c r="J1176" i="2"/>
  <c r="K1176" i="2"/>
  <c r="L1176" i="2"/>
  <c r="M1176" i="2"/>
  <c r="N1176" i="2"/>
  <c r="O1176" i="2"/>
  <c r="I1177" i="2"/>
  <c r="J1177" i="2"/>
  <c r="K1177" i="2"/>
  <c r="L1177" i="2"/>
  <c r="M1177" i="2"/>
  <c r="N1177" i="2"/>
  <c r="O1177" i="2"/>
  <c r="I1178" i="2"/>
  <c r="J1178" i="2"/>
  <c r="K1178" i="2"/>
  <c r="L1178" i="2"/>
  <c r="M1178" i="2"/>
  <c r="N1178" i="2"/>
  <c r="O1178" i="2"/>
  <c r="I1179" i="2"/>
  <c r="J1179" i="2"/>
  <c r="K1179" i="2"/>
  <c r="L1179" i="2"/>
  <c r="M1179" i="2"/>
  <c r="N1179" i="2"/>
  <c r="O1179" i="2"/>
  <c r="I1180" i="2"/>
  <c r="J1180" i="2"/>
  <c r="K1180" i="2"/>
  <c r="L1180" i="2"/>
  <c r="M1180" i="2"/>
  <c r="N1180" i="2"/>
  <c r="O1180" i="2"/>
  <c r="I1181" i="2"/>
  <c r="J1181" i="2"/>
  <c r="K1181" i="2"/>
  <c r="L1181" i="2"/>
  <c r="M1181" i="2"/>
  <c r="N1181" i="2"/>
  <c r="O1181" i="2"/>
  <c r="I1182" i="2"/>
  <c r="J1182" i="2"/>
  <c r="K1182" i="2"/>
  <c r="L1182" i="2"/>
  <c r="M1182" i="2"/>
  <c r="N1182" i="2"/>
  <c r="O1182" i="2"/>
  <c r="I1183" i="2"/>
  <c r="J1183" i="2"/>
  <c r="K1183" i="2"/>
  <c r="L1183" i="2"/>
  <c r="M1183" i="2"/>
  <c r="N1183" i="2"/>
  <c r="O1183" i="2"/>
  <c r="I1184" i="2"/>
  <c r="J1184" i="2"/>
  <c r="K1184" i="2"/>
  <c r="L1184" i="2"/>
  <c r="M1184" i="2"/>
  <c r="N1184" i="2"/>
  <c r="O1184" i="2"/>
  <c r="I1185" i="2"/>
  <c r="J1185" i="2"/>
  <c r="K1185" i="2"/>
  <c r="L1185" i="2"/>
  <c r="M1185" i="2"/>
  <c r="N1185" i="2"/>
  <c r="O1185" i="2"/>
  <c r="I1186" i="2"/>
  <c r="J1186" i="2"/>
  <c r="K1186" i="2"/>
  <c r="L1186" i="2"/>
  <c r="M1186" i="2"/>
  <c r="N1186" i="2"/>
  <c r="O1186" i="2"/>
  <c r="I1187" i="2"/>
  <c r="J1187" i="2"/>
  <c r="K1187" i="2"/>
  <c r="L1187" i="2"/>
  <c r="M1187" i="2"/>
  <c r="N1187" i="2"/>
  <c r="O1187" i="2"/>
  <c r="I1188" i="2"/>
  <c r="J1188" i="2"/>
  <c r="K1188" i="2"/>
  <c r="L1188" i="2"/>
  <c r="M1188" i="2"/>
  <c r="N1188" i="2"/>
  <c r="O1188" i="2"/>
  <c r="I1189" i="2"/>
  <c r="J1189" i="2"/>
  <c r="K1189" i="2"/>
  <c r="L1189" i="2"/>
  <c r="M1189" i="2"/>
  <c r="N1189" i="2"/>
  <c r="O1189" i="2"/>
  <c r="I1190" i="2"/>
  <c r="J1190" i="2"/>
  <c r="K1190" i="2"/>
  <c r="L1190" i="2"/>
  <c r="M1190" i="2"/>
  <c r="N1190" i="2"/>
  <c r="O1190" i="2"/>
  <c r="I1191" i="2"/>
  <c r="J1191" i="2"/>
  <c r="K1191" i="2"/>
  <c r="L1191" i="2"/>
  <c r="M1191" i="2"/>
  <c r="N1191" i="2"/>
  <c r="O1191" i="2"/>
  <c r="I1192" i="2"/>
  <c r="J1192" i="2"/>
  <c r="K1192" i="2"/>
  <c r="L1192" i="2"/>
  <c r="M1192" i="2"/>
  <c r="N1192" i="2"/>
  <c r="O1192" i="2"/>
  <c r="I1193" i="2"/>
  <c r="J1193" i="2"/>
  <c r="K1193" i="2"/>
  <c r="L1193" i="2"/>
  <c r="M1193" i="2"/>
  <c r="N1193" i="2"/>
  <c r="O1193" i="2"/>
  <c r="I1194" i="2"/>
  <c r="J1194" i="2"/>
  <c r="K1194" i="2"/>
  <c r="L1194" i="2"/>
  <c r="M1194" i="2"/>
  <c r="N1194" i="2"/>
  <c r="O1194" i="2"/>
  <c r="I1195" i="2"/>
  <c r="J1195" i="2"/>
  <c r="K1195" i="2"/>
  <c r="L1195" i="2"/>
  <c r="M1195" i="2"/>
  <c r="N1195" i="2"/>
  <c r="O1195" i="2"/>
  <c r="I1196" i="2"/>
  <c r="J1196" i="2"/>
  <c r="K1196" i="2"/>
  <c r="L1196" i="2"/>
  <c r="M1196" i="2"/>
  <c r="N1196" i="2"/>
  <c r="O1196" i="2"/>
  <c r="I1197" i="2"/>
  <c r="J1197" i="2"/>
  <c r="K1197" i="2"/>
  <c r="L1197" i="2"/>
  <c r="M1197" i="2"/>
  <c r="N1197" i="2"/>
  <c r="O1197" i="2"/>
  <c r="I1198" i="2"/>
  <c r="J1198" i="2"/>
  <c r="K1198" i="2"/>
  <c r="L1198" i="2"/>
  <c r="M1198" i="2"/>
  <c r="N1198" i="2"/>
  <c r="O1198" i="2"/>
  <c r="I1199" i="2"/>
  <c r="J1199" i="2"/>
  <c r="K1199" i="2"/>
  <c r="L1199" i="2"/>
  <c r="M1199" i="2"/>
  <c r="N1199" i="2"/>
  <c r="O1199" i="2"/>
  <c r="I1200" i="2"/>
  <c r="J1200" i="2"/>
  <c r="K1200" i="2"/>
  <c r="L1200" i="2"/>
  <c r="M1200" i="2"/>
  <c r="N1200" i="2"/>
  <c r="O1200" i="2"/>
  <c r="I1201" i="2"/>
  <c r="J1201" i="2"/>
  <c r="K1201" i="2"/>
  <c r="L1201" i="2"/>
  <c r="M1201" i="2"/>
  <c r="N1201" i="2"/>
  <c r="O1201" i="2"/>
  <c r="I1202" i="2"/>
  <c r="J1202" i="2"/>
  <c r="K1202" i="2"/>
  <c r="L1202" i="2"/>
  <c r="M1202" i="2"/>
  <c r="N1202" i="2"/>
  <c r="O1202" i="2"/>
  <c r="I1203" i="2"/>
  <c r="J1203" i="2"/>
  <c r="K1203" i="2"/>
  <c r="L1203" i="2"/>
  <c r="M1203" i="2"/>
  <c r="N1203" i="2"/>
  <c r="O1203" i="2"/>
  <c r="I1204" i="2"/>
  <c r="J1204" i="2"/>
  <c r="K1204" i="2"/>
  <c r="L1204" i="2"/>
  <c r="M1204" i="2"/>
  <c r="N1204" i="2"/>
  <c r="O1204" i="2"/>
  <c r="I1205" i="2"/>
  <c r="J1205" i="2"/>
  <c r="K1205" i="2"/>
  <c r="L1205" i="2"/>
  <c r="M1205" i="2"/>
  <c r="N1205" i="2"/>
  <c r="O1205" i="2"/>
  <c r="I1206" i="2"/>
  <c r="J1206" i="2"/>
  <c r="K1206" i="2"/>
  <c r="L1206" i="2"/>
  <c r="M1206" i="2"/>
  <c r="N1206" i="2"/>
  <c r="O1206" i="2"/>
  <c r="I1207" i="2"/>
  <c r="J1207" i="2"/>
  <c r="K1207" i="2"/>
  <c r="L1207" i="2"/>
  <c r="M1207" i="2"/>
  <c r="N1207" i="2"/>
  <c r="O1207" i="2"/>
  <c r="I1208" i="2"/>
  <c r="J1208" i="2"/>
  <c r="K1208" i="2"/>
  <c r="L1208" i="2"/>
  <c r="M1208" i="2"/>
  <c r="N1208" i="2"/>
  <c r="O1208" i="2"/>
  <c r="I1209" i="2"/>
  <c r="J1209" i="2"/>
  <c r="K1209" i="2"/>
  <c r="L1209" i="2"/>
  <c r="M1209" i="2"/>
  <c r="N1209" i="2"/>
  <c r="O1209" i="2"/>
  <c r="I1210" i="2"/>
  <c r="J1210" i="2"/>
  <c r="K1210" i="2"/>
  <c r="L1210" i="2"/>
  <c r="M1210" i="2"/>
  <c r="N1210" i="2"/>
  <c r="O1210" i="2"/>
  <c r="I1211" i="2"/>
  <c r="J1211" i="2"/>
  <c r="K1211" i="2"/>
  <c r="L1211" i="2"/>
  <c r="M1211" i="2"/>
  <c r="N1211" i="2"/>
  <c r="O1211" i="2"/>
  <c r="I1212" i="2"/>
  <c r="J1212" i="2"/>
  <c r="K1212" i="2"/>
  <c r="L1212" i="2"/>
  <c r="M1212" i="2"/>
  <c r="N1212" i="2"/>
  <c r="O1212" i="2"/>
  <c r="I1213" i="2"/>
  <c r="J1213" i="2"/>
  <c r="K1213" i="2"/>
  <c r="L1213" i="2"/>
  <c r="M1213" i="2"/>
  <c r="N1213" i="2"/>
  <c r="O1213" i="2"/>
  <c r="I1214" i="2"/>
  <c r="J1214" i="2"/>
  <c r="K1214" i="2"/>
  <c r="L1214" i="2"/>
  <c r="M1214" i="2"/>
  <c r="N1214" i="2"/>
  <c r="O1214" i="2"/>
  <c r="I1215" i="2"/>
  <c r="J1215" i="2"/>
  <c r="K1215" i="2"/>
  <c r="L1215" i="2"/>
  <c r="M1215" i="2"/>
  <c r="N1215" i="2"/>
  <c r="O1215" i="2"/>
  <c r="I1216" i="2"/>
  <c r="J1216" i="2"/>
  <c r="K1216" i="2"/>
  <c r="L1216" i="2"/>
  <c r="M1216" i="2"/>
  <c r="N1216" i="2"/>
  <c r="O1216" i="2"/>
  <c r="I1217" i="2"/>
  <c r="J1217" i="2"/>
  <c r="K1217" i="2"/>
  <c r="L1217" i="2"/>
  <c r="M1217" i="2"/>
  <c r="N1217" i="2"/>
  <c r="O1217" i="2"/>
  <c r="I1218" i="2"/>
  <c r="J1218" i="2"/>
  <c r="K1218" i="2"/>
  <c r="L1218" i="2"/>
  <c r="M1218" i="2"/>
  <c r="N1218" i="2"/>
  <c r="O1218" i="2"/>
  <c r="I1219" i="2"/>
  <c r="J1219" i="2"/>
  <c r="K1219" i="2"/>
  <c r="L1219" i="2"/>
  <c r="M1219" i="2"/>
  <c r="N1219" i="2"/>
  <c r="O1219" i="2"/>
  <c r="I1220" i="2"/>
  <c r="J1220" i="2"/>
  <c r="K1220" i="2"/>
  <c r="L1220" i="2"/>
  <c r="M1220" i="2"/>
  <c r="N1220" i="2"/>
  <c r="O1220" i="2"/>
  <c r="I1221" i="2"/>
  <c r="J1221" i="2"/>
  <c r="K1221" i="2"/>
  <c r="L1221" i="2"/>
  <c r="M1221" i="2"/>
  <c r="N1221" i="2"/>
  <c r="O1221" i="2"/>
  <c r="I1222" i="2"/>
  <c r="J1222" i="2"/>
  <c r="K1222" i="2"/>
  <c r="L1222" i="2"/>
  <c r="M1222" i="2"/>
  <c r="N1222" i="2"/>
  <c r="O1222" i="2"/>
  <c r="I1223" i="2"/>
  <c r="J1223" i="2"/>
  <c r="K1223" i="2"/>
  <c r="L1223" i="2"/>
  <c r="M1223" i="2"/>
  <c r="N1223" i="2"/>
  <c r="O1223" i="2"/>
  <c r="I1224" i="2"/>
  <c r="J1224" i="2"/>
  <c r="K1224" i="2"/>
  <c r="L1224" i="2"/>
  <c r="M1224" i="2"/>
  <c r="N1224" i="2"/>
  <c r="O1224" i="2"/>
  <c r="I1225" i="2"/>
  <c r="J1225" i="2"/>
  <c r="K1225" i="2"/>
  <c r="L1225" i="2"/>
  <c r="M1225" i="2"/>
  <c r="N1225" i="2"/>
  <c r="O1225" i="2"/>
  <c r="I1226" i="2"/>
  <c r="J1226" i="2"/>
  <c r="K1226" i="2"/>
  <c r="L1226" i="2"/>
  <c r="M1226" i="2"/>
  <c r="N1226" i="2"/>
  <c r="O1226" i="2"/>
  <c r="I1227" i="2"/>
  <c r="J1227" i="2"/>
  <c r="K1227" i="2"/>
  <c r="L1227" i="2"/>
  <c r="M1227" i="2"/>
  <c r="N1227" i="2"/>
  <c r="O1227" i="2"/>
  <c r="I1228" i="2"/>
  <c r="J1228" i="2"/>
  <c r="K1228" i="2"/>
  <c r="L1228" i="2"/>
  <c r="M1228" i="2"/>
  <c r="N1228" i="2"/>
  <c r="O1228" i="2"/>
  <c r="I1229" i="2"/>
  <c r="J1229" i="2"/>
  <c r="K1229" i="2"/>
  <c r="L1229" i="2"/>
  <c r="M1229" i="2"/>
  <c r="N1229" i="2"/>
  <c r="O1229" i="2"/>
  <c r="I1230" i="2"/>
  <c r="J1230" i="2"/>
  <c r="K1230" i="2"/>
  <c r="L1230" i="2"/>
  <c r="M1230" i="2"/>
  <c r="N1230" i="2"/>
  <c r="O1230" i="2"/>
  <c r="I1231" i="2"/>
  <c r="J1231" i="2"/>
  <c r="K1231" i="2"/>
  <c r="L1231" i="2"/>
  <c r="M1231" i="2"/>
  <c r="N1231" i="2"/>
  <c r="O1231" i="2"/>
  <c r="I1232" i="2"/>
  <c r="J1232" i="2"/>
  <c r="K1232" i="2"/>
  <c r="L1232" i="2"/>
  <c r="M1232" i="2"/>
  <c r="N1232" i="2"/>
  <c r="O1232" i="2"/>
  <c r="I1233" i="2"/>
  <c r="J1233" i="2"/>
  <c r="K1233" i="2"/>
  <c r="L1233" i="2"/>
  <c r="M1233" i="2"/>
  <c r="N1233" i="2"/>
  <c r="O1233" i="2"/>
  <c r="I1234" i="2"/>
  <c r="J1234" i="2"/>
  <c r="K1234" i="2"/>
  <c r="L1234" i="2"/>
  <c r="M1234" i="2"/>
  <c r="N1234" i="2"/>
  <c r="O1234" i="2"/>
  <c r="I1235" i="2"/>
  <c r="J1235" i="2"/>
  <c r="K1235" i="2"/>
  <c r="L1235" i="2"/>
  <c r="M1235" i="2"/>
  <c r="N1235" i="2"/>
  <c r="O1235" i="2"/>
  <c r="I1236" i="2"/>
  <c r="J1236" i="2"/>
  <c r="K1236" i="2"/>
  <c r="L1236" i="2"/>
  <c r="M1236" i="2"/>
  <c r="N1236" i="2"/>
  <c r="O1236" i="2"/>
  <c r="I1237" i="2"/>
  <c r="J1237" i="2"/>
  <c r="K1237" i="2"/>
  <c r="L1237" i="2"/>
  <c r="M1237" i="2"/>
  <c r="N1237" i="2"/>
  <c r="O1237" i="2"/>
  <c r="I1238" i="2"/>
  <c r="J1238" i="2"/>
  <c r="K1238" i="2"/>
  <c r="L1238" i="2"/>
  <c r="M1238" i="2"/>
  <c r="N1238" i="2"/>
  <c r="O1238" i="2"/>
  <c r="I1239" i="2"/>
  <c r="J1239" i="2"/>
  <c r="K1239" i="2"/>
  <c r="L1239" i="2"/>
  <c r="M1239" i="2"/>
  <c r="N1239" i="2"/>
  <c r="O1239" i="2"/>
  <c r="I1240" i="2"/>
  <c r="J1240" i="2"/>
  <c r="K1240" i="2"/>
  <c r="L1240" i="2"/>
  <c r="M1240" i="2"/>
  <c r="N1240" i="2"/>
  <c r="O1240" i="2"/>
  <c r="J3" i="2"/>
  <c r="K3" i="2"/>
  <c r="L3" i="2"/>
  <c r="M3" i="2"/>
  <c r="N3" i="2"/>
  <c r="O3" i="2"/>
  <c r="I3" i="2"/>
  <c r="D4" i="1"/>
  <c r="E4" i="1"/>
  <c r="F4" i="1"/>
  <c r="G4" i="1"/>
  <c r="H4" i="1"/>
  <c r="I4" i="1"/>
  <c r="J4" i="1"/>
  <c r="C4" i="1"/>
  <c r="J3" i="1"/>
  <c r="G200" i="9" l="1"/>
  <c r="H200" i="9" s="1"/>
  <c r="G167" i="9"/>
  <c r="H167" i="9" s="1"/>
  <c r="G199" i="9"/>
  <c r="H199" i="9" s="1"/>
  <c r="G145" i="9"/>
  <c r="H145" i="9" s="1"/>
  <c r="G198" i="9"/>
  <c r="H198" i="9" s="1"/>
  <c r="G166" i="9"/>
  <c r="H166" i="9" s="1"/>
  <c r="G197" i="9"/>
  <c r="H197" i="9" s="1"/>
  <c r="G137" i="9"/>
  <c r="H137" i="9" s="1"/>
  <c r="G196" i="9"/>
  <c r="H196" i="9" s="1"/>
  <c r="G165" i="9"/>
  <c r="H165" i="9" s="1"/>
  <c r="G256" i="9"/>
  <c r="H256" i="9" s="1"/>
  <c r="G195" i="9"/>
  <c r="H195" i="9" s="1"/>
  <c r="G255" i="9"/>
  <c r="H255" i="9" s="1"/>
  <c r="G144" i="9"/>
  <c r="H144" i="9" s="1"/>
  <c r="G254" i="9"/>
  <c r="H254" i="9" s="1"/>
  <c r="G194" i="9"/>
  <c r="H194" i="9" s="1"/>
  <c r="G253" i="9"/>
  <c r="H253" i="9" s="1"/>
  <c r="G164" i="9"/>
  <c r="H164" i="9" s="1"/>
  <c r="G252" i="9"/>
  <c r="H252" i="9" s="1"/>
  <c r="G193" i="9"/>
  <c r="H193" i="9" s="1"/>
  <c r="G251" i="9"/>
  <c r="H251" i="9" s="1"/>
  <c r="G133" i="9"/>
  <c r="H133" i="9" s="1"/>
  <c r="G250" i="9"/>
  <c r="H250" i="9" s="1"/>
  <c r="G192" i="9"/>
  <c r="H192" i="9" s="1"/>
  <c r="G249" i="9"/>
  <c r="H249" i="9" s="1"/>
  <c r="G163" i="9"/>
  <c r="H163" i="9" s="1"/>
  <c r="G248" i="9"/>
  <c r="H248" i="9" s="1"/>
  <c r="G191" i="9"/>
  <c r="H191" i="9" s="1"/>
  <c r="G247" i="9"/>
  <c r="H247" i="9" s="1"/>
  <c r="G143" i="9"/>
  <c r="H143" i="9" s="1"/>
  <c r="G246" i="9"/>
  <c r="H246" i="9" s="1"/>
  <c r="G190" i="9"/>
  <c r="H190" i="9" s="1"/>
  <c r="G245" i="9"/>
  <c r="H245" i="9" s="1"/>
  <c r="G162" i="9"/>
  <c r="H162" i="9" s="1"/>
  <c r="G244" i="9"/>
  <c r="H244" i="9" s="1"/>
  <c r="G189" i="9"/>
  <c r="H189" i="9" s="1"/>
  <c r="G243" i="9"/>
  <c r="H243" i="9" s="1"/>
  <c r="G136" i="9"/>
  <c r="H136" i="9" s="1"/>
  <c r="G242" i="9"/>
  <c r="H242" i="9" s="1"/>
  <c r="G188" i="9"/>
  <c r="H188" i="9" s="1"/>
  <c r="G241" i="9"/>
  <c r="H241" i="9" s="1"/>
  <c r="G161" i="9"/>
  <c r="H161" i="9" s="1"/>
  <c r="G240" i="9"/>
  <c r="H240" i="9" s="1"/>
  <c r="G187" i="9"/>
  <c r="H187" i="9" s="1"/>
  <c r="G239" i="9"/>
  <c r="H239" i="9" s="1"/>
  <c r="G142" i="9"/>
  <c r="H142" i="9" s="1"/>
  <c r="G238" i="9"/>
  <c r="H238" i="9" s="1"/>
  <c r="G186" i="9"/>
  <c r="H186" i="9" s="1"/>
  <c r="G237" i="9"/>
  <c r="H237" i="9" s="1"/>
  <c r="G160" i="9"/>
  <c r="H160" i="9" s="1"/>
  <c r="G236" i="9"/>
  <c r="H236" i="9" s="1"/>
  <c r="G185" i="9"/>
  <c r="H185" i="9" s="1"/>
  <c r="G235" i="9"/>
  <c r="H235" i="9" s="1"/>
  <c r="G131" i="9"/>
  <c r="H131" i="9" s="1"/>
  <c r="G234" i="9"/>
  <c r="H234" i="9" s="1"/>
  <c r="G201" i="9"/>
  <c r="H201" i="9" s="1"/>
  <c r="G233" i="9"/>
  <c r="H233" i="9" s="1"/>
  <c r="G184" i="9"/>
  <c r="H184" i="9" s="1"/>
  <c r="G232" i="9"/>
  <c r="H232" i="9" s="1"/>
  <c r="G159" i="9"/>
  <c r="H159" i="9" s="1"/>
  <c r="G231" i="9"/>
  <c r="H231" i="9" s="1"/>
  <c r="G183" i="9"/>
  <c r="H183" i="9" s="1"/>
  <c r="G230" i="9"/>
  <c r="H230" i="9" s="1"/>
  <c r="G141" i="9"/>
  <c r="H141" i="9" s="1"/>
  <c r="G229" i="9"/>
  <c r="H229" i="9" s="1"/>
  <c r="G182" i="9"/>
  <c r="H182" i="9" s="1"/>
  <c r="G228" i="9"/>
  <c r="H228" i="9" s="1"/>
  <c r="G135" i="9"/>
  <c r="H135" i="9" s="1"/>
  <c r="G227" i="9"/>
  <c r="H227" i="9" s="1"/>
  <c r="G181" i="9"/>
  <c r="H181" i="9" s="1"/>
  <c r="G226" i="9"/>
  <c r="H226" i="9" s="1"/>
  <c r="G155" i="9"/>
  <c r="H155" i="9" s="1"/>
  <c r="G225" i="9"/>
  <c r="H225" i="9" s="1"/>
  <c r="G180" i="9"/>
  <c r="H180" i="9" s="1"/>
  <c r="G224" i="9"/>
  <c r="H224" i="9" s="1"/>
  <c r="G140" i="9"/>
  <c r="H140" i="9" s="1"/>
  <c r="G223" i="9"/>
  <c r="H223" i="9" s="1"/>
  <c r="G179" i="9"/>
  <c r="H179" i="9" s="1"/>
  <c r="G222" i="9"/>
  <c r="H222" i="9" s="1"/>
  <c r="G132" i="9"/>
  <c r="H132" i="9" s="1"/>
  <c r="G221" i="9"/>
  <c r="H221" i="9" s="1"/>
  <c r="G178" i="9"/>
  <c r="H178" i="9" s="1"/>
  <c r="G220" i="9"/>
  <c r="H220" i="9" s="1"/>
  <c r="G149" i="9"/>
  <c r="H149" i="9" s="1"/>
  <c r="G219" i="9"/>
  <c r="H219" i="9" s="1"/>
  <c r="G177" i="9"/>
  <c r="H177" i="9" s="1"/>
  <c r="G218" i="9"/>
  <c r="H218" i="9" s="1"/>
  <c r="G139" i="9"/>
  <c r="H139" i="9" s="1"/>
  <c r="G217" i="9"/>
  <c r="H217" i="9" s="1"/>
  <c r="G176" i="9"/>
  <c r="H176" i="9" s="1"/>
  <c r="G216" i="9"/>
  <c r="H216" i="9" s="1"/>
  <c r="G35" i="9"/>
  <c r="H35" i="9" s="1"/>
  <c r="G215" i="9"/>
  <c r="H215" i="9" s="1"/>
  <c r="G175" i="9"/>
  <c r="H175" i="9" s="1"/>
  <c r="G214" i="9"/>
  <c r="H214" i="9" s="1"/>
  <c r="G32" i="9"/>
  <c r="H32" i="9" s="1"/>
  <c r="G213" i="9"/>
  <c r="H213" i="9" s="1"/>
  <c r="G174" i="9"/>
  <c r="H174" i="9" s="1"/>
  <c r="G212" i="9"/>
  <c r="H212" i="9" s="1"/>
  <c r="G148" i="9"/>
  <c r="H148" i="9" s="1"/>
  <c r="G211" i="9"/>
  <c r="H211" i="9" s="1"/>
  <c r="G173" i="9"/>
  <c r="H173" i="9" s="1"/>
  <c r="G210" i="9"/>
  <c r="H210" i="9" s="1"/>
  <c r="G134" i="9"/>
  <c r="H134" i="9" s="1"/>
  <c r="G209" i="9"/>
  <c r="H209" i="9" s="1"/>
  <c r="G172" i="9"/>
  <c r="H172" i="9" s="1"/>
  <c r="G208" i="9"/>
  <c r="H208" i="9" s="1"/>
  <c r="G147" i="9"/>
  <c r="H147" i="9" s="1"/>
  <c r="G207" i="9"/>
  <c r="H207" i="9" s="1"/>
  <c r="G171" i="9"/>
  <c r="H171" i="9" s="1"/>
  <c r="G206" i="9"/>
  <c r="H206" i="9" s="1"/>
  <c r="G138" i="9"/>
  <c r="H138" i="9" s="1"/>
  <c r="G205" i="9"/>
  <c r="H205" i="9" s="1"/>
  <c r="G170" i="9"/>
  <c r="H170" i="9" s="1"/>
  <c r="G204" i="9"/>
  <c r="H204" i="9" s="1"/>
  <c r="G146" i="9"/>
  <c r="H146" i="9" s="1"/>
  <c r="G203" i="9"/>
  <c r="H203" i="9" s="1"/>
  <c r="G169" i="9"/>
  <c r="H169" i="9" s="1"/>
  <c r="G202" i="9"/>
  <c r="H202" i="9" s="1"/>
  <c r="G130" i="9"/>
  <c r="H130" i="9" s="1"/>
  <c r="G168" i="9"/>
  <c r="H168" i="9" s="1"/>
  <c r="G129" i="9"/>
  <c r="H129" i="9" s="1"/>
  <c r="G128" i="9"/>
  <c r="H128" i="9" s="1"/>
  <c r="G127" i="9"/>
  <c r="H127" i="9" s="1"/>
  <c r="G126" i="9"/>
  <c r="H126" i="9" s="1"/>
  <c r="G125" i="9"/>
  <c r="H125" i="9" s="1"/>
  <c r="G124" i="9"/>
  <c r="H124" i="9" s="1"/>
  <c r="G123" i="9"/>
  <c r="H123" i="9" s="1"/>
  <c r="G122" i="9"/>
  <c r="H122" i="9" s="1"/>
  <c r="G121" i="9"/>
  <c r="H121" i="9" s="1"/>
  <c r="G120" i="9"/>
  <c r="H120" i="9" s="1"/>
  <c r="G119" i="9"/>
  <c r="H119" i="9" s="1"/>
  <c r="G118" i="9"/>
  <c r="H118" i="9" s="1"/>
  <c r="G117" i="9"/>
  <c r="H117" i="9" s="1"/>
  <c r="G116" i="9"/>
  <c r="H116" i="9" s="1"/>
  <c r="G115" i="9"/>
  <c r="H115" i="9" s="1"/>
  <c r="G114" i="9"/>
  <c r="H114" i="9" s="1"/>
  <c r="G113" i="9"/>
  <c r="H113" i="9" s="1"/>
  <c r="G112" i="9"/>
  <c r="H112" i="9" s="1"/>
  <c r="G111" i="9"/>
  <c r="H111" i="9" s="1"/>
  <c r="G110" i="9"/>
  <c r="H110" i="9" s="1"/>
  <c r="G109" i="9"/>
  <c r="H109" i="9" s="1"/>
  <c r="G108" i="9"/>
  <c r="H108" i="9" s="1"/>
  <c r="G107" i="9"/>
  <c r="H107" i="9" s="1"/>
  <c r="G106" i="9"/>
  <c r="H106" i="9" s="1"/>
  <c r="G105" i="9"/>
  <c r="H105" i="9" s="1"/>
  <c r="G104" i="9"/>
  <c r="H104" i="9" s="1"/>
  <c r="G103" i="9"/>
  <c r="H103" i="9" s="1"/>
  <c r="G102" i="9"/>
  <c r="H102" i="9" s="1"/>
  <c r="G101" i="9"/>
  <c r="H101" i="9" s="1"/>
  <c r="G100" i="9"/>
  <c r="H100" i="9" s="1"/>
  <c r="G99" i="9"/>
  <c r="H99" i="9" s="1"/>
  <c r="G98" i="9"/>
  <c r="H98" i="9" s="1"/>
  <c r="G97" i="9"/>
  <c r="H97" i="9" s="1"/>
  <c r="G96" i="9"/>
  <c r="H96" i="9" s="1"/>
  <c r="G95" i="9"/>
  <c r="H95" i="9" s="1"/>
  <c r="G94" i="9"/>
  <c r="H94" i="9" s="1"/>
  <c r="G93" i="9"/>
  <c r="H93" i="9" s="1"/>
  <c r="G92" i="9"/>
  <c r="H92" i="9" s="1"/>
  <c r="G91" i="9"/>
  <c r="H91" i="9" s="1"/>
  <c r="G90" i="9"/>
  <c r="H90" i="9" s="1"/>
  <c r="G89" i="9"/>
  <c r="H89" i="9" s="1"/>
  <c r="G88" i="9"/>
  <c r="H88" i="9" s="1"/>
  <c r="G87" i="9"/>
  <c r="H87" i="9" s="1"/>
  <c r="G86" i="9"/>
  <c r="H86" i="9" s="1"/>
  <c r="G85" i="9"/>
  <c r="H85" i="9" s="1"/>
  <c r="G84" i="9"/>
  <c r="H84" i="9" s="1"/>
  <c r="G83" i="9"/>
  <c r="H83" i="9" s="1"/>
  <c r="G82" i="9"/>
  <c r="H82" i="9" s="1"/>
  <c r="G81" i="9"/>
  <c r="H81" i="9" s="1"/>
  <c r="G80" i="9"/>
  <c r="H80" i="9" s="1"/>
  <c r="G79" i="9"/>
  <c r="H79" i="9" s="1"/>
  <c r="G78" i="9"/>
  <c r="H78" i="9" s="1"/>
  <c r="G77" i="9"/>
  <c r="H77" i="9" s="1"/>
  <c r="G76" i="9"/>
  <c r="H76" i="9" s="1"/>
  <c r="G75" i="9"/>
  <c r="H75" i="9" s="1"/>
  <c r="G74" i="9"/>
  <c r="H74" i="9" s="1"/>
  <c r="G73" i="9"/>
  <c r="H73" i="9" s="1"/>
  <c r="G72" i="9"/>
  <c r="H72" i="9" s="1"/>
  <c r="G71" i="9"/>
  <c r="H71" i="9" s="1"/>
  <c r="G70" i="9"/>
  <c r="H70" i="9" s="1"/>
  <c r="G69" i="9"/>
  <c r="H69" i="9" s="1"/>
  <c r="G68" i="9"/>
  <c r="H68" i="9" s="1"/>
  <c r="G67" i="9"/>
  <c r="H67" i="9" s="1"/>
  <c r="G66" i="9"/>
  <c r="H66" i="9" s="1"/>
  <c r="G65" i="9"/>
  <c r="H65" i="9" s="1"/>
  <c r="G64" i="9"/>
  <c r="H64" i="9" s="1"/>
  <c r="G63" i="9"/>
  <c r="H63" i="9" s="1"/>
  <c r="G62" i="9"/>
  <c r="H62" i="9" s="1"/>
  <c r="G61" i="9"/>
  <c r="H61" i="9" s="1"/>
  <c r="G60" i="9"/>
  <c r="H60" i="9" s="1"/>
  <c r="G59" i="9"/>
  <c r="H59" i="9" s="1"/>
  <c r="G58" i="9"/>
  <c r="H58" i="9" s="1"/>
  <c r="G57" i="9"/>
  <c r="H57" i="9" s="1"/>
  <c r="G56" i="9"/>
  <c r="H56" i="9" s="1"/>
  <c r="G55" i="9"/>
  <c r="H55" i="9" s="1"/>
  <c r="G54" i="9"/>
  <c r="H54" i="9" s="1"/>
  <c r="G53" i="9"/>
  <c r="H53" i="9" s="1"/>
  <c r="G52" i="9"/>
  <c r="H52" i="9" s="1"/>
  <c r="G51" i="9"/>
  <c r="H51" i="9" s="1"/>
  <c r="G50" i="9"/>
  <c r="H50" i="9" s="1"/>
  <c r="G49" i="9"/>
  <c r="H49" i="9" s="1"/>
  <c r="G48" i="9"/>
  <c r="H48" i="9" s="1"/>
  <c r="G47" i="9"/>
  <c r="H47" i="9" s="1"/>
  <c r="G46" i="9"/>
  <c r="H46" i="9" s="1"/>
  <c r="G45" i="9"/>
  <c r="H45" i="9" s="1"/>
  <c r="G44" i="9"/>
  <c r="H44" i="9" s="1"/>
  <c r="G43" i="9"/>
  <c r="H43" i="9" s="1"/>
  <c r="G42" i="9"/>
  <c r="H42" i="9" s="1"/>
  <c r="G41" i="9"/>
  <c r="H41" i="9" s="1"/>
  <c r="G40" i="9"/>
  <c r="H40" i="9" s="1"/>
  <c r="G39" i="9"/>
  <c r="H39" i="9" s="1"/>
  <c r="G38" i="9"/>
  <c r="H38" i="9" s="1"/>
  <c r="G37" i="9"/>
  <c r="H37" i="9" s="1"/>
  <c r="G36" i="9"/>
  <c r="H36" i="9" s="1"/>
  <c r="G34" i="9"/>
  <c r="H34" i="9" s="1"/>
  <c r="G30" i="9"/>
  <c r="H30" i="9" s="1"/>
  <c r="G29" i="9"/>
  <c r="H29" i="9" s="1"/>
  <c r="G28" i="9"/>
  <c r="H28" i="9" s="1"/>
  <c r="G27" i="9"/>
  <c r="H27" i="9" s="1"/>
  <c r="G26" i="9"/>
  <c r="H26" i="9" s="1"/>
  <c r="G25" i="9"/>
  <c r="H25" i="9" s="1"/>
  <c r="G24" i="9"/>
  <c r="H24" i="9" s="1"/>
  <c r="G23" i="9"/>
  <c r="H23" i="9" s="1"/>
  <c r="G22" i="9"/>
  <c r="H22" i="9" s="1"/>
  <c r="G21" i="9"/>
  <c r="H21" i="9" s="1"/>
  <c r="G20" i="9"/>
  <c r="H20" i="9" s="1"/>
  <c r="G19" i="9"/>
  <c r="H19" i="9" s="1"/>
  <c r="G18" i="9"/>
  <c r="H18" i="9" s="1"/>
  <c r="G17" i="9"/>
  <c r="H17" i="9" s="1"/>
  <c r="G16" i="9"/>
  <c r="H16" i="9" s="1"/>
  <c r="G15" i="9"/>
  <c r="H15" i="9" s="1"/>
  <c r="G14" i="9"/>
  <c r="H14" i="9" s="1"/>
  <c r="G13" i="9"/>
  <c r="H13" i="9" s="1"/>
  <c r="G12" i="9"/>
  <c r="H12" i="9" s="1"/>
  <c r="G11" i="9"/>
  <c r="H11" i="9" s="1"/>
  <c r="G10" i="9"/>
  <c r="H10" i="9" s="1"/>
  <c r="G9" i="9"/>
  <c r="H9" i="9" s="1"/>
  <c r="G8" i="9"/>
  <c r="H8" i="9" s="1"/>
  <c r="G7" i="9"/>
  <c r="H7" i="9" s="1"/>
  <c r="G6" i="9"/>
  <c r="H6" i="9" s="1"/>
  <c r="G5" i="9"/>
  <c r="G158" i="9"/>
  <c r="H158" i="9" s="1"/>
  <c r="G151" i="9"/>
  <c r="H151" i="9" s="1"/>
  <c r="G31" i="9"/>
  <c r="H31" i="9" s="1"/>
  <c r="G157" i="9"/>
  <c r="H157" i="9" s="1"/>
  <c r="G156" i="9"/>
  <c r="H156" i="9" s="1"/>
  <c r="G154" i="9"/>
  <c r="H154" i="9" s="1"/>
  <c r="G153" i="9"/>
  <c r="H153" i="9" s="1"/>
  <c r="G152" i="9"/>
  <c r="H152" i="9" s="1"/>
  <c r="G150" i="9"/>
  <c r="H150" i="9" s="1"/>
  <c r="G33" i="9"/>
  <c r="H33" i="9" s="1"/>
  <c r="M3" i="8"/>
  <c r="N3" i="8" s="1"/>
  <c r="M4" i="8"/>
  <c r="N4" i="8" s="1"/>
  <c r="M5" i="8"/>
  <c r="N5" i="8" s="1"/>
  <c r="M6" i="8"/>
  <c r="N6" i="8" s="1"/>
  <c r="M7" i="8"/>
  <c r="N7" i="8" s="1"/>
  <c r="M8" i="8"/>
  <c r="N8" i="8" s="1"/>
  <c r="M9" i="8"/>
  <c r="N9" i="8" s="1"/>
  <c r="M10" i="8"/>
  <c r="N10" i="8" s="1"/>
  <c r="M11" i="8"/>
  <c r="N11" i="8" s="1"/>
  <c r="M12" i="8"/>
  <c r="N12" i="8" s="1"/>
  <c r="M13" i="8"/>
  <c r="N13" i="8" s="1"/>
  <c r="M14" i="8"/>
  <c r="N14" i="8" s="1"/>
  <c r="M15" i="8"/>
  <c r="N15" i="8" s="1"/>
  <c r="M16" i="8"/>
  <c r="N16" i="8" s="1"/>
  <c r="M17" i="8"/>
  <c r="N17" i="8" s="1"/>
  <c r="M18" i="8"/>
  <c r="N18" i="8" s="1"/>
  <c r="M19" i="8"/>
  <c r="N19" i="8" s="1"/>
  <c r="M20" i="8"/>
  <c r="N20" i="8" s="1"/>
  <c r="M21" i="8"/>
  <c r="N21" i="8" s="1"/>
  <c r="M22" i="8"/>
  <c r="N22" i="8" s="1"/>
  <c r="M23" i="8"/>
  <c r="N23" i="8" s="1"/>
  <c r="M24" i="8"/>
  <c r="N24" i="8" s="1"/>
  <c r="M25" i="8"/>
  <c r="N25" i="8" s="1"/>
  <c r="M26" i="8"/>
  <c r="N26" i="8" s="1"/>
  <c r="M27" i="8"/>
  <c r="N27" i="8" s="1"/>
  <c r="M28" i="8"/>
  <c r="N28" i="8" s="1"/>
  <c r="M29" i="8"/>
  <c r="N29" i="8" s="1"/>
  <c r="M30" i="8"/>
  <c r="N30" i="8" s="1"/>
  <c r="M31" i="8"/>
  <c r="N31" i="8" s="1"/>
  <c r="M32" i="8"/>
  <c r="N32" i="8" s="1"/>
  <c r="M33" i="8"/>
  <c r="N33" i="8" s="1"/>
  <c r="M34" i="8"/>
  <c r="N34" i="8" s="1"/>
  <c r="M35" i="8"/>
  <c r="N35" i="8" s="1"/>
  <c r="M36" i="8"/>
  <c r="N36" i="8" s="1"/>
  <c r="M37" i="8"/>
  <c r="N37" i="8" s="1"/>
  <c r="M38" i="8"/>
  <c r="N38" i="8" s="1"/>
  <c r="M39" i="8"/>
  <c r="N39" i="8" s="1"/>
  <c r="M40" i="8"/>
  <c r="N40" i="8" s="1"/>
  <c r="M41" i="8"/>
  <c r="N41" i="8" s="1"/>
  <c r="M42" i="8"/>
  <c r="N42" i="8" s="1"/>
  <c r="M43" i="8"/>
  <c r="N43" i="8" s="1"/>
  <c r="M44" i="8"/>
  <c r="N44" i="8" s="1"/>
  <c r="M45" i="8"/>
  <c r="N45" i="8" s="1"/>
  <c r="M46" i="8"/>
  <c r="N46" i="8" s="1"/>
  <c r="M47" i="8"/>
  <c r="N47" i="8" s="1"/>
  <c r="M48" i="8"/>
  <c r="N48" i="8" s="1"/>
  <c r="M49" i="8"/>
  <c r="N49" i="8" s="1"/>
  <c r="M50" i="8"/>
  <c r="N50" i="8" s="1"/>
  <c r="M51" i="8"/>
  <c r="N51" i="8" s="1"/>
  <c r="M52" i="8"/>
  <c r="N52" i="8" s="1"/>
  <c r="M53" i="8"/>
  <c r="N53" i="8" s="1"/>
  <c r="M54" i="8"/>
  <c r="N54" i="8" s="1"/>
  <c r="M55" i="8"/>
  <c r="N55" i="8" s="1"/>
  <c r="M56" i="8"/>
  <c r="N56" i="8" s="1"/>
  <c r="M57" i="8"/>
  <c r="N57" i="8" s="1"/>
  <c r="M58" i="8"/>
  <c r="N58" i="8" s="1"/>
  <c r="M59" i="8"/>
  <c r="N59" i="8" s="1"/>
  <c r="M60" i="8"/>
  <c r="N60" i="8" s="1"/>
  <c r="M61" i="8"/>
  <c r="N61" i="8" s="1"/>
  <c r="M62" i="8"/>
  <c r="N62" i="8" s="1"/>
  <c r="M63" i="8"/>
  <c r="N63" i="8" s="1"/>
  <c r="M64" i="8"/>
  <c r="N64" i="8" s="1"/>
  <c r="M65" i="8"/>
  <c r="N65" i="8" s="1"/>
  <c r="M66" i="8"/>
  <c r="N66" i="8" s="1"/>
  <c r="M67" i="8"/>
  <c r="N67" i="8" s="1"/>
  <c r="M68" i="8"/>
  <c r="N68" i="8" s="1"/>
  <c r="M69" i="8"/>
  <c r="N69" i="8" s="1"/>
  <c r="M70" i="8"/>
  <c r="N70" i="8" s="1"/>
  <c r="M71" i="8"/>
  <c r="N71" i="8" s="1"/>
  <c r="M72" i="8"/>
  <c r="N72" i="8" s="1"/>
  <c r="M73" i="8"/>
  <c r="N73" i="8" s="1"/>
  <c r="M74" i="8"/>
  <c r="N74" i="8" s="1"/>
  <c r="M75" i="8"/>
  <c r="N75" i="8" s="1"/>
  <c r="M76" i="8"/>
  <c r="N76" i="8" s="1"/>
  <c r="M77" i="8"/>
  <c r="N77" i="8" s="1"/>
  <c r="M78" i="8"/>
  <c r="N78" i="8" s="1"/>
  <c r="M79" i="8"/>
  <c r="N79" i="8" s="1"/>
  <c r="M80" i="8"/>
  <c r="N80" i="8" s="1"/>
  <c r="M81" i="8"/>
  <c r="N81" i="8" s="1"/>
  <c r="M82" i="8"/>
  <c r="N82" i="8" s="1"/>
  <c r="M83" i="8"/>
  <c r="N83" i="8" s="1"/>
  <c r="M84" i="8"/>
  <c r="N84" i="8" s="1"/>
  <c r="M85" i="8"/>
  <c r="N85" i="8" s="1"/>
  <c r="M86" i="8"/>
  <c r="N86" i="8" s="1"/>
  <c r="M87" i="8"/>
  <c r="N87" i="8" s="1"/>
  <c r="M88" i="8"/>
  <c r="N88" i="8" s="1"/>
  <c r="M89" i="8"/>
  <c r="N89" i="8" s="1"/>
  <c r="M90" i="8"/>
  <c r="N90" i="8" s="1"/>
  <c r="M91" i="8"/>
  <c r="N91" i="8" s="1"/>
  <c r="M92" i="8"/>
  <c r="N92" i="8" s="1"/>
  <c r="M93" i="8"/>
  <c r="N93" i="8" s="1"/>
  <c r="M94" i="8"/>
  <c r="N94" i="8" s="1"/>
  <c r="M95" i="8"/>
  <c r="N95" i="8" s="1"/>
  <c r="M96" i="8"/>
  <c r="N96" i="8" s="1"/>
  <c r="M97" i="8"/>
  <c r="N97" i="8" s="1"/>
  <c r="M98" i="8"/>
  <c r="N98" i="8" s="1"/>
  <c r="M99" i="8"/>
  <c r="N99" i="8" s="1"/>
  <c r="M100" i="8"/>
  <c r="N100" i="8" s="1"/>
  <c r="M101" i="8"/>
  <c r="N101" i="8" s="1"/>
  <c r="M102" i="8"/>
  <c r="N102" i="8" s="1"/>
  <c r="M103" i="8"/>
  <c r="N103" i="8" s="1"/>
  <c r="M104" i="8"/>
  <c r="N104" i="8" s="1"/>
  <c r="M105" i="8"/>
  <c r="N105" i="8" s="1"/>
  <c r="M106" i="8"/>
  <c r="N106" i="8" s="1"/>
  <c r="M107" i="8"/>
  <c r="N107" i="8" s="1"/>
  <c r="M108" i="8"/>
  <c r="N108" i="8" s="1"/>
  <c r="M109" i="8"/>
  <c r="N109" i="8" s="1"/>
  <c r="M110" i="8"/>
  <c r="N110" i="8" s="1"/>
  <c r="M111" i="8"/>
  <c r="N111" i="8" s="1"/>
  <c r="M112" i="8"/>
  <c r="N112" i="8" s="1"/>
  <c r="M113" i="8"/>
  <c r="N113" i="8" s="1"/>
  <c r="M114" i="8"/>
  <c r="N114" i="8" s="1"/>
  <c r="M115" i="8"/>
  <c r="N115" i="8" s="1"/>
  <c r="M116" i="8"/>
  <c r="N116" i="8" s="1"/>
  <c r="M117" i="8"/>
  <c r="N117" i="8" s="1"/>
  <c r="M118" i="8"/>
  <c r="N118" i="8" s="1"/>
  <c r="M119" i="8"/>
  <c r="N119" i="8" s="1"/>
  <c r="M120" i="8"/>
  <c r="N120" i="8" s="1"/>
  <c r="M121" i="8"/>
  <c r="N121" i="8" s="1"/>
  <c r="M122" i="8"/>
  <c r="N122" i="8" s="1"/>
  <c r="M123" i="8"/>
  <c r="N123" i="8" s="1"/>
  <c r="M124" i="8"/>
  <c r="N124" i="8" s="1"/>
  <c r="M125" i="8"/>
  <c r="N125" i="8" s="1"/>
  <c r="M126" i="8"/>
  <c r="N126" i="8" s="1"/>
  <c r="M127" i="8"/>
  <c r="N127" i="8" s="1"/>
  <c r="M128" i="8"/>
  <c r="N128" i="8" s="1"/>
  <c r="M129" i="8"/>
  <c r="N129" i="8" s="1"/>
  <c r="M130" i="8"/>
  <c r="N130" i="8" s="1"/>
  <c r="M131" i="8"/>
  <c r="N131" i="8" s="1"/>
  <c r="M132" i="8"/>
  <c r="N132" i="8" s="1"/>
  <c r="M133" i="8"/>
  <c r="N133" i="8" s="1"/>
  <c r="M134" i="8"/>
  <c r="N134" i="8" s="1"/>
  <c r="M135" i="8"/>
  <c r="N135" i="8" s="1"/>
  <c r="M136" i="8"/>
  <c r="N136" i="8" s="1"/>
  <c r="M137" i="8"/>
  <c r="N137" i="8" s="1"/>
  <c r="M138" i="8"/>
  <c r="N138" i="8" s="1"/>
  <c r="M139" i="8"/>
  <c r="N139" i="8" s="1"/>
  <c r="M140" i="8"/>
  <c r="N140" i="8" s="1"/>
  <c r="M141" i="8"/>
  <c r="N141" i="8" s="1"/>
  <c r="M142" i="8"/>
  <c r="N142" i="8" s="1"/>
  <c r="M143" i="8"/>
  <c r="N143" i="8" s="1"/>
  <c r="M144" i="8"/>
  <c r="N144" i="8" s="1"/>
  <c r="M145" i="8"/>
  <c r="N145" i="8" s="1"/>
  <c r="M146" i="8"/>
  <c r="N146" i="8" s="1"/>
  <c r="M147" i="8"/>
  <c r="N147" i="8" s="1"/>
  <c r="M148" i="8"/>
  <c r="N148" i="8" s="1"/>
  <c r="M149" i="8"/>
  <c r="N149" i="8" s="1"/>
  <c r="M150" i="8"/>
  <c r="N150" i="8" s="1"/>
  <c r="M151" i="8"/>
  <c r="N151" i="8" s="1"/>
  <c r="M152" i="8"/>
  <c r="N152" i="8" s="1"/>
  <c r="M153" i="8"/>
  <c r="N153" i="8" s="1"/>
  <c r="M154" i="8"/>
  <c r="N154" i="8" s="1"/>
  <c r="M155" i="8"/>
  <c r="N155" i="8" s="1"/>
  <c r="M156" i="8"/>
  <c r="N156" i="8" s="1"/>
  <c r="M157" i="8"/>
  <c r="N157" i="8" s="1"/>
  <c r="M158" i="8"/>
  <c r="N158" i="8" s="1"/>
  <c r="M159" i="8"/>
  <c r="N159" i="8" s="1"/>
  <c r="M160" i="8"/>
  <c r="N160" i="8" s="1"/>
  <c r="M161" i="8"/>
  <c r="N161" i="8" s="1"/>
  <c r="M162" i="8"/>
  <c r="N162" i="8" s="1"/>
  <c r="M163" i="8"/>
  <c r="N163" i="8" s="1"/>
  <c r="M164" i="8"/>
  <c r="N164" i="8" s="1"/>
  <c r="M165" i="8"/>
  <c r="N165" i="8" s="1"/>
  <c r="M166" i="8"/>
  <c r="N166" i="8" s="1"/>
  <c r="M167" i="8"/>
  <c r="N167" i="8" s="1"/>
  <c r="M168" i="8"/>
  <c r="N168" i="8" s="1"/>
  <c r="M169" i="8"/>
  <c r="N169" i="8" s="1"/>
  <c r="M170" i="8"/>
  <c r="N170" i="8" s="1"/>
  <c r="M171" i="8"/>
  <c r="N171" i="8" s="1"/>
  <c r="M172" i="8"/>
  <c r="N172" i="8" s="1"/>
  <c r="M173" i="8"/>
  <c r="N173" i="8" s="1"/>
  <c r="M174" i="8"/>
  <c r="N174" i="8" s="1"/>
  <c r="M175" i="8"/>
  <c r="N175" i="8" s="1"/>
  <c r="M176" i="8"/>
  <c r="N176" i="8" s="1"/>
  <c r="M177" i="8"/>
  <c r="N177" i="8" s="1"/>
  <c r="M178" i="8"/>
  <c r="N178" i="8" s="1"/>
  <c r="M179" i="8"/>
  <c r="N179" i="8" s="1"/>
  <c r="M180" i="8"/>
  <c r="N180" i="8" s="1"/>
  <c r="M181" i="8"/>
  <c r="N181" i="8" s="1"/>
  <c r="M182" i="8"/>
  <c r="N182" i="8" s="1"/>
  <c r="M183" i="8"/>
  <c r="N183" i="8" s="1"/>
  <c r="M184" i="8"/>
  <c r="N184" i="8" s="1"/>
  <c r="M185" i="8"/>
  <c r="N185" i="8" s="1"/>
  <c r="M186" i="8"/>
  <c r="N186" i="8" s="1"/>
  <c r="M187" i="8"/>
  <c r="N187" i="8" s="1"/>
  <c r="M188" i="8"/>
  <c r="N188" i="8" s="1"/>
  <c r="M189" i="8"/>
  <c r="N189" i="8" s="1"/>
  <c r="M190" i="8"/>
  <c r="N190" i="8" s="1"/>
  <c r="M191" i="8"/>
  <c r="N191" i="8" s="1"/>
  <c r="M192" i="8"/>
  <c r="N192" i="8" s="1"/>
  <c r="M193" i="8"/>
  <c r="N193" i="8" s="1"/>
  <c r="M194" i="8"/>
  <c r="N194" i="8" s="1"/>
  <c r="M195" i="8"/>
  <c r="N195" i="8" s="1"/>
  <c r="M196" i="8"/>
  <c r="N196" i="8" s="1"/>
  <c r="M197" i="8"/>
  <c r="N197" i="8" s="1"/>
  <c r="M198" i="8"/>
  <c r="N198" i="8" s="1"/>
  <c r="M199" i="8"/>
  <c r="N199" i="8" s="1"/>
  <c r="M200" i="8"/>
  <c r="N200" i="8" s="1"/>
  <c r="M201" i="8"/>
  <c r="N201" i="8" s="1"/>
  <c r="M202" i="8"/>
  <c r="N202" i="8" s="1"/>
  <c r="M203" i="8"/>
  <c r="N203" i="8" s="1"/>
  <c r="M204" i="8"/>
  <c r="N204" i="8" s="1"/>
  <c r="M205" i="8"/>
  <c r="N205" i="8" s="1"/>
  <c r="M206" i="8"/>
  <c r="N206" i="8" s="1"/>
  <c r="M207" i="8"/>
  <c r="N207" i="8" s="1"/>
  <c r="M208" i="8"/>
  <c r="N208" i="8" s="1"/>
  <c r="M209" i="8"/>
  <c r="N209" i="8" s="1"/>
  <c r="M210" i="8"/>
  <c r="N210" i="8" s="1"/>
  <c r="M211" i="8"/>
  <c r="N211" i="8" s="1"/>
  <c r="M212" i="8"/>
  <c r="N212" i="8" s="1"/>
  <c r="M213" i="8"/>
  <c r="N213" i="8" s="1"/>
  <c r="M214" i="8"/>
  <c r="N214" i="8" s="1"/>
  <c r="M215" i="8"/>
  <c r="N215" i="8" s="1"/>
  <c r="M216" i="8"/>
  <c r="N216" i="8" s="1"/>
  <c r="M217" i="8"/>
  <c r="N217" i="8" s="1"/>
  <c r="M218" i="8"/>
  <c r="N218" i="8" s="1"/>
  <c r="M219" i="8"/>
  <c r="N219" i="8" s="1"/>
  <c r="M220" i="8"/>
  <c r="N220" i="8" s="1"/>
  <c r="M221" i="8"/>
  <c r="N221" i="8" s="1"/>
  <c r="M222" i="8"/>
  <c r="N222" i="8" s="1"/>
  <c r="M223" i="8"/>
  <c r="N223" i="8" s="1"/>
  <c r="M224" i="8"/>
  <c r="N224" i="8" s="1"/>
  <c r="M225" i="8"/>
  <c r="N225" i="8" s="1"/>
  <c r="M226" i="8"/>
  <c r="N226" i="8" s="1"/>
  <c r="M227" i="8"/>
  <c r="N227" i="8" s="1"/>
  <c r="M228" i="8"/>
  <c r="N228" i="8" s="1"/>
  <c r="M229" i="8"/>
  <c r="N229" i="8" s="1"/>
  <c r="M230" i="8"/>
  <c r="N230" i="8" s="1"/>
  <c r="M231" i="8"/>
  <c r="N231" i="8" s="1"/>
  <c r="M232" i="8"/>
  <c r="N232" i="8" s="1"/>
  <c r="M233" i="8"/>
  <c r="N233" i="8" s="1"/>
  <c r="M234" i="8"/>
  <c r="N234" i="8" s="1"/>
  <c r="M235" i="8"/>
  <c r="N235" i="8" s="1"/>
  <c r="M236" i="8"/>
  <c r="N236" i="8" s="1"/>
  <c r="M237" i="8"/>
  <c r="N237" i="8" s="1"/>
  <c r="M238" i="8"/>
  <c r="N238" i="8" s="1"/>
  <c r="M239" i="8"/>
  <c r="N239" i="8" s="1"/>
  <c r="M240" i="8"/>
  <c r="N240" i="8" s="1"/>
  <c r="M241" i="8"/>
  <c r="N241" i="8" s="1"/>
  <c r="M242" i="8"/>
  <c r="N242" i="8" s="1"/>
  <c r="M243" i="8"/>
  <c r="N243" i="8" s="1"/>
  <c r="M244" i="8"/>
  <c r="N244" i="8" s="1"/>
  <c r="M245" i="8"/>
  <c r="N245" i="8" s="1"/>
  <c r="M246" i="8"/>
  <c r="N246" i="8" s="1"/>
  <c r="M247" i="8"/>
  <c r="N247" i="8" s="1"/>
  <c r="M248" i="8"/>
  <c r="N248" i="8" s="1"/>
  <c r="M249" i="8"/>
  <c r="N249" i="8" s="1"/>
  <c r="M250" i="8"/>
  <c r="N250" i="8" s="1"/>
  <c r="M251" i="8"/>
  <c r="N251" i="8" s="1"/>
  <c r="M252" i="8"/>
  <c r="N252" i="8" s="1"/>
  <c r="M253" i="8"/>
  <c r="N253" i="8" s="1"/>
  <c r="M254" i="8"/>
  <c r="N254" i="8" s="1"/>
  <c r="M255" i="8"/>
  <c r="N255" i="8" s="1"/>
  <c r="M256" i="8"/>
  <c r="N256" i="8" s="1"/>
  <c r="M257" i="8"/>
  <c r="N257" i="8" s="1"/>
  <c r="M258" i="8"/>
  <c r="N258" i="8" s="1"/>
  <c r="M259" i="8"/>
  <c r="N259" i="8" s="1"/>
  <c r="M260" i="8"/>
  <c r="N260" i="8" s="1"/>
  <c r="M261" i="8"/>
  <c r="N261" i="8" s="1"/>
  <c r="M262" i="8"/>
  <c r="N262" i="8" s="1"/>
  <c r="M263" i="8"/>
  <c r="N263" i="8" s="1"/>
  <c r="M264" i="8"/>
  <c r="N264" i="8" s="1"/>
  <c r="M265" i="8"/>
  <c r="N265" i="8" s="1"/>
  <c r="M266" i="8"/>
  <c r="N266" i="8" s="1"/>
  <c r="M267" i="8"/>
  <c r="N267" i="8" s="1"/>
  <c r="M268" i="8"/>
  <c r="N268" i="8" s="1"/>
  <c r="M269" i="8"/>
  <c r="N269" i="8" s="1"/>
  <c r="M270" i="8"/>
  <c r="N270" i="8" s="1"/>
  <c r="M271" i="8"/>
  <c r="N271" i="8" s="1"/>
  <c r="M272" i="8"/>
  <c r="N272" i="8" s="1"/>
  <c r="M273" i="8"/>
  <c r="N273" i="8" s="1"/>
  <c r="M274" i="8"/>
  <c r="N274" i="8" s="1"/>
  <c r="M275" i="8"/>
  <c r="N275" i="8" s="1"/>
  <c r="M276" i="8"/>
  <c r="N276" i="8" s="1"/>
  <c r="M277" i="8"/>
  <c r="N277" i="8" s="1"/>
  <c r="M278" i="8"/>
  <c r="N278" i="8" s="1"/>
  <c r="M279" i="8"/>
  <c r="N279" i="8" s="1"/>
  <c r="M280" i="8"/>
  <c r="N280" i="8" s="1"/>
  <c r="M281" i="8"/>
  <c r="N281" i="8" s="1"/>
  <c r="M282" i="8"/>
  <c r="N282" i="8" s="1"/>
  <c r="M283" i="8"/>
  <c r="N283" i="8" s="1"/>
  <c r="M284" i="8"/>
  <c r="N284" i="8" s="1"/>
  <c r="M285" i="8"/>
  <c r="N285" i="8" s="1"/>
  <c r="M286" i="8"/>
  <c r="N286" i="8" s="1"/>
  <c r="M287" i="8"/>
  <c r="N287" i="8" s="1"/>
  <c r="M288" i="8"/>
  <c r="N288" i="8" s="1"/>
  <c r="M289" i="8"/>
  <c r="N289" i="8" s="1"/>
  <c r="M290" i="8"/>
  <c r="N290" i="8" s="1"/>
  <c r="M291" i="8"/>
  <c r="N291" i="8" s="1"/>
  <c r="M292" i="8"/>
  <c r="N292" i="8" s="1"/>
  <c r="M293" i="8"/>
  <c r="N293" i="8" s="1"/>
  <c r="M294" i="8"/>
  <c r="N294" i="8" s="1"/>
  <c r="M295" i="8"/>
  <c r="N295" i="8" s="1"/>
  <c r="M296" i="8"/>
  <c r="N296" i="8" s="1"/>
  <c r="M297" i="8"/>
  <c r="N297" i="8" s="1"/>
  <c r="M298" i="8"/>
  <c r="N298" i="8" s="1"/>
  <c r="M299" i="8"/>
  <c r="N299" i="8" s="1"/>
  <c r="M300" i="8"/>
  <c r="N300" i="8" s="1"/>
  <c r="M301" i="8"/>
  <c r="N301" i="8" s="1"/>
  <c r="M302" i="8"/>
  <c r="N302" i="8" s="1"/>
  <c r="M303" i="8"/>
  <c r="N303" i="8" s="1"/>
  <c r="M304" i="8"/>
  <c r="N304" i="8" s="1"/>
  <c r="M305" i="8"/>
  <c r="N305" i="8" s="1"/>
  <c r="M306" i="8"/>
  <c r="N306" i="8" s="1"/>
  <c r="M307" i="8"/>
  <c r="N307" i="8" s="1"/>
  <c r="M308" i="8"/>
  <c r="N308" i="8" s="1"/>
  <c r="M309" i="8"/>
  <c r="N309" i="8" s="1"/>
  <c r="M310" i="8"/>
  <c r="N310" i="8" s="1"/>
  <c r="M311" i="8"/>
  <c r="N311" i="8" s="1"/>
  <c r="M312" i="8"/>
  <c r="N312" i="8" s="1"/>
  <c r="M313" i="8"/>
  <c r="N313" i="8" s="1"/>
  <c r="M314" i="8"/>
  <c r="N314" i="8" s="1"/>
  <c r="M315" i="8"/>
  <c r="N315" i="8" s="1"/>
  <c r="M316" i="8"/>
  <c r="N316" i="8" s="1"/>
  <c r="M317" i="8"/>
  <c r="N317" i="8" s="1"/>
  <c r="M318" i="8"/>
  <c r="N318" i="8" s="1"/>
  <c r="M319" i="8"/>
  <c r="N319" i="8" s="1"/>
  <c r="M320" i="8"/>
  <c r="N320" i="8" s="1"/>
  <c r="M321" i="8"/>
  <c r="N321" i="8" s="1"/>
  <c r="M322" i="8"/>
  <c r="N322" i="8" s="1"/>
  <c r="M323" i="8"/>
  <c r="N323" i="8" s="1"/>
  <c r="M324" i="8"/>
  <c r="N324" i="8" s="1"/>
  <c r="M325" i="8"/>
  <c r="N325" i="8" s="1"/>
  <c r="M326" i="8"/>
  <c r="N326" i="8" s="1"/>
  <c r="M327" i="8"/>
  <c r="N327" i="8" s="1"/>
  <c r="M328" i="8"/>
  <c r="N328" i="8" s="1"/>
  <c r="M329" i="8"/>
  <c r="N329" i="8" s="1"/>
  <c r="M330" i="8"/>
  <c r="N330" i="8" s="1"/>
  <c r="M331" i="8"/>
  <c r="N331" i="8" s="1"/>
  <c r="M332" i="8"/>
  <c r="N332" i="8" s="1"/>
  <c r="M333" i="8"/>
  <c r="N333" i="8" s="1"/>
  <c r="M334" i="8"/>
  <c r="N334" i="8" s="1"/>
  <c r="M335" i="8"/>
  <c r="N335" i="8" s="1"/>
  <c r="M336" i="8"/>
  <c r="N336" i="8" s="1"/>
  <c r="M337" i="8"/>
  <c r="N337" i="8" s="1"/>
  <c r="M338" i="8"/>
  <c r="N338" i="8" s="1"/>
  <c r="M339" i="8"/>
  <c r="N339" i="8" s="1"/>
  <c r="M340" i="8"/>
  <c r="N340" i="8" s="1"/>
  <c r="M341" i="8"/>
  <c r="N341" i="8" s="1"/>
  <c r="M342" i="8"/>
  <c r="N342" i="8" s="1"/>
  <c r="M343" i="8"/>
  <c r="N343" i="8" s="1"/>
  <c r="M344" i="8"/>
  <c r="N344" i="8" s="1"/>
  <c r="M345" i="8"/>
  <c r="N345" i="8" s="1"/>
  <c r="M346" i="8"/>
  <c r="N346" i="8" s="1"/>
  <c r="M347" i="8"/>
  <c r="N347" i="8" s="1"/>
  <c r="M348" i="8"/>
  <c r="N348" i="8" s="1"/>
  <c r="M349" i="8"/>
  <c r="N349" i="8" s="1"/>
  <c r="M350" i="8"/>
  <c r="N350" i="8" s="1"/>
  <c r="M351" i="8"/>
  <c r="N351" i="8" s="1"/>
  <c r="M352" i="8"/>
  <c r="N352" i="8" s="1"/>
  <c r="M353" i="8"/>
  <c r="N353" i="8" s="1"/>
  <c r="M354" i="8"/>
  <c r="N354" i="8" s="1"/>
  <c r="M355" i="8"/>
  <c r="N355" i="8" s="1"/>
  <c r="M356" i="8"/>
  <c r="N356" i="8" s="1"/>
  <c r="M357" i="8"/>
  <c r="N357" i="8" s="1"/>
  <c r="M358" i="8"/>
  <c r="N358" i="8" s="1"/>
  <c r="M359" i="8"/>
  <c r="N359" i="8" s="1"/>
  <c r="M360" i="8"/>
  <c r="N360" i="8" s="1"/>
  <c r="M361" i="8"/>
  <c r="N361" i="8" s="1"/>
  <c r="M362" i="8"/>
  <c r="N362" i="8" s="1"/>
  <c r="M363" i="8"/>
  <c r="N363" i="8" s="1"/>
  <c r="M364" i="8"/>
  <c r="N364" i="8" s="1"/>
  <c r="M365" i="8"/>
  <c r="N365" i="8" s="1"/>
  <c r="M366" i="8"/>
  <c r="N366" i="8" s="1"/>
  <c r="M367" i="8"/>
  <c r="N367" i="8" s="1"/>
  <c r="M368" i="8"/>
  <c r="N368" i="8" s="1"/>
  <c r="M369" i="8"/>
  <c r="N369" i="8" s="1"/>
  <c r="M370" i="8"/>
  <c r="N370" i="8" s="1"/>
  <c r="M371" i="8"/>
  <c r="N371" i="8" s="1"/>
  <c r="M372" i="8"/>
  <c r="N372" i="8" s="1"/>
  <c r="M373" i="8"/>
  <c r="N373" i="8" s="1"/>
  <c r="M374" i="8"/>
  <c r="N374" i="8" s="1"/>
  <c r="M375" i="8"/>
  <c r="N375" i="8" s="1"/>
  <c r="M376" i="8"/>
  <c r="N376" i="8" s="1"/>
  <c r="M377" i="8"/>
  <c r="N377" i="8" s="1"/>
  <c r="M378" i="8"/>
  <c r="N378" i="8" s="1"/>
  <c r="M379" i="8"/>
  <c r="N379" i="8" s="1"/>
  <c r="M380" i="8"/>
  <c r="N380" i="8" s="1"/>
  <c r="M381" i="8"/>
  <c r="N381" i="8" s="1"/>
  <c r="M382" i="8"/>
  <c r="N382" i="8" s="1"/>
  <c r="M383" i="8"/>
  <c r="N383" i="8" s="1"/>
  <c r="M384" i="8"/>
  <c r="N384" i="8" s="1"/>
  <c r="M385" i="8"/>
  <c r="N385" i="8" s="1"/>
  <c r="M386" i="8"/>
  <c r="N386" i="8" s="1"/>
  <c r="M387" i="8"/>
  <c r="N387" i="8" s="1"/>
  <c r="M388" i="8"/>
  <c r="N388" i="8" s="1"/>
  <c r="M389" i="8"/>
  <c r="N389" i="8" s="1"/>
  <c r="M390" i="8"/>
  <c r="N390" i="8" s="1"/>
  <c r="M391" i="8"/>
  <c r="N391" i="8" s="1"/>
  <c r="M392" i="8"/>
  <c r="N392" i="8" s="1"/>
  <c r="M393" i="8"/>
  <c r="N393" i="8" s="1"/>
  <c r="M394" i="8"/>
  <c r="N394" i="8" s="1"/>
  <c r="M395" i="8"/>
  <c r="N395" i="8" s="1"/>
  <c r="M396" i="8"/>
  <c r="N396" i="8" s="1"/>
  <c r="M397" i="8"/>
  <c r="N397" i="8" s="1"/>
  <c r="M398" i="8"/>
  <c r="N398" i="8" s="1"/>
  <c r="M399" i="8"/>
  <c r="N399" i="8" s="1"/>
  <c r="M400" i="8"/>
  <c r="N400" i="8" s="1"/>
  <c r="M401" i="8"/>
  <c r="N401" i="8" s="1"/>
  <c r="M402" i="8"/>
  <c r="N402" i="8" s="1"/>
  <c r="M403" i="8"/>
  <c r="N403" i="8" s="1"/>
  <c r="M404" i="8"/>
  <c r="N404" i="8" s="1"/>
  <c r="M405" i="8"/>
  <c r="N405" i="8" s="1"/>
  <c r="M406" i="8"/>
  <c r="N406" i="8" s="1"/>
  <c r="M407" i="8"/>
  <c r="N407" i="8" s="1"/>
  <c r="M408" i="8"/>
  <c r="N408" i="8" s="1"/>
  <c r="M409" i="8"/>
  <c r="N409" i="8" s="1"/>
  <c r="M410" i="8"/>
  <c r="N410" i="8" s="1"/>
  <c r="M411" i="8"/>
  <c r="N411" i="8" s="1"/>
  <c r="M412" i="8"/>
  <c r="N412" i="8" s="1"/>
  <c r="M413" i="8"/>
  <c r="N413" i="8" s="1"/>
  <c r="M414" i="8"/>
  <c r="N414" i="8" s="1"/>
  <c r="M415" i="8"/>
  <c r="N415" i="8" s="1"/>
  <c r="M416" i="8"/>
  <c r="N416" i="8" s="1"/>
  <c r="M417" i="8"/>
  <c r="N417" i="8" s="1"/>
  <c r="M418" i="8"/>
  <c r="N418" i="8" s="1"/>
  <c r="M419" i="8"/>
  <c r="N419" i="8" s="1"/>
  <c r="M420" i="8"/>
  <c r="N420" i="8" s="1"/>
  <c r="M421" i="8"/>
  <c r="N421" i="8" s="1"/>
  <c r="M422" i="8"/>
  <c r="N422" i="8" s="1"/>
  <c r="M423" i="8"/>
  <c r="N423" i="8" s="1"/>
  <c r="M424" i="8"/>
  <c r="N424" i="8" s="1"/>
  <c r="M425" i="8"/>
  <c r="N425" i="8" s="1"/>
  <c r="M426" i="8"/>
  <c r="N426" i="8" s="1"/>
  <c r="M427" i="8"/>
  <c r="N427" i="8" s="1"/>
  <c r="M428" i="8"/>
  <c r="N428" i="8" s="1"/>
  <c r="M429" i="8"/>
  <c r="N429" i="8" s="1"/>
  <c r="M430" i="8"/>
  <c r="N430" i="8" s="1"/>
  <c r="M431" i="8"/>
  <c r="N431" i="8" s="1"/>
  <c r="M432" i="8"/>
  <c r="N432" i="8" s="1"/>
  <c r="M433" i="8"/>
  <c r="N433" i="8" s="1"/>
  <c r="M434" i="8"/>
  <c r="N434" i="8" s="1"/>
  <c r="M435" i="8"/>
  <c r="N435" i="8" s="1"/>
  <c r="M436" i="8"/>
  <c r="N436" i="8" s="1"/>
  <c r="M437" i="8"/>
  <c r="N437" i="8" s="1"/>
  <c r="M438" i="8"/>
  <c r="N438" i="8" s="1"/>
  <c r="M439" i="8"/>
  <c r="N439" i="8" s="1"/>
  <c r="M440" i="8"/>
  <c r="N440" i="8" s="1"/>
  <c r="M441" i="8"/>
  <c r="N441" i="8" s="1"/>
  <c r="M442" i="8"/>
  <c r="N442" i="8" s="1"/>
  <c r="M443" i="8"/>
  <c r="N443" i="8" s="1"/>
  <c r="M444" i="8"/>
  <c r="N444" i="8" s="1"/>
  <c r="M445" i="8"/>
  <c r="N445" i="8" s="1"/>
  <c r="M446" i="8"/>
  <c r="N446" i="8" s="1"/>
  <c r="M447" i="8"/>
  <c r="N447" i="8" s="1"/>
  <c r="M448" i="8"/>
  <c r="N448" i="8" s="1"/>
  <c r="M449" i="8"/>
  <c r="N449" i="8" s="1"/>
  <c r="M450" i="8"/>
  <c r="N450" i="8" s="1"/>
  <c r="M451" i="8"/>
  <c r="N451" i="8" s="1"/>
  <c r="M452" i="8"/>
  <c r="N452" i="8" s="1"/>
  <c r="M453" i="8"/>
  <c r="N453" i="8" s="1"/>
  <c r="M454" i="8"/>
  <c r="N454" i="8" s="1"/>
  <c r="M455" i="8"/>
  <c r="N455" i="8" s="1"/>
  <c r="M456" i="8"/>
  <c r="N456" i="8" s="1"/>
  <c r="M457" i="8"/>
  <c r="N457" i="8" s="1"/>
  <c r="M458" i="8"/>
  <c r="N458" i="8" s="1"/>
  <c r="M459" i="8"/>
  <c r="N459" i="8" s="1"/>
  <c r="M460" i="8"/>
  <c r="N460" i="8" s="1"/>
  <c r="M461" i="8"/>
  <c r="N461" i="8" s="1"/>
  <c r="M462" i="8"/>
  <c r="N462" i="8" s="1"/>
  <c r="M463" i="8"/>
  <c r="N463" i="8" s="1"/>
  <c r="M464" i="8"/>
  <c r="N464" i="8" s="1"/>
  <c r="M465" i="8"/>
  <c r="N465" i="8" s="1"/>
  <c r="M466" i="8"/>
  <c r="N466" i="8" s="1"/>
  <c r="M467" i="8"/>
  <c r="N467" i="8" s="1"/>
  <c r="M468" i="8"/>
  <c r="N468" i="8" s="1"/>
  <c r="M469" i="8"/>
  <c r="N469" i="8" s="1"/>
  <c r="M470" i="8"/>
  <c r="N470" i="8" s="1"/>
  <c r="M471" i="8"/>
  <c r="N471" i="8" s="1"/>
  <c r="M472" i="8"/>
  <c r="N472" i="8" s="1"/>
  <c r="M473" i="8"/>
  <c r="N473" i="8" s="1"/>
  <c r="M474" i="8"/>
  <c r="N474" i="8" s="1"/>
  <c r="M475" i="8"/>
  <c r="N475" i="8" s="1"/>
  <c r="M476" i="8"/>
  <c r="N476" i="8" s="1"/>
  <c r="M477" i="8"/>
  <c r="N477" i="8" s="1"/>
  <c r="M478" i="8"/>
  <c r="N478" i="8" s="1"/>
  <c r="M479" i="8"/>
  <c r="N479" i="8" s="1"/>
  <c r="M480" i="8"/>
  <c r="N480" i="8" s="1"/>
  <c r="M481" i="8"/>
  <c r="N481" i="8" s="1"/>
  <c r="M482" i="8"/>
  <c r="N482" i="8" s="1"/>
  <c r="M483" i="8"/>
  <c r="N483" i="8" s="1"/>
  <c r="M484" i="8"/>
  <c r="N484" i="8" s="1"/>
  <c r="M485" i="8"/>
  <c r="N485" i="8" s="1"/>
  <c r="M486" i="8"/>
  <c r="N486" i="8" s="1"/>
  <c r="M487" i="8"/>
  <c r="N487" i="8" s="1"/>
  <c r="M488" i="8"/>
  <c r="N488" i="8" s="1"/>
  <c r="M489" i="8"/>
  <c r="N489" i="8" s="1"/>
  <c r="M490" i="8"/>
  <c r="N490" i="8" s="1"/>
  <c r="M491" i="8"/>
  <c r="N491" i="8" s="1"/>
  <c r="M492" i="8"/>
  <c r="N492" i="8" s="1"/>
  <c r="M493" i="8"/>
  <c r="N493" i="8" s="1"/>
  <c r="M494" i="8"/>
  <c r="N494" i="8" s="1"/>
  <c r="M495" i="8"/>
  <c r="N495" i="8" s="1"/>
  <c r="M496" i="8"/>
  <c r="N496" i="8" s="1"/>
  <c r="M497" i="8"/>
  <c r="N497" i="8" s="1"/>
  <c r="M498" i="8"/>
  <c r="N498" i="8" s="1"/>
  <c r="M499" i="8"/>
  <c r="N499" i="8" s="1"/>
  <c r="M500" i="8"/>
  <c r="N500" i="8" s="1"/>
  <c r="M501" i="8"/>
  <c r="N501" i="8" s="1"/>
  <c r="M502" i="8"/>
  <c r="N502" i="8" s="1"/>
  <c r="M503" i="8"/>
  <c r="N503" i="8" s="1"/>
  <c r="M504" i="8"/>
  <c r="N504" i="8" s="1"/>
  <c r="M505" i="8"/>
  <c r="N505" i="8" s="1"/>
  <c r="M506" i="8"/>
  <c r="N506" i="8" s="1"/>
  <c r="M507" i="8"/>
  <c r="N507" i="8" s="1"/>
  <c r="M508" i="8"/>
  <c r="N508" i="8" s="1"/>
  <c r="M509" i="8"/>
  <c r="N509" i="8" s="1"/>
  <c r="M510" i="8"/>
  <c r="N510" i="8" s="1"/>
  <c r="M511" i="8"/>
  <c r="N511" i="8" s="1"/>
  <c r="M512" i="8"/>
  <c r="N512" i="8" s="1"/>
  <c r="M513" i="8"/>
  <c r="N513" i="8" s="1"/>
  <c r="M514" i="8"/>
  <c r="N514" i="8" s="1"/>
  <c r="M515" i="8"/>
  <c r="N515" i="8" s="1"/>
  <c r="M516" i="8"/>
  <c r="N516" i="8" s="1"/>
  <c r="M517" i="8"/>
  <c r="N517" i="8" s="1"/>
  <c r="M518" i="8"/>
  <c r="N518" i="8" s="1"/>
  <c r="M519" i="8"/>
  <c r="N519" i="8" s="1"/>
  <c r="M520" i="8"/>
  <c r="N520" i="8" s="1"/>
  <c r="M521" i="8"/>
  <c r="N521" i="8" s="1"/>
  <c r="M522" i="8"/>
  <c r="N522" i="8" s="1"/>
  <c r="M523" i="8"/>
  <c r="N523" i="8" s="1"/>
  <c r="M524" i="8"/>
  <c r="N524" i="8" s="1"/>
  <c r="M525" i="8"/>
  <c r="N525" i="8" s="1"/>
  <c r="M526" i="8"/>
  <c r="N526" i="8" s="1"/>
  <c r="M527" i="8"/>
  <c r="N527" i="8" s="1"/>
  <c r="M528" i="8"/>
  <c r="N528" i="8" s="1"/>
  <c r="M529" i="8"/>
  <c r="N529" i="8" s="1"/>
  <c r="M530" i="8"/>
  <c r="N530" i="8" s="1"/>
  <c r="M531" i="8"/>
  <c r="N531" i="8" s="1"/>
  <c r="M532" i="8"/>
  <c r="N532" i="8" s="1"/>
  <c r="M533" i="8"/>
  <c r="N533" i="8" s="1"/>
  <c r="M534" i="8"/>
  <c r="N534" i="8" s="1"/>
  <c r="M535" i="8"/>
  <c r="N535" i="8" s="1"/>
  <c r="M536" i="8"/>
  <c r="N536" i="8" s="1"/>
  <c r="M537" i="8"/>
  <c r="N537" i="8" s="1"/>
  <c r="M538" i="8"/>
  <c r="N538" i="8" s="1"/>
  <c r="M539" i="8"/>
  <c r="N539" i="8" s="1"/>
  <c r="M540" i="8"/>
  <c r="N540" i="8" s="1"/>
  <c r="M541" i="8"/>
  <c r="N541" i="8" s="1"/>
  <c r="M542" i="8"/>
  <c r="N542" i="8" s="1"/>
  <c r="M543" i="8"/>
  <c r="N543" i="8" s="1"/>
  <c r="M544" i="8"/>
  <c r="N544" i="8" s="1"/>
  <c r="M545" i="8"/>
  <c r="N545" i="8" s="1"/>
  <c r="M546" i="8"/>
  <c r="N546" i="8" s="1"/>
  <c r="M547" i="8"/>
  <c r="N547" i="8" s="1"/>
  <c r="M548" i="8"/>
  <c r="N548" i="8" s="1"/>
  <c r="M549" i="8"/>
  <c r="N549" i="8" s="1"/>
  <c r="M550" i="8"/>
  <c r="N550" i="8" s="1"/>
  <c r="M551" i="8"/>
  <c r="N551" i="8" s="1"/>
  <c r="M552" i="8"/>
  <c r="N552" i="8" s="1"/>
  <c r="M553" i="8"/>
  <c r="N553" i="8" s="1"/>
  <c r="M554" i="8"/>
  <c r="N554" i="8" s="1"/>
  <c r="M555" i="8"/>
  <c r="N555" i="8" s="1"/>
  <c r="M556" i="8"/>
  <c r="N556" i="8" s="1"/>
  <c r="M557" i="8"/>
  <c r="N557" i="8" s="1"/>
  <c r="M558" i="8"/>
  <c r="N558" i="8" s="1"/>
  <c r="M559" i="8"/>
  <c r="N559" i="8" s="1"/>
  <c r="M560" i="8"/>
  <c r="N560" i="8" s="1"/>
  <c r="M561" i="8"/>
  <c r="N561" i="8" s="1"/>
  <c r="M562" i="8"/>
  <c r="N562" i="8" s="1"/>
  <c r="M563" i="8"/>
  <c r="N563" i="8" s="1"/>
  <c r="M564" i="8"/>
  <c r="N564" i="8" s="1"/>
  <c r="M565" i="8"/>
  <c r="N565" i="8" s="1"/>
  <c r="M566" i="8"/>
  <c r="N566" i="8" s="1"/>
  <c r="M567" i="8"/>
  <c r="N567" i="8" s="1"/>
  <c r="M568" i="8"/>
  <c r="N568" i="8" s="1"/>
  <c r="M569" i="8"/>
  <c r="N569" i="8" s="1"/>
  <c r="M570" i="8"/>
  <c r="N570" i="8" s="1"/>
  <c r="M571" i="8"/>
  <c r="N571" i="8" s="1"/>
  <c r="M572" i="8"/>
  <c r="N572" i="8" s="1"/>
  <c r="M573" i="8"/>
  <c r="N573" i="8" s="1"/>
  <c r="M574" i="8"/>
  <c r="N574" i="8" s="1"/>
  <c r="M575" i="8"/>
  <c r="N575" i="8" s="1"/>
  <c r="M576" i="8"/>
  <c r="N576" i="8" s="1"/>
  <c r="M577" i="8"/>
  <c r="N577" i="8" s="1"/>
  <c r="M578" i="8"/>
  <c r="N578" i="8" s="1"/>
  <c r="M579" i="8"/>
  <c r="N579" i="8" s="1"/>
  <c r="M580" i="8"/>
  <c r="N580" i="8" s="1"/>
  <c r="M581" i="8"/>
  <c r="N581" i="8" s="1"/>
  <c r="M582" i="8"/>
  <c r="N582" i="8" s="1"/>
  <c r="M583" i="8"/>
  <c r="N583" i="8" s="1"/>
  <c r="M584" i="8"/>
  <c r="N584" i="8" s="1"/>
  <c r="M585" i="8"/>
  <c r="N585" i="8" s="1"/>
  <c r="M586" i="8"/>
  <c r="N586" i="8" s="1"/>
  <c r="M587" i="8"/>
  <c r="N587" i="8" s="1"/>
  <c r="M588" i="8"/>
  <c r="N588" i="8" s="1"/>
  <c r="M589" i="8"/>
  <c r="N589" i="8" s="1"/>
  <c r="M590" i="8"/>
  <c r="N590" i="8" s="1"/>
  <c r="M591" i="8"/>
  <c r="N591" i="8" s="1"/>
  <c r="M592" i="8"/>
  <c r="N592" i="8" s="1"/>
  <c r="M593" i="8"/>
  <c r="N593" i="8" s="1"/>
  <c r="M594" i="8"/>
  <c r="N594" i="8" s="1"/>
  <c r="M595" i="8"/>
  <c r="N595" i="8" s="1"/>
  <c r="M596" i="8"/>
  <c r="N596" i="8" s="1"/>
  <c r="M597" i="8"/>
  <c r="N597" i="8" s="1"/>
  <c r="M598" i="8"/>
  <c r="N598" i="8" s="1"/>
  <c r="M599" i="8"/>
  <c r="N599" i="8" s="1"/>
  <c r="M600" i="8"/>
  <c r="N600" i="8" s="1"/>
  <c r="M601" i="8"/>
  <c r="N601" i="8" s="1"/>
  <c r="M602" i="8"/>
  <c r="N602" i="8" s="1"/>
  <c r="M603" i="8"/>
  <c r="N603" i="8" s="1"/>
  <c r="M604" i="8"/>
  <c r="N604" i="8" s="1"/>
  <c r="M605" i="8"/>
  <c r="N605" i="8" s="1"/>
  <c r="M606" i="8"/>
  <c r="N606" i="8" s="1"/>
  <c r="M607" i="8"/>
  <c r="N607" i="8" s="1"/>
  <c r="M608" i="8"/>
  <c r="N608" i="8" s="1"/>
  <c r="M609" i="8"/>
  <c r="N609" i="8" s="1"/>
  <c r="M610" i="8"/>
  <c r="N610" i="8" s="1"/>
  <c r="M611" i="8"/>
  <c r="N611" i="8" s="1"/>
  <c r="M612" i="8"/>
  <c r="N612" i="8" s="1"/>
  <c r="M613" i="8"/>
  <c r="N613" i="8" s="1"/>
  <c r="M614" i="8"/>
  <c r="N614" i="8" s="1"/>
  <c r="M615" i="8"/>
  <c r="N615" i="8" s="1"/>
  <c r="M616" i="8"/>
  <c r="N616" i="8" s="1"/>
  <c r="M617" i="8"/>
  <c r="N617" i="8" s="1"/>
  <c r="M618" i="8"/>
  <c r="N618" i="8" s="1"/>
  <c r="M619" i="8"/>
  <c r="N619" i="8" s="1"/>
  <c r="M620" i="8"/>
  <c r="N620" i="8" s="1"/>
  <c r="M621" i="8"/>
  <c r="N621" i="8" s="1"/>
  <c r="M622" i="8"/>
  <c r="N622" i="8" s="1"/>
  <c r="M623" i="8"/>
  <c r="N623" i="8" s="1"/>
  <c r="M624" i="8"/>
  <c r="N624" i="8" s="1"/>
  <c r="M625" i="8"/>
  <c r="N625" i="8" s="1"/>
  <c r="M626" i="8"/>
  <c r="N626" i="8" s="1"/>
  <c r="M627" i="8"/>
  <c r="N627" i="8" s="1"/>
  <c r="M628" i="8"/>
  <c r="N628" i="8" s="1"/>
  <c r="M629" i="8"/>
  <c r="N629" i="8" s="1"/>
  <c r="M630" i="8"/>
  <c r="N630" i="8" s="1"/>
  <c r="M631" i="8"/>
  <c r="N631" i="8" s="1"/>
  <c r="M632" i="8"/>
  <c r="N632" i="8" s="1"/>
  <c r="M633" i="8"/>
  <c r="N633" i="8" s="1"/>
  <c r="M634" i="8"/>
  <c r="N634" i="8" s="1"/>
  <c r="M635" i="8"/>
  <c r="N635" i="8" s="1"/>
  <c r="M636" i="8"/>
  <c r="N636" i="8" s="1"/>
  <c r="M637" i="8"/>
  <c r="N637" i="8" s="1"/>
  <c r="M638" i="8"/>
  <c r="N638" i="8" s="1"/>
  <c r="M639" i="8"/>
  <c r="N639" i="8" s="1"/>
  <c r="M640" i="8"/>
  <c r="N640" i="8" s="1"/>
  <c r="M641" i="8"/>
  <c r="N641" i="8" s="1"/>
  <c r="M642" i="8"/>
  <c r="N642" i="8" s="1"/>
  <c r="M643" i="8"/>
  <c r="N643" i="8" s="1"/>
  <c r="M644" i="8"/>
  <c r="N644" i="8" s="1"/>
  <c r="M645" i="8"/>
  <c r="N645" i="8" s="1"/>
  <c r="M646" i="8"/>
  <c r="N646" i="8" s="1"/>
  <c r="M647" i="8"/>
  <c r="N647" i="8" s="1"/>
  <c r="M648" i="8"/>
  <c r="N648" i="8" s="1"/>
  <c r="M649" i="8"/>
  <c r="N649" i="8" s="1"/>
  <c r="M650" i="8"/>
  <c r="N650" i="8" s="1"/>
  <c r="M651" i="8"/>
  <c r="N651" i="8" s="1"/>
  <c r="M652" i="8"/>
  <c r="N652" i="8" s="1"/>
  <c r="M653" i="8"/>
  <c r="N653" i="8" s="1"/>
  <c r="M654" i="8"/>
  <c r="N654" i="8" s="1"/>
  <c r="M655" i="8"/>
  <c r="N655" i="8" s="1"/>
  <c r="M656" i="8"/>
  <c r="N656" i="8" s="1"/>
  <c r="M657" i="8"/>
  <c r="N657" i="8" s="1"/>
  <c r="M658" i="8"/>
  <c r="N658" i="8" s="1"/>
  <c r="M659" i="8"/>
  <c r="N659" i="8" s="1"/>
  <c r="M660" i="8"/>
  <c r="N660" i="8" s="1"/>
  <c r="M661" i="8"/>
  <c r="N661" i="8" s="1"/>
  <c r="M662" i="8"/>
  <c r="N662" i="8" s="1"/>
  <c r="M663" i="8"/>
  <c r="N663" i="8" s="1"/>
  <c r="M664" i="8"/>
  <c r="N664" i="8" s="1"/>
  <c r="M665" i="8"/>
  <c r="N665" i="8" s="1"/>
  <c r="M666" i="8"/>
  <c r="N666" i="8" s="1"/>
  <c r="M667" i="8"/>
  <c r="N667" i="8" s="1"/>
  <c r="M668" i="8"/>
  <c r="N668" i="8" s="1"/>
  <c r="M669" i="8"/>
  <c r="N669" i="8" s="1"/>
  <c r="M670" i="8"/>
  <c r="N670" i="8" s="1"/>
  <c r="M671" i="8"/>
  <c r="N671" i="8" s="1"/>
  <c r="M672" i="8"/>
  <c r="N672" i="8" s="1"/>
  <c r="M673" i="8"/>
  <c r="N673" i="8" s="1"/>
  <c r="M674" i="8"/>
  <c r="N674" i="8" s="1"/>
  <c r="M675" i="8"/>
  <c r="N675" i="8" s="1"/>
  <c r="M676" i="8"/>
  <c r="N676" i="8" s="1"/>
  <c r="M677" i="8"/>
  <c r="N677" i="8" s="1"/>
  <c r="M678" i="8"/>
  <c r="N678" i="8" s="1"/>
  <c r="M679" i="8"/>
  <c r="N679" i="8" s="1"/>
  <c r="M680" i="8"/>
  <c r="N680" i="8" s="1"/>
  <c r="M681" i="8"/>
  <c r="N681" i="8" s="1"/>
  <c r="M682" i="8"/>
  <c r="N682" i="8" s="1"/>
  <c r="M683" i="8"/>
  <c r="N683" i="8" s="1"/>
  <c r="M684" i="8"/>
  <c r="N684" i="8" s="1"/>
  <c r="M685" i="8"/>
  <c r="N685" i="8" s="1"/>
  <c r="M686" i="8"/>
  <c r="N686" i="8" s="1"/>
  <c r="M687" i="8"/>
  <c r="N687" i="8" s="1"/>
  <c r="M688" i="8"/>
  <c r="N688" i="8" s="1"/>
  <c r="M689" i="8"/>
  <c r="N689" i="8" s="1"/>
  <c r="M690" i="8"/>
  <c r="N690" i="8" s="1"/>
  <c r="M691" i="8"/>
  <c r="N691" i="8" s="1"/>
  <c r="M692" i="8"/>
  <c r="N692" i="8" s="1"/>
  <c r="M693" i="8"/>
  <c r="N693" i="8" s="1"/>
  <c r="M694" i="8"/>
  <c r="N694" i="8" s="1"/>
  <c r="M695" i="8"/>
  <c r="N695" i="8" s="1"/>
  <c r="M696" i="8"/>
  <c r="N696" i="8" s="1"/>
  <c r="M697" i="8"/>
  <c r="N697" i="8" s="1"/>
  <c r="M698" i="8"/>
  <c r="N698" i="8" s="1"/>
  <c r="M699" i="8"/>
  <c r="N699" i="8" s="1"/>
  <c r="M700" i="8"/>
  <c r="N700" i="8" s="1"/>
  <c r="M701" i="8"/>
  <c r="N701" i="8" s="1"/>
  <c r="M702" i="8"/>
  <c r="N702" i="8" s="1"/>
  <c r="M703" i="8"/>
  <c r="N703" i="8" s="1"/>
  <c r="M704" i="8"/>
  <c r="N704" i="8" s="1"/>
  <c r="M705" i="8"/>
  <c r="N705" i="8" s="1"/>
  <c r="M706" i="8"/>
  <c r="N706" i="8" s="1"/>
  <c r="M707" i="8"/>
  <c r="N707" i="8" s="1"/>
  <c r="M708" i="8"/>
  <c r="N708" i="8" s="1"/>
  <c r="M709" i="8"/>
  <c r="N709" i="8" s="1"/>
  <c r="M710" i="8"/>
  <c r="N710" i="8" s="1"/>
  <c r="M711" i="8"/>
  <c r="N711" i="8" s="1"/>
  <c r="M712" i="8"/>
  <c r="N712" i="8" s="1"/>
  <c r="M713" i="8"/>
  <c r="N713" i="8" s="1"/>
  <c r="M714" i="8"/>
  <c r="N714" i="8" s="1"/>
  <c r="M715" i="8"/>
  <c r="N715" i="8" s="1"/>
  <c r="M716" i="8"/>
  <c r="N716" i="8" s="1"/>
  <c r="M717" i="8"/>
  <c r="N717" i="8" s="1"/>
  <c r="M718" i="8"/>
  <c r="N718" i="8" s="1"/>
  <c r="M719" i="8"/>
  <c r="N719" i="8" s="1"/>
  <c r="M720" i="8"/>
  <c r="N720" i="8" s="1"/>
  <c r="M721" i="8"/>
  <c r="N721" i="8" s="1"/>
  <c r="M722" i="8"/>
  <c r="N722" i="8" s="1"/>
  <c r="M723" i="8"/>
  <c r="N723" i="8" s="1"/>
  <c r="M724" i="8"/>
  <c r="N724" i="8" s="1"/>
  <c r="M725" i="8"/>
  <c r="N725" i="8" s="1"/>
  <c r="M726" i="8"/>
  <c r="N726" i="8" s="1"/>
  <c r="M727" i="8"/>
  <c r="N727" i="8" s="1"/>
  <c r="M728" i="8"/>
  <c r="N728" i="8" s="1"/>
  <c r="M729" i="8"/>
  <c r="N729" i="8" s="1"/>
  <c r="M730" i="8"/>
  <c r="N730" i="8" s="1"/>
  <c r="M731" i="8"/>
  <c r="N731" i="8" s="1"/>
  <c r="M732" i="8"/>
  <c r="N732" i="8" s="1"/>
  <c r="M733" i="8"/>
  <c r="N733" i="8" s="1"/>
  <c r="M734" i="8"/>
  <c r="N734" i="8" s="1"/>
  <c r="M735" i="8"/>
  <c r="N735" i="8" s="1"/>
  <c r="M736" i="8"/>
  <c r="N736" i="8" s="1"/>
  <c r="M737" i="8"/>
  <c r="N737" i="8" s="1"/>
  <c r="M738" i="8"/>
  <c r="N738" i="8" s="1"/>
  <c r="M739" i="8"/>
  <c r="N739" i="8" s="1"/>
  <c r="M740" i="8"/>
  <c r="N740" i="8" s="1"/>
  <c r="M741" i="8"/>
  <c r="N741" i="8" s="1"/>
  <c r="M742" i="8"/>
  <c r="N742" i="8" s="1"/>
  <c r="M743" i="8"/>
  <c r="N743" i="8" s="1"/>
  <c r="M744" i="8"/>
  <c r="N744" i="8" s="1"/>
  <c r="M745" i="8"/>
  <c r="N745" i="8" s="1"/>
  <c r="M746" i="8"/>
  <c r="N746" i="8" s="1"/>
  <c r="M747" i="8"/>
  <c r="N747" i="8" s="1"/>
  <c r="M748" i="8"/>
  <c r="N748" i="8" s="1"/>
  <c r="M749" i="8"/>
  <c r="N749" i="8" s="1"/>
  <c r="M750" i="8"/>
  <c r="N750" i="8" s="1"/>
  <c r="M751" i="8"/>
  <c r="N751" i="8" s="1"/>
  <c r="M752" i="8"/>
  <c r="N752" i="8" s="1"/>
  <c r="M753" i="8"/>
  <c r="N753" i="8" s="1"/>
  <c r="M754" i="8"/>
  <c r="N754" i="8" s="1"/>
  <c r="M755" i="8"/>
  <c r="N755" i="8" s="1"/>
  <c r="M756" i="8"/>
  <c r="N756" i="8" s="1"/>
  <c r="M757" i="8"/>
  <c r="N757" i="8" s="1"/>
  <c r="M758" i="8"/>
  <c r="N758" i="8" s="1"/>
  <c r="M759" i="8"/>
  <c r="N759" i="8" s="1"/>
  <c r="M760" i="8"/>
  <c r="N760" i="8" s="1"/>
  <c r="M761" i="8"/>
  <c r="N761" i="8" s="1"/>
  <c r="M762" i="8"/>
  <c r="N762" i="8" s="1"/>
  <c r="M763" i="8"/>
  <c r="N763" i="8" s="1"/>
  <c r="M764" i="8"/>
  <c r="N764" i="8" s="1"/>
  <c r="M765" i="8"/>
  <c r="N765" i="8" s="1"/>
  <c r="M766" i="8"/>
  <c r="N766" i="8" s="1"/>
  <c r="M767" i="8"/>
  <c r="N767" i="8" s="1"/>
  <c r="M768" i="8"/>
  <c r="N768" i="8" s="1"/>
  <c r="M769" i="8"/>
  <c r="N769" i="8" s="1"/>
  <c r="M770" i="8"/>
  <c r="N770" i="8" s="1"/>
  <c r="M771" i="8"/>
  <c r="N771" i="8" s="1"/>
  <c r="M772" i="8"/>
  <c r="N772" i="8" s="1"/>
  <c r="M773" i="8"/>
  <c r="N773" i="8" s="1"/>
  <c r="M774" i="8"/>
  <c r="N774" i="8" s="1"/>
  <c r="M775" i="8"/>
  <c r="N775" i="8" s="1"/>
  <c r="M776" i="8"/>
  <c r="N776" i="8" s="1"/>
  <c r="M777" i="8"/>
  <c r="N777" i="8" s="1"/>
  <c r="M778" i="8"/>
  <c r="N778" i="8" s="1"/>
  <c r="M779" i="8"/>
  <c r="N779" i="8" s="1"/>
  <c r="M780" i="8"/>
  <c r="N780" i="8" s="1"/>
  <c r="M781" i="8"/>
  <c r="N781" i="8" s="1"/>
  <c r="M782" i="8"/>
  <c r="N782" i="8" s="1"/>
  <c r="M783" i="8"/>
  <c r="N783" i="8" s="1"/>
  <c r="M784" i="8"/>
  <c r="N784" i="8" s="1"/>
  <c r="M785" i="8"/>
  <c r="N785" i="8" s="1"/>
  <c r="M786" i="8"/>
  <c r="N786" i="8" s="1"/>
  <c r="M787" i="8"/>
  <c r="N787" i="8" s="1"/>
  <c r="M788" i="8"/>
  <c r="N788" i="8" s="1"/>
  <c r="M789" i="8"/>
  <c r="N789" i="8" s="1"/>
  <c r="M790" i="8"/>
  <c r="N790" i="8" s="1"/>
  <c r="M791" i="8"/>
  <c r="N791" i="8" s="1"/>
  <c r="M792" i="8"/>
  <c r="N792" i="8" s="1"/>
  <c r="M793" i="8"/>
  <c r="N793" i="8" s="1"/>
  <c r="M794" i="8"/>
  <c r="N794" i="8" s="1"/>
  <c r="M795" i="8"/>
  <c r="N795" i="8" s="1"/>
  <c r="M796" i="8"/>
  <c r="N796" i="8" s="1"/>
  <c r="M797" i="8"/>
  <c r="N797" i="8" s="1"/>
  <c r="M798" i="8"/>
  <c r="N798" i="8" s="1"/>
  <c r="M799" i="8"/>
  <c r="N799" i="8" s="1"/>
  <c r="M800" i="8"/>
  <c r="N800" i="8" s="1"/>
  <c r="M801" i="8"/>
  <c r="N801" i="8" s="1"/>
  <c r="M802" i="8"/>
  <c r="N802" i="8" s="1"/>
  <c r="M803" i="8"/>
  <c r="N803" i="8" s="1"/>
  <c r="M804" i="8"/>
  <c r="N804" i="8" s="1"/>
  <c r="M805" i="8"/>
  <c r="N805" i="8" s="1"/>
  <c r="M806" i="8"/>
  <c r="N806" i="8" s="1"/>
  <c r="M807" i="8"/>
  <c r="N807" i="8" s="1"/>
  <c r="M808" i="8"/>
  <c r="N808" i="8" s="1"/>
  <c r="M809" i="8"/>
  <c r="N809" i="8" s="1"/>
  <c r="M810" i="8"/>
  <c r="N810" i="8" s="1"/>
  <c r="M811" i="8"/>
  <c r="N811" i="8" s="1"/>
  <c r="M812" i="8"/>
  <c r="N812" i="8" s="1"/>
  <c r="M813" i="8"/>
  <c r="N813" i="8" s="1"/>
  <c r="M814" i="8"/>
  <c r="N814" i="8" s="1"/>
  <c r="M815" i="8"/>
  <c r="N815" i="8" s="1"/>
  <c r="M816" i="8"/>
  <c r="N816" i="8" s="1"/>
  <c r="M817" i="8"/>
  <c r="N817" i="8" s="1"/>
  <c r="M818" i="8"/>
  <c r="N818" i="8" s="1"/>
  <c r="M819" i="8"/>
  <c r="N819" i="8" s="1"/>
  <c r="M820" i="8"/>
  <c r="N820" i="8" s="1"/>
  <c r="M821" i="8"/>
  <c r="N821" i="8" s="1"/>
  <c r="M822" i="8"/>
  <c r="N822" i="8" s="1"/>
  <c r="M823" i="8"/>
  <c r="N823" i="8" s="1"/>
  <c r="M824" i="8"/>
  <c r="N824" i="8" s="1"/>
  <c r="M825" i="8"/>
  <c r="N825" i="8" s="1"/>
  <c r="M826" i="8"/>
  <c r="N826" i="8" s="1"/>
  <c r="M827" i="8"/>
  <c r="N827" i="8" s="1"/>
  <c r="M828" i="8"/>
  <c r="N828" i="8" s="1"/>
  <c r="M829" i="8"/>
  <c r="N829" i="8" s="1"/>
  <c r="M830" i="8"/>
  <c r="N830" i="8" s="1"/>
  <c r="M831" i="8"/>
  <c r="N831" i="8" s="1"/>
  <c r="M832" i="8"/>
  <c r="N832" i="8" s="1"/>
  <c r="M833" i="8"/>
  <c r="N833" i="8" s="1"/>
  <c r="M834" i="8"/>
  <c r="N834" i="8" s="1"/>
  <c r="M835" i="8"/>
  <c r="N835" i="8" s="1"/>
  <c r="M836" i="8"/>
  <c r="N836" i="8" s="1"/>
  <c r="M837" i="8"/>
  <c r="N837" i="8" s="1"/>
  <c r="M838" i="8"/>
  <c r="N838" i="8" s="1"/>
  <c r="M839" i="8"/>
  <c r="N839" i="8" s="1"/>
  <c r="M840" i="8"/>
  <c r="N840" i="8" s="1"/>
  <c r="M841" i="8"/>
  <c r="N841" i="8" s="1"/>
  <c r="M842" i="8"/>
  <c r="N842" i="8" s="1"/>
  <c r="M843" i="8"/>
  <c r="N843" i="8" s="1"/>
  <c r="M844" i="8"/>
  <c r="N844" i="8" s="1"/>
  <c r="M845" i="8"/>
  <c r="N845" i="8" s="1"/>
  <c r="M846" i="8"/>
  <c r="N846" i="8" s="1"/>
  <c r="M847" i="8"/>
  <c r="N847" i="8" s="1"/>
  <c r="M848" i="8"/>
  <c r="N848" i="8" s="1"/>
  <c r="M849" i="8"/>
  <c r="N849" i="8" s="1"/>
  <c r="M850" i="8"/>
  <c r="N850" i="8" s="1"/>
  <c r="M851" i="8"/>
  <c r="N851" i="8" s="1"/>
  <c r="M852" i="8"/>
  <c r="N852" i="8" s="1"/>
  <c r="M853" i="8"/>
  <c r="N853" i="8" s="1"/>
  <c r="M854" i="8"/>
  <c r="N854" i="8" s="1"/>
  <c r="M855" i="8"/>
  <c r="N855" i="8" s="1"/>
  <c r="M856" i="8"/>
  <c r="N856" i="8" s="1"/>
  <c r="M857" i="8"/>
  <c r="N857" i="8" s="1"/>
  <c r="M858" i="8"/>
  <c r="N858" i="8" s="1"/>
  <c r="M859" i="8"/>
  <c r="N859" i="8" s="1"/>
  <c r="M860" i="8"/>
  <c r="N860" i="8" s="1"/>
  <c r="M861" i="8"/>
  <c r="N861" i="8" s="1"/>
  <c r="M862" i="8"/>
  <c r="N862" i="8" s="1"/>
  <c r="M863" i="8"/>
  <c r="N863" i="8" s="1"/>
  <c r="M864" i="8"/>
  <c r="N864" i="8" s="1"/>
  <c r="M865" i="8"/>
  <c r="N865" i="8" s="1"/>
  <c r="M866" i="8"/>
  <c r="N866" i="8" s="1"/>
  <c r="M867" i="8"/>
  <c r="N867" i="8" s="1"/>
  <c r="M868" i="8"/>
  <c r="N868" i="8" s="1"/>
  <c r="M869" i="8"/>
  <c r="N869" i="8" s="1"/>
  <c r="M870" i="8"/>
  <c r="N870" i="8" s="1"/>
  <c r="M871" i="8"/>
  <c r="N871" i="8" s="1"/>
  <c r="M872" i="8"/>
  <c r="N872" i="8" s="1"/>
  <c r="M873" i="8"/>
  <c r="N873" i="8" s="1"/>
  <c r="M874" i="8"/>
  <c r="N874" i="8" s="1"/>
  <c r="M875" i="8"/>
  <c r="N875" i="8" s="1"/>
  <c r="M876" i="8"/>
  <c r="N876" i="8" s="1"/>
  <c r="M877" i="8"/>
  <c r="N877" i="8" s="1"/>
  <c r="M878" i="8"/>
  <c r="N878" i="8" s="1"/>
  <c r="M879" i="8"/>
  <c r="N879" i="8" s="1"/>
  <c r="M880" i="8"/>
  <c r="N880" i="8" s="1"/>
  <c r="M881" i="8"/>
  <c r="N881" i="8" s="1"/>
  <c r="M882" i="8"/>
  <c r="N882" i="8" s="1"/>
  <c r="M883" i="8"/>
  <c r="N883" i="8" s="1"/>
  <c r="M884" i="8"/>
  <c r="N884" i="8" s="1"/>
  <c r="M885" i="8"/>
  <c r="N885" i="8" s="1"/>
  <c r="M886" i="8"/>
  <c r="N886" i="8" s="1"/>
  <c r="M887" i="8"/>
  <c r="N887" i="8" s="1"/>
  <c r="M888" i="8"/>
  <c r="N888" i="8" s="1"/>
  <c r="M889" i="8"/>
  <c r="N889" i="8" s="1"/>
  <c r="M890" i="8"/>
  <c r="N890" i="8" s="1"/>
  <c r="M891" i="8"/>
  <c r="N891" i="8" s="1"/>
  <c r="M892" i="8"/>
  <c r="N892" i="8" s="1"/>
  <c r="M893" i="8"/>
  <c r="N893" i="8" s="1"/>
  <c r="M894" i="8"/>
  <c r="N894" i="8" s="1"/>
  <c r="M895" i="8"/>
  <c r="N895" i="8" s="1"/>
  <c r="M896" i="8"/>
  <c r="N896" i="8" s="1"/>
  <c r="M897" i="8"/>
  <c r="N897" i="8" s="1"/>
  <c r="M898" i="8"/>
  <c r="N898" i="8" s="1"/>
  <c r="M899" i="8"/>
  <c r="N899" i="8" s="1"/>
  <c r="M900" i="8"/>
  <c r="N900" i="8" s="1"/>
  <c r="M901" i="8"/>
  <c r="N901" i="8" s="1"/>
  <c r="M902" i="8"/>
  <c r="N902" i="8" s="1"/>
  <c r="M903" i="8"/>
  <c r="N903" i="8" s="1"/>
  <c r="M904" i="8"/>
  <c r="N904" i="8" s="1"/>
  <c r="M905" i="8"/>
  <c r="N905" i="8" s="1"/>
  <c r="M906" i="8"/>
  <c r="N906" i="8" s="1"/>
  <c r="M907" i="8"/>
  <c r="N907" i="8" s="1"/>
  <c r="M908" i="8"/>
  <c r="N908" i="8" s="1"/>
  <c r="M909" i="8"/>
  <c r="N909" i="8" s="1"/>
  <c r="M910" i="8"/>
  <c r="N910" i="8" s="1"/>
  <c r="M911" i="8"/>
  <c r="N911" i="8" s="1"/>
  <c r="M912" i="8"/>
  <c r="N912" i="8" s="1"/>
  <c r="M913" i="8"/>
  <c r="N913" i="8" s="1"/>
  <c r="M914" i="8"/>
  <c r="N914" i="8" s="1"/>
  <c r="M915" i="8"/>
  <c r="N915" i="8" s="1"/>
  <c r="M916" i="8"/>
  <c r="N916" i="8" s="1"/>
  <c r="M917" i="8"/>
  <c r="N917" i="8" s="1"/>
  <c r="M918" i="8"/>
  <c r="N918" i="8" s="1"/>
  <c r="M919" i="8"/>
  <c r="N919" i="8" s="1"/>
  <c r="M920" i="8"/>
  <c r="N920" i="8" s="1"/>
  <c r="M921" i="8"/>
  <c r="N921" i="8" s="1"/>
  <c r="M922" i="8"/>
  <c r="N922" i="8" s="1"/>
  <c r="M923" i="8"/>
  <c r="N923" i="8" s="1"/>
  <c r="M924" i="8"/>
  <c r="N924" i="8" s="1"/>
  <c r="M925" i="8"/>
  <c r="N925" i="8" s="1"/>
  <c r="M926" i="8"/>
  <c r="N926" i="8" s="1"/>
  <c r="M927" i="8"/>
  <c r="N927" i="8" s="1"/>
  <c r="M928" i="8"/>
  <c r="N928" i="8" s="1"/>
  <c r="M929" i="8"/>
  <c r="N929" i="8" s="1"/>
  <c r="M930" i="8"/>
  <c r="N930" i="8" s="1"/>
  <c r="M931" i="8"/>
  <c r="N931" i="8" s="1"/>
  <c r="M932" i="8"/>
  <c r="N932" i="8" s="1"/>
  <c r="M933" i="8"/>
  <c r="N933" i="8" s="1"/>
  <c r="M934" i="8"/>
  <c r="N934" i="8" s="1"/>
  <c r="M935" i="8"/>
  <c r="N935" i="8" s="1"/>
  <c r="M936" i="8"/>
  <c r="N936" i="8" s="1"/>
  <c r="M937" i="8"/>
  <c r="N937" i="8" s="1"/>
  <c r="M938" i="8"/>
  <c r="N938" i="8" s="1"/>
  <c r="M939" i="8"/>
  <c r="N939" i="8" s="1"/>
  <c r="M940" i="8"/>
  <c r="N940" i="8" s="1"/>
  <c r="M941" i="8"/>
  <c r="N941" i="8" s="1"/>
  <c r="M942" i="8"/>
  <c r="N942" i="8" s="1"/>
  <c r="M943" i="8"/>
  <c r="N943" i="8" s="1"/>
  <c r="M944" i="8"/>
  <c r="N944" i="8" s="1"/>
  <c r="M945" i="8"/>
  <c r="N945" i="8" s="1"/>
  <c r="M946" i="8"/>
  <c r="N946" i="8" s="1"/>
  <c r="M947" i="8"/>
  <c r="N947" i="8" s="1"/>
  <c r="M948" i="8"/>
  <c r="N948" i="8" s="1"/>
  <c r="M949" i="8"/>
  <c r="N949" i="8" s="1"/>
  <c r="M950" i="8"/>
  <c r="N950" i="8" s="1"/>
  <c r="M951" i="8"/>
  <c r="N951" i="8" s="1"/>
  <c r="M952" i="8"/>
  <c r="N952" i="8" s="1"/>
  <c r="M953" i="8"/>
  <c r="N953" i="8" s="1"/>
  <c r="M954" i="8"/>
  <c r="N954" i="8" s="1"/>
  <c r="M955" i="8"/>
  <c r="N955" i="8" s="1"/>
  <c r="M956" i="8"/>
  <c r="N956" i="8" s="1"/>
  <c r="M957" i="8"/>
  <c r="N957" i="8" s="1"/>
  <c r="M958" i="8"/>
  <c r="N958" i="8" s="1"/>
  <c r="M959" i="8"/>
  <c r="N959" i="8" s="1"/>
  <c r="M960" i="8"/>
  <c r="N960" i="8" s="1"/>
  <c r="M961" i="8"/>
  <c r="N961" i="8" s="1"/>
  <c r="M962" i="8"/>
  <c r="N962" i="8" s="1"/>
  <c r="M963" i="8"/>
  <c r="N963" i="8" s="1"/>
  <c r="M964" i="8"/>
  <c r="N964" i="8" s="1"/>
  <c r="M965" i="8"/>
  <c r="N965" i="8" s="1"/>
  <c r="M966" i="8"/>
  <c r="N966" i="8" s="1"/>
  <c r="M967" i="8"/>
  <c r="N967" i="8" s="1"/>
  <c r="M968" i="8"/>
  <c r="N968" i="8" s="1"/>
  <c r="M969" i="8"/>
  <c r="N969" i="8" s="1"/>
  <c r="M970" i="8"/>
  <c r="N970" i="8" s="1"/>
  <c r="M971" i="8"/>
  <c r="N971" i="8" s="1"/>
  <c r="M972" i="8"/>
  <c r="N972" i="8" s="1"/>
  <c r="M973" i="8"/>
  <c r="N973" i="8" s="1"/>
  <c r="M974" i="8"/>
  <c r="N974" i="8" s="1"/>
  <c r="M975" i="8"/>
  <c r="N975" i="8" s="1"/>
  <c r="M976" i="8"/>
  <c r="N976" i="8" s="1"/>
  <c r="M977" i="8"/>
  <c r="N977" i="8" s="1"/>
  <c r="M978" i="8"/>
  <c r="N978" i="8" s="1"/>
  <c r="M979" i="8"/>
  <c r="N979" i="8" s="1"/>
  <c r="M980" i="8"/>
  <c r="N980" i="8" s="1"/>
  <c r="M981" i="8"/>
  <c r="N981" i="8" s="1"/>
  <c r="M982" i="8"/>
  <c r="N982" i="8" s="1"/>
  <c r="M983" i="8"/>
  <c r="N983" i="8" s="1"/>
  <c r="M984" i="8"/>
  <c r="N984" i="8" s="1"/>
  <c r="M985" i="8"/>
  <c r="N985" i="8" s="1"/>
  <c r="M986" i="8"/>
  <c r="N986" i="8" s="1"/>
  <c r="M987" i="8"/>
  <c r="N987" i="8" s="1"/>
  <c r="M988" i="8"/>
  <c r="N988" i="8" s="1"/>
  <c r="M989" i="8"/>
  <c r="N989" i="8" s="1"/>
  <c r="M990" i="8"/>
  <c r="N990" i="8" s="1"/>
  <c r="M991" i="8"/>
  <c r="N991" i="8" s="1"/>
  <c r="M992" i="8"/>
  <c r="N992" i="8" s="1"/>
  <c r="M993" i="8"/>
  <c r="N993" i="8" s="1"/>
  <c r="M994" i="8"/>
  <c r="N994" i="8" s="1"/>
  <c r="M995" i="8"/>
  <c r="N995" i="8" s="1"/>
  <c r="M996" i="8"/>
  <c r="N996" i="8" s="1"/>
  <c r="M997" i="8"/>
  <c r="N997" i="8" s="1"/>
  <c r="M998" i="8"/>
  <c r="N998" i="8" s="1"/>
  <c r="M999" i="8"/>
  <c r="N999" i="8" s="1"/>
  <c r="M1000" i="8"/>
  <c r="N1000" i="8" s="1"/>
  <c r="M1001" i="8"/>
  <c r="N1001" i="8" s="1"/>
  <c r="M1002" i="8"/>
  <c r="N1002" i="8" s="1"/>
  <c r="M1003" i="8"/>
  <c r="N1003" i="8" s="1"/>
  <c r="M1004" i="8"/>
  <c r="N1004" i="8" s="1"/>
  <c r="M1005" i="8"/>
  <c r="N1005" i="8" s="1"/>
  <c r="M1006" i="8"/>
  <c r="N1006" i="8" s="1"/>
  <c r="M1007" i="8"/>
  <c r="N1007" i="8" s="1"/>
  <c r="M1008" i="8"/>
  <c r="N1008" i="8" s="1"/>
  <c r="M1009" i="8"/>
  <c r="N1009" i="8" s="1"/>
  <c r="M1010" i="8"/>
  <c r="N1010" i="8" s="1"/>
  <c r="M1011" i="8"/>
  <c r="N1011" i="8" s="1"/>
  <c r="M1012" i="8"/>
  <c r="N1012" i="8" s="1"/>
  <c r="M1013" i="8"/>
  <c r="N1013" i="8" s="1"/>
  <c r="M1014" i="8"/>
  <c r="N1014" i="8" s="1"/>
  <c r="M1015" i="8"/>
  <c r="N1015" i="8" s="1"/>
  <c r="M1016" i="8"/>
  <c r="N1016" i="8" s="1"/>
  <c r="M1017" i="8"/>
  <c r="N1017" i="8" s="1"/>
  <c r="M1018" i="8"/>
  <c r="N1018" i="8" s="1"/>
  <c r="M1019" i="8"/>
  <c r="N1019" i="8" s="1"/>
  <c r="M1020" i="8"/>
  <c r="N1020" i="8" s="1"/>
  <c r="M1021" i="8"/>
  <c r="N1021" i="8" s="1"/>
  <c r="M1022" i="8"/>
  <c r="N1022" i="8" s="1"/>
  <c r="M1023" i="8"/>
  <c r="N1023" i="8" s="1"/>
  <c r="M1024" i="8"/>
  <c r="N1024" i="8" s="1"/>
  <c r="M1025" i="8"/>
  <c r="N1025" i="8" s="1"/>
  <c r="M1026" i="8"/>
  <c r="N1026" i="8" s="1"/>
  <c r="M1027" i="8"/>
  <c r="N1027" i="8" s="1"/>
  <c r="M1028" i="8"/>
  <c r="N1028" i="8" s="1"/>
  <c r="M1029" i="8"/>
  <c r="N1029" i="8" s="1"/>
  <c r="M1030" i="8"/>
  <c r="N1030" i="8" s="1"/>
  <c r="M1031" i="8"/>
  <c r="N1031" i="8" s="1"/>
  <c r="M1032" i="8"/>
  <c r="N1032" i="8" s="1"/>
  <c r="M1033" i="8"/>
  <c r="N1033" i="8" s="1"/>
  <c r="M1034" i="8"/>
  <c r="N1034" i="8" s="1"/>
  <c r="M1035" i="8"/>
  <c r="N1035" i="8" s="1"/>
  <c r="M1036" i="8"/>
  <c r="N1036" i="8" s="1"/>
  <c r="M1037" i="8"/>
  <c r="N1037" i="8" s="1"/>
  <c r="M1038" i="8"/>
  <c r="N1038" i="8" s="1"/>
  <c r="M1039" i="8"/>
  <c r="N1039" i="8" s="1"/>
  <c r="M1040" i="8"/>
  <c r="N1040" i="8" s="1"/>
  <c r="M1041" i="8"/>
  <c r="N1041" i="8" s="1"/>
  <c r="M1042" i="8"/>
  <c r="N1042" i="8" s="1"/>
  <c r="M1043" i="8"/>
  <c r="N1043" i="8" s="1"/>
  <c r="M1044" i="8"/>
  <c r="N1044" i="8" s="1"/>
  <c r="M1045" i="8"/>
  <c r="N1045" i="8" s="1"/>
  <c r="M1046" i="8"/>
  <c r="N1046" i="8" s="1"/>
  <c r="M1047" i="8"/>
  <c r="N1047" i="8" s="1"/>
  <c r="M1048" i="8"/>
  <c r="N1048" i="8" s="1"/>
  <c r="M1049" i="8"/>
  <c r="N1049" i="8" s="1"/>
  <c r="M1050" i="8"/>
  <c r="N1050" i="8" s="1"/>
  <c r="M1051" i="8"/>
  <c r="N1051" i="8" s="1"/>
  <c r="M1052" i="8"/>
  <c r="N1052" i="8" s="1"/>
  <c r="M1053" i="8"/>
  <c r="N1053" i="8" s="1"/>
  <c r="M1054" i="8"/>
  <c r="N1054" i="8" s="1"/>
  <c r="M1055" i="8"/>
  <c r="N1055" i="8" s="1"/>
  <c r="M1056" i="8"/>
  <c r="N1056" i="8" s="1"/>
  <c r="M1057" i="8"/>
  <c r="N1057" i="8" s="1"/>
  <c r="M1058" i="8"/>
  <c r="N1058" i="8" s="1"/>
  <c r="M1059" i="8"/>
  <c r="N1059" i="8" s="1"/>
  <c r="M1060" i="8"/>
  <c r="N1060" i="8" s="1"/>
  <c r="M1061" i="8"/>
  <c r="N1061" i="8" s="1"/>
  <c r="M1062" i="8"/>
  <c r="N1062" i="8" s="1"/>
  <c r="M1063" i="8"/>
  <c r="N1063" i="8" s="1"/>
  <c r="M1064" i="8"/>
  <c r="N1064" i="8" s="1"/>
  <c r="M1065" i="8"/>
  <c r="N1065" i="8" s="1"/>
  <c r="M1066" i="8"/>
  <c r="N1066" i="8" s="1"/>
  <c r="M1067" i="8"/>
  <c r="N1067" i="8" s="1"/>
  <c r="M1068" i="8"/>
  <c r="N1068" i="8" s="1"/>
  <c r="M1069" i="8"/>
  <c r="N1069" i="8" s="1"/>
  <c r="M1070" i="8"/>
  <c r="N1070" i="8" s="1"/>
  <c r="M1071" i="8"/>
  <c r="N1071" i="8" s="1"/>
  <c r="M1072" i="8"/>
  <c r="N1072" i="8" s="1"/>
  <c r="M1073" i="8"/>
  <c r="N1073" i="8" s="1"/>
  <c r="M1074" i="8"/>
  <c r="N1074" i="8" s="1"/>
  <c r="M1075" i="8"/>
  <c r="N1075" i="8" s="1"/>
  <c r="M1076" i="8"/>
  <c r="N1076" i="8" s="1"/>
  <c r="M1077" i="8"/>
  <c r="N1077" i="8" s="1"/>
  <c r="M1078" i="8"/>
  <c r="N1078" i="8" s="1"/>
  <c r="M1079" i="8"/>
  <c r="N1079" i="8" s="1"/>
  <c r="M1080" i="8"/>
  <c r="N1080" i="8" s="1"/>
  <c r="M1081" i="8"/>
  <c r="N1081" i="8" s="1"/>
  <c r="M1082" i="8"/>
  <c r="N1082" i="8" s="1"/>
  <c r="M1083" i="8"/>
  <c r="N1083" i="8" s="1"/>
  <c r="M1084" i="8"/>
  <c r="N1084" i="8" s="1"/>
  <c r="M1085" i="8"/>
  <c r="N1085" i="8" s="1"/>
  <c r="M1086" i="8"/>
  <c r="N1086" i="8" s="1"/>
  <c r="M1087" i="8"/>
  <c r="N1087" i="8" s="1"/>
  <c r="M1088" i="8"/>
  <c r="N1088" i="8" s="1"/>
  <c r="M1089" i="8"/>
  <c r="N1089" i="8" s="1"/>
  <c r="M1090" i="8"/>
  <c r="N1090" i="8" s="1"/>
  <c r="M1091" i="8"/>
  <c r="N1091" i="8" s="1"/>
  <c r="M1092" i="8"/>
  <c r="N1092" i="8" s="1"/>
  <c r="M1093" i="8"/>
  <c r="N1093" i="8" s="1"/>
  <c r="M1094" i="8"/>
  <c r="N1094" i="8" s="1"/>
  <c r="M1095" i="8"/>
  <c r="N1095" i="8" s="1"/>
  <c r="M1096" i="8"/>
  <c r="N1096" i="8" s="1"/>
  <c r="M1097" i="8"/>
  <c r="N1097" i="8" s="1"/>
  <c r="M1098" i="8"/>
  <c r="N1098" i="8" s="1"/>
  <c r="M1099" i="8"/>
  <c r="N1099" i="8" s="1"/>
  <c r="M1100" i="8"/>
  <c r="N1100" i="8" s="1"/>
  <c r="M1101" i="8"/>
  <c r="N1101" i="8" s="1"/>
  <c r="M1102" i="8"/>
  <c r="N1102" i="8" s="1"/>
  <c r="M1103" i="8"/>
  <c r="N1103" i="8" s="1"/>
  <c r="M1104" i="8"/>
  <c r="N1104" i="8" s="1"/>
  <c r="M1105" i="8"/>
  <c r="N1105" i="8" s="1"/>
  <c r="M1106" i="8"/>
  <c r="N1106" i="8" s="1"/>
  <c r="M1107" i="8"/>
  <c r="N1107" i="8" s="1"/>
  <c r="M1108" i="8"/>
  <c r="N1108" i="8" s="1"/>
  <c r="M1109" i="8"/>
  <c r="N1109" i="8" s="1"/>
  <c r="M1110" i="8"/>
  <c r="N1110" i="8" s="1"/>
  <c r="M1111" i="8"/>
  <c r="N1111" i="8" s="1"/>
  <c r="M1112" i="8"/>
  <c r="N1112" i="8" s="1"/>
  <c r="M1113" i="8"/>
  <c r="N1113" i="8" s="1"/>
  <c r="M1114" i="8"/>
  <c r="N1114" i="8" s="1"/>
  <c r="M1115" i="8"/>
  <c r="N1115" i="8" s="1"/>
  <c r="M1116" i="8"/>
  <c r="N1116" i="8" s="1"/>
  <c r="M1117" i="8"/>
  <c r="N1117" i="8" s="1"/>
  <c r="M1118" i="8"/>
  <c r="N1118" i="8" s="1"/>
  <c r="M1119" i="8"/>
  <c r="N1119" i="8" s="1"/>
  <c r="M1120" i="8"/>
  <c r="N1120" i="8" s="1"/>
  <c r="M1121" i="8"/>
  <c r="N1121" i="8" s="1"/>
  <c r="M1122" i="8"/>
  <c r="N1122" i="8" s="1"/>
  <c r="M1123" i="8"/>
  <c r="N1123" i="8" s="1"/>
  <c r="M1124" i="8"/>
  <c r="N1124" i="8" s="1"/>
  <c r="M1125" i="8"/>
  <c r="N1125" i="8" s="1"/>
  <c r="M1126" i="8"/>
  <c r="N1126" i="8" s="1"/>
  <c r="M1127" i="8"/>
  <c r="N1127" i="8" s="1"/>
  <c r="M1128" i="8"/>
  <c r="N1128" i="8" s="1"/>
  <c r="M1129" i="8"/>
  <c r="N1129" i="8" s="1"/>
  <c r="M1130" i="8"/>
  <c r="N1130" i="8" s="1"/>
  <c r="M1131" i="8"/>
  <c r="N1131" i="8" s="1"/>
  <c r="M1132" i="8"/>
  <c r="N1132" i="8" s="1"/>
  <c r="M1133" i="8"/>
  <c r="N1133" i="8" s="1"/>
  <c r="M1134" i="8"/>
  <c r="N1134" i="8" s="1"/>
  <c r="M1135" i="8"/>
  <c r="N1135" i="8" s="1"/>
  <c r="M1136" i="8"/>
  <c r="N1136" i="8" s="1"/>
  <c r="M1137" i="8"/>
  <c r="N1137" i="8" s="1"/>
  <c r="M1138" i="8"/>
  <c r="N1138" i="8" s="1"/>
  <c r="M1139" i="8"/>
  <c r="N1139" i="8" s="1"/>
  <c r="M1140" i="8"/>
  <c r="N1140" i="8" s="1"/>
  <c r="M1141" i="8"/>
  <c r="N1141" i="8" s="1"/>
  <c r="M1142" i="8"/>
  <c r="N1142" i="8" s="1"/>
  <c r="M1143" i="8"/>
  <c r="N1143" i="8" s="1"/>
  <c r="M1144" i="8"/>
  <c r="N1144" i="8" s="1"/>
  <c r="M1145" i="8"/>
  <c r="N1145" i="8" s="1"/>
  <c r="M1146" i="8"/>
  <c r="N1146" i="8" s="1"/>
  <c r="M1147" i="8"/>
  <c r="N1147" i="8" s="1"/>
  <c r="M1148" i="8"/>
  <c r="N1148" i="8" s="1"/>
  <c r="M1149" i="8"/>
  <c r="N1149" i="8" s="1"/>
  <c r="M1150" i="8"/>
  <c r="N1150" i="8" s="1"/>
  <c r="M1151" i="8"/>
  <c r="N1151" i="8" s="1"/>
  <c r="M1152" i="8"/>
  <c r="N1152" i="8" s="1"/>
  <c r="M1153" i="8"/>
  <c r="N1153" i="8" s="1"/>
  <c r="M1154" i="8"/>
  <c r="N1154" i="8" s="1"/>
  <c r="M1155" i="8"/>
  <c r="N1155" i="8" s="1"/>
  <c r="M1156" i="8"/>
  <c r="N1156" i="8" s="1"/>
  <c r="M1157" i="8"/>
  <c r="N1157" i="8" s="1"/>
  <c r="M1158" i="8"/>
  <c r="N1158" i="8" s="1"/>
  <c r="M1159" i="8"/>
  <c r="N1159" i="8" s="1"/>
  <c r="M1160" i="8"/>
  <c r="N1160" i="8" s="1"/>
  <c r="M1161" i="8"/>
  <c r="N1161" i="8" s="1"/>
  <c r="M1162" i="8"/>
  <c r="N1162" i="8" s="1"/>
  <c r="M1163" i="8"/>
  <c r="N1163" i="8" s="1"/>
  <c r="M1164" i="8"/>
  <c r="N1164" i="8" s="1"/>
  <c r="M1165" i="8"/>
  <c r="N1165" i="8" s="1"/>
  <c r="M1166" i="8"/>
  <c r="N1166" i="8" s="1"/>
  <c r="M1167" i="8"/>
  <c r="N1167" i="8" s="1"/>
  <c r="M1168" i="8"/>
  <c r="N1168" i="8" s="1"/>
  <c r="M1169" i="8"/>
  <c r="N1169" i="8" s="1"/>
  <c r="M1170" i="8"/>
  <c r="N1170" i="8" s="1"/>
  <c r="M1171" i="8"/>
  <c r="N1171" i="8" s="1"/>
  <c r="M1172" i="8"/>
  <c r="N1172" i="8" s="1"/>
  <c r="M1173" i="8"/>
  <c r="N1173" i="8" s="1"/>
  <c r="M1174" i="8"/>
  <c r="N1174" i="8" s="1"/>
  <c r="M1175" i="8"/>
  <c r="N1175" i="8" s="1"/>
  <c r="M1176" i="8"/>
  <c r="N1176" i="8" s="1"/>
  <c r="M1177" i="8"/>
  <c r="N1177" i="8" s="1"/>
  <c r="M1178" i="8"/>
  <c r="N1178" i="8" s="1"/>
  <c r="M1179" i="8"/>
  <c r="N1179" i="8" s="1"/>
  <c r="M1180" i="8"/>
  <c r="N1180" i="8" s="1"/>
  <c r="M1181" i="8"/>
  <c r="N1181" i="8" s="1"/>
  <c r="M1182" i="8"/>
  <c r="N1182" i="8" s="1"/>
  <c r="M1183" i="8"/>
  <c r="N1183" i="8" s="1"/>
  <c r="M1184" i="8"/>
  <c r="N1184" i="8" s="1"/>
  <c r="M1185" i="8"/>
  <c r="N1185" i="8" s="1"/>
  <c r="M1186" i="8"/>
  <c r="N1186" i="8" s="1"/>
  <c r="M1187" i="8"/>
  <c r="N1187" i="8" s="1"/>
  <c r="M1188" i="8"/>
  <c r="N1188" i="8" s="1"/>
  <c r="M1189" i="8"/>
  <c r="N1189" i="8" s="1"/>
  <c r="M1190" i="8"/>
  <c r="N1190" i="8" s="1"/>
  <c r="M1191" i="8"/>
  <c r="N1191" i="8" s="1"/>
  <c r="M1192" i="8"/>
  <c r="N1192" i="8" s="1"/>
  <c r="M1193" i="8"/>
  <c r="N1193" i="8" s="1"/>
  <c r="M1194" i="8"/>
  <c r="N1194" i="8" s="1"/>
  <c r="M1195" i="8"/>
  <c r="N1195" i="8" s="1"/>
  <c r="M1196" i="8"/>
  <c r="N1196" i="8" s="1"/>
  <c r="M1197" i="8"/>
  <c r="N1197" i="8" s="1"/>
  <c r="M1198" i="8"/>
  <c r="N1198" i="8" s="1"/>
  <c r="M1199" i="8"/>
  <c r="N1199" i="8" s="1"/>
  <c r="M1200" i="8"/>
  <c r="N1200" i="8" s="1"/>
  <c r="M1201" i="8"/>
  <c r="N1201" i="8" s="1"/>
  <c r="M1202" i="8"/>
  <c r="N1202" i="8" s="1"/>
  <c r="M1203" i="8"/>
  <c r="N1203" i="8" s="1"/>
  <c r="M1204" i="8"/>
  <c r="N1204" i="8" s="1"/>
  <c r="M1205" i="8"/>
  <c r="N1205" i="8" s="1"/>
  <c r="M1206" i="8"/>
  <c r="N1206" i="8" s="1"/>
  <c r="M1207" i="8"/>
  <c r="N1207" i="8" s="1"/>
  <c r="M1208" i="8"/>
  <c r="N1208" i="8" s="1"/>
  <c r="M1209" i="8"/>
  <c r="N1209" i="8" s="1"/>
  <c r="M1210" i="8"/>
  <c r="N1210" i="8" s="1"/>
  <c r="M1211" i="8"/>
  <c r="N1211" i="8" s="1"/>
  <c r="M1212" i="8"/>
  <c r="N1212" i="8" s="1"/>
  <c r="M1213" i="8"/>
  <c r="N1213" i="8" s="1"/>
  <c r="M1214" i="8"/>
  <c r="N1214" i="8" s="1"/>
  <c r="M1215" i="8"/>
  <c r="N1215" i="8" s="1"/>
  <c r="M1216" i="8"/>
  <c r="N1216" i="8" s="1"/>
  <c r="M1217" i="8"/>
  <c r="N1217" i="8" s="1"/>
  <c r="M1218" i="8"/>
  <c r="N1218" i="8" s="1"/>
  <c r="M1219" i="8"/>
  <c r="N1219" i="8" s="1"/>
  <c r="M1220" i="8"/>
  <c r="N1220" i="8" s="1"/>
  <c r="M1221" i="8"/>
  <c r="N1221" i="8" s="1"/>
  <c r="M1222" i="8"/>
  <c r="N1222" i="8" s="1"/>
  <c r="M1223" i="8"/>
  <c r="N1223" i="8" s="1"/>
  <c r="M1224" i="8"/>
  <c r="N1224" i="8" s="1"/>
  <c r="M1225" i="8"/>
  <c r="N1225" i="8" s="1"/>
  <c r="M1226" i="8"/>
  <c r="N1226" i="8" s="1"/>
  <c r="M1227" i="8"/>
  <c r="N1227" i="8" s="1"/>
  <c r="M1228" i="8"/>
  <c r="N1228" i="8" s="1"/>
  <c r="M1229" i="8"/>
  <c r="N1229" i="8" s="1"/>
  <c r="M1230" i="8"/>
  <c r="N1230" i="8" s="1"/>
  <c r="M1231" i="8"/>
  <c r="N1231" i="8" s="1"/>
  <c r="M1232" i="8"/>
  <c r="N1232" i="8" s="1"/>
  <c r="M1233" i="8"/>
  <c r="N1233" i="8" s="1"/>
  <c r="M1234" i="8"/>
  <c r="N1234" i="8" s="1"/>
  <c r="M1235" i="8"/>
  <c r="N1235" i="8" s="1"/>
  <c r="M1236" i="8"/>
  <c r="N1236" i="8" s="1"/>
  <c r="M1237" i="8"/>
  <c r="N1237" i="8" s="1"/>
  <c r="M1238" i="8"/>
  <c r="N1238" i="8" s="1"/>
  <c r="M1239" i="8"/>
  <c r="N1239" i="8" s="1"/>
  <c r="M1240" i="8"/>
  <c r="N1240" i="8" s="1"/>
  <c r="M1241" i="8"/>
  <c r="N1241" i="8" s="1"/>
  <c r="K3" i="8"/>
  <c r="L3" i="8" s="1"/>
  <c r="K4" i="8"/>
  <c r="L4" i="8" s="1"/>
  <c r="K5" i="8"/>
  <c r="L5" i="8" s="1"/>
  <c r="K6" i="8"/>
  <c r="L6" i="8" s="1"/>
  <c r="K7" i="8"/>
  <c r="L7" i="8" s="1"/>
  <c r="K8" i="8"/>
  <c r="L8" i="8" s="1"/>
  <c r="K9" i="8"/>
  <c r="L9" i="8" s="1"/>
  <c r="K10" i="8"/>
  <c r="L10" i="8" s="1"/>
  <c r="K11" i="8"/>
  <c r="L11" i="8" s="1"/>
  <c r="K12" i="8"/>
  <c r="L12" i="8" s="1"/>
  <c r="K13" i="8"/>
  <c r="L13" i="8" s="1"/>
  <c r="K14" i="8"/>
  <c r="L14" i="8" s="1"/>
  <c r="K15" i="8"/>
  <c r="L15" i="8" s="1"/>
  <c r="K16" i="8"/>
  <c r="L16" i="8" s="1"/>
  <c r="K17" i="8"/>
  <c r="L17" i="8" s="1"/>
  <c r="K18" i="8"/>
  <c r="L18" i="8" s="1"/>
  <c r="K19" i="8"/>
  <c r="L19" i="8" s="1"/>
  <c r="K20" i="8"/>
  <c r="L20" i="8" s="1"/>
  <c r="K21" i="8"/>
  <c r="L21" i="8" s="1"/>
  <c r="K22" i="8"/>
  <c r="L22" i="8" s="1"/>
  <c r="K23" i="8"/>
  <c r="L23" i="8" s="1"/>
  <c r="K24" i="8"/>
  <c r="L24" i="8" s="1"/>
  <c r="K25" i="8"/>
  <c r="L25" i="8" s="1"/>
  <c r="K26" i="8"/>
  <c r="L26" i="8" s="1"/>
  <c r="K27" i="8"/>
  <c r="L27" i="8" s="1"/>
  <c r="K28" i="8"/>
  <c r="L28" i="8" s="1"/>
  <c r="K29" i="8"/>
  <c r="L29" i="8" s="1"/>
  <c r="K30" i="8"/>
  <c r="L30" i="8" s="1"/>
  <c r="K31" i="8"/>
  <c r="L31" i="8" s="1"/>
  <c r="K32" i="8"/>
  <c r="L32" i="8" s="1"/>
  <c r="K33" i="8"/>
  <c r="L33" i="8" s="1"/>
  <c r="K34" i="8"/>
  <c r="L34" i="8" s="1"/>
  <c r="K35" i="8"/>
  <c r="L35" i="8" s="1"/>
  <c r="K36" i="8"/>
  <c r="L36" i="8" s="1"/>
  <c r="K37" i="8"/>
  <c r="L37" i="8" s="1"/>
  <c r="K38" i="8"/>
  <c r="L38" i="8" s="1"/>
  <c r="K39" i="8"/>
  <c r="L39" i="8" s="1"/>
  <c r="K40" i="8"/>
  <c r="L40" i="8" s="1"/>
  <c r="K41" i="8"/>
  <c r="L41" i="8" s="1"/>
  <c r="K42" i="8"/>
  <c r="L42" i="8" s="1"/>
  <c r="K43" i="8"/>
  <c r="L43" i="8" s="1"/>
  <c r="K44" i="8"/>
  <c r="L44" i="8" s="1"/>
  <c r="K45" i="8"/>
  <c r="L45" i="8" s="1"/>
  <c r="K46" i="8"/>
  <c r="L46" i="8" s="1"/>
  <c r="K47" i="8"/>
  <c r="L47" i="8" s="1"/>
  <c r="K48" i="8"/>
  <c r="L48" i="8" s="1"/>
  <c r="K49" i="8"/>
  <c r="L49" i="8" s="1"/>
  <c r="K50" i="8"/>
  <c r="L50" i="8" s="1"/>
  <c r="K51" i="8"/>
  <c r="L51" i="8" s="1"/>
  <c r="K52" i="8"/>
  <c r="L52" i="8" s="1"/>
  <c r="K53" i="8"/>
  <c r="L53" i="8" s="1"/>
  <c r="K54" i="8"/>
  <c r="L54" i="8" s="1"/>
  <c r="K55" i="8"/>
  <c r="L55" i="8" s="1"/>
  <c r="K56" i="8"/>
  <c r="L56" i="8" s="1"/>
  <c r="K57" i="8"/>
  <c r="L57" i="8" s="1"/>
  <c r="K58" i="8"/>
  <c r="L58" i="8" s="1"/>
  <c r="K59" i="8"/>
  <c r="L59" i="8" s="1"/>
  <c r="K60" i="8"/>
  <c r="L60" i="8" s="1"/>
  <c r="K61" i="8"/>
  <c r="L61" i="8" s="1"/>
  <c r="K62" i="8"/>
  <c r="L62" i="8" s="1"/>
  <c r="K63" i="8"/>
  <c r="L63" i="8" s="1"/>
  <c r="K64" i="8"/>
  <c r="L64" i="8" s="1"/>
  <c r="K65" i="8"/>
  <c r="L65" i="8" s="1"/>
  <c r="K66" i="8"/>
  <c r="L66" i="8" s="1"/>
  <c r="K67" i="8"/>
  <c r="L67" i="8" s="1"/>
  <c r="K68" i="8"/>
  <c r="L68" i="8" s="1"/>
  <c r="K69" i="8"/>
  <c r="L69" i="8" s="1"/>
  <c r="K70" i="8"/>
  <c r="L70" i="8" s="1"/>
  <c r="K71" i="8"/>
  <c r="L71" i="8" s="1"/>
  <c r="K72" i="8"/>
  <c r="L72" i="8" s="1"/>
  <c r="K73" i="8"/>
  <c r="L73" i="8" s="1"/>
  <c r="K74" i="8"/>
  <c r="L74" i="8" s="1"/>
  <c r="K75" i="8"/>
  <c r="L75" i="8" s="1"/>
  <c r="K76" i="8"/>
  <c r="L76" i="8" s="1"/>
  <c r="K77" i="8"/>
  <c r="L77" i="8" s="1"/>
  <c r="K78" i="8"/>
  <c r="L78" i="8" s="1"/>
  <c r="K79" i="8"/>
  <c r="L79" i="8" s="1"/>
  <c r="K80" i="8"/>
  <c r="L80" i="8" s="1"/>
  <c r="K81" i="8"/>
  <c r="L81" i="8" s="1"/>
  <c r="K82" i="8"/>
  <c r="L82" i="8" s="1"/>
  <c r="K83" i="8"/>
  <c r="L83" i="8" s="1"/>
  <c r="K84" i="8"/>
  <c r="L84" i="8" s="1"/>
  <c r="K85" i="8"/>
  <c r="L85" i="8" s="1"/>
  <c r="K86" i="8"/>
  <c r="L86" i="8" s="1"/>
  <c r="K87" i="8"/>
  <c r="L87" i="8" s="1"/>
  <c r="K88" i="8"/>
  <c r="L88" i="8" s="1"/>
  <c r="K89" i="8"/>
  <c r="L89" i="8" s="1"/>
  <c r="K91" i="8"/>
  <c r="L91" i="8" s="1"/>
  <c r="K93" i="8"/>
  <c r="L93" i="8" s="1"/>
  <c r="K94" i="8"/>
  <c r="L94" i="8" s="1"/>
  <c r="K95" i="8"/>
  <c r="L95" i="8" s="1"/>
  <c r="K96" i="8"/>
  <c r="L96" i="8" s="1"/>
  <c r="K99" i="8"/>
  <c r="L99" i="8" s="1"/>
  <c r="K100" i="8"/>
  <c r="L100" i="8" s="1"/>
  <c r="K103" i="8"/>
  <c r="L103" i="8" s="1"/>
  <c r="K105" i="8"/>
  <c r="L105" i="8" s="1"/>
  <c r="K107" i="8"/>
  <c r="L107" i="8" s="1"/>
  <c r="K109" i="8"/>
  <c r="L109" i="8" s="1"/>
  <c r="K110" i="8"/>
  <c r="L110" i="8" s="1"/>
  <c r="K113" i="8"/>
  <c r="L113" i="8" s="1"/>
  <c r="K114" i="8"/>
  <c r="L114" i="8" s="1"/>
  <c r="K116" i="8"/>
  <c r="L116" i="8" s="1"/>
  <c r="K117" i="8"/>
  <c r="L117" i="8" s="1"/>
  <c r="K119" i="8"/>
  <c r="L119" i="8" s="1"/>
  <c r="K121" i="8"/>
  <c r="L121" i="8" s="1"/>
  <c r="K123" i="8"/>
  <c r="L123" i="8" s="1"/>
  <c r="K124" i="8"/>
  <c r="L124" i="8" s="1"/>
  <c r="K125" i="8"/>
  <c r="L125" i="8" s="1"/>
  <c r="K126" i="8"/>
  <c r="L126" i="8" s="1"/>
  <c r="K128" i="8"/>
  <c r="L128" i="8" s="1"/>
  <c r="K129" i="8"/>
  <c r="L129" i="8" s="1"/>
  <c r="K131" i="8"/>
  <c r="L131" i="8" s="1"/>
  <c r="K133" i="8"/>
  <c r="L133" i="8" s="1"/>
  <c r="K136" i="8"/>
  <c r="L136" i="8" s="1"/>
  <c r="K137" i="8"/>
  <c r="L137" i="8" s="1"/>
  <c r="K139" i="8"/>
  <c r="L139" i="8" s="1"/>
  <c r="K141" i="8"/>
  <c r="L141" i="8" s="1"/>
  <c r="K142" i="8"/>
  <c r="L142" i="8" s="1"/>
  <c r="K144" i="8"/>
  <c r="L144" i="8" s="1"/>
  <c r="K146" i="8"/>
  <c r="L146" i="8" s="1"/>
  <c r="K148" i="8"/>
  <c r="L148" i="8" s="1"/>
  <c r="K150" i="8"/>
  <c r="L150" i="8" s="1"/>
  <c r="K152" i="8"/>
  <c r="L152" i="8" s="1"/>
  <c r="K154" i="8"/>
  <c r="L154" i="8" s="1"/>
  <c r="K156" i="8"/>
  <c r="L156" i="8" s="1"/>
  <c r="K158" i="8"/>
  <c r="L158" i="8" s="1"/>
  <c r="K160" i="8"/>
  <c r="L160" i="8" s="1"/>
  <c r="K163" i="8"/>
  <c r="L163" i="8" s="1"/>
  <c r="K165" i="8"/>
  <c r="L165" i="8" s="1"/>
  <c r="K167" i="8"/>
  <c r="L167" i="8" s="1"/>
  <c r="K169" i="8"/>
  <c r="L169" i="8" s="1"/>
  <c r="K172" i="8"/>
  <c r="L172" i="8" s="1"/>
  <c r="K175" i="8"/>
  <c r="L175" i="8" s="1"/>
  <c r="K178" i="8"/>
  <c r="L178" i="8" s="1"/>
  <c r="K180" i="8"/>
  <c r="L180" i="8" s="1"/>
  <c r="K182" i="8"/>
  <c r="L182" i="8" s="1"/>
  <c r="K183" i="8"/>
  <c r="L183" i="8" s="1"/>
  <c r="K186" i="8"/>
  <c r="L186" i="8" s="1"/>
  <c r="K189" i="8"/>
  <c r="L189" i="8" s="1"/>
  <c r="K191" i="8"/>
  <c r="L191" i="8" s="1"/>
  <c r="K193" i="8"/>
  <c r="L193" i="8" s="1"/>
  <c r="K195" i="8"/>
  <c r="L195" i="8" s="1"/>
  <c r="K198" i="8"/>
  <c r="L198" i="8" s="1"/>
  <c r="K200" i="8"/>
  <c r="L200" i="8" s="1"/>
  <c r="K201" i="8"/>
  <c r="L201" i="8" s="1"/>
  <c r="K203" i="8"/>
  <c r="L203" i="8" s="1"/>
  <c r="K205" i="8"/>
  <c r="L205" i="8" s="1"/>
  <c r="K207" i="8"/>
  <c r="L207" i="8" s="1"/>
  <c r="K208" i="8"/>
  <c r="L208" i="8" s="1"/>
  <c r="K209" i="8"/>
  <c r="L209" i="8" s="1"/>
  <c r="K211" i="8"/>
  <c r="L211" i="8" s="1"/>
  <c r="K213" i="8"/>
  <c r="L213" i="8" s="1"/>
  <c r="K215" i="8"/>
  <c r="L215" i="8" s="1"/>
  <c r="K217" i="8"/>
  <c r="L217" i="8" s="1"/>
  <c r="K218" i="8"/>
  <c r="L218" i="8" s="1"/>
  <c r="K220" i="8"/>
  <c r="L220" i="8" s="1"/>
  <c r="K222" i="8"/>
  <c r="L222" i="8" s="1"/>
  <c r="K225" i="8"/>
  <c r="L225" i="8" s="1"/>
  <c r="K227" i="8"/>
  <c r="L227" i="8" s="1"/>
  <c r="K228" i="8"/>
  <c r="L228" i="8" s="1"/>
  <c r="K230" i="8"/>
  <c r="L230" i="8" s="1"/>
  <c r="K232" i="8"/>
  <c r="L232" i="8" s="1"/>
  <c r="K234" i="8"/>
  <c r="L234" i="8" s="1"/>
  <c r="K236" i="8"/>
  <c r="L236" i="8" s="1"/>
  <c r="K238" i="8"/>
  <c r="L238" i="8" s="1"/>
  <c r="K240" i="8"/>
  <c r="L240" i="8" s="1"/>
  <c r="K242" i="8"/>
  <c r="L242" i="8" s="1"/>
  <c r="K244" i="8"/>
  <c r="L244" i="8" s="1"/>
  <c r="K246" i="8"/>
  <c r="L246" i="8" s="1"/>
  <c r="K248" i="8"/>
  <c r="L248" i="8" s="1"/>
  <c r="K250" i="8"/>
  <c r="L250" i="8" s="1"/>
  <c r="K253" i="8"/>
  <c r="L253" i="8" s="1"/>
  <c r="K261" i="8"/>
  <c r="L261" i="8" s="1"/>
  <c r="K262" i="8"/>
  <c r="L262" i="8" s="1"/>
  <c r="K263" i="8"/>
  <c r="L263" i="8" s="1"/>
  <c r="K264" i="8"/>
  <c r="L264" i="8" s="1"/>
  <c r="K265" i="8"/>
  <c r="L265" i="8" s="1"/>
  <c r="K266" i="8"/>
  <c r="L266" i="8" s="1"/>
  <c r="K267" i="8"/>
  <c r="L267" i="8" s="1"/>
  <c r="K268" i="8"/>
  <c r="L268" i="8" s="1"/>
  <c r="K269" i="8"/>
  <c r="L269" i="8" s="1"/>
  <c r="K271" i="8"/>
  <c r="L271" i="8" s="1"/>
  <c r="K272" i="8"/>
  <c r="L272" i="8" s="1"/>
  <c r="K273" i="8"/>
  <c r="L273" i="8" s="1"/>
  <c r="K275" i="8"/>
  <c r="L275" i="8" s="1"/>
  <c r="K276" i="8"/>
  <c r="L276" i="8" s="1"/>
  <c r="K281" i="8"/>
  <c r="L281" i="8" s="1"/>
  <c r="K282" i="8"/>
  <c r="L282" i="8" s="1"/>
  <c r="K286" i="8"/>
  <c r="L286" i="8" s="1"/>
  <c r="K288" i="8"/>
  <c r="L288" i="8" s="1"/>
  <c r="K289" i="8"/>
  <c r="L289" i="8" s="1"/>
  <c r="K291" i="8"/>
  <c r="L291" i="8" s="1"/>
  <c r="K293" i="8"/>
  <c r="L293" i="8" s="1"/>
  <c r="K295" i="8"/>
  <c r="L295" i="8" s="1"/>
  <c r="K297" i="8"/>
  <c r="L297" i="8" s="1"/>
  <c r="K299" i="8"/>
  <c r="L299" i="8" s="1"/>
  <c r="K302" i="8"/>
  <c r="L302" i="8" s="1"/>
  <c r="K304" i="8"/>
  <c r="L304" i="8" s="1"/>
  <c r="K306" i="8"/>
  <c r="L306" i="8" s="1"/>
  <c r="K308" i="8"/>
  <c r="L308" i="8" s="1"/>
  <c r="K310" i="8"/>
  <c r="L310" i="8" s="1"/>
  <c r="K312" i="8"/>
  <c r="L312" i="8" s="1"/>
  <c r="K315" i="8"/>
  <c r="L315" i="8" s="1"/>
  <c r="K317" i="8"/>
  <c r="L317" i="8" s="1"/>
  <c r="K319" i="8"/>
  <c r="L319" i="8" s="1"/>
  <c r="K321" i="8"/>
  <c r="L321" i="8" s="1"/>
  <c r="K322" i="8"/>
  <c r="L322" i="8" s="1"/>
  <c r="K325" i="8"/>
  <c r="L325" i="8" s="1"/>
  <c r="K326" i="8"/>
  <c r="L326" i="8" s="1"/>
  <c r="K328" i="8"/>
  <c r="L328" i="8" s="1"/>
  <c r="K331" i="8"/>
  <c r="L331" i="8" s="1"/>
  <c r="K333" i="8"/>
  <c r="L333" i="8" s="1"/>
  <c r="K335" i="8"/>
  <c r="L335" i="8" s="1"/>
  <c r="K337" i="8"/>
  <c r="L337" i="8" s="1"/>
  <c r="K338" i="8"/>
  <c r="L338" i="8" s="1"/>
  <c r="K340" i="8"/>
  <c r="L340" i="8" s="1"/>
  <c r="K343" i="8"/>
  <c r="L343" i="8" s="1"/>
  <c r="K344" i="8"/>
  <c r="L344" i="8" s="1"/>
  <c r="K346" i="8"/>
  <c r="L346" i="8" s="1"/>
  <c r="K348" i="8"/>
  <c r="L348" i="8" s="1"/>
  <c r="K350" i="8"/>
  <c r="L350" i="8" s="1"/>
  <c r="K352" i="8"/>
  <c r="L352" i="8" s="1"/>
  <c r="K354" i="8"/>
  <c r="L354" i="8" s="1"/>
  <c r="K358" i="8"/>
  <c r="L358" i="8" s="1"/>
  <c r="K359" i="8"/>
  <c r="L359" i="8" s="1"/>
  <c r="K361" i="8"/>
  <c r="L361" i="8" s="1"/>
  <c r="K363" i="8"/>
  <c r="L363" i="8" s="1"/>
  <c r="K365" i="8"/>
  <c r="L365" i="8" s="1"/>
  <c r="K367" i="8"/>
  <c r="L367" i="8" s="1"/>
  <c r="K369" i="8"/>
  <c r="L369" i="8" s="1"/>
  <c r="K371" i="8"/>
  <c r="L371" i="8" s="1"/>
  <c r="K373" i="8"/>
  <c r="L373" i="8" s="1"/>
  <c r="K375" i="8"/>
  <c r="L375" i="8" s="1"/>
  <c r="K378" i="8"/>
  <c r="L378" i="8" s="1"/>
  <c r="K379" i="8"/>
  <c r="L379" i="8" s="1"/>
  <c r="K381" i="8"/>
  <c r="L381" i="8" s="1"/>
  <c r="K382" i="8"/>
  <c r="L382" i="8" s="1"/>
  <c r="K384" i="8"/>
  <c r="L384" i="8" s="1"/>
  <c r="K386" i="8"/>
  <c r="L386" i="8" s="1"/>
  <c r="K388" i="8"/>
  <c r="L388" i="8" s="1"/>
  <c r="K391" i="8"/>
  <c r="L391" i="8" s="1"/>
  <c r="K393" i="8"/>
  <c r="L393" i="8" s="1"/>
  <c r="K395" i="8"/>
  <c r="L395" i="8" s="1"/>
  <c r="K396" i="8"/>
  <c r="L396" i="8" s="1"/>
  <c r="K398" i="8"/>
  <c r="L398" i="8" s="1"/>
  <c r="K400" i="8"/>
  <c r="L400" i="8" s="1"/>
  <c r="K402" i="8"/>
  <c r="L402" i="8" s="1"/>
  <c r="K404" i="8"/>
  <c r="L404" i="8" s="1"/>
  <c r="K406" i="8"/>
  <c r="L406" i="8" s="1"/>
  <c r="K408" i="8"/>
  <c r="L408" i="8" s="1"/>
  <c r="K409" i="8"/>
  <c r="L409" i="8" s="1"/>
  <c r="K411" i="8"/>
  <c r="L411" i="8" s="1"/>
  <c r="K413" i="8"/>
  <c r="L413" i="8" s="1"/>
  <c r="K416" i="8"/>
  <c r="L416" i="8" s="1"/>
  <c r="K418" i="8"/>
  <c r="L418" i="8" s="1"/>
  <c r="K419" i="8"/>
  <c r="L419" i="8" s="1"/>
  <c r="K421" i="8"/>
  <c r="L421" i="8" s="1"/>
  <c r="K424" i="8"/>
  <c r="L424" i="8" s="1"/>
  <c r="K427" i="8"/>
  <c r="L427" i="8" s="1"/>
  <c r="K428" i="8"/>
  <c r="L428" i="8" s="1"/>
  <c r="K430" i="8"/>
  <c r="L430" i="8" s="1"/>
  <c r="K432" i="8"/>
  <c r="L432" i="8" s="1"/>
  <c r="K435" i="8"/>
  <c r="L435" i="8" s="1"/>
  <c r="K437" i="8"/>
  <c r="L437" i="8" s="1"/>
  <c r="K438" i="8"/>
  <c r="L438" i="8" s="1"/>
  <c r="K439" i="8"/>
  <c r="L439" i="8" s="1"/>
  <c r="K440" i="8"/>
  <c r="L440" i="8" s="1"/>
  <c r="K441" i="8"/>
  <c r="L441" i="8" s="1"/>
  <c r="K442" i="8"/>
  <c r="L442" i="8" s="1"/>
  <c r="K443" i="8"/>
  <c r="L443" i="8" s="1"/>
  <c r="K444" i="8"/>
  <c r="L444" i="8" s="1"/>
  <c r="K445" i="8"/>
  <c r="L445" i="8" s="1"/>
  <c r="K446" i="8"/>
  <c r="L446" i="8" s="1"/>
  <c r="K447" i="8"/>
  <c r="L447" i="8" s="1"/>
  <c r="K448" i="8"/>
  <c r="L448" i="8" s="1"/>
  <c r="K449" i="8"/>
  <c r="L449" i="8" s="1"/>
  <c r="K450" i="8"/>
  <c r="L450" i="8" s="1"/>
  <c r="K451" i="8"/>
  <c r="L451" i="8" s="1"/>
  <c r="K452" i="8"/>
  <c r="L452" i="8" s="1"/>
  <c r="K454" i="8"/>
  <c r="L454" i="8" s="1"/>
  <c r="K456" i="8"/>
  <c r="L456" i="8" s="1"/>
  <c r="K458" i="8"/>
  <c r="L458" i="8" s="1"/>
  <c r="K460" i="8"/>
  <c r="L460" i="8" s="1"/>
  <c r="K461" i="8"/>
  <c r="L461" i="8" s="1"/>
  <c r="K464" i="8"/>
  <c r="L464" i="8" s="1"/>
  <c r="K466" i="8"/>
  <c r="L466" i="8" s="1"/>
  <c r="K468" i="8"/>
  <c r="L468" i="8" s="1"/>
  <c r="K470" i="8"/>
  <c r="L470" i="8" s="1"/>
  <c r="K472" i="8"/>
  <c r="L472" i="8" s="1"/>
  <c r="K473" i="8"/>
  <c r="L473" i="8" s="1"/>
  <c r="K476" i="8"/>
  <c r="L476" i="8" s="1"/>
  <c r="K477" i="8"/>
  <c r="L477" i="8" s="1"/>
  <c r="K479" i="8"/>
  <c r="L479" i="8" s="1"/>
  <c r="K483" i="8"/>
  <c r="L483" i="8" s="1"/>
  <c r="K485" i="8"/>
  <c r="L485" i="8" s="1"/>
  <c r="K488" i="8"/>
  <c r="L488" i="8" s="1"/>
  <c r="K490" i="8"/>
  <c r="L490" i="8" s="1"/>
  <c r="K492" i="8"/>
  <c r="L492" i="8" s="1"/>
  <c r="K494" i="8"/>
  <c r="L494" i="8" s="1"/>
  <c r="K496" i="8"/>
  <c r="L496" i="8" s="1"/>
  <c r="K498" i="8"/>
  <c r="L498" i="8" s="1"/>
  <c r="K500" i="8"/>
  <c r="L500" i="8" s="1"/>
  <c r="K501" i="8"/>
  <c r="L501" i="8" s="1"/>
  <c r="K503" i="8"/>
  <c r="L503" i="8" s="1"/>
  <c r="K505" i="8"/>
  <c r="L505" i="8" s="1"/>
  <c r="K507" i="8"/>
  <c r="L507" i="8" s="1"/>
  <c r="K509" i="8"/>
  <c r="L509" i="8" s="1"/>
  <c r="K512" i="8"/>
  <c r="L512" i="8" s="1"/>
  <c r="K513" i="8"/>
  <c r="L513" i="8" s="1"/>
  <c r="K516" i="8"/>
  <c r="L516" i="8" s="1"/>
  <c r="K518" i="8"/>
  <c r="L518" i="8" s="1"/>
  <c r="K522" i="8"/>
  <c r="L522" i="8" s="1"/>
  <c r="K525" i="8"/>
  <c r="L525" i="8" s="1"/>
  <c r="K527" i="8"/>
  <c r="L527" i="8" s="1"/>
  <c r="K531" i="8"/>
  <c r="L531" i="8" s="1"/>
  <c r="K532" i="8"/>
  <c r="L532" i="8" s="1"/>
  <c r="K534" i="8"/>
  <c r="L534" i="8" s="1"/>
  <c r="K535" i="8"/>
  <c r="L535" i="8" s="1"/>
  <c r="K539" i="8"/>
  <c r="L539" i="8" s="1"/>
  <c r="K541" i="8"/>
  <c r="L541" i="8" s="1"/>
  <c r="K544" i="8"/>
  <c r="L544" i="8" s="1"/>
  <c r="K546" i="8"/>
  <c r="L546" i="8" s="1"/>
  <c r="K548" i="8"/>
  <c r="L548" i="8" s="1"/>
  <c r="K550" i="8"/>
  <c r="L550" i="8" s="1"/>
  <c r="K552" i="8"/>
  <c r="L552" i="8" s="1"/>
  <c r="K554" i="8"/>
  <c r="L554" i="8" s="1"/>
  <c r="K556" i="8"/>
  <c r="L556" i="8" s="1"/>
  <c r="K559" i="8"/>
  <c r="L559" i="8" s="1"/>
  <c r="K561" i="8"/>
  <c r="L561" i="8" s="1"/>
  <c r="K562" i="8"/>
  <c r="L562" i="8" s="1"/>
  <c r="K565" i="8"/>
  <c r="L565" i="8" s="1"/>
  <c r="K567" i="8"/>
  <c r="L567" i="8" s="1"/>
  <c r="K570" i="8"/>
  <c r="L570" i="8" s="1"/>
  <c r="K572" i="8"/>
  <c r="L572" i="8" s="1"/>
  <c r="K575" i="8"/>
  <c r="L575" i="8" s="1"/>
  <c r="K577" i="8"/>
  <c r="L577" i="8" s="1"/>
  <c r="K579" i="8"/>
  <c r="L579" i="8" s="1"/>
  <c r="K582" i="8"/>
  <c r="L582" i="8" s="1"/>
  <c r="K585" i="8"/>
  <c r="L585" i="8" s="1"/>
  <c r="K586" i="8"/>
  <c r="L586" i="8" s="1"/>
  <c r="K588" i="8"/>
  <c r="L588" i="8" s="1"/>
  <c r="K590" i="8"/>
  <c r="L590" i="8" s="1"/>
  <c r="K592" i="8"/>
  <c r="L592" i="8" s="1"/>
  <c r="K628" i="8"/>
  <c r="L628" i="8" s="1"/>
  <c r="K630" i="8"/>
  <c r="L630" i="8" s="1"/>
  <c r="K632" i="8"/>
  <c r="L632" i="8" s="1"/>
  <c r="K634" i="8"/>
  <c r="L634" i="8" s="1"/>
  <c r="K635" i="8"/>
  <c r="L635" i="8" s="1"/>
  <c r="K637" i="8"/>
  <c r="L637" i="8" s="1"/>
  <c r="K639" i="8"/>
  <c r="L639" i="8" s="1"/>
  <c r="K641" i="8"/>
  <c r="L641" i="8" s="1"/>
  <c r="K643" i="8"/>
  <c r="L643" i="8" s="1"/>
  <c r="K646" i="8"/>
  <c r="L646" i="8" s="1"/>
  <c r="K649" i="8"/>
  <c r="L649" i="8" s="1"/>
  <c r="K650" i="8"/>
  <c r="L650" i="8" s="1"/>
  <c r="K653" i="8"/>
  <c r="L653" i="8" s="1"/>
  <c r="K655" i="8"/>
  <c r="L655" i="8" s="1"/>
  <c r="K657" i="8"/>
  <c r="L657" i="8" s="1"/>
  <c r="K659" i="8"/>
  <c r="L659" i="8" s="1"/>
  <c r="K660" i="8"/>
  <c r="L660" i="8" s="1"/>
  <c r="K663" i="8"/>
  <c r="L663" i="8" s="1"/>
  <c r="K665" i="8"/>
  <c r="L665" i="8" s="1"/>
  <c r="K667" i="8"/>
  <c r="L667" i="8" s="1"/>
  <c r="K671" i="8"/>
  <c r="L671" i="8" s="1"/>
  <c r="K673" i="8"/>
  <c r="L673" i="8" s="1"/>
  <c r="K675" i="8"/>
  <c r="L675" i="8" s="1"/>
  <c r="K678" i="8"/>
  <c r="L678" i="8" s="1"/>
  <c r="K681" i="8"/>
  <c r="L681" i="8" s="1"/>
  <c r="K683" i="8"/>
  <c r="L683" i="8" s="1"/>
  <c r="K685" i="8"/>
  <c r="L685" i="8" s="1"/>
  <c r="K687" i="8"/>
  <c r="L687" i="8" s="1"/>
  <c r="K689" i="8"/>
  <c r="L689" i="8" s="1"/>
  <c r="K691" i="8"/>
  <c r="L691" i="8" s="1"/>
  <c r="K693" i="8"/>
  <c r="L693" i="8" s="1"/>
  <c r="K695" i="8"/>
  <c r="L695" i="8" s="1"/>
  <c r="K697" i="8"/>
  <c r="L697" i="8" s="1"/>
  <c r="K699" i="8"/>
  <c r="L699" i="8" s="1"/>
  <c r="K701" i="8"/>
  <c r="L701" i="8" s="1"/>
  <c r="K703" i="8"/>
  <c r="L703" i="8" s="1"/>
  <c r="K706" i="8"/>
  <c r="L706" i="8" s="1"/>
  <c r="K707" i="8"/>
  <c r="L707" i="8" s="1"/>
  <c r="K709" i="8"/>
  <c r="L709" i="8" s="1"/>
  <c r="K711" i="8"/>
  <c r="L711" i="8" s="1"/>
  <c r="K713" i="8"/>
  <c r="L713" i="8" s="1"/>
  <c r="K714" i="8"/>
  <c r="L714" i="8" s="1"/>
  <c r="K717" i="8"/>
  <c r="L717" i="8" s="1"/>
  <c r="K719" i="8"/>
  <c r="L719" i="8" s="1"/>
  <c r="K720" i="8"/>
  <c r="L720" i="8" s="1"/>
  <c r="K722" i="8"/>
  <c r="L722" i="8" s="1"/>
  <c r="K724" i="8"/>
  <c r="L724" i="8" s="1"/>
  <c r="K726" i="8"/>
  <c r="L726" i="8" s="1"/>
  <c r="K727" i="8"/>
  <c r="L727" i="8" s="1"/>
  <c r="K728" i="8"/>
  <c r="L728" i="8" s="1"/>
  <c r="K730" i="8"/>
  <c r="L730" i="8" s="1"/>
  <c r="K734" i="8"/>
  <c r="L734" i="8" s="1"/>
  <c r="K736" i="8"/>
  <c r="L736" i="8" s="1"/>
  <c r="K738" i="8"/>
  <c r="L738" i="8" s="1"/>
  <c r="K740" i="8"/>
  <c r="L740" i="8" s="1"/>
  <c r="K743" i="8"/>
  <c r="L743" i="8" s="1"/>
  <c r="K744" i="8"/>
  <c r="L744" i="8" s="1"/>
  <c r="K745" i="8"/>
  <c r="L745" i="8" s="1"/>
  <c r="K746" i="8"/>
  <c r="L746" i="8" s="1"/>
  <c r="K747" i="8"/>
  <c r="L747" i="8" s="1"/>
  <c r="K748" i="8"/>
  <c r="L748" i="8" s="1"/>
  <c r="K749" i="8"/>
  <c r="L749" i="8" s="1"/>
  <c r="K750" i="8"/>
  <c r="L750" i="8" s="1"/>
  <c r="K751" i="8"/>
  <c r="L751" i="8" s="1"/>
  <c r="K752" i="8"/>
  <c r="L752" i="8" s="1"/>
  <c r="K753" i="8"/>
  <c r="L753" i="8" s="1"/>
  <c r="K754" i="8"/>
  <c r="L754" i="8" s="1"/>
  <c r="K755" i="8"/>
  <c r="L755" i="8" s="1"/>
  <c r="K756" i="8"/>
  <c r="L756" i="8" s="1"/>
  <c r="K757" i="8"/>
  <c r="L757" i="8" s="1"/>
  <c r="K758" i="8"/>
  <c r="L758" i="8" s="1"/>
  <c r="K759" i="8"/>
  <c r="L759" i="8" s="1"/>
  <c r="K760" i="8"/>
  <c r="L760" i="8" s="1"/>
  <c r="K761" i="8"/>
  <c r="L761" i="8" s="1"/>
  <c r="K762" i="8"/>
  <c r="L762" i="8" s="1"/>
  <c r="K763" i="8"/>
  <c r="L763" i="8" s="1"/>
  <c r="K764" i="8"/>
  <c r="L764" i="8" s="1"/>
  <c r="K765" i="8"/>
  <c r="L765" i="8" s="1"/>
  <c r="K766" i="8"/>
  <c r="L766" i="8" s="1"/>
  <c r="K767" i="8"/>
  <c r="L767" i="8" s="1"/>
  <c r="K768" i="8"/>
  <c r="L768" i="8" s="1"/>
  <c r="K769" i="8"/>
  <c r="L769" i="8" s="1"/>
  <c r="K770" i="8"/>
  <c r="L770" i="8" s="1"/>
  <c r="K771" i="8"/>
  <c r="L771" i="8" s="1"/>
  <c r="K772" i="8"/>
  <c r="L772" i="8" s="1"/>
  <c r="K773" i="8"/>
  <c r="L773" i="8" s="1"/>
  <c r="K774" i="8"/>
  <c r="L774" i="8" s="1"/>
  <c r="K775" i="8"/>
  <c r="L775" i="8" s="1"/>
  <c r="K776" i="8"/>
  <c r="L776" i="8" s="1"/>
  <c r="K777" i="8"/>
  <c r="L777" i="8" s="1"/>
  <c r="K778" i="8"/>
  <c r="L778" i="8" s="1"/>
  <c r="K779" i="8"/>
  <c r="L779" i="8" s="1"/>
  <c r="K780" i="8"/>
  <c r="L780" i="8" s="1"/>
  <c r="K781" i="8"/>
  <c r="L781" i="8" s="1"/>
  <c r="K782" i="8"/>
  <c r="L782" i="8" s="1"/>
  <c r="K783" i="8"/>
  <c r="L783" i="8" s="1"/>
  <c r="K784" i="8"/>
  <c r="L784" i="8" s="1"/>
  <c r="K785" i="8"/>
  <c r="L785" i="8" s="1"/>
  <c r="K786" i="8"/>
  <c r="L786" i="8" s="1"/>
  <c r="K787" i="8"/>
  <c r="L787" i="8" s="1"/>
  <c r="K788" i="8"/>
  <c r="L788" i="8" s="1"/>
  <c r="K789" i="8"/>
  <c r="L789" i="8" s="1"/>
  <c r="K790" i="8"/>
  <c r="L790" i="8" s="1"/>
  <c r="K791" i="8"/>
  <c r="L791" i="8" s="1"/>
  <c r="K792" i="8"/>
  <c r="L792" i="8" s="1"/>
  <c r="K793" i="8"/>
  <c r="L793" i="8" s="1"/>
  <c r="K794" i="8"/>
  <c r="L794" i="8" s="1"/>
  <c r="K795" i="8"/>
  <c r="L795" i="8" s="1"/>
  <c r="K796" i="8"/>
  <c r="L796" i="8" s="1"/>
  <c r="K797" i="8"/>
  <c r="L797" i="8" s="1"/>
  <c r="K798" i="8"/>
  <c r="L798" i="8" s="1"/>
  <c r="K799" i="8"/>
  <c r="L799" i="8" s="1"/>
  <c r="K800" i="8"/>
  <c r="L800" i="8" s="1"/>
  <c r="K801" i="8"/>
  <c r="L801" i="8" s="1"/>
  <c r="K802" i="8"/>
  <c r="L802" i="8" s="1"/>
  <c r="K803" i="8"/>
  <c r="L803" i="8" s="1"/>
  <c r="K804" i="8"/>
  <c r="L804" i="8" s="1"/>
  <c r="K805" i="8"/>
  <c r="L805" i="8" s="1"/>
  <c r="K806" i="8"/>
  <c r="L806" i="8" s="1"/>
  <c r="K807" i="8"/>
  <c r="L807" i="8" s="1"/>
  <c r="K808" i="8"/>
  <c r="L808" i="8" s="1"/>
  <c r="K809" i="8"/>
  <c r="L809" i="8" s="1"/>
  <c r="K810" i="8"/>
  <c r="L810" i="8" s="1"/>
  <c r="K811" i="8"/>
  <c r="L811" i="8" s="1"/>
  <c r="K812" i="8"/>
  <c r="L812" i="8" s="1"/>
  <c r="K813" i="8"/>
  <c r="L813" i="8" s="1"/>
  <c r="K814" i="8"/>
  <c r="L814" i="8" s="1"/>
  <c r="K815" i="8"/>
  <c r="L815" i="8" s="1"/>
  <c r="K816" i="8"/>
  <c r="L816" i="8" s="1"/>
  <c r="K817" i="8"/>
  <c r="L817" i="8" s="1"/>
  <c r="K818" i="8"/>
  <c r="L818" i="8" s="1"/>
  <c r="K819" i="8"/>
  <c r="L819" i="8" s="1"/>
  <c r="K820" i="8"/>
  <c r="L820" i="8" s="1"/>
  <c r="K821" i="8"/>
  <c r="L821" i="8" s="1"/>
  <c r="K822" i="8"/>
  <c r="L822" i="8" s="1"/>
  <c r="K823" i="8"/>
  <c r="L823" i="8" s="1"/>
  <c r="K824" i="8"/>
  <c r="L824" i="8" s="1"/>
  <c r="K825" i="8"/>
  <c r="L825" i="8" s="1"/>
  <c r="K826" i="8"/>
  <c r="L826" i="8" s="1"/>
  <c r="K827" i="8"/>
  <c r="L827" i="8" s="1"/>
  <c r="K828" i="8"/>
  <c r="L828" i="8" s="1"/>
  <c r="K829" i="8"/>
  <c r="L829" i="8" s="1"/>
  <c r="K830" i="8"/>
  <c r="L830" i="8" s="1"/>
  <c r="K831" i="8"/>
  <c r="L831" i="8" s="1"/>
  <c r="K832" i="8"/>
  <c r="L832" i="8" s="1"/>
  <c r="K833" i="8"/>
  <c r="L833" i="8" s="1"/>
  <c r="K834" i="8"/>
  <c r="L834" i="8" s="1"/>
  <c r="K835" i="8"/>
  <c r="L835" i="8" s="1"/>
  <c r="K836" i="8"/>
  <c r="L836" i="8" s="1"/>
  <c r="K837" i="8"/>
  <c r="L837" i="8" s="1"/>
  <c r="K838" i="8"/>
  <c r="L838" i="8" s="1"/>
  <c r="K839" i="8"/>
  <c r="L839" i="8" s="1"/>
  <c r="K840" i="8"/>
  <c r="L840" i="8" s="1"/>
  <c r="K841" i="8"/>
  <c r="L841" i="8" s="1"/>
  <c r="K842" i="8"/>
  <c r="L842" i="8" s="1"/>
  <c r="K843" i="8"/>
  <c r="L843" i="8" s="1"/>
  <c r="K844" i="8"/>
  <c r="L844" i="8" s="1"/>
  <c r="K845" i="8"/>
  <c r="L845" i="8" s="1"/>
  <c r="K846" i="8"/>
  <c r="L846" i="8" s="1"/>
  <c r="K847" i="8"/>
  <c r="L847" i="8" s="1"/>
  <c r="K848" i="8"/>
  <c r="L848" i="8" s="1"/>
  <c r="K849" i="8"/>
  <c r="L849" i="8" s="1"/>
  <c r="K850" i="8"/>
  <c r="L850" i="8" s="1"/>
  <c r="K851" i="8"/>
  <c r="L851" i="8" s="1"/>
  <c r="K852" i="8"/>
  <c r="L852" i="8" s="1"/>
  <c r="K853" i="8"/>
  <c r="L853" i="8" s="1"/>
  <c r="K854" i="8"/>
  <c r="L854" i="8" s="1"/>
  <c r="K855" i="8"/>
  <c r="L855" i="8" s="1"/>
  <c r="K857" i="8"/>
  <c r="L857" i="8" s="1"/>
  <c r="K859" i="8"/>
  <c r="L859" i="8" s="1"/>
  <c r="K861" i="8"/>
  <c r="L861" i="8" s="1"/>
  <c r="K863" i="8"/>
  <c r="L863" i="8" s="1"/>
  <c r="K865" i="8"/>
  <c r="L865" i="8" s="1"/>
  <c r="K867" i="8"/>
  <c r="L867" i="8" s="1"/>
  <c r="K869" i="8"/>
  <c r="L869" i="8" s="1"/>
  <c r="K870" i="8"/>
  <c r="L870" i="8" s="1"/>
  <c r="K872" i="8"/>
  <c r="L872" i="8" s="1"/>
  <c r="K874" i="8"/>
  <c r="L874" i="8" s="1"/>
  <c r="K876" i="8"/>
  <c r="L876" i="8" s="1"/>
  <c r="K878" i="8"/>
  <c r="L878" i="8" s="1"/>
  <c r="K880" i="8"/>
  <c r="L880" i="8" s="1"/>
  <c r="K882" i="8"/>
  <c r="L882" i="8" s="1"/>
  <c r="K885" i="8"/>
  <c r="L885" i="8" s="1"/>
  <c r="K886" i="8"/>
  <c r="L886" i="8" s="1"/>
  <c r="K887" i="8"/>
  <c r="L887" i="8" s="1"/>
  <c r="K889" i="8"/>
  <c r="L889" i="8" s="1"/>
  <c r="K891" i="8"/>
  <c r="L891" i="8" s="1"/>
  <c r="K892" i="8"/>
  <c r="L892" i="8" s="1"/>
  <c r="K893" i="8"/>
  <c r="L893" i="8" s="1"/>
  <c r="K895" i="8"/>
  <c r="L895" i="8" s="1"/>
  <c r="K897" i="8"/>
  <c r="L897" i="8" s="1"/>
  <c r="K899" i="8"/>
  <c r="L899" i="8" s="1"/>
  <c r="K901" i="8"/>
  <c r="L901" i="8" s="1"/>
  <c r="K903" i="8"/>
  <c r="L903" i="8" s="1"/>
  <c r="K905" i="8"/>
  <c r="L905" i="8" s="1"/>
  <c r="K907" i="8"/>
  <c r="L907" i="8" s="1"/>
  <c r="K910" i="8"/>
  <c r="L910" i="8" s="1"/>
  <c r="K911" i="8"/>
  <c r="L911" i="8" s="1"/>
  <c r="K913" i="8"/>
  <c r="L913" i="8" s="1"/>
  <c r="K915" i="8"/>
  <c r="L915" i="8" s="1"/>
  <c r="K917" i="8"/>
  <c r="L917" i="8" s="1"/>
  <c r="K919" i="8"/>
  <c r="L919" i="8" s="1"/>
  <c r="K921" i="8"/>
  <c r="L921" i="8" s="1"/>
  <c r="K924" i="8"/>
  <c r="L924" i="8" s="1"/>
  <c r="K925" i="8"/>
  <c r="L925" i="8" s="1"/>
  <c r="K927" i="8"/>
  <c r="L927" i="8" s="1"/>
  <c r="K929" i="8"/>
  <c r="L929" i="8" s="1"/>
  <c r="K931" i="8"/>
  <c r="L931" i="8" s="1"/>
  <c r="K932" i="8"/>
  <c r="L932" i="8" s="1"/>
  <c r="K933" i="8"/>
  <c r="L933" i="8" s="1"/>
  <c r="K935" i="8"/>
  <c r="L935" i="8" s="1"/>
  <c r="K937" i="8"/>
  <c r="L937" i="8" s="1"/>
  <c r="K939" i="8"/>
  <c r="L939" i="8" s="1"/>
  <c r="K940" i="8"/>
  <c r="L940" i="8" s="1"/>
  <c r="K942" i="8"/>
  <c r="L942" i="8" s="1"/>
  <c r="K944" i="8"/>
  <c r="L944" i="8" s="1"/>
  <c r="K946" i="8"/>
  <c r="L946" i="8" s="1"/>
  <c r="K947" i="8"/>
  <c r="L947" i="8" s="1"/>
  <c r="K949" i="8"/>
  <c r="L949" i="8" s="1"/>
  <c r="K951" i="8"/>
  <c r="L951" i="8" s="1"/>
  <c r="K953" i="8"/>
  <c r="L953" i="8" s="1"/>
  <c r="K956" i="8"/>
  <c r="L956" i="8" s="1"/>
  <c r="K958" i="8"/>
  <c r="L958" i="8" s="1"/>
  <c r="K960" i="8"/>
  <c r="L960" i="8" s="1"/>
  <c r="K963" i="8"/>
  <c r="L963" i="8" s="1"/>
  <c r="K965" i="8"/>
  <c r="L965" i="8" s="1"/>
  <c r="K967" i="8"/>
  <c r="L967" i="8" s="1"/>
  <c r="K969" i="8"/>
  <c r="L969" i="8" s="1"/>
  <c r="K972" i="8"/>
  <c r="L972" i="8" s="1"/>
  <c r="K974" i="8"/>
  <c r="L974" i="8" s="1"/>
  <c r="K976" i="8"/>
  <c r="L976" i="8" s="1"/>
  <c r="K978" i="8"/>
  <c r="L978" i="8" s="1"/>
  <c r="K980" i="8"/>
  <c r="L980" i="8" s="1"/>
  <c r="K983" i="8"/>
  <c r="L983" i="8" s="1"/>
  <c r="K985" i="8"/>
  <c r="L985" i="8" s="1"/>
  <c r="K987" i="8"/>
  <c r="L987" i="8" s="1"/>
  <c r="K989" i="8"/>
  <c r="L989" i="8" s="1"/>
  <c r="K1077" i="8"/>
  <c r="L1077" i="8" s="1"/>
  <c r="K1078" i="8"/>
  <c r="L1078" i="8" s="1"/>
  <c r="K1080" i="8"/>
  <c r="L1080" i="8" s="1"/>
  <c r="K1082" i="8"/>
  <c r="L1082" i="8" s="1"/>
  <c r="K1084" i="8"/>
  <c r="L1084" i="8" s="1"/>
  <c r="K1086" i="8"/>
  <c r="L1086" i="8" s="1"/>
  <c r="K1088" i="8"/>
  <c r="L1088" i="8" s="1"/>
  <c r="K1089" i="8"/>
  <c r="L1089" i="8" s="1"/>
  <c r="K1091" i="8"/>
  <c r="L1091" i="8" s="1"/>
  <c r="K1093" i="8"/>
  <c r="L1093" i="8" s="1"/>
  <c r="K1099" i="8"/>
  <c r="L1099" i="8" s="1"/>
  <c r="K1101" i="8"/>
  <c r="L1101" i="8" s="1"/>
  <c r="K1102" i="8"/>
  <c r="L1102" i="8" s="1"/>
  <c r="K1105" i="8"/>
  <c r="L1105" i="8" s="1"/>
  <c r="K1107" i="8"/>
  <c r="L1107" i="8" s="1"/>
  <c r="K1109" i="8"/>
  <c r="L1109" i="8" s="1"/>
  <c r="K1111" i="8"/>
  <c r="L1111" i="8" s="1"/>
  <c r="K1115" i="8"/>
  <c r="L1115" i="8" s="1"/>
  <c r="K1120" i="8"/>
  <c r="L1120" i="8" s="1"/>
  <c r="K1124" i="8"/>
  <c r="L1124" i="8" s="1"/>
  <c r="K1129" i="8"/>
  <c r="L1129" i="8" s="1"/>
  <c r="K1133" i="8"/>
  <c r="L1133" i="8" s="1"/>
  <c r="K1137" i="8"/>
  <c r="L1137" i="8" s="1"/>
  <c r="K1141" i="8"/>
  <c r="L1141" i="8" s="1"/>
  <c r="K1144" i="8"/>
  <c r="L1144" i="8" s="1"/>
  <c r="K1147" i="8"/>
  <c r="L1147" i="8" s="1"/>
  <c r="K1152" i="8"/>
  <c r="L1152" i="8" s="1"/>
  <c r="K1157" i="8"/>
  <c r="L1157" i="8" s="1"/>
  <c r="K1164" i="8"/>
  <c r="L1164" i="8" s="1"/>
  <c r="K1167" i="8"/>
  <c r="L1167" i="8" s="1"/>
  <c r="K1171" i="8"/>
  <c r="L1171" i="8" s="1"/>
  <c r="K1175" i="8"/>
  <c r="L1175" i="8" s="1"/>
  <c r="K1178" i="8"/>
  <c r="L1178" i="8" s="1"/>
  <c r="K1181" i="8"/>
  <c r="L1181" i="8" s="1"/>
  <c r="K1186" i="8"/>
  <c r="L1186" i="8" s="1"/>
  <c r="K1190" i="8"/>
  <c r="L1190" i="8" s="1"/>
  <c r="K1193" i="8"/>
  <c r="L1193" i="8" s="1"/>
  <c r="K1197" i="8"/>
  <c r="L1197" i="8" s="1"/>
  <c r="K1201" i="8"/>
  <c r="L1201" i="8" s="1"/>
  <c r="K1204" i="8"/>
  <c r="L1204" i="8" s="1"/>
  <c r="K1207" i="8"/>
  <c r="L1207" i="8" s="1"/>
  <c r="K1211" i="8"/>
  <c r="L1211" i="8" s="1"/>
  <c r="K1214" i="8"/>
  <c r="L1214" i="8" s="1"/>
  <c r="K1217" i="8"/>
  <c r="L1217" i="8" s="1"/>
  <c r="K1221" i="8"/>
  <c r="L1221" i="8" s="1"/>
  <c r="K1225" i="8"/>
  <c r="L1225" i="8" s="1"/>
  <c r="K1229" i="8"/>
  <c r="L1229" i="8" s="1"/>
  <c r="K1230" i="8"/>
  <c r="L1230" i="8" s="1"/>
  <c r="K1234" i="8"/>
  <c r="L1234" i="8" s="1"/>
  <c r="K1240" i="8"/>
  <c r="L1240" i="8" s="1"/>
  <c r="K990" i="8"/>
  <c r="L990" i="8" s="1"/>
  <c r="K991" i="8"/>
  <c r="L991" i="8" s="1"/>
  <c r="K992" i="8"/>
  <c r="L992" i="8" s="1"/>
  <c r="K993" i="8"/>
  <c r="L993" i="8" s="1"/>
  <c r="K994" i="8"/>
  <c r="L994" i="8" s="1"/>
  <c r="K995" i="8"/>
  <c r="L995" i="8" s="1"/>
  <c r="K996" i="8"/>
  <c r="L996" i="8" s="1"/>
  <c r="K997" i="8"/>
  <c r="L997" i="8" s="1"/>
  <c r="K998" i="8"/>
  <c r="L998" i="8" s="1"/>
  <c r="K999" i="8"/>
  <c r="L999" i="8" s="1"/>
  <c r="K1000" i="8"/>
  <c r="L1000" i="8" s="1"/>
  <c r="K1001" i="8"/>
  <c r="L1001" i="8" s="1"/>
  <c r="K1002" i="8"/>
  <c r="L1002" i="8" s="1"/>
  <c r="K1003" i="8"/>
  <c r="L1003" i="8" s="1"/>
  <c r="K1004" i="8"/>
  <c r="L1004" i="8" s="1"/>
  <c r="K1005" i="8"/>
  <c r="L1005" i="8" s="1"/>
  <c r="K1006" i="8"/>
  <c r="L1006" i="8" s="1"/>
  <c r="K1007" i="8"/>
  <c r="L1007" i="8" s="1"/>
  <c r="K1008" i="8"/>
  <c r="L1008" i="8" s="1"/>
  <c r="K1009" i="8"/>
  <c r="L1009" i="8" s="1"/>
  <c r="K1010" i="8"/>
  <c r="L1010" i="8" s="1"/>
  <c r="K1011" i="8"/>
  <c r="L1011" i="8" s="1"/>
  <c r="K1012" i="8"/>
  <c r="L1012" i="8" s="1"/>
  <c r="K1013" i="8"/>
  <c r="L1013" i="8" s="1"/>
  <c r="K1014" i="8"/>
  <c r="L1014" i="8" s="1"/>
  <c r="K1015" i="8"/>
  <c r="L1015" i="8" s="1"/>
  <c r="K1016" i="8"/>
  <c r="L1016" i="8" s="1"/>
  <c r="K1017" i="8"/>
  <c r="L1017" i="8" s="1"/>
  <c r="K1018" i="8"/>
  <c r="L1018" i="8" s="1"/>
  <c r="K1019" i="8"/>
  <c r="L1019" i="8" s="1"/>
  <c r="K1020" i="8"/>
  <c r="L1020" i="8" s="1"/>
  <c r="K1021" i="8"/>
  <c r="L1021" i="8" s="1"/>
  <c r="K1022" i="8"/>
  <c r="L1022" i="8" s="1"/>
  <c r="K1023" i="8"/>
  <c r="L1023" i="8" s="1"/>
  <c r="K1024" i="8"/>
  <c r="L1024" i="8" s="1"/>
  <c r="K1025" i="8"/>
  <c r="L1025" i="8" s="1"/>
  <c r="K1026" i="8"/>
  <c r="L1026" i="8" s="1"/>
  <c r="K1027" i="8"/>
  <c r="L1027" i="8" s="1"/>
  <c r="K1028" i="8"/>
  <c r="L1028" i="8" s="1"/>
  <c r="K1029" i="8"/>
  <c r="L1029" i="8" s="1"/>
  <c r="K1030" i="8"/>
  <c r="L1030" i="8" s="1"/>
  <c r="K1031" i="8"/>
  <c r="L1031" i="8" s="1"/>
  <c r="K1032" i="8"/>
  <c r="L1032" i="8" s="1"/>
  <c r="K1033" i="8"/>
  <c r="L1033" i="8" s="1"/>
  <c r="K1034" i="8"/>
  <c r="L1034" i="8" s="1"/>
  <c r="K1035" i="8"/>
  <c r="L1035" i="8" s="1"/>
  <c r="K1036" i="8"/>
  <c r="L1036" i="8" s="1"/>
  <c r="K1037" i="8"/>
  <c r="L1037" i="8" s="1"/>
  <c r="K1038" i="8"/>
  <c r="L1038" i="8" s="1"/>
  <c r="K1039" i="8"/>
  <c r="L1039" i="8" s="1"/>
  <c r="K1040" i="8"/>
  <c r="L1040" i="8" s="1"/>
  <c r="K1041" i="8"/>
  <c r="L1041" i="8" s="1"/>
  <c r="K1042" i="8"/>
  <c r="L1042" i="8" s="1"/>
  <c r="K1043" i="8"/>
  <c r="L1043" i="8" s="1"/>
  <c r="K1044" i="8"/>
  <c r="L1044" i="8" s="1"/>
  <c r="K1045" i="8"/>
  <c r="L1045" i="8" s="1"/>
  <c r="K1046" i="8"/>
  <c r="L1046" i="8" s="1"/>
  <c r="K1047" i="8"/>
  <c r="L1047" i="8" s="1"/>
  <c r="K1048" i="8"/>
  <c r="L1048" i="8" s="1"/>
  <c r="K1049" i="8"/>
  <c r="L1049" i="8" s="1"/>
  <c r="K1050" i="8"/>
  <c r="L1050" i="8" s="1"/>
  <c r="K1051" i="8"/>
  <c r="L1051" i="8" s="1"/>
  <c r="K1052" i="8"/>
  <c r="L1052" i="8" s="1"/>
  <c r="K1053" i="8"/>
  <c r="L1053" i="8" s="1"/>
  <c r="K1054" i="8"/>
  <c r="L1054" i="8" s="1"/>
  <c r="K1055" i="8"/>
  <c r="L1055" i="8" s="1"/>
  <c r="K1056" i="8"/>
  <c r="L1056" i="8" s="1"/>
  <c r="K1057" i="8"/>
  <c r="L1057" i="8" s="1"/>
  <c r="K1058" i="8"/>
  <c r="L1058" i="8" s="1"/>
  <c r="K1059" i="8"/>
  <c r="L1059" i="8" s="1"/>
  <c r="K1060" i="8"/>
  <c r="L1060" i="8" s="1"/>
  <c r="K1061" i="8"/>
  <c r="L1061" i="8" s="1"/>
  <c r="K1062" i="8"/>
  <c r="L1062" i="8" s="1"/>
  <c r="K1063" i="8"/>
  <c r="L1063" i="8" s="1"/>
  <c r="K1064" i="8"/>
  <c r="L1064" i="8" s="1"/>
  <c r="K1065" i="8"/>
  <c r="L1065" i="8" s="1"/>
  <c r="K1066" i="8"/>
  <c r="L1066" i="8" s="1"/>
  <c r="K1067" i="8"/>
  <c r="L1067" i="8" s="1"/>
  <c r="K1068" i="8"/>
  <c r="L1068" i="8" s="1"/>
  <c r="K1069" i="8"/>
  <c r="L1069" i="8" s="1"/>
  <c r="K1070" i="8"/>
  <c r="L1070" i="8" s="1"/>
  <c r="K1071" i="8"/>
  <c r="L1071" i="8" s="1"/>
  <c r="K1072" i="8"/>
  <c r="L1072" i="8" s="1"/>
  <c r="K1073" i="8"/>
  <c r="L1073" i="8" s="1"/>
  <c r="K1074" i="8"/>
  <c r="L1074" i="8" s="1"/>
  <c r="K1075" i="8"/>
  <c r="L1075" i="8" s="1"/>
  <c r="K1096" i="8"/>
  <c r="L1096" i="8" s="1"/>
  <c r="K1112" i="8"/>
  <c r="L1112" i="8" s="1"/>
  <c r="K1118" i="8"/>
  <c r="L1118" i="8" s="1"/>
  <c r="K1119" i="8"/>
  <c r="L1119" i="8" s="1"/>
  <c r="K1123" i="8"/>
  <c r="L1123" i="8" s="1"/>
  <c r="K1127" i="8"/>
  <c r="L1127" i="8" s="1"/>
  <c r="K1131" i="8"/>
  <c r="L1131" i="8" s="1"/>
  <c r="K1134" i="8"/>
  <c r="L1134" i="8" s="1"/>
  <c r="K1138" i="8"/>
  <c r="L1138" i="8" s="1"/>
  <c r="K1145" i="8"/>
  <c r="L1145" i="8" s="1"/>
  <c r="K1149" i="8"/>
  <c r="L1149" i="8" s="1"/>
  <c r="K1154" i="8"/>
  <c r="L1154" i="8" s="1"/>
  <c r="K1158" i="8"/>
  <c r="L1158" i="8" s="1"/>
  <c r="K1161" i="8"/>
  <c r="L1161" i="8" s="1"/>
  <c r="K1166" i="8"/>
  <c r="L1166" i="8" s="1"/>
  <c r="K1169" i="8"/>
  <c r="L1169" i="8" s="1"/>
  <c r="K1172" i="8"/>
  <c r="L1172" i="8" s="1"/>
  <c r="K1176" i="8"/>
  <c r="L1176" i="8" s="1"/>
  <c r="K1180" i="8"/>
  <c r="L1180" i="8" s="1"/>
  <c r="K1184" i="8"/>
  <c r="L1184" i="8" s="1"/>
  <c r="K1188" i="8"/>
  <c r="L1188" i="8" s="1"/>
  <c r="K1192" i="8"/>
  <c r="L1192" i="8" s="1"/>
  <c r="K1194" i="8"/>
  <c r="L1194" i="8" s="1"/>
  <c r="K1198" i="8"/>
  <c r="L1198" i="8" s="1"/>
  <c r="K1203" i="8"/>
  <c r="L1203" i="8" s="1"/>
  <c r="K1208" i="8"/>
  <c r="L1208" i="8" s="1"/>
  <c r="K1212" i="8"/>
  <c r="L1212" i="8" s="1"/>
  <c r="K1219" i="8"/>
  <c r="L1219" i="8" s="1"/>
  <c r="K1222" i="8"/>
  <c r="L1222" i="8" s="1"/>
  <c r="K1226" i="8"/>
  <c r="L1226" i="8" s="1"/>
  <c r="K1232" i="8"/>
  <c r="L1232" i="8" s="1"/>
  <c r="K1236" i="8"/>
  <c r="L1236" i="8" s="1"/>
  <c r="K1239" i="8"/>
  <c r="L1239" i="8" s="1"/>
  <c r="K1097" i="8"/>
  <c r="L1097" i="8" s="1"/>
  <c r="K1094" i="8"/>
  <c r="L1094" i="8" s="1"/>
  <c r="K1113" i="8"/>
  <c r="L1113" i="8" s="1"/>
  <c r="K1116" i="8"/>
  <c r="L1116" i="8" s="1"/>
  <c r="K1122" i="8"/>
  <c r="L1122" i="8" s="1"/>
  <c r="K1125" i="8"/>
  <c r="L1125" i="8" s="1"/>
  <c r="K1130" i="8"/>
  <c r="L1130" i="8" s="1"/>
  <c r="K1136" i="8"/>
  <c r="L1136" i="8" s="1"/>
  <c r="K1140" i="8"/>
  <c r="L1140" i="8" s="1"/>
  <c r="K1143" i="8"/>
  <c r="L1143" i="8" s="1"/>
  <c r="K1150" i="8"/>
  <c r="L1150" i="8" s="1"/>
  <c r="K1153" i="8"/>
  <c r="L1153" i="8" s="1"/>
  <c r="K1156" i="8"/>
  <c r="L1156" i="8" s="1"/>
  <c r="K1159" i="8"/>
  <c r="L1159" i="8" s="1"/>
  <c r="K1163" i="8"/>
  <c r="L1163" i="8" s="1"/>
  <c r="K1168" i="8"/>
  <c r="L1168" i="8" s="1"/>
  <c r="K1173" i="8"/>
  <c r="L1173" i="8" s="1"/>
  <c r="K1177" i="8"/>
  <c r="L1177" i="8" s="1"/>
  <c r="K1182" i="8"/>
  <c r="L1182" i="8" s="1"/>
  <c r="K1185" i="8"/>
  <c r="L1185" i="8" s="1"/>
  <c r="K1191" i="8"/>
  <c r="L1191" i="8" s="1"/>
  <c r="K1196" i="8"/>
  <c r="L1196" i="8" s="1"/>
  <c r="K1200" i="8"/>
  <c r="L1200" i="8" s="1"/>
  <c r="K1205" i="8"/>
  <c r="L1205" i="8" s="1"/>
  <c r="K1210" i="8"/>
  <c r="L1210" i="8" s="1"/>
  <c r="K1215" i="8"/>
  <c r="L1215" i="8" s="1"/>
  <c r="K1216" i="8"/>
  <c r="L1216" i="8" s="1"/>
  <c r="K1220" i="8"/>
  <c r="L1220" i="8" s="1"/>
  <c r="K1224" i="8"/>
  <c r="L1224" i="8" s="1"/>
  <c r="K1227" i="8"/>
  <c r="L1227" i="8" s="1"/>
  <c r="K1235" i="8"/>
  <c r="L1235" i="8" s="1"/>
  <c r="K1237" i="8"/>
  <c r="L1237" i="8" s="1"/>
  <c r="K1241" i="8"/>
  <c r="L1241" i="8" s="1"/>
  <c r="K90" i="8"/>
  <c r="L90" i="8" s="1"/>
  <c r="K92" i="8"/>
  <c r="L92" i="8" s="1"/>
  <c r="K97" i="8"/>
  <c r="L97" i="8" s="1"/>
  <c r="K98" i="8"/>
  <c r="L98" i="8" s="1"/>
  <c r="K101" i="8"/>
  <c r="L101" i="8" s="1"/>
  <c r="K102" i="8"/>
  <c r="L102" i="8" s="1"/>
  <c r="K104" i="8"/>
  <c r="L104" i="8" s="1"/>
  <c r="K106" i="8"/>
  <c r="L106" i="8" s="1"/>
  <c r="K108" i="8"/>
  <c r="L108" i="8" s="1"/>
  <c r="K111" i="8"/>
  <c r="L111" i="8" s="1"/>
  <c r="K112" i="8"/>
  <c r="L112" i="8" s="1"/>
  <c r="K115" i="8"/>
  <c r="L115" i="8" s="1"/>
  <c r="K118" i="8"/>
  <c r="L118" i="8" s="1"/>
  <c r="K120" i="8"/>
  <c r="L120" i="8" s="1"/>
  <c r="K122" i="8"/>
  <c r="L122" i="8" s="1"/>
  <c r="K127" i="8"/>
  <c r="L127" i="8" s="1"/>
  <c r="K130" i="8"/>
  <c r="L130" i="8" s="1"/>
  <c r="K132" i="8"/>
  <c r="L132" i="8" s="1"/>
  <c r="K134" i="8"/>
  <c r="L134" i="8" s="1"/>
  <c r="K135" i="8"/>
  <c r="L135" i="8" s="1"/>
  <c r="K138" i="8"/>
  <c r="L138" i="8" s="1"/>
  <c r="K140" i="8"/>
  <c r="L140" i="8" s="1"/>
  <c r="K143" i="8"/>
  <c r="L143" i="8" s="1"/>
  <c r="K145" i="8"/>
  <c r="L145" i="8" s="1"/>
  <c r="K147" i="8"/>
  <c r="L147" i="8" s="1"/>
  <c r="K149" i="8"/>
  <c r="L149" i="8" s="1"/>
  <c r="K151" i="8"/>
  <c r="L151" i="8" s="1"/>
  <c r="K153" i="8"/>
  <c r="L153" i="8" s="1"/>
  <c r="K155" i="8"/>
  <c r="L155" i="8" s="1"/>
  <c r="K157" i="8"/>
  <c r="L157" i="8" s="1"/>
  <c r="K159" i="8"/>
  <c r="L159" i="8" s="1"/>
  <c r="K161" i="8"/>
  <c r="L161" i="8" s="1"/>
  <c r="K162" i="8"/>
  <c r="L162" i="8" s="1"/>
  <c r="K164" i="8"/>
  <c r="L164" i="8" s="1"/>
  <c r="K166" i="8"/>
  <c r="L166" i="8" s="1"/>
  <c r="K168" i="8"/>
  <c r="L168" i="8" s="1"/>
  <c r="K170" i="8"/>
  <c r="L170" i="8" s="1"/>
  <c r="K171" i="8"/>
  <c r="L171" i="8" s="1"/>
  <c r="K173" i="8"/>
  <c r="L173" i="8" s="1"/>
  <c r="K174" i="8"/>
  <c r="L174" i="8" s="1"/>
  <c r="K176" i="8"/>
  <c r="L176" i="8" s="1"/>
  <c r="K177" i="8"/>
  <c r="L177" i="8" s="1"/>
  <c r="K179" i="8"/>
  <c r="L179" i="8" s="1"/>
  <c r="K181" i="8"/>
  <c r="L181" i="8" s="1"/>
  <c r="K184" i="8"/>
  <c r="L184" i="8" s="1"/>
  <c r="K185" i="8"/>
  <c r="L185" i="8" s="1"/>
  <c r="K187" i="8"/>
  <c r="L187" i="8" s="1"/>
  <c r="K188" i="8"/>
  <c r="L188" i="8" s="1"/>
  <c r="K190" i="8"/>
  <c r="L190" i="8" s="1"/>
  <c r="K192" i="8"/>
  <c r="L192" i="8" s="1"/>
  <c r="K194" i="8"/>
  <c r="L194" i="8" s="1"/>
  <c r="K196" i="8"/>
  <c r="L196" i="8" s="1"/>
  <c r="K197" i="8"/>
  <c r="L197" i="8" s="1"/>
  <c r="K199" i="8"/>
  <c r="L199" i="8" s="1"/>
  <c r="K202" i="8"/>
  <c r="L202" i="8" s="1"/>
  <c r="K204" i="8"/>
  <c r="L204" i="8" s="1"/>
  <c r="K206" i="8"/>
  <c r="L206" i="8" s="1"/>
  <c r="K210" i="8"/>
  <c r="L210" i="8" s="1"/>
  <c r="K212" i="8"/>
  <c r="L212" i="8" s="1"/>
  <c r="K214" i="8"/>
  <c r="L214" i="8" s="1"/>
  <c r="K216" i="8"/>
  <c r="L216" i="8" s="1"/>
  <c r="K219" i="8"/>
  <c r="L219" i="8" s="1"/>
  <c r="K221" i="8"/>
  <c r="L221" i="8" s="1"/>
  <c r="K223" i="8"/>
  <c r="L223" i="8" s="1"/>
  <c r="K224" i="8"/>
  <c r="L224" i="8" s="1"/>
  <c r="K226" i="8"/>
  <c r="L226" i="8" s="1"/>
  <c r="K229" i="8"/>
  <c r="L229" i="8" s="1"/>
  <c r="K231" i="8"/>
  <c r="L231" i="8" s="1"/>
  <c r="K233" i="8"/>
  <c r="L233" i="8" s="1"/>
  <c r="K235" i="8"/>
  <c r="L235" i="8" s="1"/>
  <c r="K237" i="8"/>
  <c r="L237" i="8" s="1"/>
  <c r="K239" i="8"/>
  <c r="L239" i="8" s="1"/>
  <c r="K241" i="8"/>
  <c r="L241" i="8" s="1"/>
  <c r="K243" i="8"/>
  <c r="L243" i="8" s="1"/>
  <c r="K245" i="8"/>
  <c r="L245" i="8" s="1"/>
  <c r="K247" i="8"/>
  <c r="L247" i="8" s="1"/>
  <c r="K249" i="8"/>
  <c r="L249" i="8" s="1"/>
  <c r="K251" i="8"/>
  <c r="L251" i="8" s="1"/>
  <c r="K252" i="8"/>
  <c r="L252" i="8" s="1"/>
  <c r="K254" i="8"/>
  <c r="L254" i="8" s="1"/>
  <c r="K255" i="8"/>
  <c r="L255" i="8" s="1"/>
  <c r="K256" i="8"/>
  <c r="L256" i="8" s="1"/>
  <c r="K257" i="8"/>
  <c r="L257" i="8" s="1"/>
  <c r="K258" i="8"/>
  <c r="L258" i="8" s="1"/>
  <c r="K259" i="8"/>
  <c r="L259" i="8" s="1"/>
  <c r="K260" i="8"/>
  <c r="L260" i="8" s="1"/>
  <c r="K270" i="8"/>
  <c r="L270" i="8" s="1"/>
  <c r="K274" i="8"/>
  <c r="L274" i="8" s="1"/>
  <c r="K277" i="8"/>
  <c r="L277" i="8" s="1"/>
  <c r="K278" i="8"/>
  <c r="L278" i="8" s="1"/>
  <c r="K279" i="8"/>
  <c r="L279" i="8" s="1"/>
  <c r="K280" i="8"/>
  <c r="L280" i="8" s="1"/>
  <c r="K283" i="8"/>
  <c r="L283" i="8" s="1"/>
  <c r="K284" i="8"/>
  <c r="L284" i="8" s="1"/>
  <c r="K285" i="8"/>
  <c r="L285" i="8" s="1"/>
  <c r="K287" i="8"/>
  <c r="L287" i="8" s="1"/>
  <c r="K290" i="8"/>
  <c r="L290" i="8" s="1"/>
  <c r="K292" i="8"/>
  <c r="L292" i="8" s="1"/>
  <c r="K294" i="8"/>
  <c r="L294" i="8" s="1"/>
  <c r="K296" i="8"/>
  <c r="L296" i="8" s="1"/>
  <c r="K298" i="8"/>
  <c r="L298" i="8" s="1"/>
  <c r="K300" i="8"/>
  <c r="L300" i="8" s="1"/>
  <c r="K301" i="8"/>
  <c r="L301" i="8" s="1"/>
  <c r="K303" i="8"/>
  <c r="L303" i="8" s="1"/>
  <c r="K305" i="8"/>
  <c r="L305" i="8" s="1"/>
  <c r="K307" i="8"/>
  <c r="L307" i="8" s="1"/>
  <c r="K309" i="8"/>
  <c r="L309" i="8" s="1"/>
  <c r="K311" i="8"/>
  <c r="L311" i="8" s="1"/>
  <c r="K313" i="8"/>
  <c r="L313" i="8" s="1"/>
  <c r="K314" i="8"/>
  <c r="L314" i="8" s="1"/>
  <c r="K316" i="8"/>
  <c r="L316" i="8" s="1"/>
  <c r="K318" i="8"/>
  <c r="L318" i="8" s="1"/>
  <c r="K320" i="8"/>
  <c r="L320" i="8" s="1"/>
  <c r="K323" i="8"/>
  <c r="L323" i="8" s="1"/>
  <c r="K324" i="8"/>
  <c r="L324" i="8" s="1"/>
  <c r="K327" i="8"/>
  <c r="L327" i="8" s="1"/>
  <c r="K329" i="8"/>
  <c r="L329" i="8" s="1"/>
  <c r="K330" i="8"/>
  <c r="L330" i="8" s="1"/>
  <c r="K332" i="8"/>
  <c r="L332" i="8" s="1"/>
  <c r="K334" i="8"/>
  <c r="L334" i="8" s="1"/>
  <c r="K336" i="8"/>
  <c r="L336" i="8" s="1"/>
  <c r="K339" i="8"/>
  <c r="L339" i="8" s="1"/>
  <c r="K341" i="8"/>
  <c r="L341" i="8" s="1"/>
  <c r="K342" i="8"/>
  <c r="L342" i="8" s="1"/>
  <c r="K345" i="8"/>
  <c r="L345" i="8" s="1"/>
  <c r="K347" i="8"/>
  <c r="L347" i="8" s="1"/>
  <c r="K349" i="8"/>
  <c r="L349" i="8" s="1"/>
  <c r="K351" i="8"/>
  <c r="L351" i="8" s="1"/>
  <c r="K353" i="8"/>
  <c r="L353" i="8" s="1"/>
  <c r="K355" i="8"/>
  <c r="L355" i="8" s="1"/>
  <c r="K356" i="8"/>
  <c r="L356" i="8" s="1"/>
  <c r="K357" i="8"/>
  <c r="L357" i="8" s="1"/>
  <c r="K360" i="8"/>
  <c r="L360" i="8" s="1"/>
  <c r="K362" i="8"/>
  <c r="L362" i="8" s="1"/>
  <c r="K364" i="8"/>
  <c r="L364" i="8" s="1"/>
  <c r="K366" i="8"/>
  <c r="L366" i="8" s="1"/>
  <c r="K368" i="8"/>
  <c r="L368" i="8" s="1"/>
  <c r="K370" i="8"/>
  <c r="L370" i="8" s="1"/>
  <c r="K372" i="8"/>
  <c r="L372" i="8" s="1"/>
  <c r="K374" i="8"/>
  <c r="L374" i="8" s="1"/>
  <c r="K376" i="8"/>
  <c r="L376" i="8" s="1"/>
  <c r="K377" i="8"/>
  <c r="L377" i="8" s="1"/>
  <c r="K380" i="8"/>
  <c r="L380" i="8" s="1"/>
  <c r="K383" i="8"/>
  <c r="L383" i="8" s="1"/>
  <c r="K385" i="8"/>
  <c r="L385" i="8" s="1"/>
  <c r="K387" i="8"/>
  <c r="L387" i="8" s="1"/>
  <c r="K389" i="8"/>
  <c r="L389" i="8" s="1"/>
  <c r="K390" i="8"/>
  <c r="L390" i="8" s="1"/>
  <c r="K392" i="8"/>
  <c r="L392" i="8" s="1"/>
  <c r="K394" i="8"/>
  <c r="L394" i="8" s="1"/>
  <c r="K397" i="8"/>
  <c r="L397" i="8" s="1"/>
  <c r="K399" i="8"/>
  <c r="L399" i="8" s="1"/>
  <c r="K401" i="8"/>
  <c r="L401" i="8" s="1"/>
  <c r="K403" i="8"/>
  <c r="L403" i="8" s="1"/>
  <c r="K405" i="8"/>
  <c r="L405" i="8" s="1"/>
  <c r="K407" i="8"/>
  <c r="L407" i="8" s="1"/>
  <c r="K410" i="8"/>
  <c r="L410" i="8" s="1"/>
  <c r="K412" i="8"/>
  <c r="L412" i="8" s="1"/>
  <c r="K414" i="8"/>
  <c r="L414" i="8" s="1"/>
  <c r="K415" i="8"/>
  <c r="L415" i="8" s="1"/>
  <c r="K417" i="8"/>
  <c r="L417" i="8" s="1"/>
  <c r="K420" i="8"/>
  <c r="L420" i="8" s="1"/>
  <c r="K422" i="8"/>
  <c r="L422" i="8" s="1"/>
  <c r="K423" i="8"/>
  <c r="L423" i="8" s="1"/>
  <c r="K425" i="8"/>
  <c r="L425" i="8" s="1"/>
  <c r="K426" i="8"/>
  <c r="L426" i="8" s="1"/>
  <c r="K429" i="8"/>
  <c r="L429" i="8" s="1"/>
  <c r="K431" i="8"/>
  <c r="L431" i="8" s="1"/>
  <c r="K433" i="8"/>
  <c r="L433" i="8" s="1"/>
  <c r="K434" i="8"/>
  <c r="L434" i="8" s="1"/>
  <c r="K436" i="8"/>
  <c r="L436" i="8" s="1"/>
  <c r="K453" i="8"/>
  <c r="L453" i="8" s="1"/>
  <c r="K455" i="8"/>
  <c r="L455" i="8" s="1"/>
  <c r="K457" i="8"/>
  <c r="L457" i="8" s="1"/>
  <c r="K459" i="8"/>
  <c r="L459" i="8" s="1"/>
  <c r="K462" i="8"/>
  <c r="L462" i="8" s="1"/>
  <c r="K463" i="8"/>
  <c r="L463" i="8" s="1"/>
  <c r="K465" i="8"/>
  <c r="L465" i="8" s="1"/>
  <c r="K467" i="8"/>
  <c r="L467" i="8" s="1"/>
  <c r="K469" i="8"/>
  <c r="L469" i="8" s="1"/>
  <c r="K471" i="8"/>
  <c r="L471" i="8" s="1"/>
  <c r="K474" i="8"/>
  <c r="L474" i="8" s="1"/>
  <c r="K475" i="8"/>
  <c r="L475" i="8" s="1"/>
  <c r="K478" i="8"/>
  <c r="L478" i="8" s="1"/>
  <c r="K480" i="8"/>
  <c r="L480" i="8" s="1"/>
  <c r="K481" i="8"/>
  <c r="L481" i="8" s="1"/>
  <c r="K482" i="8"/>
  <c r="L482" i="8" s="1"/>
  <c r="K484" i="8"/>
  <c r="L484" i="8" s="1"/>
  <c r="K486" i="8"/>
  <c r="L486" i="8" s="1"/>
  <c r="K487" i="8"/>
  <c r="L487" i="8" s="1"/>
  <c r="K489" i="8"/>
  <c r="L489" i="8" s="1"/>
  <c r="K491" i="8"/>
  <c r="L491" i="8" s="1"/>
  <c r="K493" i="8"/>
  <c r="L493" i="8" s="1"/>
  <c r="K495" i="8"/>
  <c r="L495" i="8" s="1"/>
  <c r="K497" i="8"/>
  <c r="L497" i="8" s="1"/>
  <c r="K499" i="8"/>
  <c r="L499" i="8" s="1"/>
  <c r="K502" i="8"/>
  <c r="L502" i="8" s="1"/>
  <c r="K504" i="8"/>
  <c r="L504" i="8" s="1"/>
  <c r="K506" i="8"/>
  <c r="L506" i="8" s="1"/>
  <c r="K508" i="8"/>
  <c r="L508" i="8" s="1"/>
  <c r="K510" i="8"/>
  <c r="L510" i="8" s="1"/>
  <c r="K511" i="8"/>
  <c r="L511" i="8" s="1"/>
  <c r="K514" i="8"/>
  <c r="L514" i="8" s="1"/>
  <c r="K515" i="8"/>
  <c r="L515" i="8" s="1"/>
  <c r="K517" i="8"/>
  <c r="L517" i="8" s="1"/>
  <c r="K519" i="8"/>
  <c r="L519" i="8" s="1"/>
  <c r="K520" i="8"/>
  <c r="L520" i="8" s="1"/>
  <c r="K521" i="8"/>
  <c r="L521" i="8" s="1"/>
  <c r="K523" i="8"/>
  <c r="L523" i="8" s="1"/>
  <c r="K524" i="8"/>
  <c r="L524" i="8" s="1"/>
  <c r="K526" i="8"/>
  <c r="L526" i="8" s="1"/>
  <c r="K528" i="8"/>
  <c r="L528" i="8" s="1"/>
  <c r="K529" i="8"/>
  <c r="L529" i="8" s="1"/>
  <c r="K530" i="8"/>
  <c r="L530" i="8" s="1"/>
  <c r="K533" i="8"/>
  <c r="L533" i="8" s="1"/>
  <c r="K536" i="8"/>
  <c r="L536" i="8" s="1"/>
  <c r="K537" i="8"/>
  <c r="L537" i="8" s="1"/>
  <c r="K538" i="8"/>
  <c r="L538" i="8" s="1"/>
  <c r="K540" i="8"/>
  <c r="L540" i="8" s="1"/>
  <c r="K542" i="8"/>
  <c r="L542" i="8" s="1"/>
  <c r="K543" i="8"/>
  <c r="L543" i="8" s="1"/>
  <c r="K545" i="8"/>
  <c r="L545" i="8" s="1"/>
  <c r="K547" i="8"/>
  <c r="L547" i="8" s="1"/>
  <c r="K549" i="8"/>
  <c r="L549" i="8" s="1"/>
  <c r="K551" i="8"/>
  <c r="L551" i="8" s="1"/>
  <c r="K553" i="8"/>
  <c r="L553" i="8" s="1"/>
  <c r="K555" i="8"/>
  <c r="L555" i="8" s="1"/>
  <c r="K557" i="8"/>
  <c r="L557" i="8" s="1"/>
  <c r="K558" i="8"/>
  <c r="L558" i="8" s="1"/>
  <c r="K560" i="8"/>
  <c r="L560" i="8" s="1"/>
  <c r="K563" i="8"/>
  <c r="L563" i="8" s="1"/>
  <c r="K564" i="8"/>
  <c r="L564" i="8" s="1"/>
  <c r="K566" i="8"/>
  <c r="L566" i="8" s="1"/>
  <c r="K568" i="8"/>
  <c r="L568" i="8" s="1"/>
  <c r="K569" i="8"/>
  <c r="L569" i="8" s="1"/>
  <c r="K571" i="8"/>
  <c r="L571" i="8" s="1"/>
  <c r="K573" i="8"/>
  <c r="L573" i="8" s="1"/>
  <c r="K574" i="8"/>
  <c r="L574" i="8" s="1"/>
  <c r="K576" i="8"/>
  <c r="L576" i="8" s="1"/>
  <c r="K578" i="8"/>
  <c r="L578" i="8" s="1"/>
  <c r="K580" i="8"/>
  <c r="L580" i="8" s="1"/>
  <c r="K581" i="8"/>
  <c r="L581" i="8" s="1"/>
  <c r="K583" i="8"/>
  <c r="L583" i="8" s="1"/>
  <c r="K584" i="8"/>
  <c r="L584" i="8" s="1"/>
  <c r="K587" i="8"/>
  <c r="L587" i="8" s="1"/>
  <c r="K589" i="8"/>
  <c r="L589" i="8" s="1"/>
  <c r="K591" i="8"/>
  <c r="L591" i="8" s="1"/>
  <c r="K593" i="8"/>
  <c r="L593" i="8" s="1"/>
  <c r="K594" i="8"/>
  <c r="L594" i="8" s="1"/>
  <c r="K595" i="8"/>
  <c r="L595" i="8" s="1"/>
  <c r="K596" i="8"/>
  <c r="L596" i="8" s="1"/>
  <c r="K597" i="8"/>
  <c r="L597" i="8" s="1"/>
  <c r="K598" i="8"/>
  <c r="L598" i="8" s="1"/>
  <c r="K599" i="8"/>
  <c r="L599" i="8" s="1"/>
  <c r="K600" i="8"/>
  <c r="L600" i="8" s="1"/>
  <c r="K601" i="8"/>
  <c r="L601" i="8" s="1"/>
  <c r="K602" i="8"/>
  <c r="L602" i="8" s="1"/>
  <c r="K603" i="8"/>
  <c r="L603" i="8" s="1"/>
  <c r="K604" i="8"/>
  <c r="L604" i="8" s="1"/>
  <c r="K605" i="8"/>
  <c r="L605" i="8" s="1"/>
  <c r="K606" i="8"/>
  <c r="L606" i="8" s="1"/>
  <c r="K607" i="8"/>
  <c r="L607" i="8" s="1"/>
  <c r="K608" i="8"/>
  <c r="L608" i="8" s="1"/>
  <c r="K609" i="8"/>
  <c r="L609" i="8" s="1"/>
  <c r="K610" i="8"/>
  <c r="L610" i="8" s="1"/>
  <c r="K611" i="8"/>
  <c r="L611" i="8" s="1"/>
  <c r="K612" i="8"/>
  <c r="L612" i="8" s="1"/>
  <c r="K613" i="8"/>
  <c r="L613" i="8" s="1"/>
  <c r="K614" i="8"/>
  <c r="L614" i="8" s="1"/>
  <c r="K615" i="8"/>
  <c r="L615" i="8" s="1"/>
  <c r="K616" i="8"/>
  <c r="L616" i="8" s="1"/>
  <c r="K617" i="8"/>
  <c r="L617" i="8" s="1"/>
  <c r="K618" i="8"/>
  <c r="L618" i="8" s="1"/>
  <c r="K619" i="8"/>
  <c r="L619" i="8" s="1"/>
  <c r="K620" i="8"/>
  <c r="L620" i="8" s="1"/>
  <c r="K621" i="8"/>
  <c r="L621" i="8" s="1"/>
  <c r="K622" i="8"/>
  <c r="L622" i="8" s="1"/>
  <c r="K623" i="8"/>
  <c r="L623" i="8" s="1"/>
  <c r="K624" i="8"/>
  <c r="L624" i="8" s="1"/>
  <c r="K625" i="8"/>
  <c r="L625" i="8" s="1"/>
  <c r="K626" i="8"/>
  <c r="L626" i="8" s="1"/>
  <c r="K627" i="8"/>
  <c r="L627" i="8" s="1"/>
  <c r="K629" i="8"/>
  <c r="L629" i="8" s="1"/>
  <c r="K631" i="8"/>
  <c r="L631" i="8" s="1"/>
  <c r="K633" i="8"/>
  <c r="L633" i="8" s="1"/>
  <c r="K636" i="8"/>
  <c r="L636" i="8" s="1"/>
  <c r="K638" i="8"/>
  <c r="L638" i="8" s="1"/>
  <c r="K640" i="8"/>
  <c r="L640" i="8" s="1"/>
  <c r="K642" i="8"/>
  <c r="L642" i="8" s="1"/>
  <c r="K644" i="8"/>
  <c r="L644" i="8" s="1"/>
  <c r="K645" i="8"/>
  <c r="L645" i="8" s="1"/>
  <c r="K647" i="8"/>
  <c r="L647" i="8" s="1"/>
  <c r="K648" i="8"/>
  <c r="L648" i="8" s="1"/>
  <c r="K651" i="8"/>
  <c r="L651" i="8" s="1"/>
  <c r="K652" i="8"/>
  <c r="L652" i="8" s="1"/>
  <c r="K654" i="8"/>
  <c r="L654" i="8" s="1"/>
  <c r="K656" i="8"/>
  <c r="L656" i="8" s="1"/>
  <c r="K658" i="8"/>
  <c r="L658" i="8" s="1"/>
  <c r="K661" i="8"/>
  <c r="L661" i="8" s="1"/>
  <c r="K662" i="8"/>
  <c r="L662" i="8" s="1"/>
  <c r="K664" i="8"/>
  <c r="L664" i="8" s="1"/>
  <c r="K666" i="8"/>
  <c r="L666" i="8" s="1"/>
  <c r="K668" i="8"/>
  <c r="L668" i="8" s="1"/>
  <c r="K669" i="8"/>
  <c r="L669" i="8" s="1"/>
  <c r="K670" i="8"/>
  <c r="L670" i="8" s="1"/>
  <c r="K672" i="8"/>
  <c r="L672" i="8" s="1"/>
  <c r="K674" i="8"/>
  <c r="L674" i="8" s="1"/>
  <c r="K676" i="8"/>
  <c r="L676" i="8" s="1"/>
  <c r="K677" i="8"/>
  <c r="L677" i="8" s="1"/>
  <c r="K679" i="8"/>
  <c r="L679" i="8" s="1"/>
  <c r="K680" i="8"/>
  <c r="L680" i="8" s="1"/>
  <c r="K682" i="8"/>
  <c r="L682" i="8" s="1"/>
  <c r="K684" i="8"/>
  <c r="L684" i="8" s="1"/>
  <c r="K686" i="8"/>
  <c r="L686" i="8" s="1"/>
  <c r="K688" i="8"/>
  <c r="L688" i="8" s="1"/>
  <c r="K690" i="8"/>
  <c r="L690" i="8" s="1"/>
  <c r="K692" i="8"/>
  <c r="L692" i="8" s="1"/>
  <c r="K694" i="8"/>
  <c r="L694" i="8" s="1"/>
  <c r="K696" i="8"/>
  <c r="L696" i="8" s="1"/>
  <c r="K698" i="8"/>
  <c r="L698" i="8" s="1"/>
  <c r="K700" i="8"/>
  <c r="L700" i="8" s="1"/>
  <c r="K702" i="8"/>
  <c r="L702" i="8" s="1"/>
  <c r="K704" i="8"/>
  <c r="L704" i="8" s="1"/>
  <c r="K705" i="8"/>
  <c r="L705" i="8" s="1"/>
  <c r="K708" i="8"/>
  <c r="L708" i="8" s="1"/>
  <c r="K710" i="8"/>
  <c r="L710" i="8" s="1"/>
  <c r="K712" i="8"/>
  <c r="L712" i="8" s="1"/>
  <c r="K715" i="8"/>
  <c r="L715" i="8" s="1"/>
  <c r="K716" i="8"/>
  <c r="L716" i="8" s="1"/>
  <c r="K718" i="8"/>
  <c r="L718" i="8" s="1"/>
  <c r="K721" i="8"/>
  <c r="L721" i="8" s="1"/>
  <c r="K723" i="8"/>
  <c r="L723" i="8" s="1"/>
  <c r="K725" i="8"/>
  <c r="L725" i="8" s="1"/>
  <c r="K729" i="8"/>
  <c r="L729" i="8" s="1"/>
  <c r="K731" i="8"/>
  <c r="L731" i="8" s="1"/>
  <c r="K732" i="8"/>
  <c r="L732" i="8" s="1"/>
  <c r="K733" i="8"/>
  <c r="L733" i="8" s="1"/>
  <c r="K735" i="8"/>
  <c r="L735" i="8" s="1"/>
  <c r="K737" i="8"/>
  <c r="L737" i="8" s="1"/>
  <c r="K739" i="8"/>
  <c r="L739" i="8" s="1"/>
  <c r="K741" i="8"/>
  <c r="L741" i="8" s="1"/>
  <c r="K742" i="8"/>
  <c r="L742" i="8" s="1"/>
  <c r="K856" i="8"/>
  <c r="L856" i="8" s="1"/>
  <c r="K858" i="8"/>
  <c r="L858" i="8" s="1"/>
  <c r="K860" i="8"/>
  <c r="L860" i="8" s="1"/>
  <c r="K862" i="8"/>
  <c r="L862" i="8" s="1"/>
  <c r="K864" i="8"/>
  <c r="L864" i="8" s="1"/>
  <c r="K866" i="8"/>
  <c r="L866" i="8" s="1"/>
  <c r="K868" i="8"/>
  <c r="L868" i="8" s="1"/>
  <c r="K871" i="8"/>
  <c r="L871" i="8" s="1"/>
  <c r="K873" i="8"/>
  <c r="L873" i="8" s="1"/>
  <c r="K875" i="8"/>
  <c r="L875" i="8" s="1"/>
  <c r="K877" i="8"/>
  <c r="L877" i="8" s="1"/>
  <c r="K879" i="8"/>
  <c r="L879" i="8" s="1"/>
  <c r="K881" i="8"/>
  <c r="L881" i="8" s="1"/>
  <c r="K883" i="8"/>
  <c r="L883" i="8" s="1"/>
  <c r="K884" i="8"/>
  <c r="L884" i="8" s="1"/>
  <c r="K888" i="8"/>
  <c r="L888" i="8" s="1"/>
  <c r="K890" i="8"/>
  <c r="L890" i="8" s="1"/>
  <c r="K894" i="8"/>
  <c r="L894" i="8" s="1"/>
  <c r="K896" i="8"/>
  <c r="L896" i="8" s="1"/>
  <c r="K898" i="8"/>
  <c r="L898" i="8" s="1"/>
  <c r="K900" i="8"/>
  <c r="L900" i="8" s="1"/>
  <c r="K902" i="8"/>
  <c r="L902" i="8" s="1"/>
  <c r="K904" i="8"/>
  <c r="L904" i="8" s="1"/>
  <c r="K906" i="8"/>
  <c r="L906" i="8" s="1"/>
  <c r="K908" i="8"/>
  <c r="L908" i="8" s="1"/>
  <c r="K909" i="8"/>
  <c r="L909" i="8" s="1"/>
  <c r="K912" i="8"/>
  <c r="L912" i="8" s="1"/>
  <c r="K914" i="8"/>
  <c r="L914" i="8" s="1"/>
  <c r="K916" i="8"/>
  <c r="L916" i="8" s="1"/>
  <c r="K918" i="8"/>
  <c r="L918" i="8" s="1"/>
  <c r="K920" i="8"/>
  <c r="L920" i="8" s="1"/>
  <c r="K922" i="8"/>
  <c r="L922" i="8" s="1"/>
  <c r="K923" i="8"/>
  <c r="L923" i="8" s="1"/>
  <c r="K926" i="8"/>
  <c r="L926" i="8" s="1"/>
  <c r="K928" i="8"/>
  <c r="L928" i="8" s="1"/>
  <c r="K930" i="8"/>
  <c r="L930" i="8" s="1"/>
  <c r="K934" i="8"/>
  <c r="L934" i="8" s="1"/>
  <c r="K936" i="8"/>
  <c r="L936" i="8" s="1"/>
  <c r="K938" i="8"/>
  <c r="L938" i="8" s="1"/>
  <c r="K941" i="8"/>
  <c r="L941" i="8" s="1"/>
  <c r="K943" i="8"/>
  <c r="L943" i="8" s="1"/>
  <c r="K945" i="8"/>
  <c r="L945" i="8" s="1"/>
  <c r="K948" i="8"/>
  <c r="L948" i="8" s="1"/>
  <c r="K950" i="8"/>
  <c r="L950" i="8" s="1"/>
  <c r="K952" i="8"/>
  <c r="L952" i="8" s="1"/>
  <c r="K954" i="8"/>
  <c r="L954" i="8" s="1"/>
  <c r="K955" i="8"/>
  <c r="L955" i="8" s="1"/>
  <c r="K957" i="8"/>
  <c r="L957" i="8" s="1"/>
  <c r="K959" i="8"/>
  <c r="L959" i="8" s="1"/>
  <c r="K961" i="8"/>
  <c r="L961" i="8" s="1"/>
  <c r="K962" i="8"/>
  <c r="L962" i="8" s="1"/>
  <c r="K964" i="8"/>
  <c r="L964" i="8" s="1"/>
  <c r="K966" i="8"/>
  <c r="L966" i="8" s="1"/>
  <c r="K968" i="8"/>
  <c r="L968" i="8" s="1"/>
  <c r="K970" i="8"/>
  <c r="L970" i="8" s="1"/>
  <c r="K971" i="8"/>
  <c r="L971" i="8" s="1"/>
  <c r="K973" i="8"/>
  <c r="L973" i="8" s="1"/>
  <c r="K975" i="8"/>
  <c r="L975" i="8" s="1"/>
  <c r="K977" i="8"/>
  <c r="L977" i="8" s="1"/>
  <c r="K979" i="8"/>
  <c r="L979" i="8" s="1"/>
  <c r="K981" i="8"/>
  <c r="L981" i="8" s="1"/>
  <c r="K982" i="8"/>
  <c r="L982" i="8" s="1"/>
  <c r="K984" i="8"/>
  <c r="L984" i="8" s="1"/>
  <c r="K986" i="8"/>
  <c r="L986" i="8" s="1"/>
  <c r="K988" i="8"/>
  <c r="L988" i="8" s="1"/>
  <c r="K1076" i="8"/>
  <c r="L1076" i="8" s="1"/>
  <c r="K1079" i="8"/>
  <c r="L1079" i="8" s="1"/>
  <c r="K1081" i="8"/>
  <c r="L1081" i="8" s="1"/>
  <c r="K1083" i="8"/>
  <c r="L1083" i="8" s="1"/>
  <c r="K1085" i="8"/>
  <c r="L1085" i="8" s="1"/>
  <c r="K1087" i="8"/>
  <c r="L1087" i="8" s="1"/>
  <c r="K1090" i="8"/>
  <c r="L1090" i="8" s="1"/>
  <c r="K1092" i="8"/>
  <c r="L1092" i="8" s="1"/>
  <c r="K1095" i="8"/>
  <c r="L1095" i="8" s="1"/>
  <c r="K1098" i="8"/>
  <c r="L1098" i="8" s="1"/>
  <c r="K1100" i="8"/>
  <c r="L1100" i="8" s="1"/>
  <c r="K1103" i="8"/>
  <c r="L1103" i="8" s="1"/>
  <c r="K1104" i="8"/>
  <c r="L1104" i="8" s="1"/>
  <c r="K1106" i="8"/>
  <c r="L1106" i="8" s="1"/>
  <c r="K1108" i="8"/>
  <c r="L1108" i="8" s="1"/>
  <c r="K1110" i="8"/>
  <c r="L1110" i="8" s="1"/>
  <c r="K1114" i="8"/>
  <c r="L1114" i="8" s="1"/>
  <c r="K1117" i="8"/>
  <c r="L1117" i="8" s="1"/>
  <c r="K1121" i="8"/>
  <c r="L1121" i="8" s="1"/>
  <c r="K1126" i="8"/>
  <c r="L1126" i="8" s="1"/>
  <c r="K1128" i="8"/>
  <c r="L1128" i="8" s="1"/>
  <c r="K1132" i="8"/>
  <c r="L1132" i="8" s="1"/>
  <c r="K1135" i="8"/>
  <c r="L1135" i="8" s="1"/>
  <c r="K1139" i="8"/>
  <c r="L1139" i="8" s="1"/>
  <c r="K1142" i="8"/>
  <c r="L1142" i="8" s="1"/>
  <c r="K1146" i="8"/>
  <c r="L1146" i="8" s="1"/>
  <c r="K1148" i="8"/>
  <c r="L1148" i="8" s="1"/>
  <c r="K1151" i="8"/>
  <c r="L1151" i="8" s="1"/>
  <c r="K1155" i="8"/>
  <c r="L1155" i="8" s="1"/>
  <c r="K1160" i="8"/>
  <c r="L1160" i="8" s="1"/>
  <c r="K1162" i="8"/>
  <c r="L1162" i="8" s="1"/>
  <c r="K1165" i="8"/>
  <c r="L1165" i="8" s="1"/>
  <c r="K1170" i="8"/>
  <c r="L1170" i="8" s="1"/>
  <c r="K1174" i="8"/>
  <c r="L1174" i="8" s="1"/>
  <c r="K1179" i="8"/>
  <c r="L1179" i="8" s="1"/>
  <c r="K1183" i="8"/>
  <c r="L1183" i="8" s="1"/>
  <c r="K1187" i="8"/>
  <c r="L1187" i="8" s="1"/>
  <c r="K1189" i="8"/>
  <c r="L1189" i="8" s="1"/>
  <c r="K1195" i="8"/>
  <c r="L1195" i="8" s="1"/>
  <c r="K1199" i="8"/>
  <c r="L1199" i="8" s="1"/>
  <c r="K1202" i="8"/>
  <c r="L1202" i="8" s="1"/>
  <c r="K1206" i="8"/>
  <c r="L1206" i="8" s="1"/>
  <c r="K1209" i="8"/>
  <c r="L1209" i="8" s="1"/>
  <c r="K1213" i="8"/>
  <c r="L1213" i="8" s="1"/>
  <c r="K1218" i="8"/>
  <c r="L1218" i="8" s="1"/>
  <c r="K1223" i="8"/>
  <c r="L1223" i="8" s="1"/>
  <c r="K1228" i="8"/>
  <c r="L1228" i="8" s="1"/>
  <c r="K1231" i="8"/>
  <c r="L1231" i="8" s="1"/>
  <c r="K1233" i="8"/>
  <c r="L1233" i="8" s="1"/>
  <c r="K1238" i="8"/>
  <c r="L1238" i="8" s="1"/>
  <c r="H8" i="6"/>
  <c r="H9" i="6"/>
  <c r="C6" i="7" l="1"/>
  <c r="D6" i="7"/>
  <c r="H5" i="9"/>
  <c r="L13" i="9" s="1"/>
  <c r="E12" i="11" s="1"/>
  <c r="T6" i="8"/>
  <c r="S6" i="8"/>
  <c r="J8" i="6"/>
  <c r="J9" i="6"/>
  <c r="V6" i="8" l="1"/>
  <c r="U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<sst xmlns="http://schemas.openxmlformats.org/spreadsheetml/2006/main" count="7593" uniqueCount="3643">
  <si>
    <t>Date</t>
  </si>
  <si>
    <t>Asian Paints</t>
  </si>
  <si>
    <t>Berger Paints</t>
  </si>
  <si>
    <t>Indigo Paints</t>
  </si>
  <si>
    <t>Nerolac Paint</t>
  </si>
  <si>
    <t>Shalimar Paint</t>
  </si>
  <si>
    <t>2,225.80</t>
  </si>
  <si>
    <t>2,165.20</t>
  </si>
  <si>
    <t>2,207.40</t>
  </si>
  <si>
    <t>2,270.20</t>
  </si>
  <si>
    <t>2,217.30</t>
  </si>
  <si>
    <t>2,121.30</t>
  </si>
  <si>
    <t>2,195.40</t>
  </si>
  <si>
    <t>2,186.00</t>
  </si>
  <si>
    <t>2,262.10</t>
  </si>
  <si>
    <t>2,238.20</t>
  </si>
  <si>
    <t>2,217.70</t>
  </si>
  <si>
    <t>2,196.80</t>
  </si>
  <si>
    <t>2,221.20</t>
  </si>
  <si>
    <t>2,232.00</t>
  </si>
  <si>
    <t>2,280.40</t>
  </si>
  <si>
    <t>2,220.80</t>
  </si>
  <si>
    <t>2,279.50</t>
  </si>
  <si>
    <t>2,287.80</t>
  </si>
  <si>
    <t>2,285.20</t>
  </si>
  <si>
    <t>2,307.10</t>
  </si>
  <si>
    <t>2,376.20</t>
  </si>
  <si>
    <t>2,394.90</t>
  </si>
  <si>
    <t>2,416.40</t>
  </si>
  <si>
    <t>2,413.10</t>
  </si>
  <si>
    <t>2,429.70</t>
  </si>
  <si>
    <t>2,428.10</t>
  </si>
  <si>
    <t>2,400.80</t>
  </si>
  <si>
    <t>2,432.10</t>
  </si>
  <si>
    <t>2,437.40</t>
  </si>
  <si>
    <t>2,397.20</t>
  </si>
  <si>
    <t>2,366.40</t>
  </si>
  <si>
    <t>2,410.50</t>
  </si>
  <si>
    <t>2,392.50</t>
  </si>
  <si>
    <t>2,393.60</t>
  </si>
  <si>
    <t>2,417.40</t>
  </si>
  <si>
    <t>2,401.10</t>
  </si>
  <si>
    <t>2,452.70</t>
  </si>
  <si>
    <t>2,426.00</t>
  </si>
  <si>
    <t>2,402.00</t>
  </si>
  <si>
    <t>2,357.00</t>
  </si>
  <si>
    <t>2,428.30</t>
  </si>
  <si>
    <t>2,416.00</t>
  </si>
  <si>
    <t>2,511.80</t>
  </si>
  <si>
    <t>2,622.80</t>
  </si>
  <si>
    <t>2,703.70</t>
  </si>
  <si>
    <t>2,703.80</t>
  </si>
  <si>
    <t>2,661.10</t>
  </si>
  <si>
    <t>2,675.60</t>
  </si>
  <si>
    <t>2,754.00</t>
  </si>
  <si>
    <t>2,756.90</t>
  </si>
  <si>
    <t>2,813.90</t>
  </si>
  <si>
    <t>2,886.30</t>
  </si>
  <si>
    <t>2,896.40</t>
  </si>
  <si>
    <t>2,825.50</t>
  </si>
  <si>
    <t>2,786.50</t>
  </si>
  <si>
    <t>2,809.40</t>
  </si>
  <si>
    <t>2,845.80</t>
  </si>
  <si>
    <t>2,815.60</t>
  </si>
  <si>
    <t>2,772.60</t>
  </si>
  <si>
    <t>2,752.00</t>
  </si>
  <si>
    <t>2,769.50</t>
  </si>
  <si>
    <t>2,758.30</t>
  </si>
  <si>
    <t>2,775.40</t>
  </si>
  <si>
    <t>2,746.50</t>
  </si>
  <si>
    <t>2,785.50</t>
  </si>
  <si>
    <t>2,807.80</t>
  </si>
  <si>
    <t>2,807.60</t>
  </si>
  <si>
    <t>2,799.90</t>
  </si>
  <si>
    <t>2,759.70</t>
  </si>
  <si>
    <t>2,785.70</t>
  </si>
  <si>
    <t>2,790.90</t>
  </si>
  <si>
    <t>2,780.20</t>
  </si>
  <si>
    <t>2,764.80</t>
  </si>
  <si>
    <t>2,779.40</t>
  </si>
  <si>
    <t>2,804.50</t>
  </si>
  <si>
    <t>2,796.00</t>
  </si>
  <si>
    <t>2,928.30</t>
  </si>
  <si>
    <t>2,968.50</t>
  </si>
  <si>
    <t>2,957.20</t>
  </si>
  <si>
    <t>2,953.50</t>
  </si>
  <si>
    <t>2,954.40</t>
  </si>
  <si>
    <t>2,867.60</t>
  </si>
  <si>
    <t>2,874.40</t>
  </si>
  <si>
    <t>2,879.10</t>
  </si>
  <si>
    <t>2,874.00</t>
  </si>
  <si>
    <t>2,875.80</t>
  </si>
  <si>
    <t>2,879.20</t>
  </si>
  <si>
    <t>2,876.60</t>
  </si>
  <si>
    <t>2,859.80</t>
  </si>
  <si>
    <t>2,893.70</t>
  </si>
  <si>
    <t>2,906.00</t>
  </si>
  <si>
    <t>2,887.90</t>
  </si>
  <si>
    <t>2,906.40</t>
  </si>
  <si>
    <t>2,879.40</t>
  </si>
  <si>
    <t>2,769.80</t>
  </si>
  <si>
    <t>2,657.20</t>
  </si>
  <si>
    <t>2,650.40</t>
  </si>
  <si>
    <t>2,613.80</t>
  </si>
  <si>
    <t>2,602.90</t>
  </si>
  <si>
    <t>2,486.70</t>
  </si>
  <si>
    <t>2,512.20</t>
  </si>
  <si>
    <t>2,510.80</t>
  </si>
  <si>
    <t>2,523.50</t>
  </si>
  <si>
    <t>2,538.70</t>
  </si>
  <si>
    <t>2,509.30</t>
  </si>
  <si>
    <t>2,518.80</t>
  </si>
  <si>
    <t>2,501.60</t>
  </si>
  <si>
    <t>2,502.40</t>
  </si>
  <si>
    <t>2,504.60</t>
  </si>
  <si>
    <t>2,516.00</t>
  </si>
  <si>
    <t>2,507.80</t>
  </si>
  <si>
    <t>2,409.70</t>
  </si>
  <si>
    <t>2,375.10</t>
  </si>
  <si>
    <t>2,318.10</t>
  </si>
  <si>
    <t>2,342.50</t>
  </si>
  <si>
    <t>2,340.20</t>
  </si>
  <si>
    <t>2,336.40</t>
  </si>
  <si>
    <t>2,328.50</t>
  </si>
  <si>
    <t>2,352.80</t>
  </si>
  <si>
    <t>2,354.80</t>
  </si>
  <si>
    <t>2,357.80</t>
  </si>
  <si>
    <t>2,335.80</t>
  </si>
  <si>
    <t>2,350.00</t>
  </si>
  <si>
    <t>2,342.60</t>
  </si>
  <si>
    <t>2,342.80</t>
  </si>
  <si>
    <t>2,404.00</t>
  </si>
  <si>
    <t>2,457.20</t>
  </si>
  <si>
    <t>2,446.90</t>
  </si>
  <si>
    <t>2,482.70</t>
  </si>
  <si>
    <t>2,481.70</t>
  </si>
  <si>
    <t>2,478.70</t>
  </si>
  <si>
    <t>2,493.60</t>
  </si>
  <si>
    <t>2,480.90</t>
  </si>
  <si>
    <t>2,502.60</t>
  </si>
  <si>
    <t>2,546.30</t>
  </si>
  <si>
    <t>2,555.90</t>
  </si>
  <si>
    <t>2,543.30</t>
  </si>
  <si>
    <t>2,537.30</t>
  </si>
  <si>
    <t>2,530.80</t>
  </si>
  <si>
    <t>2,579.90</t>
  </si>
  <si>
    <t>2,568.60</t>
  </si>
  <si>
    <t>2,553.90</t>
  </si>
  <si>
    <t>2,540.00</t>
  </si>
  <si>
    <t>2,570.20</t>
  </si>
  <si>
    <t>2,518.60</t>
  </si>
  <si>
    <t>2,489.00</t>
  </si>
  <si>
    <t>2,481.40</t>
  </si>
  <si>
    <t>2,492.90</t>
  </si>
  <si>
    <t>2,504.50</t>
  </si>
  <si>
    <t>2,566.60</t>
  </si>
  <si>
    <t>2,570.10</t>
  </si>
  <si>
    <t>2,579.40</t>
  </si>
  <si>
    <t>2,587.40</t>
  </si>
  <si>
    <t>2,528.70</t>
  </si>
  <si>
    <t>2,500.20</t>
  </si>
  <si>
    <t>2,478.30</t>
  </si>
  <si>
    <t>2,489.10</t>
  </si>
  <si>
    <t>2,475.60</t>
  </si>
  <si>
    <t>2,506.50</t>
  </si>
  <si>
    <t>2,491.20</t>
  </si>
  <si>
    <t>2,436.80</t>
  </si>
  <si>
    <t>2,449.80</t>
  </si>
  <si>
    <t>2,431.00</t>
  </si>
  <si>
    <t>2,396.10</t>
  </si>
  <si>
    <t>2,415.80</t>
  </si>
  <si>
    <t>2,401.50</t>
  </si>
  <si>
    <t>2,359.60</t>
  </si>
  <si>
    <t>2,336.20</t>
  </si>
  <si>
    <t>2,352.10</t>
  </si>
  <si>
    <t>2,375.40</t>
  </si>
  <si>
    <t>2,365.20</t>
  </si>
  <si>
    <t>2,382.40</t>
  </si>
  <si>
    <t>2,398.90</t>
  </si>
  <si>
    <t>2,393.50</t>
  </si>
  <si>
    <t>2,401.60</t>
  </si>
  <si>
    <t>2,439.20</t>
  </si>
  <si>
    <t>2,451.20</t>
  </si>
  <si>
    <t>2,498.90</t>
  </si>
  <si>
    <t>2,484.60</t>
  </si>
  <si>
    <t>2,442.80</t>
  </si>
  <si>
    <t>2,424.20</t>
  </si>
  <si>
    <t>2,430.90</t>
  </si>
  <si>
    <t>2,419.40</t>
  </si>
  <si>
    <t>2,369.50</t>
  </si>
  <si>
    <t>2,341.10</t>
  </si>
  <si>
    <t>2,358.70</t>
  </si>
  <si>
    <t>2,289.80</t>
  </si>
  <si>
    <t>2,279.90</t>
  </si>
  <si>
    <t>2,275.30</t>
  </si>
  <si>
    <t>2,264.10</t>
  </si>
  <si>
    <t>2,285.70</t>
  </si>
  <si>
    <t>2,268.00</t>
  </si>
  <si>
    <t>2,281.40</t>
  </si>
  <si>
    <t>2,264.80</t>
  </si>
  <si>
    <t>2,244.80</t>
  </si>
  <si>
    <t>2,214.20</t>
  </si>
  <si>
    <t>2,219.40</t>
  </si>
  <si>
    <t>2,208.80</t>
  </si>
  <si>
    <t>2,218.90</t>
  </si>
  <si>
    <t>2,247.90</t>
  </si>
  <si>
    <t>2,245.20</t>
  </si>
  <si>
    <t>2,243.50</t>
  </si>
  <si>
    <t>2,249.00</t>
  </si>
  <si>
    <t>2,255.70</t>
  </si>
  <si>
    <t>2,266.70</t>
  </si>
  <si>
    <t>2,259.10</t>
  </si>
  <si>
    <t>2,294.30</t>
  </si>
  <si>
    <t>2,303.20</t>
  </si>
  <si>
    <t>2,327.60</t>
  </si>
  <si>
    <t>2,327.20</t>
  </si>
  <si>
    <t>2,315.50</t>
  </si>
  <si>
    <t>2,299.20</t>
  </si>
  <si>
    <t>2,312.40</t>
  </si>
  <si>
    <t>2,295.60</t>
  </si>
  <si>
    <t>2,331.40</t>
  </si>
  <si>
    <t>2,353.60</t>
  </si>
  <si>
    <t>2,329.90</t>
  </si>
  <si>
    <t>2,282.30</t>
  </si>
  <si>
    <t>2,324.60</t>
  </si>
  <si>
    <t>2,356.40</t>
  </si>
  <si>
    <t>2,299.60</t>
  </si>
  <si>
    <t>2,302.60</t>
  </si>
  <si>
    <t>2,334.10</t>
  </si>
  <si>
    <t>2,418.00</t>
  </si>
  <si>
    <t>2,436.90</t>
  </si>
  <si>
    <t>2,409.80</t>
  </si>
  <si>
    <t>2,425.70</t>
  </si>
  <si>
    <t>2,451.10</t>
  </si>
  <si>
    <t>2,452.20</t>
  </si>
  <si>
    <t>2,431.60</t>
  </si>
  <si>
    <t>2,464.40</t>
  </si>
  <si>
    <t>2,453.10</t>
  </si>
  <si>
    <t>2,432.00</t>
  </si>
  <si>
    <t>2,445.00</t>
  </si>
  <si>
    <t>2,467.90</t>
  </si>
  <si>
    <t>2,459.90</t>
  </si>
  <si>
    <t>2,415.70</t>
  </si>
  <si>
    <t>2,411.15</t>
  </si>
  <si>
    <t>2,394.20</t>
  </si>
  <si>
    <t>2,341.35</t>
  </si>
  <si>
    <t>2,356.05</t>
  </si>
  <si>
    <t>2,349.40</t>
  </si>
  <si>
    <t>2,306.65</t>
  </si>
  <si>
    <t>2,316.00</t>
  </si>
  <si>
    <t>2,340.65</t>
  </si>
  <si>
    <t>2,338.10</t>
  </si>
  <si>
    <t>2,323.15</t>
  </si>
  <si>
    <t>2,330.75</t>
  </si>
  <si>
    <t>2,322.50</t>
  </si>
  <si>
    <t>2,300.40</t>
  </si>
  <si>
    <t>2,287.20</t>
  </si>
  <si>
    <t>2,280.70</t>
  </si>
  <si>
    <t>2,273.95</t>
  </si>
  <si>
    <t>2,219.55</t>
  </si>
  <si>
    <t>2,231.30</t>
  </si>
  <si>
    <t>2,251.30</t>
  </si>
  <si>
    <t>2,287.40</t>
  </si>
  <si>
    <t>2,278.60</t>
  </si>
  <si>
    <t>2,270.00</t>
  </si>
  <si>
    <t>2,267.70</t>
  </si>
  <si>
    <t>2,164.15</t>
  </si>
  <si>
    <t>2,132.10</t>
  </si>
  <si>
    <t>2,166.40</t>
  </si>
  <si>
    <t>2,179.75</t>
  </si>
  <si>
    <t>2,213.65</t>
  </si>
  <si>
    <t>2,224.75</t>
  </si>
  <si>
    <t>2,246.20</t>
  </si>
  <si>
    <t>2,257.60</t>
  </si>
  <si>
    <t>2,249.05</t>
  </si>
  <si>
    <t>2,239.10</t>
  </si>
  <si>
    <t>2,237.60</t>
  </si>
  <si>
    <t>2,250.85</t>
  </si>
  <si>
    <t>2,236.40</t>
  </si>
  <si>
    <t>2,228.25</t>
  </si>
  <si>
    <t>2,240.85</t>
  </si>
  <si>
    <t>2,270.15</t>
  </si>
  <si>
    <t>2,271.00</t>
  </si>
  <si>
    <t>2,263.40</t>
  </si>
  <si>
    <t>2,275.20</t>
  </si>
  <si>
    <t>2,354.35</t>
  </si>
  <si>
    <t>2,292.25</t>
  </si>
  <si>
    <t>2,351.15</t>
  </si>
  <si>
    <t>2,300.80</t>
  </si>
  <si>
    <t>2,249.85</t>
  </si>
  <si>
    <t>2,223.15</t>
  </si>
  <si>
    <t>2,241.80</t>
  </si>
  <si>
    <t>2,251.50</t>
  </si>
  <si>
    <t>2,262.40</t>
  </si>
  <si>
    <t>2,276.35</t>
  </si>
  <si>
    <t>2,260.35</t>
  </si>
  <si>
    <t>2,280.55</t>
  </si>
  <si>
    <t>2,261.00</t>
  </si>
  <si>
    <t>2,215.60</t>
  </si>
  <si>
    <t>2,229.70</t>
  </si>
  <si>
    <t>2,239.95</t>
  </si>
  <si>
    <t>2,252.65</t>
  </si>
  <si>
    <t>2,320.75</t>
  </si>
  <si>
    <t>2,350.20</t>
  </si>
  <si>
    <t>2,334.35</t>
  </si>
  <si>
    <t>2,292.60</t>
  </si>
  <si>
    <t>2,267.15</t>
  </si>
  <si>
    <t>2,335.95</t>
  </si>
  <si>
    <t>2,343.25</t>
  </si>
  <si>
    <t>2,304.65</t>
  </si>
  <si>
    <t>2,281.35</t>
  </si>
  <si>
    <t>2,288.25</t>
  </si>
  <si>
    <t>2,271.40</t>
  </si>
  <si>
    <t>2,284.00</t>
  </si>
  <si>
    <t>2,279.20</t>
  </si>
  <si>
    <t>2,282.35</t>
  </si>
  <si>
    <t>2,291.85</t>
  </si>
  <si>
    <t>2,345.45</t>
  </si>
  <si>
    <t>2,356.00</t>
  </si>
  <si>
    <t>2,402.25</t>
  </si>
  <si>
    <t>2,407.65</t>
  </si>
  <si>
    <t>2,389.55</t>
  </si>
  <si>
    <t>2,417.30</t>
  </si>
  <si>
    <t>2,388.90</t>
  </si>
  <si>
    <t>2,391.85</t>
  </si>
  <si>
    <t>2,459.45</t>
  </si>
  <si>
    <t>2,469.40</t>
  </si>
  <si>
    <t>2,479.05</t>
  </si>
  <si>
    <t>2,479.60</t>
  </si>
  <si>
    <t>2,458.05</t>
  </si>
  <si>
    <t>2,491.90</t>
  </si>
  <si>
    <t>2,505.00</t>
  </si>
  <si>
    <t>2,459.70</t>
  </si>
  <si>
    <t>2,472.20</t>
  </si>
  <si>
    <t>2,428.15</t>
  </si>
  <si>
    <t>2,483.70</t>
  </si>
  <si>
    <t>2,483.15</t>
  </si>
  <si>
    <t>2,470.50</t>
  </si>
  <si>
    <t>2,474.85</t>
  </si>
  <si>
    <t>2,543.10</t>
  </si>
  <si>
    <t>2,769.45</t>
  </si>
  <si>
    <t>2,842.85</t>
  </si>
  <si>
    <t>2,897.30</t>
  </si>
  <si>
    <t>2,887.30</t>
  </si>
  <si>
    <t>2,915.30</t>
  </si>
  <si>
    <t>2,939.85</t>
  </si>
  <si>
    <t>2,935.65</t>
  </si>
  <si>
    <t>2,996.65</t>
  </si>
  <si>
    <t>2,992.85</t>
  </si>
  <si>
    <t>3,001.85</t>
  </si>
  <si>
    <t>2,958.00</t>
  </si>
  <si>
    <t>2,972.00</t>
  </si>
  <si>
    <t>2,989.70</t>
  </si>
  <si>
    <t>3,006.85</t>
  </si>
  <si>
    <t>3,049.20</t>
  </si>
  <si>
    <t>2,992.15</t>
  </si>
  <si>
    <t>3,055.85</t>
  </si>
  <si>
    <t>3,082.10</t>
  </si>
  <si>
    <t>3,067.10</t>
  </si>
  <si>
    <t>3,039.15</t>
  </si>
  <si>
    <t>3,037.20</t>
  </si>
  <si>
    <t>3,059.10</t>
  </si>
  <si>
    <t>3,078.85</t>
  </si>
  <si>
    <t>3,088.05</t>
  </si>
  <si>
    <t>3,062.25</t>
  </si>
  <si>
    <t>3,072.50</t>
  </si>
  <si>
    <t>3,149.30</t>
  </si>
  <si>
    <t>3,277.35</t>
  </si>
  <si>
    <t>3,329.10</t>
  </si>
  <si>
    <t>3,310.75</t>
  </si>
  <si>
    <t>3,277.05</t>
  </si>
  <si>
    <t>3,244.75</t>
  </si>
  <si>
    <t>3,248.40</t>
  </si>
  <si>
    <t>3,277.45</t>
  </si>
  <si>
    <t>3,306.95</t>
  </si>
  <si>
    <t>3,293.85</t>
  </si>
  <si>
    <t>3,274.65</t>
  </si>
  <si>
    <t>3,312.80</t>
  </si>
  <si>
    <t>3,335.80</t>
  </si>
  <si>
    <t>3,358.05</t>
  </si>
  <si>
    <t>3,383.25</t>
  </si>
  <si>
    <t>3,367.45</t>
  </si>
  <si>
    <t>3,295.05</t>
  </si>
  <si>
    <t>3,280.75</t>
  </si>
  <si>
    <t>3,273.70</t>
  </si>
  <si>
    <t>3,238.25</t>
  </si>
  <si>
    <t>3,231.65</t>
  </si>
  <si>
    <t>3,154.85</t>
  </si>
  <si>
    <t>3,150.95</t>
  </si>
  <si>
    <t>3,126.80</t>
  </si>
  <si>
    <t>3,115.85</t>
  </si>
  <si>
    <t>3,125.50</t>
  </si>
  <si>
    <t>3,166.20</t>
  </si>
  <si>
    <t>3,171.35</t>
  </si>
  <si>
    <t>3,154.65</t>
  </si>
  <si>
    <t>3,186.60</t>
  </si>
  <si>
    <t>3,151.55</t>
  </si>
  <si>
    <t>3,103.20</t>
  </si>
  <si>
    <t>3,076.30</t>
  </si>
  <si>
    <t>3,048.15</t>
  </si>
  <si>
    <t>3,025.85</t>
  </si>
  <si>
    <t>3,023.55</t>
  </si>
  <si>
    <t>3,053.20</t>
  </si>
  <si>
    <t>3,040.60</t>
  </si>
  <si>
    <t>3,005.40</t>
  </si>
  <si>
    <t>3,101.45</t>
  </si>
  <si>
    <t>3,101.75</t>
  </si>
  <si>
    <t>3,093.40</t>
  </si>
  <si>
    <t>3,106.70</t>
  </si>
  <si>
    <t>3,099.35</t>
  </si>
  <si>
    <t>3,084.45</t>
  </si>
  <si>
    <t>3,005.05</t>
  </si>
  <si>
    <t>2,954.70</t>
  </si>
  <si>
    <t>2,950.15</t>
  </si>
  <si>
    <t>2,901.40</t>
  </si>
  <si>
    <t>2,912.80</t>
  </si>
  <si>
    <t>2,897.10</t>
  </si>
  <si>
    <t>2,934.30</t>
  </si>
  <si>
    <t>2,946.05</t>
  </si>
  <si>
    <t>2,931.55</t>
  </si>
  <si>
    <t>2,974.45</t>
  </si>
  <si>
    <t>2,956.50</t>
  </si>
  <si>
    <t>2,999.15</t>
  </si>
  <si>
    <t>3,022.05</t>
  </si>
  <si>
    <t>2,996.45</t>
  </si>
  <si>
    <t>2,905.00</t>
  </si>
  <si>
    <t>2,898.15</t>
  </si>
  <si>
    <t>2,935.90</t>
  </si>
  <si>
    <t>2,934.90</t>
  </si>
  <si>
    <t>2,925.55</t>
  </si>
  <si>
    <t>2,925.60</t>
  </si>
  <si>
    <t>2,927.80</t>
  </si>
  <si>
    <t>2,917.05</t>
  </si>
  <si>
    <t>2,880.85</t>
  </si>
  <si>
    <t>2,863.35</t>
  </si>
  <si>
    <t>2,858.45</t>
  </si>
  <si>
    <t>2,896.05</t>
  </si>
  <si>
    <t>2,890.85</t>
  </si>
  <si>
    <t>2,915.50</t>
  </si>
  <si>
    <t>2,891.70</t>
  </si>
  <si>
    <t>2,918.50</t>
  </si>
  <si>
    <t>2,921.60</t>
  </si>
  <si>
    <t>2,910.00</t>
  </si>
  <si>
    <t>2,905.80</t>
  </si>
  <si>
    <t>2,902.45</t>
  </si>
  <si>
    <t>2,937.55</t>
  </si>
  <si>
    <t>2,927.70</t>
  </si>
  <si>
    <t>2,904.80</t>
  </si>
  <si>
    <t>2,961.75</t>
  </si>
  <si>
    <t>2,857.65</t>
  </si>
  <si>
    <t>2,866.45</t>
  </si>
  <si>
    <t>2,881.20</t>
  </si>
  <si>
    <t>2,883.70</t>
  </si>
  <si>
    <t>2,900.15</t>
  </si>
  <si>
    <t>2,911.20</t>
  </si>
  <si>
    <t>2,872.30</t>
  </si>
  <si>
    <t>2,874.75</t>
  </si>
  <si>
    <t>2,903.75</t>
  </si>
  <si>
    <t>2,885.75</t>
  </si>
  <si>
    <t>2,851.80</t>
  </si>
  <si>
    <t>2,816.35</t>
  </si>
  <si>
    <t>2,809.90</t>
  </si>
  <si>
    <t>2,814.05</t>
  </si>
  <si>
    <t>2,813.70</t>
  </si>
  <si>
    <t>2,866.15</t>
  </si>
  <si>
    <t>2,879.25</t>
  </si>
  <si>
    <t>2,771.25</t>
  </si>
  <si>
    <t>2,710.10</t>
  </si>
  <si>
    <t>2,843.30</t>
  </si>
  <si>
    <t>2,913.00</t>
  </si>
  <si>
    <t>2,932.15</t>
  </si>
  <si>
    <t>2,929.75</t>
  </si>
  <si>
    <t>2,975.40</t>
  </si>
  <si>
    <t>2,875.90</t>
  </si>
  <si>
    <t>2,868.20</t>
  </si>
  <si>
    <t>2,844.15</t>
  </si>
  <si>
    <t>2,861.45</t>
  </si>
  <si>
    <t>2,867.75</t>
  </si>
  <si>
    <t>2,874.90</t>
  </si>
  <si>
    <t>2,841.85</t>
  </si>
  <si>
    <t>2,808.55</t>
  </si>
  <si>
    <t>2,807.70</t>
  </si>
  <si>
    <t>2,830.00</t>
  </si>
  <si>
    <t>2,844.40</t>
  </si>
  <si>
    <t>2,854.50</t>
  </si>
  <si>
    <t>2,896.75</t>
  </si>
  <si>
    <t>2,857.15</t>
  </si>
  <si>
    <t>2,892.00</t>
  </si>
  <si>
    <t>2,883.45</t>
  </si>
  <si>
    <t>2,918.30</t>
  </si>
  <si>
    <t>2,869.35</t>
  </si>
  <si>
    <t>2,874.20</t>
  </si>
  <si>
    <t>2,871.00</t>
  </si>
  <si>
    <t>2,846.75</t>
  </si>
  <si>
    <t>2,830.50</t>
  </si>
  <si>
    <t>2,814.65</t>
  </si>
  <si>
    <t>2,841.50</t>
  </si>
  <si>
    <t>2,821.15</t>
  </si>
  <si>
    <t>2,824.90</t>
  </si>
  <si>
    <t>2,815.10</t>
  </si>
  <si>
    <t>2,846.50</t>
  </si>
  <si>
    <t>2,867.55</t>
  </si>
  <si>
    <t>2,892.25</t>
  </si>
  <si>
    <t>2,860.15</t>
  </si>
  <si>
    <t>2,876.15</t>
  </si>
  <si>
    <t>2,876.85</t>
  </si>
  <si>
    <t>2,870.55</t>
  </si>
  <si>
    <t>2,827.30</t>
  </si>
  <si>
    <t>2,820.40</t>
  </si>
  <si>
    <t>2,831.75</t>
  </si>
  <si>
    <t>2,849.80</t>
  </si>
  <si>
    <t>2,821.90</t>
  </si>
  <si>
    <t>2,794.35</t>
  </si>
  <si>
    <t>2,859.55</t>
  </si>
  <si>
    <t>2,868.45</t>
  </si>
  <si>
    <t>2,985.95</t>
  </si>
  <si>
    <t>3,017.40</t>
  </si>
  <si>
    <t>3,001.80</t>
  </si>
  <si>
    <t>3,011.65</t>
  </si>
  <si>
    <t>2,998.10</t>
  </si>
  <si>
    <t>3,007.90</t>
  </si>
  <si>
    <t>3,016.55</t>
  </si>
  <si>
    <t>2,976.40</t>
  </si>
  <si>
    <t>2,971.60</t>
  </si>
  <si>
    <t>2,953.80</t>
  </si>
  <si>
    <t>2,951.65</t>
  </si>
  <si>
    <t>2,929.60</t>
  </si>
  <si>
    <t>2,981.15</t>
  </si>
  <si>
    <t>2,930.95</t>
  </si>
  <si>
    <t>2,917.35</t>
  </si>
  <si>
    <t>2,936.30</t>
  </si>
  <si>
    <t>2,929.35</t>
  </si>
  <si>
    <t>2,957.85</t>
  </si>
  <si>
    <t>2,954.10</t>
  </si>
  <si>
    <t>2,976.05</t>
  </si>
  <si>
    <t>2,949.20</t>
  </si>
  <si>
    <t>2,999.45</t>
  </si>
  <si>
    <t>3,054.70</t>
  </si>
  <si>
    <t>3,138.80</t>
  </si>
  <si>
    <t>3,165.85</t>
  </si>
  <si>
    <t>3,163.85</t>
  </si>
  <si>
    <t>3,242.30</t>
  </si>
  <si>
    <t>3,296.90</t>
  </si>
  <si>
    <t>3,273.90</t>
  </si>
  <si>
    <t>3,277.80</t>
  </si>
  <si>
    <t>3,288.20</t>
  </si>
  <si>
    <t>3,286.85</t>
  </si>
  <si>
    <t>3,267.50</t>
  </si>
  <si>
    <t>3,298.40</t>
  </si>
  <si>
    <t>3,355.55</t>
  </si>
  <si>
    <t>3,379.95</t>
  </si>
  <si>
    <t>3,373.60</t>
  </si>
  <si>
    <t>3,391.35</t>
  </si>
  <si>
    <t>3,396.10</t>
  </si>
  <si>
    <t>3,402.40</t>
  </si>
  <si>
    <t>3,397.25</t>
  </si>
  <si>
    <t>3,404.45</t>
  </si>
  <si>
    <t>3,383.35</t>
  </si>
  <si>
    <t>3,341.30</t>
  </si>
  <si>
    <t>3,302.95</t>
  </si>
  <si>
    <t>3,297.15</t>
  </si>
  <si>
    <t>3,336.05</t>
  </si>
  <si>
    <t>3,332.05</t>
  </si>
  <si>
    <t>3,313.90</t>
  </si>
  <si>
    <t>3,241.35</t>
  </si>
  <si>
    <t>3,243.65</t>
  </si>
  <si>
    <t>3,224.75</t>
  </si>
  <si>
    <t>3,233.00</t>
  </si>
  <si>
    <t>3,232.00</t>
  </si>
  <si>
    <t>3,251.80</t>
  </si>
  <si>
    <t>3,252.55</t>
  </si>
  <si>
    <t>3,226.25</t>
  </si>
  <si>
    <t>3,194.55</t>
  </si>
  <si>
    <t>3,173.40</t>
  </si>
  <si>
    <t>3,119.90</t>
  </si>
  <si>
    <t>3,148.35</t>
  </si>
  <si>
    <t>3,136.15</t>
  </si>
  <si>
    <t>3,122.95</t>
  </si>
  <si>
    <t>3,133.00</t>
  </si>
  <si>
    <t>3,133.25</t>
  </si>
  <si>
    <t>3,140.35</t>
  </si>
  <si>
    <t>3,168.90</t>
  </si>
  <si>
    <t>3,130.30</t>
  </si>
  <si>
    <t>3,116.20</t>
  </si>
  <si>
    <t>3,085.60</t>
  </si>
  <si>
    <t>3,098.15</t>
  </si>
  <si>
    <t>3,076.45</t>
  </si>
  <si>
    <t>3,080.20</t>
  </si>
  <si>
    <t>3,095.25</t>
  </si>
  <si>
    <t>3,033.35</t>
  </si>
  <si>
    <t>3,029.30</t>
  </si>
  <si>
    <t>2,977.85</t>
  </si>
  <si>
    <t>2,955.40</t>
  </si>
  <si>
    <t>2,934.55</t>
  </si>
  <si>
    <t>2,995.70</t>
  </si>
  <si>
    <t>2,967.10</t>
  </si>
  <si>
    <t>2,955.15</t>
  </si>
  <si>
    <t>2,960.30</t>
  </si>
  <si>
    <t>3,060.80</t>
  </si>
  <si>
    <t>3,072.00</t>
  </si>
  <si>
    <t>3,105.85</t>
  </si>
  <si>
    <t>3,101.80</t>
  </si>
  <si>
    <t>3,096.45</t>
  </si>
  <si>
    <t>3,113.55</t>
  </si>
  <si>
    <t>3,112.05</t>
  </si>
  <si>
    <t>3,148.80</t>
  </si>
  <si>
    <t>3,159.10</t>
  </si>
  <si>
    <t>3,163.90</t>
  </si>
  <si>
    <t>3,151.50</t>
  </si>
  <si>
    <t>3,152.80</t>
  </si>
  <si>
    <t>3,195.75</t>
  </si>
  <si>
    <t>3,206.25</t>
  </si>
  <si>
    <t>3,169.90</t>
  </si>
  <si>
    <t>3,166.85</t>
  </si>
  <si>
    <t>3,161.05</t>
  </si>
  <si>
    <t>3,170.35</t>
  </si>
  <si>
    <t>3,301.80</t>
  </si>
  <si>
    <t>3,292.80</t>
  </si>
  <si>
    <t>3,323.25</t>
  </si>
  <si>
    <t>3,274.85</t>
  </si>
  <si>
    <t>3,244.20</t>
  </si>
  <si>
    <t>3,214.35</t>
  </si>
  <si>
    <t>3,206.30</t>
  </si>
  <si>
    <t>3,196.65</t>
  </si>
  <si>
    <t>3,240.25</t>
  </si>
  <si>
    <t>3,277.75</t>
  </si>
  <si>
    <t>3,256.85</t>
  </si>
  <si>
    <t>3,259.40</t>
  </si>
  <si>
    <t>3,238.05</t>
  </si>
  <si>
    <t>3,246.35</t>
  </si>
  <si>
    <t>3,225.30</t>
  </si>
  <si>
    <t>3,223.30</t>
  </si>
  <si>
    <t>3,235.55</t>
  </si>
  <si>
    <t>3,259.55</t>
  </si>
  <si>
    <t>3,256.10</t>
  </si>
  <si>
    <t>3,294.70</t>
  </si>
  <si>
    <t>3,285.70</t>
  </si>
  <si>
    <t>3,259.70</t>
  </si>
  <si>
    <t>3,259.30</t>
  </si>
  <si>
    <t>3,225.60</t>
  </si>
  <si>
    <t>3,168.80</t>
  </si>
  <si>
    <t>3,179.70</t>
  </si>
  <si>
    <t>3,182.30</t>
  </si>
  <si>
    <t>3,163.55</t>
  </si>
  <si>
    <t>3,183.25</t>
  </si>
  <si>
    <t>3,194.05</t>
  </si>
  <si>
    <t>3,202.60</t>
  </si>
  <si>
    <t>3,185.35</t>
  </si>
  <si>
    <t>3,237.90</t>
  </si>
  <si>
    <t>3,331.00</t>
  </si>
  <si>
    <t>3,348.05</t>
  </si>
  <si>
    <t>3,343.00</t>
  </si>
  <si>
    <t>3,339.65</t>
  </si>
  <si>
    <t>3,336.35</t>
  </si>
  <si>
    <t>3,362.90</t>
  </si>
  <si>
    <t>3,342.95</t>
  </si>
  <si>
    <t>3,377.35</t>
  </si>
  <si>
    <t>3,390.70</t>
  </si>
  <si>
    <t>3,369.40</t>
  </si>
  <si>
    <t>3,373.00</t>
  </si>
  <si>
    <t>3,400.40</t>
  </si>
  <si>
    <t>3,543.70</t>
  </si>
  <si>
    <t>3,517.70</t>
  </si>
  <si>
    <t>3,526.00</t>
  </si>
  <si>
    <t>3,514.65</t>
  </si>
  <si>
    <t>3,513.45</t>
  </si>
  <si>
    <t>3,460.40</t>
  </si>
  <si>
    <t>3,429.75</t>
  </si>
  <si>
    <t>3,398.55</t>
  </si>
  <si>
    <t>3,406.75</t>
  </si>
  <si>
    <t>3,392.55</t>
  </si>
  <si>
    <t>3,343.15</t>
  </si>
  <si>
    <t>3,343.70</t>
  </si>
  <si>
    <t>3,399.40</t>
  </si>
  <si>
    <t>3,374.40</t>
  </si>
  <si>
    <t>3,347.70</t>
  </si>
  <si>
    <t>3,358.70</t>
  </si>
  <si>
    <t>3,362.05</t>
  </si>
  <si>
    <t>3,348.25</t>
  </si>
  <si>
    <t>3,326.00</t>
  </si>
  <si>
    <t>3,308.15</t>
  </si>
  <si>
    <t>3,297.70</t>
  </si>
  <si>
    <t>3,248.05</t>
  </si>
  <si>
    <t>3,316.10</t>
  </si>
  <si>
    <t>3,318.70</t>
  </si>
  <si>
    <t>3,309.70</t>
  </si>
  <si>
    <t>3,316.85</t>
  </si>
  <si>
    <t>3,294.35</t>
  </si>
  <si>
    <t>3,270.20</t>
  </si>
  <si>
    <t>3,262.85</t>
  </si>
  <si>
    <t>3,194.75</t>
  </si>
  <si>
    <t>3,180.55</t>
  </si>
  <si>
    <t>3,212.25</t>
  </si>
  <si>
    <t>3,224.80</t>
  </si>
  <si>
    <t>3,212.75</t>
  </si>
  <si>
    <t>3,199.75</t>
  </si>
  <si>
    <t>3,237.25</t>
  </si>
  <si>
    <t>3,240.70</t>
  </si>
  <si>
    <t>3,192.95</t>
  </si>
  <si>
    <t>3,144.40</t>
  </si>
  <si>
    <t>3,137.40</t>
  </si>
  <si>
    <t>3,128.40</t>
  </si>
  <si>
    <t>3,123.55</t>
  </si>
  <si>
    <t>3,101.50</t>
  </si>
  <si>
    <t>3,120.60</t>
  </si>
  <si>
    <t>3,084.90</t>
  </si>
  <si>
    <t>3,109.05</t>
  </si>
  <si>
    <t>3,092.45</t>
  </si>
  <si>
    <t>3,138.10</t>
  </si>
  <si>
    <t>3,132.00</t>
  </si>
  <si>
    <t>3,131.10</t>
  </si>
  <si>
    <t>3,139.75</t>
  </si>
  <si>
    <t>3,041.40</t>
  </si>
  <si>
    <t>3,034.80</t>
  </si>
  <si>
    <t>3,019.45</t>
  </si>
  <si>
    <t>3,012.95</t>
  </si>
  <si>
    <t>2,982.85</t>
  </si>
  <si>
    <t>2,929.70</t>
  </si>
  <si>
    <t>2,899.55</t>
  </si>
  <si>
    <t>2,902.35</t>
  </si>
  <si>
    <t>2,899.95</t>
  </si>
  <si>
    <t>2,898.00</t>
  </si>
  <si>
    <t>2,891.10</t>
  </si>
  <si>
    <t>2,882.10</t>
  </si>
  <si>
    <t>2,843.85</t>
  </si>
  <si>
    <t>2,809.70</t>
  </si>
  <si>
    <t>2,854.60</t>
  </si>
  <si>
    <t>2,843.10</t>
  </si>
  <si>
    <t>2,809.75</t>
  </si>
  <si>
    <t>2,786.75</t>
  </si>
  <si>
    <t>2,753.80</t>
  </si>
  <si>
    <t>2,776.35</t>
  </si>
  <si>
    <t>2,809.85</t>
  </si>
  <si>
    <t>2,808.50</t>
  </si>
  <si>
    <t>2,777.00</t>
  </si>
  <si>
    <t>2,761.65</t>
  </si>
  <si>
    <t>2,770.50</t>
  </si>
  <si>
    <t>2,784.45</t>
  </si>
  <si>
    <t>2,803.75</t>
  </si>
  <si>
    <t>2,798.50</t>
  </si>
  <si>
    <t>2,797.80</t>
  </si>
  <si>
    <t>2,839.85</t>
  </si>
  <si>
    <t>2,839.10</t>
  </si>
  <si>
    <t>2,855.15</t>
  </si>
  <si>
    <t>2,862.65</t>
  </si>
  <si>
    <t>2,893.25</t>
  </si>
  <si>
    <t>2,827.40</t>
  </si>
  <si>
    <t>2,745.60</t>
  </si>
  <si>
    <t>2,784.20</t>
  </si>
  <si>
    <t>2,830.20</t>
  </si>
  <si>
    <t>2,853.55</t>
  </si>
  <si>
    <t>2,864.55</t>
  </si>
  <si>
    <t>2,828.85</t>
  </si>
  <si>
    <t>2,833.90</t>
  </si>
  <si>
    <t>2,840.90</t>
  </si>
  <si>
    <t>2,828.80</t>
  </si>
  <si>
    <t>2,749.90</t>
  </si>
  <si>
    <t>2,738.50</t>
  </si>
  <si>
    <t>2,705.95</t>
  </si>
  <si>
    <t>2,795.95</t>
  </si>
  <si>
    <t>2,817.10</t>
  </si>
  <si>
    <t>2,825.55</t>
  </si>
  <si>
    <t>2,833.60</t>
  </si>
  <si>
    <t>2,805.95</t>
  </si>
  <si>
    <t>2,786.15</t>
  </si>
  <si>
    <t>2,790.75</t>
  </si>
  <si>
    <t>2,804.60</t>
  </si>
  <si>
    <t>2,814.60</t>
  </si>
  <si>
    <t>2,765.60</t>
  </si>
  <si>
    <t>2,758.05</t>
  </si>
  <si>
    <t>2,754.20</t>
  </si>
  <si>
    <t>2,760.40</t>
  </si>
  <si>
    <t>2,705.65</t>
  </si>
  <si>
    <t>2,743.75</t>
  </si>
  <si>
    <t>2,725.85</t>
  </si>
  <si>
    <t>2,766.20</t>
  </si>
  <si>
    <t>2,722.65</t>
  </si>
  <si>
    <t>2,775.00</t>
  </si>
  <si>
    <t>2,810.60</t>
  </si>
  <si>
    <t>2,787.80</t>
  </si>
  <si>
    <t>2,945.25</t>
  </si>
  <si>
    <t>2,940.90</t>
  </si>
  <si>
    <t>2,916.05</t>
  </si>
  <si>
    <t>2,909.15</t>
  </si>
  <si>
    <t>2,915.95</t>
  </si>
  <si>
    <t>2,940.40</t>
  </si>
  <si>
    <t>2,960.35</t>
  </si>
  <si>
    <t>2,984.15</t>
  </si>
  <si>
    <t>2,978.40</t>
  </si>
  <si>
    <t>3,004.35</t>
  </si>
  <si>
    <t>3,016.85</t>
  </si>
  <si>
    <t>3,028.25</t>
  </si>
  <si>
    <t>3,047.25</t>
  </si>
  <si>
    <t>3,087.90</t>
  </si>
  <si>
    <t>3,115.15</t>
  </si>
  <si>
    <t>3,123.70</t>
  </si>
  <si>
    <t>3,112.60</t>
  </si>
  <si>
    <t>3,056.05</t>
  </si>
  <si>
    <t>3,057.90</t>
  </si>
  <si>
    <t>3,088.55</t>
  </si>
  <si>
    <t>3,069.65</t>
  </si>
  <si>
    <t>3,082.15</t>
  </si>
  <si>
    <t>3,080.95</t>
  </si>
  <si>
    <t>3,055.90</t>
  </si>
  <si>
    <t>3,130.60</t>
  </si>
  <si>
    <t>3,145.95</t>
  </si>
  <si>
    <t>3,178.50</t>
  </si>
  <si>
    <t>3,166.35</t>
  </si>
  <si>
    <t>3,226.95</t>
  </si>
  <si>
    <t>3,221.45</t>
  </si>
  <si>
    <t>3,226.50</t>
  </si>
  <si>
    <t>3,161.70</t>
  </si>
  <si>
    <t>3,156.90</t>
  </si>
  <si>
    <t>3,143.45</t>
  </si>
  <si>
    <t>3,179.35</t>
  </si>
  <si>
    <t>3,175.15</t>
  </si>
  <si>
    <t>3,135.05</t>
  </si>
  <si>
    <t>3,151.20</t>
  </si>
  <si>
    <t>3,108.15</t>
  </si>
  <si>
    <t>3,115.30</t>
  </si>
  <si>
    <t>3,100.80</t>
  </si>
  <si>
    <t>3,103.85</t>
  </si>
  <si>
    <t>3,095.30</t>
  </si>
  <si>
    <t>3,095.50</t>
  </si>
  <si>
    <t>3,071.60</t>
  </si>
  <si>
    <t>3,083.05</t>
  </si>
  <si>
    <t>3,079.30</t>
  </si>
  <si>
    <t>3,055.40</t>
  </si>
  <si>
    <t>3,045.15</t>
  </si>
  <si>
    <t>3,086.50</t>
  </si>
  <si>
    <t>3,103.55</t>
  </si>
  <si>
    <t>3,181.35</t>
  </si>
  <si>
    <t>3,141.30</t>
  </si>
  <si>
    <t>3,131.90</t>
  </si>
  <si>
    <t>3,159.40</t>
  </si>
  <si>
    <t>3,107.70</t>
  </si>
  <si>
    <t>3,053.40</t>
  </si>
  <si>
    <t>3,043.45</t>
  </si>
  <si>
    <t>3,121.65</t>
  </si>
  <si>
    <t>3,092.40</t>
  </si>
  <si>
    <t>3,140.90</t>
  </si>
  <si>
    <t>3,225.85</t>
  </si>
  <si>
    <t>3,197.60</t>
  </si>
  <si>
    <t>3,185.50</t>
  </si>
  <si>
    <t>3,209.00</t>
  </si>
  <si>
    <t>3,248.20</t>
  </si>
  <si>
    <t>3,298.70</t>
  </si>
  <si>
    <t>3,277.95</t>
  </si>
  <si>
    <t>3,328.95</t>
  </si>
  <si>
    <t>3,337.75</t>
  </si>
  <si>
    <t>3,302.90</t>
  </si>
  <si>
    <t>3,342.45</t>
  </si>
  <si>
    <t>3,384.80</t>
  </si>
  <si>
    <t>3,570.65</t>
  </si>
  <si>
    <t>3,470.65</t>
  </si>
  <si>
    <t>3,438.05</t>
  </si>
  <si>
    <t>3,395.25</t>
  </si>
  <si>
    <t>3,436.00</t>
  </si>
  <si>
    <t>3,356.05</t>
  </si>
  <si>
    <t>3,393.20</t>
  </si>
  <si>
    <t>3,316.25</t>
  </si>
  <si>
    <t>3,322.55</t>
  </si>
  <si>
    <t>3,395.40</t>
  </si>
  <si>
    <t>3,438.95</t>
  </si>
  <si>
    <t>3,422.20</t>
  </si>
  <si>
    <t>3,432.20</t>
  </si>
  <si>
    <t>3,441.85</t>
  </si>
  <si>
    <t>3,450.15</t>
  </si>
  <si>
    <t>3,400.35</t>
  </si>
  <si>
    <t>3,424.80</t>
  </si>
  <si>
    <t>3,431.05</t>
  </si>
  <si>
    <t>3,446.55</t>
  </si>
  <si>
    <t>3,391.60</t>
  </si>
  <si>
    <t>3,343.25</t>
  </si>
  <si>
    <t>3,323.55</t>
  </si>
  <si>
    <t>3,362.50</t>
  </si>
  <si>
    <t>3,378.85</t>
  </si>
  <si>
    <t>3,356.60</t>
  </si>
  <si>
    <t>3,349.75</t>
  </si>
  <si>
    <t>3,482.55</t>
  </si>
  <si>
    <t>3,535.35</t>
  </si>
  <si>
    <t>3,523.70</t>
  </si>
  <si>
    <t>3,501.00</t>
  </si>
  <si>
    <t>3,427.85</t>
  </si>
  <si>
    <t>3,405.20</t>
  </si>
  <si>
    <t>3,411.65</t>
  </si>
  <si>
    <t>3,458.45</t>
  </si>
  <si>
    <t>3,473.90</t>
  </si>
  <si>
    <t>3,460.50</t>
  </si>
  <si>
    <t>3,439.65</t>
  </si>
  <si>
    <t>3,396.15</t>
  </si>
  <si>
    <t>3,324.55</t>
  </si>
  <si>
    <t>3,333.75</t>
  </si>
  <si>
    <t>3,272.40</t>
  </si>
  <si>
    <t>3,186.05</t>
  </si>
  <si>
    <t>3,108.50</t>
  </si>
  <si>
    <t>3,104.95</t>
  </si>
  <si>
    <t>3,067.40</t>
  </si>
  <si>
    <t>3,066.10</t>
  </si>
  <si>
    <t>3,006.45</t>
  </si>
  <si>
    <t>3,019.10</t>
  </si>
  <si>
    <t>3,017.85</t>
  </si>
  <si>
    <t>2,978.15</t>
  </si>
  <si>
    <t>2,939.15</t>
  </si>
  <si>
    <t>2,941.20</t>
  </si>
  <si>
    <t>2,893.20</t>
  </si>
  <si>
    <t>2,933.05</t>
  </si>
  <si>
    <t>2,879.80</t>
  </si>
  <si>
    <t>2,891.40</t>
  </si>
  <si>
    <t>2,861.40</t>
  </si>
  <si>
    <t>2,766.60</t>
  </si>
  <si>
    <t>2,790.30</t>
  </si>
  <si>
    <t>2,773.15</t>
  </si>
  <si>
    <t>2,695.20</t>
  </si>
  <si>
    <t>2,697.80</t>
  </si>
  <si>
    <t>2,726.50</t>
  </si>
  <si>
    <t>2,820.95</t>
  </si>
  <si>
    <t>2,760.90</t>
  </si>
  <si>
    <t>2,758.20</t>
  </si>
  <si>
    <t>2,666.35</t>
  </si>
  <si>
    <t>2,678.35</t>
  </si>
  <si>
    <t>2,660.70</t>
  </si>
  <si>
    <t>2,580.20</t>
  </si>
  <si>
    <t>2,657.45</t>
  </si>
  <si>
    <t>2,661.15</t>
  </si>
  <si>
    <t>2,635.40</t>
  </si>
  <si>
    <t>2,660.75</t>
  </si>
  <si>
    <t>2,708.75</t>
  </si>
  <si>
    <t>2,686.80</t>
  </si>
  <si>
    <t>2,705.20</t>
  </si>
  <si>
    <t>2,744.70</t>
  </si>
  <si>
    <t>2,817.45</t>
  </si>
  <si>
    <t>2,886.90</t>
  </si>
  <si>
    <t>2,908.55</t>
  </si>
  <si>
    <t>2,852.50</t>
  </si>
  <si>
    <t>2,859.65</t>
  </si>
  <si>
    <t>2,844.00</t>
  </si>
  <si>
    <t>2,834.85</t>
  </si>
  <si>
    <t>2,840.15</t>
  </si>
  <si>
    <t>2,838.05</t>
  </si>
  <si>
    <t>3,086.85</t>
  </si>
  <si>
    <t>3,174.20</t>
  </si>
  <si>
    <t>3,109.95</t>
  </si>
  <si>
    <t>3,046.90</t>
  </si>
  <si>
    <t>3,100.10</t>
  </si>
  <si>
    <t>3,050.00</t>
  </si>
  <si>
    <t>2,999.90</t>
  </si>
  <si>
    <t>3,064.00</t>
  </si>
  <si>
    <t>3,039.95</t>
  </si>
  <si>
    <t>3,053.65</t>
  </si>
  <si>
    <t>3,086.35</t>
  </si>
  <si>
    <t>3,005.25</t>
  </si>
  <si>
    <t>3,016.25</t>
  </si>
  <si>
    <t>3,076.55</t>
  </si>
  <si>
    <t>3,100.85</t>
  </si>
  <si>
    <t>3,200.00</t>
  </si>
  <si>
    <t>3,237.20</t>
  </si>
  <si>
    <t>3,247.70</t>
  </si>
  <si>
    <t>3,125.65</t>
  </si>
  <si>
    <t>3,164.40</t>
  </si>
  <si>
    <t>3,158.25</t>
  </si>
  <si>
    <t>3,083.00</t>
  </si>
  <si>
    <t>2,991.20</t>
  </si>
  <si>
    <t>3,021.55</t>
  </si>
  <si>
    <t>3,080.65</t>
  </si>
  <si>
    <t>3,128.65</t>
  </si>
  <si>
    <t>3,157.45</t>
  </si>
  <si>
    <t>3,155.00</t>
  </si>
  <si>
    <t>3,154.00</t>
  </si>
  <si>
    <t>3,140.80</t>
  </si>
  <si>
    <t>3,118.00</t>
  </si>
  <si>
    <t>3,114.15</t>
  </si>
  <si>
    <t>3,079.95</t>
  </si>
  <si>
    <t>3,081.55</t>
  </si>
  <si>
    <t>3,042.60</t>
  </si>
  <si>
    <t>3,027.45</t>
  </si>
  <si>
    <t>3,046.95</t>
  </si>
  <si>
    <t>3,025.35</t>
  </si>
  <si>
    <t>3,016.80</t>
  </si>
  <si>
    <t>3,051.15</t>
  </si>
  <si>
    <t>3,045.75</t>
  </si>
  <si>
    <t>3,136.60</t>
  </si>
  <si>
    <t>3,042.00</t>
  </si>
  <si>
    <t>2,987.15</t>
  </si>
  <si>
    <t>2,962.80</t>
  </si>
  <si>
    <t>2,932.00</t>
  </si>
  <si>
    <t>2,874.95</t>
  </si>
  <si>
    <t>2,723.40</t>
  </si>
  <si>
    <t>2,708.45</t>
  </si>
  <si>
    <t>2,738.15</t>
  </si>
  <si>
    <t>2,871.90</t>
  </si>
  <si>
    <t>3,028.95</t>
  </si>
  <si>
    <t>3,174.65</t>
  </si>
  <si>
    <t>3,119.20</t>
  </si>
  <si>
    <t>3,069.05</t>
  </si>
  <si>
    <t>3,227.15</t>
  </si>
  <si>
    <t>3,251.65</t>
  </si>
  <si>
    <t>3,258.45</t>
  </si>
  <si>
    <t>3,265.85</t>
  </si>
  <si>
    <t>3,252.85</t>
  </si>
  <si>
    <t>3,264.60</t>
  </si>
  <si>
    <t>3,216.30</t>
  </si>
  <si>
    <t>3,238.75</t>
  </si>
  <si>
    <t>3,228.35</t>
  </si>
  <si>
    <t>3,216.35</t>
  </si>
  <si>
    <t>3,174.70</t>
  </si>
  <si>
    <t>3,236.65</t>
  </si>
  <si>
    <t>3,203.00</t>
  </si>
  <si>
    <t>3,197.70</t>
  </si>
  <si>
    <t>3,196.25</t>
  </si>
  <si>
    <t>3,152.25</t>
  </si>
  <si>
    <t>3,110.85</t>
  </si>
  <si>
    <t>3,116.95</t>
  </si>
  <si>
    <t>3,147.10</t>
  </si>
  <si>
    <t>3,155.15</t>
  </si>
  <si>
    <t>3,306.40</t>
  </si>
  <si>
    <t>3,280.40</t>
  </si>
  <si>
    <t>3,373.70</t>
  </si>
  <si>
    <t>3,378.65</t>
  </si>
  <si>
    <t>3,364.40</t>
  </si>
  <si>
    <t>3,456.25</t>
  </si>
  <si>
    <t>3,543.80</t>
  </si>
  <si>
    <t>3,538.75</t>
  </si>
  <si>
    <t>3,553.50</t>
  </si>
  <si>
    <t>3,576.30</t>
  </si>
  <si>
    <t>3,526.80</t>
  </si>
  <si>
    <t>3,459.30</t>
  </si>
  <si>
    <t>3,422.40</t>
  </si>
  <si>
    <t>3,382.95</t>
  </si>
  <si>
    <t>3,365.70</t>
  </si>
  <si>
    <t>3,368.20</t>
  </si>
  <si>
    <t>3,284.80</t>
  </si>
  <si>
    <t>3,267.90</t>
  </si>
  <si>
    <t>3,280.10</t>
  </si>
  <si>
    <t>3,271.35</t>
  </si>
  <si>
    <t>3,239.45</t>
  </si>
  <si>
    <t>3,243.70</t>
  </si>
  <si>
    <t>3,298.60</t>
  </si>
  <si>
    <t>3,301.95</t>
  </si>
  <si>
    <t>3,297.50</t>
  </si>
  <si>
    <t>3,279.85</t>
  </si>
  <si>
    <t>3,283.15</t>
  </si>
  <si>
    <t>3,178.70</t>
  </si>
  <si>
    <t>3,030.35</t>
  </si>
  <si>
    <t>3,038.30</t>
  </si>
  <si>
    <t>3,110.45</t>
  </si>
  <si>
    <t>3,180.60</t>
  </si>
  <si>
    <t>3,138.15</t>
  </si>
  <si>
    <t>3,143.65</t>
  </si>
  <si>
    <t>3,144.30</t>
  </si>
  <si>
    <t>3,143.10</t>
  </si>
  <si>
    <t>3,144.25</t>
  </si>
  <si>
    <t>3,157.00</t>
  </si>
  <si>
    <t>3,185.55</t>
  </si>
  <si>
    <t>3,261.25</t>
  </si>
  <si>
    <t>3,226.85</t>
  </si>
  <si>
    <t>3,230.25</t>
  </si>
  <si>
    <t>3,151.70</t>
  </si>
  <si>
    <t>3,168.70</t>
  </si>
  <si>
    <t>3,122.90</t>
  </si>
  <si>
    <t>3,063.50</t>
  </si>
  <si>
    <t>3,108.30</t>
  </si>
  <si>
    <t>3,145.15</t>
  </si>
  <si>
    <t>3,138.00</t>
  </si>
  <si>
    <t>3,159.25</t>
  </si>
  <si>
    <t>3,170.65</t>
  </si>
  <si>
    <t>3,103.35</t>
  </si>
  <si>
    <t>3,121.80</t>
  </si>
  <si>
    <t>3,116.30</t>
  </si>
  <si>
    <t>3,094.65</t>
  </si>
  <si>
    <t>2,969.80</t>
  </si>
  <si>
    <t>2,918.05</t>
  </si>
  <si>
    <t>2,982.40</t>
  </si>
  <si>
    <t>3,002.00</t>
  </si>
  <si>
    <t>3,169.60</t>
  </si>
  <si>
    <t>3,183.75</t>
  </si>
  <si>
    <t>3,241.50</t>
  </si>
  <si>
    <t>3,297.80</t>
  </si>
  <si>
    <t>3,323.50</t>
  </si>
  <si>
    <t>3,306.05</t>
  </si>
  <si>
    <t>3,306.90</t>
  </si>
  <si>
    <t>3,290.85</t>
  </si>
  <si>
    <t>3,254.75</t>
  </si>
  <si>
    <t>3,201.60</t>
  </si>
  <si>
    <t>3,177.85</t>
  </si>
  <si>
    <t>3,244.65</t>
  </si>
  <si>
    <t>3,323.05</t>
  </si>
  <si>
    <t>3,379.70</t>
  </si>
  <si>
    <t>3,430.65</t>
  </si>
  <si>
    <t>3,448.60</t>
  </si>
  <si>
    <t>3,320.65</t>
  </si>
  <si>
    <t>3,317.50</t>
  </si>
  <si>
    <t>3,309.20</t>
  </si>
  <si>
    <t>3,271.55</t>
  </si>
  <si>
    <t>3,303.05</t>
  </si>
  <si>
    <t>3,342.10</t>
  </si>
  <si>
    <t>3,352.30</t>
  </si>
  <si>
    <t>3,367.05</t>
  </si>
  <si>
    <t>3,346.35</t>
  </si>
  <si>
    <t>3,336.60</t>
  </si>
  <si>
    <t>3,336.25</t>
  </si>
  <si>
    <t>3,315.55</t>
  </si>
  <si>
    <t>3,338.80</t>
  </si>
  <si>
    <t>3,301.60</t>
  </si>
  <si>
    <t>3,302.75</t>
  </si>
  <si>
    <t>3,201.35</t>
  </si>
  <si>
    <t>3,108.75</t>
  </si>
  <si>
    <t>3,036.80</t>
  </si>
  <si>
    <t>3,039.65</t>
  </si>
  <si>
    <t>3,038.05</t>
  </si>
  <si>
    <t>3,045.95</t>
  </si>
  <si>
    <t>3,077.45</t>
  </si>
  <si>
    <t>3,112.95</t>
  </si>
  <si>
    <t>3,001.55</t>
  </si>
  <si>
    <t>3,015.30</t>
  </si>
  <si>
    <t>2,971.40</t>
  </si>
  <si>
    <t>2,988.70</t>
  </si>
  <si>
    <t>2,975.50</t>
  </si>
  <si>
    <t>2,972.60</t>
  </si>
  <si>
    <t>2,977.15</t>
  </si>
  <si>
    <t>2,992.55</t>
  </si>
  <si>
    <t>2,966.45</t>
  </si>
  <si>
    <t>2,988.40</t>
  </si>
  <si>
    <t>3,018.60</t>
  </si>
  <si>
    <t>3,027.00</t>
  </si>
  <si>
    <t>2,974.05</t>
  </si>
  <si>
    <t>2,958.45</t>
  </si>
  <si>
    <t>2,997.45</t>
  </si>
  <si>
    <t>3,004.10</t>
  </si>
  <si>
    <t>3,028.65</t>
  </si>
  <si>
    <t>3,061.20</t>
  </si>
  <si>
    <t>3,083.75</t>
  </si>
  <si>
    <t>3,106.75</t>
  </si>
  <si>
    <t>3,159.05</t>
  </si>
  <si>
    <t>2,981.95</t>
  </si>
  <si>
    <t>2,989.30</t>
  </si>
  <si>
    <t>2,983.60</t>
  </si>
  <si>
    <t>3,001.95</t>
  </si>
  <si>
    <t>2,993.85</t>
  </si>
  <si>
    <t>2,999.40</t>
  </si>
  <si>
    <t>3,010.60</t>
  </si>
  <si>
    <t>3,028.30</t>
  </si>
  <si>
    <t>3,040.10</t>
  </si>
  <si>
    <t>3,002.50</t>
  </si>
  <si>
    <t>3,014.80</t>
  </si>
  <si>
    <t>3,005.00</t>
  </si>
  <si>
    <t>3,021.60</t>
  </si>
  <si>
    <t>2,992.70</t>
  </si>
  <si>
    <t>3,001.50</t>
  </si>
  <si>
    <t>2,982.95</t>
  </si>
  <si>
    <t>3,003.90</t>
  </si>
  <si>
    <t>3,043.25</t>
  </si>
  <si>
    <t>2,987.35</t>
  </si>
  <si>
    <t>3,010.80</t>
  </si>
  <si>
    <t>3,068.55</t>
  </si>
  <si>
    <t>3,047.20</t>
  </si>
  <si>
    <t>3,060.30</t>
  </si>
  <si>
    <t>3,018.70</t>
  </si>
  <si>
    <t>3,042.20</t>
  </si>
  <si>
    <t>2,949.90</t>
  </si>
  <si>
    <t>2,956.25</t>
  </si>
  <si>
    <t>2,950.60</t>
  </si>
  <si>
    <t>2,943.55</t>
  </si>
  <si>
    <t>2,926.25</t>
  </si>
  <si>
    <t>2,933.10</t>
  </si>
  <si>
    <t>2,924.90</t>
  </si>
  <si>
    <t>2,935.35</t>
  </si>
  <si>
    <t>2,903.70</t>
  </si>
  <si>
    <t>2,931.00</t>
  </si>
  <si>
    <t>2,977.50</t>
  </si>
  <si>
    <t>2,940.70</t>
  </si>
  <si>
    <t>2,949.35</t>
  </si>
  <si>
    <t>2,941.60</t>
  </si>
  <si>
    <t>2,914.40</t>
  </si>
  <si>
    <t>2,819.20</t>
  </si>
  <si>
    <t>2,832.50</t>
  </si>
  <si>
    <t>2,794.10</t>
  </si>
  <si>
    <t>2,815.85</t>
  </si>
  <si>
    <t>2,821.80</t>
  </si>
  <si>
    <t>2,782.75</t>
  </si>
  <si>
    <t>2,774.50</t>
  </si>
  <si>
    <t>2,556.20</t>
  </si>
  <si>
    <t>2,556.25</t>
  </si>
  <si>
    <t>2,556.95</t>
  </si>
  <si>
    <t>2,551.65</t>
  </si>
  <si>
    <t>2,549.05</t>
  </si>
  <si>
    <t>2,567.65</t>
  </si>
  <si>
    <t>2,587.15</t>
  </si>
  <si>
    <t>2,582.15</t>
  </si>
  <si>
    <t>2,536.40</t>
  </si>
  <si>
    <t>2,613.45</t>
  </si>
  <si>
    <t>2,614.55</t>
  </si>
  <si>
    <t>2,574.35</t>
  </si>
  <si>
    <t>2,557.90</t>
  </si>
  <si>
    <t>2,517.95</t>
  </si>
  <si>
    <t>2,511.25</t>
  </si>
  <si>
    <t>2,553.65</t>
  </si>
  <si>
    <t>2,571.90</t>
  </si>
  <si>
    <t>2,663.70</t>
  </si>
  <si>
    <t>2,587.70</t>
  </si>
  <si>
    <t>2,570.70</t>
  </si>
  <si>
    <t>2,602.20</t>
  </si>
  <si>
    <t>2,630.80</t>
  </si>
  <si>
    <t>2,650.65</t>
  </si>
  <si>
    <t>2,628.60</t>
  </si>
  <si>
    <t>2,611.60</t>
  </si>
  <si>
    <t>2,510.65</t>
  </si>
  <si>
    <t>749.55</t>
  </si>
  <si>
    <t>710.80</t>
  </si>
  <si>
    <t>730.80</t>
  </si>
  <si>
    <t>765.85</t>
  </si>
  <si>
    <t>729.95</t>
  </si>
  <si>
    <t>712.95</t>
  </si>
  <si>
    <t>743.75</t>
  </si>
  <si>
    <t>744.40</t>
  </si>
  <si>
    <t>768.45</t>
  </si>
  <si>
    <t>757.60</t>
  </si>
  <si>
    <t>757.70</t>
  </si>
  <si>
    <t>786.85</t>
  </si>
  <si>
    <t>818.05</t>
  </si>
  <si>
    <t>823.45</t>
  </si>
  <si>
    <t>839.60</t>
  </si>
  <si>
    <t>838.30</t>
  </si>
  <si>
    <t>873.50</t>
  </si>
  <si>
    <t>900.30</t>
  </si>
  <si>
    <t>908.30</t>
  </si>
  <si>
    <t>918.25</t>
  </si>
  <si>
    <t>936.80</t>
  </si>
  <si>
    <t>947.50</t>
  </si>
  <si>
    <t>947.90</t>
  </si>
  <si>
    <t>948.30</t>
  </si>
  <si>
    <t>950.90</t>
  </si>
  <si>
    <t>944.00</t>
  </si>
  <si>
    <t>965.50</t>
  </si>
  <si>
    <t>974.50</t>
  </si>
  <si>
    <t>978.00</t>
  </si>
  <si>
    <t>987.40</t>
  </si>
  <si>
    <t>973.10</t>
  </si>
  <si>
    <t>997.40</t>
  </si>
  <si>
    <t>1,009.10</t>
  </si>
  <si>
    <t>1,031.40</t>
  </si>
  <si>
    <t>1,039.80</t>
  </si>
  <si>
    <t>1,008.90</t>
  </si>
  <si>
    <t>1,011.50</t>
  </si>
  <si>
    <t>1,024.10</t>
  </si>
  <si>
    <t>1,029.90</t>
  </si>
  <si>
    <t>1,032.40</t>
  </si>
  <si>
    <t>1,031.60</t>
  </si>
  <si>
    <t>1,044.40</t>
  </si>
  <si>
    <t>1,035.90</t>
  </si>
  <si>
    <t>1,059.70</t>
  </si>
  <si>
    <t>1,054.90</t>
  </si>
  <si>
    <t>1,047.50</t>
  </si>
  <si>
    <t>1,093.50</t>
  </si>
  <si>
    <t>1,101.00</t>
  </si>
  <si>
    <t>1,139.60</t>
  </si>
  <si>
    <t>1,161.00</t>
  </si>
  <si>
    <t>1,236.40</t>
  </si>
  <si>
    <t>1,200.10</t>
  </si>
  <si>
    <t>1,223.10</t>
  </si>
  <si>
    <t>1,197.50</t>
  </si>
  <si>
    <t>1,200.30</t>
  </si>
  <si>
    <t>1,221.00</t>
  </si>
  <si>
    <t>1,221.90</t>
  </si>
  <si>
    <t>1,190.50</t>
  </si>
  <si>
    <t>1,184.80</t>
  </si>
  <si>
    <t>1,171.20</t>
  </si>
  <si>
    <t>1,187.00</t>
  </si>
  <si>
    <t>1,143.80</t>
  </si>
  <si>
    <t>1,122.50</t>
  </si>
  <si>
    <t>1,126.90</t>
  </si>
  <si>
    <t>1,127.50</t>
  </si>
  <si>
    <t>1,153.90</t>
  </si>
  <si>
    <t>1,169.20</t>
  </si>
  <si>
    <t>1,180.20</t>
  </si>
  <si>
    <t>1,188.60</t>
  </si>
  <si>
    <t>1,178.70</t>
  </si>
  <si>
    <t>1,198.20</t>
  </si>
  <si>
    <t>1,219.10</t>
  </si>
  <si>
    <t>1,243.40</t>
  </si>
  <si>
    <t>1,233.90</t>
  </si>
  <si>
    <t>1,232.10</t>
  </si>
  <si>
    <t>1,226.60</t>
  </si>
  <si>
    <t>1,200.90</t>
  </si>
  <si>
    <t>1,203.80</t>
  </si>
  <si>
    <t>1,235.50</t>
  </si>
  <si>
    <t>1,300.00</t>
  </si>
  <si>
    <t>1,285.60</t>
  </si>
  <si>
    <t>1,279.10</t>
  </si>
  <si>
    <t>1,286.30</t>
  </si>
  <si>
    <t>1,283.65</t>
  </si>
  <si>
    <t>1,280.85</t>
  </si>
  <si>
    <t>1,306.65</t>
  </si>
  <si>
    <t>1,276.50</t>
  </si>
  <si>
    <t>1,276.35</t>
  </si>
  <si>
    <t>1,281.20</t>
  </si>
  <si>
    <t>1,306.90</t>
  </si>
  <si>
    <t>1,293.55</t>
  </si>
  <si>
    <t>1,326.00</t>
  </si>
  <si>
    <t>1,321.30</t>
  </si>
  <si>
    <t>1,298.80</t>
  </si>
  <si>
    <t>1,290.40</t>
  </si>
  <si>
    <t>1,232.50</t>
  </si>
  <si>
    <t>1,202.55</t>
  </si>
  <si>
    <t>1,155.35</t>
  </si>
  <si>
    <t>1,004.10</t>
  </si>
  <si>
    <t>990.80</t>
  </si>
  <si>
    <t>995.20</t>
  </si>
  <si>
    <t>1,003.95</t>
  </si>
  <si>
    <t>999.90</t>
  </si>
  <si>
    <t>1,011.10</t>
  </si>
  <si>
    <t>1,013.70</t>
  </si>
  <si>
    <t>1,005.00</t>
  </si>
  <si>
    <t>1,010.40</t>
  </si>
  <si>
    <t>1,032.60</t>
  </si>
  <si>
    <t>1,038.40</t>
  </si>
  <si>
    <t>1,039.00</t>
  </si>
  <si>
    <t>1,020.10</t>
  </si>
  <si>
    <t>1,028.60</t>
  </si>
  <si>
    <t>1,030.90</t>
  </si>
  <si>
    <t>1,021.40</t>
  </si>
  <si>
    <t>1,042.60</t>
  </si>
  <si>
    <t>1,041.40</t>
  </si>
  <si>
    <t>1,051.40</t>
  </si>
  <si>
    <t>1,049.00</t>
  </si>
  <si>
    <t>1,043.30</t>
  </si>
  <si>
    <t>1,057.70</t>
  </si>
  <si>
    <t>1,081.20</t>
  </si>
  <si>
    <t>1,084.10</t>
  </si>
  <si>
    <t>1,072.60</t>
  </si>
  <si>
    <t>1,052.20</t>
  </si>
  <si>
    <t>1,069.50</t>
  </si>
  <si>
    <t>1,090.60</t>
  </si>
  <si>
    <t>1,098.30</t>
  </si>
  <si>
    <t>1,099.70</t>
  </si>
  <si>
    <t>1,098.50</t>
  </si>
  <si>
    <t>1,100.40</t>
  </si>
  <si>
    <t>1,123.00</t>
  </si>
  <si>
    <t>1,124.90</t>
  </si>
  <si>
    <t>1,127.60</t>
  </si>
  <si>
    <t>1,135.30</t>
  </si>
  <si>
    <t>1,132.40</t>
  </si>
  <si>
    <t>1,146.50</t>
  </si>
  <si>
    <t>1,143.50</t>
  </si>
  <si>
    <t>1,131.60</t>
  </si>
  <si>
    <t>1,127.70</t>
  </si>
  <si>
    <t>1,141.60</t>
  </si>
  <si>
    <t>1,145.40</t>
  </si>
  <si>
    <t>1,152.80</t>
  </si>
  <si>
    <t>1,142.90</t>
  </si>
  <si>
    <t>1,120.70</t>
  </si>
  <si>
    <t>1,098.00</t>
  </si>
  <si>
    <t>1,097.30</t>
  </si>
  <si>
    <t>1,103.80</t>
  </si>
  <si>
    <t>1,126.40</t>
  </si>
  <si>
    <t>1,133.50</t>
  </si>
  <si>
    <t>1,139.10</t>
  </si>
  <si>
    <t>1,161.20</t>
  </si>
  <si>
    <t>1,171.40</t>
  </si>
  <si>
    <t>1,140.10</t>
  </si>
  <si>
    <t>1,107.20</t>
  </si>
  <si>
    <t>1,099.20</t>
  </si>
  <si>
    <t>1,099.10</t>
  </si>
  <si>
    <t>1,078.80</t>
  </si>
  <si>
    <t>1,152.40</t>
  </si>
  <si>
    <t>1,210.10</t>
  </si>
  <si>
    <t>1,218.20</t>
  </si>
  <si>
    <t>1,205.00</t>
  </si>
  <si>
    <t>1,194.00</t>
  </si>
  <si>
    <t>1,204.60</t>
  </si>
  <si>
    <t>1,200.00</t>
  </si>
  <si>
    <t>1,202.80</t>
  </si>
  <si>
    <t>1,209.40</t>
  </si>
  <si>
    <t>1,142.40</t>
  </si>
  <si>
    <t>1,140.40</t>
  </si>
  <si>
    <t>1,180.10</t>
  </si>
  <si>
    <t>1,200.40</t>
  </si>
  <si>
    <t>1,200.20</t>
  </si>
  <si>
    <t>1,201.10</t>
  </si>
  <si>
    <t>1,202.20</t>
  </si>
  <si>
    <t>1,200.60</t>
  </si>
  <si>
    <t>1,200.50</t>
  </si>
  <si>
    <t>1,200.80</t>
  </si>
  <si>
    <t>1,199.50</t>
  </si>
  <si>
    <t>1,201.30</t>
  </si>
  <si>
    <t>1,193.70</t>
  </si>
  <si>
    <t>1,180.50</t>
  </si>
  <si>
    <t>1,162.20</t>
  </si>
  <si>
    <t>1,161.10</t>
  </si>
  <si>
    <t>1,165.90</t>
  </si>
  <si>
    <t>1,175.10</t>
  </si>
  <si>
    <t>1,162.80</t>
  </si>
  <si>
    <t>1,121.00</t>
  </si>
  <si>
    <t>1,120.60</t>
  </si>
  <si>
    <t>1,101.20</t>
  </si>
  <si>
    <t>1,057.80</t>
  </si>
  <si>
    <t>1,075.30</t>
  </si>
  <si>
    <t>1,094.60</t>
  </si>
  <si>
    <t>1,115.20</t>
  </si>
  <si>
    <t>1,128.70</t>
  </si>
  <si>
    <t>1,121.10</t>
  </si>
  <si>
    <t>1,084.60</t>
  </si>
  <si>
    <t>1,074.90</t>
  </si>
  <si>
    <t>1,056.80</t>
  </si>
  <si>
    <t>1,070.90</t>
  </si>
  <si>
    <t>1,079.45</t>
  </si>
  <si>
    <t>1,056.95</t>
  </si>
  <si>
    <t>1,062.65</t>
  </si>
  <si>
    <t>1,060.95</t>
  </si>
  <si>
    <t>1,045.45</t>
  </si>
  <si>
    <t>1,031.80</t>
  </si>
  <si>
    <t>1,011.90</t>
  </si>
  <si>
    <t>1,019.70</t>
  </si>
  <si>
    <t>1,013.05</t>
  </si>
  <si>
    <t>1,037.05</t>
  </si>
  <si>
    <t>1,028.20</t>
  </si>
  <si>
    <t>1,003.90</t>
  </si>
  <si>
    <t>985.15</t>
  </si>
  <si>
    <t>990.45</t>
  </si>
  <si>
    <t>984.10</t>
  </si>
  <si>
    <t>950.35</t>
  </si>
  <si>
    <t>966.60</t>
  </si>
  <si>
    <t>980.30</t>
  </si>
  <si>
    <t>971.30</t>
  </si>
  <si>
    <t>997.10</t>
  </si>
  <si>
    <t>988.40</t>
  </si>
  <si>
    <t>974.75</t>
  </si>
  <si>
    <t>994.55</t>
  </si>
  <si>
    <t>998.10</t>
  </si>
  <si>
    <t>1,005.55</t>
  </si>
  <si>
    <t>1,035.60</t>
  </si>
  <si>
    <t>1,050.30</t>
  </si>
  <si>
    <t>1,042.00</t>
  </si>
  <si>
    <t>1,025.85</t>
  </si>
  <si>
    <t>1,017.45</t>
  </si>
  <si>
    <t>1,023.60</t>
  </si>
  <si>
    <t>1,001.70</t>
  </si>
  <si>
    <t>985.70</t>
  </si>
  <si>
    <t>982.50</t>
  </si>
  <si>
    <t>970.55</t>
  </si>
  <si>
    <t>930.00</t>
  </si>
  <si>
    <t>963.20</t>
  </si>
  <si>
    <t>980.55</t>
  </si>
  <si>
    <t>987.35</t>
  </si>
  <si>
    <t>971.15</t>
  </si>
  <si>
    <t>942.70</t>
  </si>
  <si>
    <t>944.45</t>
  </si>
  <si>
    <t>967.40</t>
  </si>
  <si>
    <t>987.15</t>
  </si>
  <si>
    <t>1,001.25</t>
  </si>
  <si>
    <t>994.45</t>
  </si>
  <si>
    <t>1,003.20</t>
  </si>
  <si>
    <t>998.15</t>
  </si>
  <si>
    <t>999.85</t>
  </si>
  <si>
    <t>979.50</t>
  </si>
  <si>
    <t>990.25</t>
  </si>
  <si>
    <t>1,004.05</t>
  </si>
  <si>
    <t>1,036.00</t>
  </si>
  <si>
    <t>1,028.10</t>
  </si>
  <si>
    <t>1,063.50</t>
  </si>
  <si>
    <t>1,031.45</t>
  </si>
  <si>
    <t>1,020.45</t>
  </si>
  <si>
    <t>988.20</t>
  </si>
  <si>
    <t>977.40</t>
  </si>
  <si>
    <t>1,019.85</t>
  </si>
  <si>
    <t>1,064.60</t>
  </si>
  <si>
    <t>1,074.25</t>
  </si>
  <si>
    <t>1,078.15</t>
  </si>
  <si>
    <t>1,079.40</t>
  </si>
  <si>
    <t>1,069.75</t>
  </si>
  <si>
    <t>1,060.55</t>
  </si>
  <si>
    <t>1,077.15</t>
  </si>
  <si>
    <t>1,085.75</t>
  </si>
  <si>
    <t>1,105.00</t>
  </si>
  <si>
    <t>1,135.95</t>
  </si>
  <si>
    <t>1,241.40</t>
  </si>
  <si>
    <t>1,255.20</t>
  </si>
  <si>
    <t>1,274.75</t>
  </si>
  <si>
    <t>1,269.10</t>
  </si>
  <si>
    <t>1,281.70</t>
  </si>
  <si>
    <t>1,263.85</t>
  </si>
  <si>
    <t>1,278.05</t>
  </si>
  <si>
    <t>1,267.20</t>
  </si>
  <si>
    <t>1,256.00</t>
  </si>
  <si>
    <t>1,211.00</t>
  </si>
  <si>
    <t>1,195.25</t>
  </si>
  <si>
    <t>1,196.25</t>
  </si>
  <si>
    <t>1,227.15</t>
  </si>
  <si>
    <t>1,259.55</t>
  </si>
  <si>
    <t>1,249.35</t>
  </si>
  <si>
    <t>1,247.95</t>
  </si>
  <si>
    <t>1,251.95</t>
  </si>
  <si>
    <t>1,228.30</t>
  </si>
  <si>
    <t>1,250.10</t>
  </si>
  <si>
    <t>1,254.85</t>
  </si>
  <si>
    <t>1,251.65</t>
  </si>
  <si>
    <t>1,287.80</t>
  </si>
  <si>
    <t>1,326.85</t>
  </si>
  <si>
    <t>1,327.35</t>
  </si>
  <si>
    <t>1,356.75</t>
  </si>
  <si>
    <t>1,341.05</t>
  </si>
  <si>
    <t>1,395.75</t>
  </si>
  <si>
    <t>1,411.30</t>
  </si>
  <si>
    <t>1,384.10</t>
  </si>
  <si>
    <t>1,402.05</t>
  </si>
  <si>
    <t>1,420.70</t>
  </si>
  <si>
    <t>1,333.90</t>
  </si>
  <si>
    <t>1,349.80</t>
  </si>
  <si>
    <t>1,360.10</t>
  </si>
  <si>
    <t>1,369.55</t>
  </si>
  <si>
    <t>1,408.95</t>
  </si>
  <si>
    <t>1,449.85</t>
  </si>
  <si>
    <t>1,434.80</t>
  </si>
  <si>
    <t>1,461.45</t>
  </si>
  <si>
    <t>1,485.40</t>
  </si>
  <si>
    <t>1,430.45</t>
  </si>
  <si>
    <t>1,456.55</t>
  </si>
  <si>
    <t>1,474.05</t>
  </si>
  <si>
    <t>1,460.85</t>
  </si>
  <si>
    <t>1,415.50</t>
  </si>
  <si>
    <t>1,433.90</t>
  </si>
  <si>
    <t>1,432.10</t>
  </si>
  <si>
    <t>1,442.50</t>
  </si>
  <si>
    <t>1,430.80</t>
  </si>
  <si>
    <t>1,402.75</t>
  </si>
  <si>
    <t>1,433.55</t>
  </si>
  <si>
    <t>1,430.75</t>
  </si>
  <si>
    <t>1,459.15</t>
  </si>
  <si>
    <t>1,485.20</t>
  </si>
  <si>
    <t>1,472.75</t>
  </si>
  <si>
    <t>1,502.80</t>
  </si>
  <si>
    <t>1,494.50</t>
  </si>
  <si>
    <t>1,500.80</t>
  </si>
  <si>
    <t>1,502.45</t>
  </si>
  <si>
    <t>1,500.15</t>
  </si>
  <si>
    <t>1,500.40</t>
  </si>
  <si>
    <t>1,499.10</t>
  </si>
  <si>
    <t>1,486.15</t>
  </si>
  <si>
    <t>1,534.45</t>
  </si>
  <si>
    <t>1,628.15</t>
  </si>
  <si>
    <t>1,639.35</t>
  </si>
  <si>
    <t>1,622.20</t>
  </si>
  <si>
    <t>1,650.35</t>
  </si>
  <si>
    <t>1,676.35</t>
  </si>
  <si>
    <t>1,645.40</t>
  </si>
  <si>
    <t>1,617.20</t>
  </si>
  <si>
    <t>1,683.00</t>
  </si>
  <si>
    <t>1,642.95</t>
  </si>
  <si>
    <t>1,601.45</t>
  </si>
  <si>
    <t>1,661.80</t>
  </si>
  <si>
    <t>1,646.70</t>
  </si>
  <si>
    <t>1,642.55</t>
  </si>
  <si>
    <t>1,654.15</t>
  </si>
  <si>
    <t>1,566.90</t>
  </si>
  <si>
    <t>1,561.50</t>
  </si>
  <si>
    <t>1,573.10</t>
  </si>
  <si>
    <t>1,504.65</t>
  </si>
  <si>
    <t>1,476.85</t>
  </si>
  <si>
    <t>1,481.90</t>
  </si>
  <si>
    <t>1,468.55</t>
  </si>
  <si>
    <t>1,464.85</t>
  </si>
  <si>
    <t>1,469.70</t>
  </si>
  <si>
    <t>1,432.75</t>
  </si>
  <si>
    <t>1,460.45</t>
  </si>
  <si>
    <t>1,490.60</t>
  </si>
  <si>
    <t>1,506.05</t>
  </si>
  <si>
    <t>1,459.20</t>
  </si>
  <si>
    <t>1,471.50</t>
  </si>
  <si>
    <t>1,480.25</t>
  </si>
  <si>
    <t>1,474.35</t>
  </si>
  <si>
    <t>1,482.05</t>
  </si>
  <si>
    <t>1,481.30</t>
  </si>
  <si>
    <t>1,434.50</t>
  </si>
  <si>
    <t>1,473.65</t>
  </si>
  <si>
    <t>1,499.55</t>
  </si>
  <si>
    <t>1,505.10</t>
  </si>
  <si>
    <t>1,502.15</t>
  </si>
  <si>
    <t>1,498.15</t>
  </si>
  <si>
    <t>1,498.00</t>
  </si>
  <si>
    <t>1,503.05</t>
  </si>
  <si>
    <t>1,479.05</t>
  </si>
  <si>
    <t>1,479.35</t>
  </si>
  <si>
    <t>1,540.55</t>
  </si>
  <si>
    <t>1,539.75</t>
  </si>
  <si>
    <t>1,449.45</t>
  </si>
  <si>
    <t>1,449.20</t>
  </si>
  <si>
    <t>1,450.50</t>
  </si>
  <si>
    <t>1,437.05</t>
  </si>
  <si>
    <t>1,457.75</t>
  </si>
  <si>
    <t>1,453.30</t>
  </si>
  <si>
    <t>1,453.45</t>
  </si>
  <si>
    <t>1,449.40</t>
  </si>
  <si>
    <t>1,470.05</t>
  </si>
  <si>
    <t>1,469.45</t>
  </si>
  <si>
    <t>1,454.30</t>
  </si>
  <si>
    <t>1,446.50</t>
  </si>
  <si>
    <t>1,435.35</t>
  </si>
  <si>
    <t>1,436.85</t>
  </si>
  <si>
    <t>1,432.15</t>
  </si>
  <si>
    <t>1,432.65</t>
  </si>
  <si>
    <t>1,422.45</t>
  </si>
  <si>
    <t>1,437.00</t>
  </si>
  <si>
    <t>1,478.20</t>
  </si>
  <si>
    <t>1,474.00</t>
  </si>
  <si>
    <t>1,481.00</t>
  </si>
  <si>
    <t>1,502.70</t>
  </si>
  <si>
    <t>1,498.95</t>
  </si>
  <si>
    <t>1,494.60</t>
  </si>
  <si>
    <t>1,485.15</t>
  </si>
  <si>
    <t>1,491.95</t>
  </si>
  <si>
    <t>1,477.70</t>
  </si>
  <si>
    <t>1,511.20</t>
  </si>
  <si>
    <t>1,496.75</t>
  </si>
  <si>
    <t>1,469.30</t>
  </si>
  <si>
    <t>1,452.80</t>
  </si>
  <si>
    <t>1,492.45</t>
  </si>
  <si>
    <t>1,493.45</t>
  </si>
  <si>
    <t>1,492.15</t>
  </si>
  <si>
    <t>1,520.85</t>
  </si>
  <si>
    <t>1,557.00</t>
  </si>
  <si>
    <t>1,538.20</t>
  </si>
  <si>
    <t>1,390.10</t>
  </si>
  <si>
    <t>1,388.45</t>
  </si>
  <si>
    <t>1,399.90</t>
  </si>
  <si>
    <t>1,380.70</t>
  </si>
  <si>
    <t>1,387.60</t>
  </si>
  <si>
    <t>1,391.05</t>
  </si>
  <si>
    <t>1,400.10</t>
  </si>
  <si>
    <t>1,373.00</t>
  </si>
  <si>
    <t>1,362.40</t>
  </si>
  <si>
    <t>1,373.40</t>
  </si>
  <si>
    <t>1,375.80</t>
  </si>
  <si>
    <t>1,370.15</t>
  </si>
  <si>
    <t>1,363.10</t>
  </si>
  <si>
    <t>1,365.95</t>
  </si>
  <si>
    <t>1,363.90</t>
  </si>
  <si>
    <t>1,360.35</t>
  </si>
  <si>
    <t>1,374.90</t>
  </si>
  <si>
    <t>1,368.50</t>
  </si>
  <si>
    <t>1,367.95</t>
  </si>
  <si>
    <t>1,367.75</t>
  </si>
  <si>
    <t>1,368.20</t>
  </si>
  <si>
    <t>1,365.65</t>
  </si>
  <si>
    <t>1,364.90</t>
  </si>
  <si>
    <t>1,351.70</t>
  </si>
  <si>
    <t>1,306.40</t>
  </si>
  <si>
    <t>1,351.90</t>
  </si>
  <si>
    <t>1,340.30</t>
  </si>
  <si>
    <t>1,357.70</t>
  </si>
  <si>
    <t>1,369.20</t>
  </si>
  <si>
    <t>1,385.00</t>
  </si>
  <si>
    <t>1,382.45</t>
  </si>
  <si>
    <t>1,356.40</t>
  </si>
  <si>
    <t>1,386.90</t>
  </si>
  <si>
    <t>1,431.35</t>
  </si>
  <si>
    <t>1,424.10</t>
  </si>
  <si>
    <t>1,370.00</t>
  </si>
  <si>
    <t>1,355.70</t>
  </si>
  <si>
    <t>1,354.75</t>
  </si>
  <si>
    <t>1,361.90</t>
  </si>
  <si>
    <t>1,354.55</t>
  </si>
  <si>
    <t>1,374.75</t>
  </si>
  <si>
    <t>1,388.85</t>
  </si>
  <si>
    <t>1,381.60</t>
  </si>
  <si>
    <t>1,383.15</t>
  </si>
  <si>
    <t>1,380.20</t>
  </si>
  <si>
    <t>1,380.55</t>
  </si>
  <si>
    <t>1,373.95</t>
  </si>
  <si>
    <t>1,371.50</t>
  </si>
  <si>
    <t>1,325.00</t>
  </si>
  <si>
    <t>1,320.55</t>
  </si>
  <si>
    <t>1,314.70</t>
  </si>
  <si>
    <t>1,328.10</t>
  </si>
  <si>
    <t>1,322.35</t>
  </si>
  <si>
    <t>1,312.25</t>
  </si>
  <si>
    <t>1,315.65</t>
  </si>
  <si>
    <t>1,321.20</t>
  </si>
  <si>
    <t>1,329.50</t>
  </si>
  <si>
    <t>1,347.80</t>
  </si>
  <si>
    <t>1,338.75</t>
  </si>
  <si>
    <t>1,329.00</t>
  </si>
  <si>
    <t>1,365.20</t>
  </si>
  <si>
    <t>1,394.65</t>
  </si>
  <si>
    <t>1,393.00</t>
  </si>
  <si>
    <t>1,392.35</t>
  </si>
  <si>
    <t>1,344.75</t>
  </si>
  <si>
    <t>1,313.30</t>
  </si>
  <si>
    <t>1,256.60</t>
  </si>
  <si>
    <t>1,273.00</t>
  </si>
  <si>
    <t>1,284.35</t>
  </si>
  <si>
    <t>1,317.80</t>
  </si>
  <si>
    <t>1,325.25</t>
  </si>
  <si>
    <t>1,337.10</t>
  </si>
  <si>
    <t>1,337.20</t>
  </si>
  <si>
    <t>1,341.45</t>
  </si>
  <si>
    <t>1,308.65</t>
  </si>
  <si>
    <t>1,367.85</t>
  </si>
  <si>
    <t>1,363.55</t>
  </si>
  <si>
    <t>1,374.20</t>
  </si>
  <si>
    <t>1,386.35</t>
  </si>
  <si>
    <t>1,411.00</t>
  </si>
  <si>
    <t>1,400.95</t>
  </si>
  <si>
    <t>1,398.85</t>
  </si>
  <si>
    <t>1,403.40</t>
  </si>
  <si>
    <t>1,423.40</t>
  </si>
  <si>
    <t>1,427.80</t>
  </si>
  <si>
    <t>1,443.50</t>
  </si>
  <si>
    <t>1,451.05</t>
  </si>
  <si>
    <t>1,492.05</t>
  </si>
  <si>
    <t>1,503.50</t>
  </si>
  <si>
    <t>1,511.80</t>
  </si>
  <si>
    <t>1,494.70</t>
  </si>
  <si>
    <t>1,499.60</t>
  </si>
  <si>
    <t>1,458.40</t>
  </si>
  <si>
    <t>1,474.40</t>
  </si>
  <si>
    <t>1,423.30</t>
  </si>
  <si>
    <t>1,442.30</t>
  </si>
  <si>
    <t>1,436.45</t>
  </si>
  <si>
    <t>1,407.05</t>
  </si>
  <si>
    <t>1,413.15</t>
  </si>
  <si>
    <t>1,418.90</t>
  </si>
  <si>
    <t>1,421.60</t>
  </si>
  <si>
    <t>1,443.45</t>
  </si>
  <si>
    <t>1,448.15</t>
  </si>
  <si>
    <t>1,465.40</t>
  </si>
  <si>
    <t>1,450.00</t>
  </si>
  <si>
    <t>1,431.10</t>
  </si>
  <si>
    <t>1,416.00</t>
  </si>
  <si>
    <t>1,469.25</t>
  </si>
  <si>
    <t>1,483.25</t>
  </si>
  <si>
    <t>1,482.35</t>
  </si>
  <si>
    <t>1,505.45</t>
  </si>
  <si>
    <t>1,484.55</t>
  </si>
  <si>
    <t>1,480.65</t>
  </si>
  <si>
    <t>1,490.10</t>
  </si>
  <si>
    <t>1,484.90</t>
  </si>
  <si>
    <t>1,498.75</t>
  </si>
  <si>
    <t>1,494.80</t>
  </si>
  <si>
    <t>1,490.35</t>
  </si>
  <si>
    <t>1,482.15</t>
  </si>
  <si>
    <t>1,493.20</t>
  </si>
  <si>
    <t>1,490.50</t>
  </si>
  <si>
    <t>1,487.25</t>
  </si>
  <si>
    <t>1,498.40</t>
  </si>
  <si>
    <t>1,465.60</t>
  </si>
  <si>
    <t>1,443.90</t>
  </si>
  <si>
    <t>1,441.15</t>
  </si>
  <si>
    <t>1,479.95</t>
  </si>
  <si>
    <t>1,483.05</t>
  </si>
  <si>
    <t>1,478.90</t>
  </si>
  <si>
    <t>1,464.60</t>
  </si>
  <si>
    <t>1,465.45</t>
  </si>
  <si>
    <t>1,472.65</t>
  </si>
  <si>
    <t>1,489.00</t>
  </si>
  <si>
    <t>1,491.20</t>
  </si>
  <si>
    <t>1,495.15</t>
  </si>
  <si>
    <t>1,514.30</t>
  </si>
  <si>
    <t>1,516.10</t>
  </si>
  <si>
    <t>1,497.75</t>
  </si>
  <si>
    <t>1,488.65</t>
  </si>
  <si>
    <t>1,486.75</t>
  </si>
  <si>
    <t>1,499.40</t>
  </si>
  <si>
    <t>1,482.50</t>
  </si>
  <si>
    <t>1,472.25</t>
  </si>
  <si>
    <t>1,505.05</t>
  </si>
  <si>
    <t>1,537.05</t>
  </si>
  <si>
    <t>1,539.65</t>
  </si>
  <si>
    <t>1,474.50</t>
  </si>
  <si>
    <t>1,479.75</t>
  </si>
  <si>
    <t>1,516.85</t>
  </si>
  <si>
    <t>1,530.40</t>
  </si>
  <si>
    <t>1,502.95</t>
  </si>
  <si>
    <t>1,467.95</t>
  </si>
  <si>
    <t>1,429.10</t>
  </si>
  <si>
    <t>1,427.45</t>
  </si>
  <si>
    <t>1,421.05</t>
  </si>
  <si>
    <t>1,464.10</t>
  </si>
  <si>
    <t>1,432.00</t>
  </si>
  <si>
    <t>1,423.25</t>
  </si>
  <si>
    <t>1,400.00</t>
  </si>
  <si>
    <t>1,411.80</t>
  </si>
  <si>
    <t>1,392.75</t>
  </si>
  <si>
    <t>1,366.95</t>
  </si>
  <si>
    <t>1,458.60</t>
  </si>
  <si>
    <t>1,460.35</t>
  </si>
  <si>
    <t>1,458.55</t>
  </si>
  <si>
    <t>1,470.10</t>
  </si>
  <si>
    <t>1,463.15</t>
  </si>
  <si>
    <t>1,455.40</t>
  </si>
  <si>
    <t>1,452.40</t>
  </si>
  <si>
    <t>1,445.30</t>
  </si>
  <si>
    <t>1,466.15</t>
  </si>
  <si>
    <t>1,467.50</t>
  </si>
  <si>
    <t>1,506.45</t>
  </si>
  <si>
    <t>1,503.00</t>
  </si>
  <si>
    <t>1,492.75</t>
  </si>
  <si>
    <t>1,518.85</t>
  </si>
  <si>
    <t>1,485.80</t>
  </si>
  <si>
    <t>1,485.30</t>
  </si>
  <si>
    <t>1,502.05</t>
  </si>
  <si>
    <t>1,515.65</t>
  </si>
  <si>
    <t>1,538.55</t>
  </si>
  <si>
    <t>1,549.15</t>
  </si>
  <si>
    <t>1,540.75</t>
  </si>
  <si>
    <t>1,535.35</t>
  </si>
  <si>
    <t>1,533.25</t>
  </si>
  <si>
    <t>1,535.15</t>
  </si>
  <si>
    <t>1,545.35</t>
  </si>
  <si>
    <t>1,527.35</t>
  </si>
  <si>
    <t>1,527.15</t>
  </si>
  <si>
    <t>1,580.60</t>
  </si>
  <si>
    <t>1,580.80</t>
  </si>
  <si>
    <t>1,587.35</t>
  </si>
  <si>
    <t>1,589.10</t>
  </si>
  <si>
    <t>1,586.40</t>
  </si>
  <si>
    <t>1,587.40</t>
  </si>
  <si>
    <t>1,583.20</t>
  </si>
  <si>
    <t>1,570.30</t>
  </si>
  <si>
    <t>1,574.05</t>
  </si>
  <si>
    <t>1,553.15</t>
  </si>
  <si>
    <t>1,513.85</t>
  </si>
  <si>
    <t>1,515.55</t>
  </si>
  <si>
    <t>1,531.90</t>
  </si>
  <si>
    <t>1,530.05</t>
  </si>
  <si>
    <t>1,523.95</t>
  </si>
  <si>
    <t>1,523.60</t>
  </si>
  <si>
    <t>1,498.05</t>
  </si>
  <si>
    <t>1,529.45</t>
  </si>
  <si>
    <t>1,551.50</t>
  </si>
  <si>
    <t>1,518.60</t>
  </si>
  <si>
    <t>1,544.85</t>
  </si>
  <si>
    <t>1,567.65</t>
  </si>
  <si>
    <t>1,599.30</t>
  </si>
  <si>
    <t>1,582.70</t>
  </si>
  <si>
    <t>1,597.15</t>
  </si>
  <si>
    <t>1,583.35</t>
  </si>
  <si>
    <t>1,541.15</t>
  </si>
  <si>
    <t>1,547.10</t>
  </si>
  <si>
    <t>1,579.50</t>
  </si>
  <si>
    <t>1,592.35</t>
  </si>
  <si>
    <t>1,575.05</t>
  </si>
  <si>
    <t>1,534.65</t>
  </si>
  <si>
    <t>1,512.65</t>
  </si>
  <si>
    <t>1,501.65</t>
  </si>
  <si>
    <t>1,493.15</t>
  </si>
  <si>
    <t>1,499.90</t>
  </si>
  <si>
    <t>1,501.70</t>
  </si>
  <si>
    <t>1,489.05</t>
  </si>
  <si>
    <t>1,491.60</t>
  </si>
  <si>
    <t>1,485.50</t>
  </si>
  <si>
    <t>1,425.70</t>
  </si>
  <si>
    <t>1,427.75</t>
  </si>
  <si>
    <t>1,434.45</t>
  </si>
  <si>
    <t>1,441.20</t>
  </si>
  <si>
    <t>1,439.75</t>
  </si>
  <si>
    <t>1,448.45</t>
  </si>
  <si>
    <t>1,449.25</t>
  </si>
  <si>
    <t>1,428.25</t>
  </si>
  <si>
    <t>1,436.25</t>
  </si>
  <si>
    <t>1,438.10</t>
  </si>
  <si>
    <t>1,428.90</t>
  </si>
  <si>
    <t>1,425.00</t>
  </si>
  <si>
    <t>1,424.75</t>
  </si>
  <si>
    <t>1,421.20</t>
  </si>
  <si>
    <t>1,447.30</t>
  </si>
  <si>
    <t>1,429.60</t>
  </si>
  <si>
    <t>1,421.40</t>
  </si>
  <si>
    <t>1,418.05</t>
  </si>
  <si>
    <t>1,405.35</t>
  </si>
  <si>
    <t>1,421.80</t>
  </si>
  <si>
    <t>1,425.10</t>
  </si>
  <si>
    <t>1,420.85</t>
  </si>
  <si>
    <t>1,417.00</t>
  </si>
  <si>
    <t>1,440.35</t>
  </si>
  <si>
    <t>1,463.25</t>
  </si>
  <si>
    <t>1,466.90</t>
  </si>
  <si>
    <t>1,472.80</t>
  </si>
  <si>
    <t>1,473.40</t>
  </si>
  <si>
    <t>1,456.25</t>
  </si>
  <si>
    <t>1,466.35</t>
  </si>
  <si>
    <t>1,471.75</t>
  </si>
  <si>
    <t>1,507.40</t>
  </si>
  <si>
    <t>1,458.95</t>
  </si>
  <si>
    <t>1,429.05</t>
  </si>
  <si>
    <t>1,412.55</t>
  </si>
  <si>
    <t>1,409.15</t>
  </si>
  <si>
    <t>1,403.65</t>
  </si>
  <si>
    <t>1,410.25</t>
  </si>
  <si>
    <t>1,327.50</t>
  </si>
  <si>
    <t>1,317.35</t>
  </si>
  <si>
    <t>1,331.75</t>
  </si>
  <si>
    <t>1,301.05</t>
  </si>
  <si>
    <t>1,289.80</t>
  </si>
  <si>
    <t>1,276.30</t>
  </si>
  <si>
    <t>1,261.70</t>
  </si>
  <si>
    <t>1,275.20</t>
  </si>
  <si>
    <t>1,209.50</t>
  </si>
  <si>
    <t>1,198.45</t>
  </si>
  <si>
    <t>1,167.25</t>
  </si>
  <si>
    <t>1,157.80</t>
  </si>
  <si>
    <t>1,153.55</t>
  </si>
  <si>
    <t>1,140.15</t>
  </si>
  <si>
    <t>1,151.45</t>
  </si>
  <si>
    <t>1,155.40</t>
  </si>
  <si>
    <t>1,146.85</t>
  </si>
  <si>
    <t>1,068.05</t>
  </si>
  <si>
    <t>1,072.45</t>
  </si>
  <si>
    <t>1,074.45</t>
  </si>
  <si>
    <t>1,082.65</t>
  </si>
  <si>
    <t>1,085.85</t>
  </si>
  <si>
    <t>1,071.90</t>
  </si>
  <si>
    <t>1,071.35</t>
  </si>
  <si>
    <t>1,086.75</t>
  </si>
  <si>
    <t>1,060.20</t>
  </si>
  <si>
    <t>1,062.85</t>
  </si>
  <si>
    <t>1,008.35</t>
  </si>
  <si>
    <t>1,010.20</t>
  </si>
  <si>
    <t>984.45</t>
  </si>
  <si>
    <t>1,001.90</t>
  </si>
  <si>
    <t>1,016.90</t>
  </si>
  <si>
    <t>1,044.85</t>
  </si>
  <si>
    <t>1,043.55</t>
  </si>
  <si>
    <t>1,030.85</t>
  </si>
  <si>
    <t>1,042.65</t>
  </si>
  <si>
    <t>1,056.15</t>
  </si>
  <si>
    <t>1,011.05</t>
  </si>
  <si>
    <t>1,015.55</t>
  </si>
  <si>
    <t>1,042.45</t>
  </si>
  <si>
    <t>1,050.65</t>
  </si>
  <si>
    <t>1,047.80</t>
  </si>
  <si>
    <t>1,051.70</t>
  </si>
  <si>
    <t>1,079.50</t>
  </si>
  <si>
    <t>994.80</t>
  </si>
  <si>
    <t>994.85</t>
  </si>
  <si>
    <t>998.30</t>
  </si>
  <si>
    <t>1,001.20</t>
  </si>
  <si>
    <t>1,032.50</t>
  </si>
  <si>
    <t>1,031.70</t>
  </si>
  <si>
    <t>1,047.65</t>
  </si>
  <si>
    <t>1,080.70</t>
  </si>
  <si>
    <t>1,104.45</t>
  </si>
  <si>
    <t>1,081.00</t>
  </si>
  <si>
    <t>1,071.05</t>
  </si>
  <si>
    <t>1,119.60</t>
  </si>
  <si>
    <t>1,161.80</t>
  </si>
  <si>
    <t>1,163.90</t>
  </si>
  <si>
    <t>1,162.65</t>
  </si>
  <si>
    <t>1,140.80</t>
  </si>
  <si>
    <t>1,145.10</t>
  </si>
  <si>
    <t>1,136.10</t>
  </si>
  <si>
    <t>1,150.00</t>
  </si>
  <si>
    <t>1,156.80</t>
  </si>
  <si>
    <t>1,177.15</t>
  </si>
  <si>
    <t>1,212.95</t>
  </si>
  <si>
    <t>1,225.35</t>
  </si>
  <si>
    <t>1,229.15</t>
  </si>
  <si>
    <t>1,226.65</t>
  </si>
  <si>
    <t>1,231.10</t>
  </si>
  <si>
    <t>1,252.95</t>
  </si>
  <si>
    <t>1,259.70</t>
  </si>
  <si>
    <t>1,262.55</t>
  </si>
  <si>
    <t>1,271.65</t>
  </si>
  <si>
    <t>1,272.75</t>
  </si>
  <si>
    <t>1,274.25</t>
  </si>
  <si>
    <t>1,268.60</t>
  </si>
  <si>
    <t>1,294.25</t>
  </si>
  <si>
    <t>1,302.15</t>
  </si>
  <si>
    <t>1,299.05</t>
  </si>
  <si>
    <t>1,308.25</t>
  </si>
  <si>
    <t>1,309.80</t>
  </si>
  <si>
    <t>1,302.60</t>
  </si>
  <si>
    <t>1,284.25</t>
  </si>
  <si>
    <t>1,293.15</t>
  </si>
  <si>
    <t>1,275.05</t>
  </si>
  <si>
    <t>1,272.70</t>
  </si>
  <si>
    <t>1,252.50</t>
  </si>
  <si>
    <t>1,294.00</t>
  </si>
  <si>
    <t>1,311.20</t>
  </si>
  <si>
    <t>1,320.80</t>
  </si>
  <si>
    <t>1,322.10</t>
  </si>
  <si>
    <t>1,319.10</t>
  </si>
  <si>
    <t>1,322.80</t>
  </si>
  <si>
    <t>1,345.90</t>
  </si>
  <si>
    <t>1,337.75</t>
  </si>
  <si>
    <t>1,326.45</t>
  </si>
  <si>
    <t>1,331.70</t>
  </si>
  <si>
    <t>1,329.80</t>
  </si>
  <si>
    <t>1,326.15</t>
  </si>
  <si>
    <t>1,332.35</t>
  </si>
  <si>
    <t>1,335.15</t>
  </si>
  <si>
    <t>1,340.55</t>
  </si>
  <si>
    <t>1,334.85</t>
  </si>
  <si>
    <t>1,342.25</t>
  </si>
  <si>
    <t>1,326.40</t>
  </si>
  <si>
    <t>1,338.80</t>
  </si>
  <si>
    <t>1,318.85</t>
  </si>
  <si>
    <t>1,323.30</t>
  </si>
  <si>
    <t>1,328.70</t>
  </si>
  <si>
    <t>1,342.70</t>
  </si>
  <si>
    <t>1,336.40</t>
  </si>
  <si>
    <t>1,345.25</t>
  </si>
  <si>
    <t>1,355.05</t>
  </si>
  <si>
    <t>1,373.70</t>
  </si>
  <si>
    <t>1,395.55</t>
  </si>
  <si>
    <t>1,439.30</t>
  </si>
  <si>
    <t>1,429.65</t>
  </si>
  <si>
    <t>1,430.95</t>
  </si>
  <si>
    <t>1,492.55</t>
  </si>
  <si>
    <t>1,542.65</t>
  </si>
  <si>
    <t>1,629.70</t>
  </si>
  <si>
    <t>1,440.10</t>
  </si>
  <si>
    <t>1,443.80</t>
  </si>
  <si>
    <t>1,430.05</t>
  </si>
  <si>
    <t>1,448.60</t>
  </si>
  <si>
    <t>1,451.55</t>
  </si>
  <si>
    <t>1,464.00</t>
  </si>
  <si>
    <t>1,418.85</t>
  </si>
  <si>
    <t>1,457.45</t>
  </si>
  <si>
    <t>1,469.05</t>
  </si>
  <si>
    <t>1,473.35</t>
  </si>
  <si>
    <t>1,482.65</t>
  </si>
  <si>
    <t>1,484.85</t>
  </si>
  <si>
    <t>1,474.65</t>
  </si>
  <si>
    <t>1,485.75</t>
  </si>
  <si>
    <t>1,481.85</t>
  </si>
  <si>
    <t>1,493.55</t>
  </si>
  <si>
    <t>1,498.80</t>
  </si>
  <si>
    <t>1,497.30</t>
  </si>
  <si>
    <t>1,490.95</t>
  </si>
  <si>
    <t>1,508.30</t>
  </si>
  <si>
    <t>1,513.45</t>
  </si>
  <si>
    <t>1,512.75</t>
  </si>
  <si>
    <t>1,508.60</t>
  </si>
  <si>
    <t>1,528.85</t>
  </si>
  <si>
    <t>1,560.50</t>
  </si>
  <si>
    <t>1,588.90</t>
  </si>
  <si>
    <t>1,606.35</t>
  </si>
  <si>
    <t>1,601.35</t>
  </si>
  <si>
    <t>1,563.95</t>
  </si>
  <si>
    <t>1,547.70</t>
  </si>
  <si>
    <t>1,553.45</t>
  </si>
  <si>
    <t>1,554.00</t>
  </si>
  <si>
    <t>1,550.80</t>
  </si>
  <si>
    <t>1,531.60</t>
  </si>
  <si>
    <t>1,519.15</t>
  </si>
  <si>
    <t>1,546.85</t>
  </si>
  <si>
    <t>1,589.60</t>
  </si>
  <si>
    <t>1,615.35</t>
  </si>
  <si>
    <t>1,679.25</t>
  </si>
  <si>
    <t>1,697.35</t>
  </si>
  <si>
    <t>1,670.40</t>
  </si>
  <si>
    <t>1,684.70</t>
  </si>
  <si>
    <t>1,681.00</t>
  </si>
  <si>
    <t>1,656.50</t>
  </si>
  <si>
    <t>1,572.15</t>
  </si>
  <si>
    <t>1,511.25</t>
  </si>
  <si>
    <t>1,517.15</t>
  </si>
  <si>
    <t>1,520.40</t>
  </si>
  <si>
    <t>1,504.85</t>
  </si>
  <si>
    <t>1,504.80</t>
  </si>
  <si>
    <t>1,520.20</t>
  </si>
  <si>
    <t>1,538.25</t>
  </si>
  <si>
    <t>1,528.45</t>
  </si>
  <si>
    <t>1,564.70</t>
  </si>
  <si>
    <t>1,582.60</t>
  </si>
  <si>
    <t>1,572.40</t>
  </si>
  <si>
    <t>1,549.45</t>
  </si>
  <si>
    <t>1,407.70</t>
  </si>
  <si>
    <t>1,391.70</t>
  </si>
  <si>
    <t>1,389.85</t>
  </si>
  <si>
    <t>1,382.80</t>
  </si>
  <si>
    <t>1,384.45</t>
  </si>
  <si>
    <t>1,391.55</t>
  </si>
  <si>
    <t>1,393.30</t>
  </si>
  <si>
    <t>1,390.70</t>
  </si>
  <si>
    <t>1,405.90</t>
  </si>
  <si>
    <t>1,407.45</t>
  </si>
  <si>
    <t>1,412.60</t>
  </si>
  <si>
    <t>1,409.10</t>
  </si>
  <si>
    <t>1,400.55</t>
  </si>
  <si>
    <t>1,409.95</t>
  </si>
  <si>
    <t>1,415.05</t>
  </si>
  <si>
    <t>1,432.25</t>
  </si>
  <si>
    <t>1,434.60</t>
  </si>
  <si>
    <t>1,433.40</t>
  </si>
  <si>
    <t>1,416.20</t>
  </si>
  <si>
    <t>1,399.85</t>
  </si>
  <si>
    <t>1,384.15</t>
  </si>
  <si>
    <t>1,395.65</t>
  </si>
  <si>
    <t>1,397.20</t>
  </si>
  <si>
    <t>1,429.85</t>
  </si>
  <si>
    <t>1,426.35</t>
  </si>
  <si>
    <t>1,427.20</t>
  </si>
  <si>
    <t>1,413.70</t>
  </si>
  <si>
    <t>1,403.25</t>
  </si>
  <si>
    <t>1,410.30</t>
  </si>
  <si>
    <t>1,430.40</t>
  </si>
  <si>
    <t>1,419.45</t>
  </si>
  <si>
    <t>1,470.50</t>
  </si>
  <si>
    <t>1,476.30</t>
  </si>
  <si>
    <t>1,506.90</t>
  </si>
  <si>
    <t>1,549.90</t>
  </si>
  <si>
    <t>1,523.45</t>
  </si>
  <si>
    <t>1,523.70</t>
  </si>
  <si>
    <t>1,522.60</t>
  </si>
  <si>
    <t>1,540.85</t>
  </si>
  <si>
    <t>1,571.50</t>
  </si>
  <si>
    <t>1,580.40</t>
  </si>
  <si>
    <t>1,567.50</t>
  </si>
  <si>
    <t>1,600.35</t>
  </si>
  <si>
    <t>1,575.25</t>
  </si>
  <si>
    <t>1,577.45</t>
  </si>
  <si>
    <t>1,563.75</t>
  </si>
  <si>
    <t>1,603.90</t>
  </si>
  <si>
    <t>1,650.40</t>
  </si>
  <si>
    <t>1,691.75</t>
  </si>
  <si>
    <t>1,620.05</t>
  </si>
  <si>
    <t>1,565.10</t>
  </si>
  <si>
    <t>1,564.05</t>
  </si>
  <si>
    <t>1,532.05</t>
  </si>
  <si>
    <t>1,496.20</t>
  </si>
  <si>
    <t>1,443.85</t>
  </si>
  <si>
    <t>1,403.10</t>
  </si>
  <si>
    <t>1,411.10</t>
  </si>
  <si>
    <t>1,477.35</t>
  </si>
  <si>
    <t>1,524.90</t>
  </si>
  <si>
    <t>1,534.55</t>
  </si>
  <si>
    <t>1,543.40</t>
  </si>
  <si>
    <t>1,556.00</t>
  </si>
  <si>
    <t>1,576.60</t>
  </si>
  <si>
    <t>1,576.50</t>
  </si>
  <si>
    <t>1,549.80</t>
  </si>
  <si>
    <t>1,556.90</t>
  </si>
  <si>
    <t>1,578.25</t>
  </si>
  <si>
    <t>1,595.15</t>
  </si>
  <si>
    <t>1,592.70</t>
  </si>
  <si>
    <t>1,633.15</t>
  </si>
  <si>
    <t>1,621.80</t>
  </si>
  <si>
    <t>1,640.95</t>
  </si>
  <si>
    <t>1,625.25</t>
  </si>
  <si>
    <t>1,673.65</t>
  </si>
  <si>
    <t>1,609.60</t>
  </si>
  <si>
    <t>1,613.40</t>
  </si>
  <si>
    <t>1,622.85</t>
  </si>
  <si>
    <t>1,616.80</t>
  </si>
  <si>
    <t>1,605.85</t>
  </si>
  <si>
    <t>1,507.65</t>
  </si>
  <si>
    <t>1,517.20</t>
  </si>
  <si>
    <t>1,531.40</t>
  </si>
  <si>
    <t>1,529.30</t>
  </si>
  <si>
    <t>1,558.95</t>
  </si>
  <si>
    <t>1,588.10</t>
  </si>
  <si>
    <t>1,578.55</t>
  </si>
  <si>
    <t>1,636.70</t>
  </si>
  <si>
    <t>1,624.90</t>
  </si>
  <si>
    <t>1,623.70</t>
  </si>
  <si>
    <t>1,634.75</t>
  </si>
  <si>
    <t>1,640.70</t>
  </si>
  <si>
    <t>1,647.70</t>
  </si>
  <si>
    <t>1,531.85</t>
  </si>
  <si>
    <t>1,492.50</t>
  </si>
  <si>
    <t>1,520.30</t>
  </si>
  <si>
    <t>1,648.10</t>
  </si>
  <si>
    <t>1,754.50</t>
  </si>
  <si>
    <t>1,747.30</t>
  </si>
  <si>
    <t>1,790.65</t>
  </si>
  <si>
    <t>1,747.50</t>
  </si>
  <si>
    <t>1,795.75</t>
  </si>
  <si>
    <t>1,796.15</t>
  </si>
  <si>
    <t>1,761.45</t>
  </si>
  <si>
    <t>1,768.70</t>
  </si>
  <si>
    <t>1,760.20</t>
  </si>
  <si>
    <t>1,787.65</t>
  </si>
  <si>
    <t>1,846.15</t>
  </si>
  <si>
    <t>1,893.45</t>
  </si>
  <si>
    <t>1,898.00</t>
  </si>
  <si>
    <t>1,933.65</t>
  </si>
  <si>
    <t>1,934.80</t>
  </si>
  <si>
    <t>1,941.40</t>
  </si>
  <si>
    <t>1,973.90</t>
  </si>
  <si>
    <t>1,977.55</t>
  </si>
  <si>
    <t>1,985.15</t>
  </si>
  <si>
    <t>1,994.00</t>
  </si>
  <si>
    <t>1,994.25</t>
  </si>
  <si>
    <t>2,022.60</t>
  </si>
  <si>
    <t>1,959.35</t>
  </si>
  <si>
    <t>1,951.80</t>
  </si>
  <si>
    <t>1,957.30</t>
  </si>
  <si>
    <t>1,924.65</t>
  </si>
  <si>
    <t>2,014.15</t>
  </si>
  <si>
    <t>2,023.35</t>
  </si>
  <si>
    <t>1,999.75</t>
  </si>
  <si>
    <t>2,058.00</t>
  </si>
  <si>
    <t>2,074.20</t>
  </si>
  <si>
    <t>2,072.10</t>
  </si>
  <si>
    <t>2,072.60</t>
  </si>
  <si>
    <t>2,065.05</t>
  </si>
  <si>
    <t>2,052.25</t>
  </si>
  <si>
    <t>2,075.15</t>
  </si>
  <si>
    <t>2,062.55</t>
  </si>
  <si>
    <t>2,046.15</t>
  </si>
  <si>
    <t>2,092.20</t>
  </si>
  <si>
    <t>2,107.10</t>
  </si>
  <si>
    <t>2,114.05</t>
  </si>
  <si>
    <t>2,130.75</t>
  </si>
  <si>
    <t>1,943.35</t>
  </si>
  <si>
    <t>1,971.05</t>
  </si>
  <si>
    <t>1,956.90</t>
  </si>
  <si>
    <t>1,940.45</t>
  </si>
  <si>
    <t>1,914.15</t>
  </si>
  <si>
    <t>1,954.10</t>
  </si>
  <si>
    <t>1,928.55</t>
  </si>
  <si>
    <t>1,933.10</t>
  </si>
  <si>
    <t>1,986.25</t>
  </si>
  <si>
    <t>2,036.80</t>
  </si>
  <si>
    <t>2,041.45</t>
  </si>
  <si>
    <t>2,053.10</t>
  </si>
  <si>
    <t>2,052.30</t>
  </si>
  <si>
    <t>2,071.75</t>
  </si>
  <si>
    <t>2,069.85</t>
  </si>
  <si>
    <t>2,059.75</t>
  </si>
  <si>
    <t>2,068.20</t>
  </si>
  <si>
    <t>2,089.00</t>
  </si>
  <si>
    <t>2,208.70</t>
  </si>
  <si>
    <t>2,222.30</t>
  </si>
  <si>
    <t>2,260.75</t>
  </si>
  <si>
    <t>2,222.40</t>
  </si>
  <si>
    <t>2,155.15</t>
  </si>
  <si>
    <t>2,234.10</t>
  </si>
  <si>
    <t>2,267.60</t>
  </si>
  <si>
    <t>2,262.45</t>
  </si>
  <si>
    <t>2,283.45</t>
  </si>
  <si>
    <t>2,319.90</t>
  </si>
  <si>
    <t>2,300.70</t>
  </si>
  <si>
    <t>2,292.35</t>
  </si>
  <si>
    <t>2,316.95</t>
  </si>
  <si>
    <t>2,283.00</t>
  </si>
  <si>
    <t>2,298.70</t>
  </si>
  <si>
    <t>2,326.30</t>
  </si>
  <si>
    <t>2,333.10</t>
  </si>
  <si>
    <t>2,346.60</t>
  </si>
  <si>
    <t>2,383.65</t>
  </si>
  <si>
    <t>2,349.85</t>
  </si>
  <si>
    <t>2,316.80</t>
  </si>
  <si>
    <t>2,343.00</t>
  </si>
  <si>
    <t>2,364.85</t>
  </si>
  <si>
    <t>2,390.35</t>
  </si>
  <si>
    <t>2,390.15</t>
  </si>
  <si>
    <t>2,413.85</t>
  </si>
  <si>
    <t>2,384.30</t>
  </si>
  <si>
    <t>2,403.00</t>
  </si>
  <si>
    <t>2,420.80</t>
  </si>
  <si>
    <t>2,448.85</t>
  </si>
  <si>
    <t>2,481.20</t>
  </si>
  <si>
    <t>2,474.50</t>
  </si>
  <si>
    <t>2,493.85</t>
  </si>
  <si>
    <t>2,508.00</t>
  </si>
  <si>
    <t>2,522.30</t>
  </si>
  <si>
    <t>2,536.75</t>
  </si>
  <si>
    <t>2,543.00</t>
  </si>
  <si>
    <t>2,533.30</t>
  </si>
  <si>
    <t>2,515.65</t>
  </si>
  <si>
    <t>2,501.35</t>
  </si>
  <si>
    <t>2,534.50</t>
  </si>
  <si>
    <t>2,545.85</t>
  </si>
  <si>
    <t>2,526.30</t>
  </si>
  <si>
    <t>2,560.25</t>
  </si>
  <si>
    <t>2,558.55</t>
  </si>
  <si>
    <t>2,523.65</t>
  </si>
  <si>
    <t>2,529.40</t>
  </si>
  <si>
    <t>2,587.85</t>
  </si>
  <si>
    <t>2,577.10</t>
  </si>
  <si>
    <t>2,593.50</t>
  </si>
  <si>
    <t>2,561.45</t>
  </si>
  <si>
    <t>2,581.05</t>
  </si>
  <si>
    <t>2,605.35</t>
  </si>
  <si>
    <t>2,576.15</t>
  </si>
  <si>
    <t>2,579.05</t>
  </si>
  <si>
    <t>2,574.80</t>
  </si>
  <si>
    <t>2,588.10</t>
  </si>
  <si>
    <t>2,590.15</t>
  </si>
  <si>
    <t>2,589.25</t>
  </si>
  <si>
    <t>2,613.60</t>
  </si>
  <si>
    <t>2,609.85</t>
  </si>
  <si>
    <t>2,626.05</t>
  </si>
  <si>
    <t>2,594.00</t>
  </si>
  <si>
    <t>2,576.50</t>
  </si>
  <si>
    <t>2,585.95</t>
  </si>
  <si>
    <t>2,560.55</t>
  </si>
  <si>
    <t>2,590.60</t>
  </si>
  <si>
    <t>2,526.05</t>
  </si>
  <si>
    <t>2,598.10</t>
  </si>
  <si>
    <t>2,579.00</t>
  </si>
  <si>
    <t>2,565.35</t>
  </si>
  <si>
    <t>2,433.00</t>
  </si>
  <si>
    <t>2,391.20</t>
  </si>
  <si>
    <t>2,411.70</t>
  </si>
  <si>
    <t>2,400.50</t>
  </si>
  <si>
    <t>2,422.15</t>
  </si>
  <si>
    <t>2,422.00</t>
  </si>
  <si>
    <t>2,417.10</t>
  </si>
  <si>
    <t>2,454.70</t>
  </si>
  <si>
    <t>2,511.90</t>
  </si>
  <si>
    <t>2,624.40</t>
  </si>
  <si>
    <t>2,606.10</t>
  </si>
  <si>
    <t>2,611.40</t>
  </si>
  <si>
    <t>2,618.65</t>
  </si>
  <si>
    <t>2,618.70</t>
  </si>
  <si>
    <t>2,605.10</t>
  </si>
  <si>
    <t>2,564.95</t>
  </si>
  <si>
    <t>2,583.55</t>
  </si>
  <si>
    <t>2,581.20</t>
  </si>
  <si>
    <t>2,594.05</t>
  </si>
  <si>
    <t>2,599.60</t>
  </si>
  <si>
    <t>2,589.35</t>
  </si>
  <si>
    <t>2,628.40</t>
  </si>
  <si>
    <t>2,595.10</t>
  </si>
  <si>
    <t>2,610.30</t>
  </si>
  <si>
    <t>2,599.10</t>
  </si>
  <si>
    <t>2,620.45</t>
  </si>
  <si>
    <t>2,537.95</t>
  </si>
  <si>
    <t>2,500.00</t>
  </si>
  <si>
    <t>2,518.95</t>
  </si>
  <si>
    <t>2,557.60</t>
  </si>
  <si>
    <t>2,517.40</t>
  </si>
  <si>
    <t>2,540.25</t>
  </si>
  <si>
    <t>2,538.50</t>
  </si>
  <si>
    <t>2,523.60</t>
  </si>
  <si>
    <t>2,515.85</t>
  </si>
  <si>
    <t>2,512.55</t>
  </si>
  <si>
    <t>2,544.30</t>
  </si>
  <si>
    <t>2,572.05</t>
  </si>
  <si>
    <t>2,518.50</t>
  </si>
  <si>
    <t>2,549.20</t>
  </si>
  <si>
    <t>2,584.10</t>
  </si>
  <si>
    <t>2,558.20</t>
  </si>
  <si>
    <t>2,572.35</t>
  </si>
  <si>
    <t>2,582.60</t>
  </si>
  <si>
    <t>2,592.55</t>
  </si>
  <si>
    <t>2,650.10</t>
  </si>
  <si>
    <t>2,677.55</t>
  </si>
  <si>
    <t>2,633.80</t>
  </si>
  <si>
    <t>2,601.40</t>
  </si>
  <si>
    <t>2,540.35</t>
  </si>
  <si>
    <t>2,513.40</t>
  </si>
  <si>
    <t>2,508.75</t>
  </si>
  <si>
    <t>2,484.00</t>
  </si>
  <si>
    <t>2,542.70</t>
  </si>
  <si>
    <t>2,540.80</t>
  </si>
  <si>
    <t>2,590.75</t>
  </si>
  <si>
    <t>2,521.35</t>
  </si>
  <si>
    <t>2,505.70</t>
  </si>
  <si>
    <t>2,544.00</t>
  </si>
  <si>
    <t>2,541.35</t>
  </si>
  <si>
    <t>2,566.05</t>
  </si>
  <si>
    <t>2,528.65</t>
  </si>
  <si>
    <t>2,470.55</t>
  </si>
  <si>
    <t>2,463.20</t>
  </si>
  <si>
    <t>2,356.35</t>
  </si>
  <si>
    <t>2,352.35</t>
  </si>
  <si>
    <t>2,486.30</t>
  </si>
  <si>
    <t>2,419.75</t>
  </si>
  <si>
    <t>2,440.90</t>
  </si>
  <si>
    <t>2,316.25</t>
  </si>
  <si>
    <t>2,320.30</t>
  </si>
  <si>
    <t>2,295.05</t>
  </si>
  <si>
    <t>2,292.50</t>
  </si>
  <si>
    <t>2,295.20</t>
  </si>
  <si>
    <t>2,336.50</t>
  </si>
  <si>
    <t>2,364.70</t>
  </si>
  <si>
    <t>2,321.50</t>
  </si>
  <si>
    <t>2,336.90</t>
  </si>
  <si>
    <t>2,315.10</t>
  </si>
  <si>
    <t>2,300.20</t>
  </si>
  <si>
    <t>2,307.55</t>
  </si>
  <si>
    <t>2,302.05</t>
  </si>
  <si>
    <t>2,317.85</t>
  </si>
  <si>
    <t>2,298.45</t>
  </si>
  <si>
    <t>2,275.95</t>
  </si>
  <si>
    <t>2,344.50</t>
  </si>
  <si>
    <t>2,379.85</t>
  </si>
  <si>
    <t>2,412.75</t>
  </si>
  <si>
    <t>2,374.40</t>
  </si>
  <si>
    <t>2,324.45</t>
  </si>
  <si>
    <t>2,871.50</t>
  </si>
  <si>
    <t>2,844.70</t>
  </si>
  <si>
    <t>2,947.50</t>
  </si>
  <si>
    <t>2,925.10</t>
  </si>
  <si>
    <t>2,852.40</t>
  </si>
  <si>
    <t>2,847.40</t>
  </si>
  <si>
    <t>2,885.10</t>
  </si>
  <si>
    <t>2,920.80</t>
  </si>
  <si>
    <t>2,895.80</t>
  </si>
  <si>
    <t>2,884.70</t>
  </si>
  <si>
    <t>2,866.00</t>
  </si>
  <si>
    <t>2,916.90</t>
  </si>
  <si>
    <t>2,880.80</t>
  </si>
  <si>
    <t>2,893.10</t>
  </si>
  <si>
    <t>2,714.50</t>
  </si>
  <si>
    <t>2,774.80</t>
  </si>
  <si>
    <t>2,835.50</t>
  </si>
  <si>
    <t>2,894.50</t>
  </si>
  <si>
    <t>2,892.90</t>
  </si>
  <si>
    <t>2,935.30</t>
  </si>
  <si>
    <t>3,028.50</t>
  </si>
  <si>
    <t>3,091.00</t>
  </si>
  <si>
    <t>3,117.80</t>
  </si>
  <si>
    <t>3,086.10</t>
  </si>
  <si>
    <t>3,054.40</t>
  </si>
  <si>
    <t>3,040.20</t>
  </si>
  <si>
    <t>3,066.30</t>
  </si>
  <si>
    <t>3,034.50</t>
  </si>
  <si>
    <t>2,950.90</t>
  </si>
  <si>
    <t>3,000.30</t>
  </si>
  <si>
    <t>3,001.10</t>
  </si>
  <si>
    <t>3,022.30</t>
  </si>
  <si>
    <t>2,918.60</t>
  </si>
  <si>
    <t>2,823.30</t>
  </si>
  <si>
    <t>2,852.80</t>
  </si>
  <si>
    <t>2,819.10</t>
  </si>
  <si>
    <t>2,724.70</t>
  </si>
  <si>
    <t>2,800.00</t>
  </si>
  <si>
    <t>2,787.00</t>
  </si>
  <si>
    <t>2,828.20</t>
  </si>
  <si>
    <t>2,901.00</t>
  </si>
  <si>
    <t>2,938.60</t>
  </si>
  <si>
    <t>2,934.60</t>
  </si>
  <si>
    <t>2,946.50</t>
  </si>
  <si>
    <t>2,972.90</t>
  </si>
  <si>
    <t>3,060.00</t>
  </si>
  <si>
    <t>3,088.80</t>
  </si>
  <si>
    <t>3,111.00</t>
  </si>
  <si>
    <t>3,102.60</t>
  </si>
  <si>
    <t>3,138.30</t>
  </si>
  <si>
    <t>3,133.90</t>
  </si>
  <si>
    <t>3,161.10</t>
  </si>
  <si>
    <t>3,171.50</t>
  </si>
  <si>
    <t>3,179.00</t>
  </si>
  <si>
    <t>3,182.80</t>
  </si>
  <si>
    <t>3,211.60</t>
  </si>
  <si>
    <t>3,185.90</t>
  </si>
  <si>
    <t>3,177.30</t>
  </si>
  <si>
    <t>3,206.20</t>
  </si>
  <si>
    <t>3,123.80</t>
  </si>
  <si>
    <t>3,136.00</t>
  </si>
  <si>
    <t>3,150.50</t>
  </si>
  <si>
    <t>3,150.40</t>
  </si>
  <si>
    <t>3,149.40</t>
  </si>
  <si>
    <t>3,112.10</t>
  </si>
  <si>
    <t>3,132.70</t>
  </si>
  <si>
    <t>3,624.00</t>
  </si>
  <si>
    <t>3,633.90</t>
  </si>
  <si>
    <t>3,601.20</t>
  </si>
  <si>
    <t>3,549.80</t>
  </si>
  <si>
    <t>3,516.50</t>
  </si>
  <si>
    <t>3,565.90</t>
  </si>
  <si>
    <t>3,489.70</t>
  </si>
  <si>
    <t>3,513.40</t>
  </si>
  <si>
    <t>3,541.70</t>
  </si>
  <si>
    <t>3,529.60</t>
  </si>
  <si>
    <t>3,482.80</t>
  </si>
  <si>
    <t>3,299.50</t>
  </si>
  <si>
    <t>3,310.80</t>
  </si>
  <si>
    <t>3,400.60</t>
  </si>
  <si>
    <t>3,418.80</t>
  </si>
  <si>
    <t>3,397.50</t>
  </si>
  <si>
    <t>3,385.00</t>
  </si>
  <si>
    <t>3,393.90</t>
  </si>
  <si>
    <t>3,371.60</t>
  </si>
  <si>
    <t>3,381.70</t>
  </si>
  <si>
    <t>3,328.00</t>
  </si>
  <si>
    <t>3,359.30</t>
  </si>
  <si>
    <t>3,350.10</t>
  </si>
  <si>
    <t>3,310.30</t>
  </si>
  <si>
    <t>3,306.30</t>
  </si>
  <si>
    <t>3,299.40</t>
  </si>
  <si>
    <t>3,262.30</t>
  </si>
  <si>
    <t>3,217.40</t>
  </si>
  <si>
    <t>3,239.60</t>
  </si>
  <si>
    <t>3,261.20</t>
  </si>
  <si>
    <t>3,241.70</t>
  </si>
  <si>
    <t>3,270.50</t>
  </si>
  <si>
    <t>3,303.80</t>
  </si>
  <si>
    <t>3,284.20</t>
  </si>
  <si>
    <t>3,249.70</t>
  </si>
  <si>
    <t>3,283.50</t>
  </si>
  <si>
    <t>3,334.10</t>
  </si>
  <si>
    <t>3,370.70</t>
  </si>
  <si>
    <t>3,350.60</t>
  </si>
  <si>
    <t>3,389.80</t>
  </si>
  <si>
    <t>3,392.20</t>
  </si>
  <si>
    <t>3,353.50</t>
  </si>
  <si>
    <t>3,344.90</t>
  </si>
  <si>
    <t>3,329.60</t>
  </si>
  <si>
    <t>3,348.10</t>
  </si>
  <si>
    <t>3,333.80</t>
  </si>
  <si>
    <t>3,312.60</t>
  </si>
  <si>
    <t>3,343.80</t>
  </si>
  <si>
    <t>3,316.20</t>
  </si>
  <si>
    <t>3,309.50</t>
  </si>
  <si>
    <t>3,291.10</t>
  </si>
  <si>
    <t>3,354.60</t>
  </si>
  <si>
    <t>3,397.70</t>
  </si>
  <si>
    <t>3,390.10</t>
  </si>
  <si>
    <t>3,392.70</t>
  </si>
  <si>
    <t>3,376.30</t>
  </si>
  <si>
    <t>3,374.80</t>
  </si>
  <si>
    <t>3,398.10</t>
  </si>
  <si>
    <t>3,379.10</t>
  </si>
  <si>
    <t>3,380.50</t>
  </si>
  <si>
    <t>3,385.40</t>
  </si>
  <si>
    <t>3,366.20</t>
  </si>
  <si>
    <t>3,363.50</t>
  </si>
  <si>
    <t>3,391.20</t>
  </si>
  <si>
    <t>3,395.50</t>
  </si>
  <si>
    <t>3,417.10</t>
  </si>
  <si>
    <t>3,382.80</t>
  </si>
  <si>
    <t>3,417.20</t>
  </si>
  <si>
    <t>3,421.80</t>
  </si>
  <si>
    <t>3,407.60</t>
  </si>
  <si>
    <t>3,410.60</t>
  </si>
  <si>
    <t>3,464.20</t>
  </si>
  <si>
    <t>3,425.40</t>
  </si>
  <si>
    <t>3,399.60</t>
  </si>
  <si>
    <t>3,398.40</t>
  </si>
  <si>
    <t>3,362.60</t>
  </si>
  <si>
    <t>3,448.10</t>
  </si>
  <si>
    <t>3,421.00</t>
  </si>
  <si>
    <t>3,431.30</t>
  </si>
  <si>
    <t>3,425.20</t>
  </si>
  <si>
    <t>3,452.80</t>
  </si>
  <si>
    <t>3,488.60</t>
  </si>
  <si>
    <t>3,469.74</t>
  </si>
  <si>
    <t>3,537.80</t>
  </si>
  <si>
    <t>3,533.49</t>
  </si>
  <si>
    <t>3,562.69</t>
  </si>
  <si>
    <t>3,635.90</t>
  </si>
  <si>
    <t>3,771.40</t>
  </si>
  <si>
    <t>3,817.80</t>
  </si>
  <si>
    <t>3,784.50</t>
  </si>
  <si>
    <t>3,760.90</t>
  </si>
  <si>
    <t>3,766.80</t>
  </si>
  <si>
    <t>3,872.50</t>
  </si>
  <si>
    <t>3,766.20</t>
  </si>
  <si>
    <t>3,826.10</t>
  </si>
  <si>
    <t>3,690.90</t>
  </si>
  <si>
    <t>3,632.60</t>
  </si>
  <si>
    <t>3,618.10</t>
  </si>
  <si>
    <t>3,505.80</t>
  </si>
  <si>
    <t>3,603.00</t>
  </si>
  <si>
    <t>3,636.20</t>
  </si>
  <si>
    <t>3,642.60</t>
  </si>
  <si>
    <t>3,601.10</t>
  </si>
  <si>
    <t>3,648.80</t>
  </si>
  <si>
    <t>3,684.60</t>
  </si>
  <si>
    <t>3,609.00</t>
  </si>
  <si>
    <t>3,441.50</t>
  </si>
  <si>
    <t>3,417.00</t>
  </si>
  <si>
    <t>3,435.00</t>
  </si>
  <si>
    <t>3,419.00</t>
  </si>
  <si>
    <t>3,415.30</t>
  </si>
  <si>
    <t>3,418.60</t>
  </si>
  <si>
    <t>3,189.30</t>
  </si>
  <si>
    <t>3,241.80</t>
  </si>
  <si>
    <t>3,230.70</t>
  </si>
  <si>
    <t>3,261.60</t>
  </si>
  <si>
    <t>3,099.50</t>
  </si>
  <si>
    <t>3,190.30</t>
  </si>
  <si>
    <t>3,235.20</t>
  </si>
  <si>
    <t>3,227.00</t>
  </si>
  <si>
    <t>3,246.60</t>
  </si>
  <si>
    <t>3,238.30</t>
  </si>
  <si>
    <t>3,228.90</t>
  </si>
  <si>
    <t>3,225.00</t>
  </si>
  <si>
    <t>3,226.90</t>
  </si>
  <si>
    <t>3,263.70</t>
  </si>
  <si>
    <t>3,239.70</t>
  </si>
  <si>
    <t>3,295.20</t>
  </si>
  <si>
    <t>3,308.20</t>
  </si>
  <si>
    <t>3,334.20</t>
  </si>
  <si>
    <t>3,309.80</t>
  </si>
  <si>
    <t>3,345.80</t>
  </si>
  <si>
    <t>3,349.70</t>
  </si>
  <si>
    <t>3,374.00</t>
  </si>
  <si>
    <t>3,423.30</t>
  </si>
  <si>
    <t>3,467.90</t>
  </si>
  <si>
    <t>3,596.00</t>
  </si>
  <si>
    <t>3,605.80</t>
  </si>
  <si>
    <t>3,601.50</t>
  </si>
  <si>
    <t>3,598.20</t>
  </si>
  <si>
    <t>3,614.80</t>
  </si>
  <si>
    <t>3,598.40</t>
  </si>
  <si>
    <t>3,477.10</t>
  </si>
  <si>
    <t>3,513.60</t>
  </si>
  <si>
    <t>3,485.20</t>
  </si>
  <si>
    <t>3,502.00</t>
  </si>
  <si>
    <t>3,429.60</t>
  </si>
  <si>
    <t>3,440.00</t>
  </si>
  <si>
    <t>3,475.80</t>
  </si>
  <si>
    <t>3,497.60</t>
  </si>
  <si>
    <t>3,513.30</t>
  </si>
  <si>
    <t>3,450.00</t>
  </si>
  <si>
    <t>3,454.30</t>
  </si>
  <si>
    <t>3,545.70</t>
  </si>
  <si>
    <t>3,565.20</t>
  </si>
  <si>
    <t>3,568.20</t>
  </si>
  <si>
    <t>3,506.50</t>
  </si>
  <si>
    <t>3,414.40</t>
  </si>
  <si>
    <t>3,480.30</t>
  </si>
  <si>
    <t>3,484.90</t>
  </si>
  <si>
    <t>3,494.50</t>
  </si>
  <si>
    <t>3,515.30</t>
  </si>
  <si>
    <t>3,482.20</t>
  </si>
  <si>
    <t>3,510.45</t>
  </si>
  <si>
    <t>3,337.65</t>
  </si>
  <si>
    <t>3,403.10</t>
  </si>
  <si>
    <t>3,503.70</t>
  </si>
  <si>
    <t>3,553.90</t>
  </si>
  <si>
    <t>3,488.55</t>
  </si>
  <si>
    <t>3,530.60</t>
  </si>
  <si>
    <t>3,598.00</t>
  </si>
  <si>
    <t>3,717.45</t>
  </si>
  <si>
    <t>3,324.70</t>
  </si>
  <si>
    <t>3,353.70</t>
  </si>
  <si>
    <t>3,375.35</t>
  </si>
  <si>
    <t>3,299.85</t>
  </si>
  <si>
    <t>3,222.10</t>
  </si>
  <si>
    <t>3,238.00</t>
  </si>
  <si>
    <t>3,130.45</t>
  </si>
  <si>
    <t>3,124.50</t>
  </si>
  <si>
    <t>3,178.00</t>
  </si>
  <si>
    <t>3,210.70</t>
  </si>
  <si>
    <t>3,293.30</t>
  </si>
  <si>
    <t>3,289.50</t>
  </si>
  <si>
    <t>3,263.25</t>
  </si>
  <si>
    <t>3,110.40</t>
  </si>
  <si>
    <t>3,110.25</t>
  </si>
  <si>
    <t>3,234.75</t>
  </si>
  <si>
    <t>3,319.80</t>
  </si>
  <si>
    <t>3,273.75</t>
  </si>
  <si>
    <t>3,257.05</t>
  </si>
  <si>
    <t>3,289.45</t>
  </si>
  <si>
    <t>3,293.45</t>
  </si>
  <si>
    <t>3,324.80</t>
  </si>
  <si>
    <t>3,342.80</t>
  </si>
  <si>
    <t>3,249.40</t>
  </si>
  <si>
    <t>3,282.50</t>
  </si>
  <si>
    <t>3,422.15</t>
  </si>
  <si>
    <t>3,473.60</t>
  </si>
  <si>
    <t>3,626.10</t>
  </si>
  <si>
    <t>3,620.15</t>
  </si>
  <si>
    <t>3,633.25</t>
  </si>
  <si>
    <t>3,737.60</t>
  </si>
  <si>
    <t>3,783.65</t>
  </si>
  <si>
    <t>3,818.90</t>
  </si>
  <si>
    <t>3,796.90</t>
  </si>
  <si>
    <t>3,788.10</t>
  </si>
  <si>
    <t>3,752.65</t>
  </si>
  <si>
    <t>3,637.10</t>
  </si>
  <si>
    <t>3,637.30</t>
  </si>
  <si>
    <t>3,788.20</t>
  </si>
  <si>
    <t>3,852.45</t>
  </si>
  <si>
    <t>3,777.75</t>
  </si>
  <si>
    <t>3,725.80</t>
  </si>
  <si>
    <t>3,812.35</t>
  </si>
  <si>
    <t>3,861.50</t>
  </si>
  <si>
    <t>3,840.65</t>
  </si>
  <si>
    <t>3,744.20</t>
  </si>
  <si>
    <t>3,641.90</t>
  </si>
  <si>
    <t>3,702.95</t>
  </si>
  <si>
    <t>3,700.45</t>
  </si>
  <si>
    <t>3,735.35</t>
  </si>
  <si>
    <t>3,734.50</t>
  </si>
  <si>
    <t>3,641.00</t>
  </si>
  <si>
    <t>3,630.80</t>
  </si>
  <si>
    <t>3,419.95</t>
  </si>
  <si>
    <t>3,500.05</t>
  </si>
  <si>
    <t>3,546.85</t>
  </si>
  <si>
    <t>3,563.45</t>
  </si>
  <si>
    <t>3,588.75</t>
  </si>
  <si>
    <t>3,411.40</t>
  </si>
  <si>
    <t>3,409.05</t>
  </si>
  <si>
    <t>3,453.70</t>
  </si>
  <si>
    <t>3,484.40</t>
  </si>
  <si>
    <t>3,503.90</t>
  </si>
  <si>
    <t>3,593.20</t>
  </si>
  <si>
    <t>3,607.60</t>
  </si>
  <si>
    <t>3,728.90</t>
  </si>
  <si>
    <t>3,467.85</t>
  </si>
  <si>
    <t>3,534.55</t>
  </si>
  <si>
    <t>3,548.15</t>
  </si>
  <si>
    <t>3,561.20</t>
  </si>
  <si>
    <t>3,589.00</t>
  </si>
  <si>
    <t>3,580.70</t>
  </si>
  <si>
    <t>3,586.50</t>
  </si>
  <si>
    <t>3,674.55</t>
  </si>
  <si>
    <t>3,713.25</t>
  </si>
  <si>
    <t>3,714.70</t>
  </si>
  <si>
    <t>3,635.40</t>
  </si>
  <si>
    <t>3,707.20</t>
  </si>
  <si>
    <t>3,735.25</t>
  </si>
  <si>
    <t>3,732.40</t>
  </si>
  <si>
    <t>3,605.60</t>
  </si>
  <si>
    <t>3,642.40</t>
  </si>
  <si>
    <t>3,639.00</t>
  </si>
  <si>
    <t>3,631.35</t>
  </si>
  <si>
    <t>3,645.70</t>
  </si>
  <si>
    <t>3,703.90</t>
  </si>
  <si>
    <t>3,646.30</t>
  </si>
  <si>
    <t>3,662.05</t>
  </si>
  <si>
    <t>3,768.05</t>
  </si>
  <si>
    <t>3,863.60</t>
  </si>
  <si>
    <t>4,091.95</t>
  </si>
  <si>
    <t>4,178.05</t>
  </si>
  <si>
    <t>4,227.50</t>
  </si>
  <si>
    <t>4,258.70</t>
  </si>
  <si>
    <t>4,282.45</t>
  </si>
  <si>
    <t>4,518.50</t>
  </si>
  <si>
    <t>4,402.30</t>
  </si>
  <si>
    <t>3,802.70</t>
  </si>
  <si>
    <t>3,740.05</t>
  </si>
  <si>
    <t>3,735.85</t>
  </si>
  <si>
    <t>3,712.70</t>
  </si>
  <si>
    <t>3,706.90</t>
  </si>
  <si>
    <t>3,684.65</t>
  </si>
  <si>
    <t>3,719.70</t>
  </si>
  <si>
    <t>3,833.60</t>
  </si>
  <si>
    <t>3,910.85</t>
  </si>
  <si>
    <t>3,992.95</t>
  </si>
  <si>
    <t>4,106.85</t>
  </si>
  <si>
    <t>4,199.50</t>
  </si>
  <si>
    <t>4,069.80</t>
  </si>
  <si>
    <t>4,122.90</t>
  </si>
  <si>
    <t>4,212.20</t>
  </si>
  <si>
    <t>4,338.85</t>
  </si>
  <si>
    <t>3,919.35</t>
  </si>
  <si>
    <t>3,800.60</t>
  </si>
  <si>
    <t>3,820.70</t>
  </si>
  <si>
    <t>3,819.40</t>
  </si>
  <si>
    <t>3,934.65</t>
  </si>
  <si>
    <t>3,773.55</t>
  </si>
  <si>
    <t>3,782.85</t>
  </si>
  <si>
    <t>3,641.15</t>
  </si>
  <si>
    <t>3,679.35</t>
  </si>
  <si>
    <t>3,657.30</t>
  </si>
  <si>
    <t>3,681.30</t>
  </si>
  <si>
    <t>3,707.05</t>
  </si>
  <si>
    <t>3,727.30</t>
  </si>
  <si>
    <t>3,740.95</t>
  </si>
  <si>
    <t>3,691.70</t>
  </si>
  <si>
    <t>3,653.85</t>
  </si>
  <si>
    <t>3,690.55</t>
  </si>
  <si>
    <t>3,790.10</t>
  </si>
  <si>
    <t>3,783.50</t>
  </si>
  <si>
    <t>3,847.75</t>
  </si>
  <si>
    <t>3,776.90</t>
  </si>
  <si>
    <t>3,770.35</t>
  </si>
  <si>
    <t>3,687.20</t>
  </si>
  <si>
    <t>3,561.30</t>
  </si>
  <si>
    <t>3,509.40</t>
  </si>
  <si>
    <t>3,465.15</t>
  </si>
  <si>
    <t>3,467.15</t>
  </si>
  <si>
    <t>3,527.20</t>
  </si>
  <si>
    <t>3,444.75</t>
  </si>
  <si>
    <t>3,237.70</t>
  </si>
  <si>
    <t>3,271.60</t>
  </si>
  <si>
    <t>3,237.85</t>
  </si>
  <si>
    <t>3,207.40</t>
  </si>
  <si>
    <t>3,213.20</t>
  </si>
  <si>
    <t>3,240.05</t>
  </si>
  <si>
    <t>3,189.20</t>
  </si>
  <si>
    <t>3,194.85</t>
  </si>
  <si>
    <t>3,202.70</t>
  </si>
  <si>
    <t>3,312.45</t>
  </si>
  <si>
    <t>3,344.65</t>
  </si>
  <si>
    <t>3,290.10</t>
  </si>
  <si>
    <t>3,210.65</t>
  </si>
  <si>
    <t>3,103.15</t>
  </si>
  <si>
    <t>3,117.50</t>
  </si>
  <si>
    <t>3,111.75</t>
  </si>
  <si>
    <t>2,975.85</t>
  </si>
  <si>
    <t>2,953.35</t>
  </si>
  <si>
    <t>2,942.15</t>
  </si>
  <si>
    <t>2,872.40</t>
  </si>
  <si>
    <t>2,802.05</t>
  </si>
  <si>
    <t>2,827.45</t>
  </si>
  <si>
    <t>2,803.60</t>
  </si>
  <si>
    <t>2,814.45</t>
  </si>
  <si>
    <t>2,841.55</t>
  </si>
  <si>
    <t>2,934.65</t>
  </si>
  <si>
    <t>3,017.90</t>
  </si>
  <si>
    <t>2,907.55</t>
  </si>
  <si>
    <t>2,885.00</t>
  </si>
  <si>
    <t>2,897.20</t>
  </si>
  <si>
    <t>2,910.65</t>
  </si>
  <si>
    <t>2,874.85</t>
  </si>
  <si>
    <t>2,943.95</t>
  </si>
  <si>
    <t>2,883.55</t>
  </si>
  <si>
    <t>2,862.40</t>
  </si>
  <si>
    <t>2,868.35</t>
  </si>
  <si>
    <t>2,862.30</t>
  </si>
  <si>
    <t>2,835.40</t>
  </si>
  <si>
    <t>2,834.80</t>
  </si>
  <si>
    <t>2,891.75</t>
  </si>
  <si>
    <t>2,910.15</t>
  </si>
  <si>
    <t>2,932.60</t>
  </si>
  <si>
    <t>2,918.45</t>
  </si>
  <si>
    <t>2,876.50</t>
  </si>
  <si>
    <t>2,773.90</t>
  </si>
  <si>
    <t>2,802.95</t>
  </si>
  <si>
    <t>2,848.20</t>
  </si>
  <si>
    <t>2,798.80</t>
  </si>
  <si>
    <t>2,731.85</t>
  </si>
  <si>
    <t>2,686.95</t>
  </si>
  <si>
    <t>2,650.70</t>
  </si>
  <si>
    <t>2,614.50</t>
  </si>
  <si>
    <t>2,533.50</t>
  </si>
  <si>
    <t>2,605.20</t>
  </si>
  <si>
    <t>2,565.55</t>
  </si>
  <si>
    <t>2,542.95</t>
  </si>
  <si>
    <t>2,555.65</t>
  </si>
  <si>
    <t>2,537.20</t>
  </si>
  <si>
    <t>2,572.30</t>
  </si>
  <si>
    <t>2,564.85</t>
  </si>
  <si>
    <t>2,566.15</t>
  </si>
  <si>
    <t>2,561.85</t>
  </si>
  <si>
    <t>2,616.15</t>
  </si>
  <si>
    <t>2,613.40</t>
  </si>
  <si>
    <t>2,558.75</t>
  </si>
  <si>
    <t>2,553.95</t>
  </si>
  <si>
    <t>2,523.25</t>
  </si>
  <si>
    <t>2,515.35</t>
  </si>
  <si>
    <t>2,494.80</t>
  </si>
  <si>
    <t>2,464.80</t>
  </si>
  <si>
    <t>2,504.35</t>
  </si>
  <si>
    <t>2,499.00</t>
  </si>
  <si>
    <t>2,465.20</t>
  </si>
  <si>
    <t>2,514.55</t>
  </si>
  <si>
    <t>2,522.80</t>
  </si>
  <si>
    <t>2,449.85</t>
  </si>
  <si>
    <t>2,448.75</t>
  </si>
  <si>
    <t>2,442.00</t>
  </si>
  <si>
    <t>2,444.05</t>
  </si>
  <si>
    <t>2,449.20</t>
  </si>
  <si>
    <t>2,435.00</t>
  </si>
  <si>
    <t>2,421.40</t>
  </si>
  <si>
    <t>2,406.25</t>
  </si>
  <si>
    <t>2,419.85</t>
  </si>
  <si>
    <t>2,460.10</t>
  </si>
  <si>
    <t>2,449.00</t>
  </si>
  <si>
    <t>2,455.70</t>
  </si>
  <si>
    <t>2,468.00</t>
  </si>
  <si>
    <t>2,447.55</t>
  </si>
  <si>
    <t>2,433.85</t>
  </si>
  <si>
    <t>2,472.60</t>
  </si>
  <si>
    <t>2,463.60</t>
  </si>
  <si>
    <t>2,447.75</t>
  </si>
  <si>
    <t>2,447.50</t>
  </si>
  <si>
    <t>2,384.70</t>
  </si>
  <si>
    <t>2,413.40</t>
  </si>
  <si>
    <t>2,399.30</t>
  </si>
  <si>
    <t>2,462.50</t>
  </si>
  <si>
    <t>2,433.50</t>
  </si>
  <si>
    <t>2,397.55</t>
  </si>
  <si>
    <t>2,431.90</t>
  </si>
  <si>
    <t>2,320.55</t>
  </si>
  <si>
    <t>2,286.25</t>
  </si>
  <si>
    <t>2,391.80</t>
  </si>
  <si>
    <t>2,397.70</t>
  </si>
  <si>
    <t>2,418.70</t>
  </si>
  <si>
    <t>2,437.45</t>
  </si>
  <si>
    <t>2,452.80</t>
  </si>
  <si>
    <t>2,492.20</t>
  </si>
  <si>
    <t>2,531.00</t>
  </si>
  <si>
    <t>2,496.75</t>
  </si>
  <si>
    <t>2,516.10</t>
  </si>
  <si>
    <t>2,564.30</t>
  </si>
  <si>
    <t>2,637.30</t>
  </si>
  <si>
    <t>2,682.70</t>
  </si>
  <si>
    <t>2,733.60</t>
  </si>
  <si>
    <t>2,796.40</t>
  </si>
  <si>
    <t>2,822.45</t>
  </si>
  <si>
    <t>2,809.05</t>
  </si>
  <si>
    <t>2,840.45</t>
  </si>
  <si>
    <t>2,799.70</t>
  </si>
  <si>
    <t>2,803.65</t>
  </si>
  <si>
    <t>2,747.10</t>
  </si>
  <si>
    <t>2,793.50</t>
  </si>
  <si>
    <t>2,841.95</t>
  </si>
  <si>
    <t>2,865.45</t>
  </si>
  <si>
    <t>2,931.95</t>
  </si>
  <si>
    <t>2,731.25</t>
  </si>
  <si>
    <t>2,682.50</t>
  </si>
  <si>
    <t>2,629.75</t>
  </si>
  <si>
    <t>2,612.20</t>
  </si>
  <si>
    <t>2,653.65</t>
  </si>
  <si>
    <t>2,606.40</t>
  </si>
  <si>
    <t>2,594.75</t>
  </si>
  <si>
    <t>2,614.00</t>
  </si>
  <si>
    <t>2,625.20</t>
  </si>
  <si>
    <t>2,680.60</t>
  </si>
  <si>
    <t>2,696.10</t>
  </si>
  <si>
    <t>2,702.85</t>
  </si>
  <si>
    <t>2,714.10</t>
  </si>
  <si>
    <t>2,710.00</t>
  </si>
  <si>
    <t>2,714.20</t>
  </si>
  <si>
    <t>2,661.50</t>
  </si>
  <si>
    <t>2,680.90</t>
  </si>
  <si>
    <t>2,583.15</t>
  </si>
  <si>
    <t>2,603.50</t>
  </si>
  <si>
    <t>2,595.60</t>
  </si>
  <si>
    <t>2,659.00</t>
  </si>
  <si>
    <t>2,651.65</t>
  </si>
  <si>
    <t>2,651.95</t>
  </si>
  <si>
    <t>2,623.65</t>
  </si>
  <si>
    <t>2,593.95</t>
  </si>
  <si>
    <t>2,607.45</t>
  </si>
  <si>
    <t>2,577.90</t>
  </si>
  <si>
    <t>2,556.50</t>
  </si>
  <si>
    <t>2,565.85</t>
  </si>
  <si>
    <t>2,604.30</t>
  </si>
  <si>
    <t>2,577.45</t>
  </si>
  <si>
    <t>2,607.25</t>
  </si>
  <si>
    <t>2,548.35</t>
  </si>
  <si>
    <t>2,554.25</t>
  </si>
  <si>
    <t>2,517.90</t>
  </si>
  <si>
    <t>2,507.15</t>
  </si>
  <si>
    <t>2,516.25</t>
  </si>
  <si>
    <t>2,521.55</t>
  </si>
  <si>
    <t>2,561.65</t>
  </si>
  <si>
    <t>2,591.45</t>
  </si>
  <si>
    <t>2,523.45</t>
  </si>
  <si>
    <t>2,497.25</t>
  </si>
  <si>
    <t>2,474.20</t>
  </si>
  <si>
    <t>2,481.55</t>
  </si>
  <si>
    <t>2,449.35</t>
  </si>
  <si>
    <t>2,477.95</t>
  </si>
  <si>
    <t>2,457.75</t>
  </si>
  <si>
    <t>2,476.55</t>
  </si>
  <si>
    <t>2,497.95</t>
  </si>
  <si>
    <t>2,500.55</t>
  </si>
  <si>
    <t>2,498.30</t>
  </si>
  <si>
    <t>2,460.45</t>
  </si>
  <si>
    <t>2,481.10</t>
  </si>
  <si>
    <t>2,468.70</t>
  </si>
  <si>
    <t>2,446.25</t>
  </si>
  <si>
    <t>2,455.90</t>
  </si>
  <si>
    <t>2,467.15</t>
  </si>
  <si>
    <t>2,438.05</t>
  </si>
  <si>
    <t>2,427.85</t>
  </si>
  <si>
    <t>2,440.80</t>
  </si>
  <si>
    <t>2,440.25</t>
  </si>
  <si>
    <t>2,442.55</t>
  </si>
  <si>
    <t>2,443.40</t>
  </si>
  <si>
    <t>2,385.15</t>
  </si>
  <si>
    <t>2,416.25</t>
  </si>
  <si>
    <t>2,426.30</t>
  </si>
  <si>
    <t>2,421.35</t>
  </si>
  <si>
    <t>2,414.80</t>
  </si>
  <si>
    <t>2,414.05</t>
  </si>
  <si>
    <t>2,438.55</t>
  </si>
  <si>
    <t>2,441.85</t>
  </si>
  <si>
    <t>2,472.25</t>
  </si>
  <si>
    <t>2,456.30</t>
  </si>
  <si>
    <t>2,481.90</t>
  </si>
  <si>
    <t>2,483.50</t>
  </si>
  <si>
    <t>2,482.10</t>
  </si>
  <si>
    <t>2,479.40</t>
  </si>
  <si>
    <t>2,466.40</t>
  </si>
  <si>
    <t>2,507.85</t>
  </si>
  <si>
    <t>2,513.20</t>
  </si>
  <si>
    <t>2,503.55</t>
  </si>
  <si>
    <t>2,508.60</t>
  </si>
  <si>
    <t>2,447.70</t>
  </si>
  <si>
    <t>2,497.50</t>
  </si>
  <si>
    <t>2,508.80</t>
  </si>
  <si>
    <t>2,520.10</t>
  </si>
  <si>
    <t>2,521.10</t>
  </si>
  <si>
    <t>2,595.50</t>
  </si>
  <si>
    <t>2,595.30</t>
  </si>
  <si>
    <t>2,641.30</t>
  </si>
  <si>
    <t>2,659.75</t>
  </si>
  <si>
    <t>2,674.20</t>
  </si>
  <si>
    <t>2,752.15</t>
  </si>
  <si>
    <t>2,707.45</t>
  </si>
  <si>
    <t>2,683.15</t>
  </si>
  <si>
    <t>2,700.95</t>
  </si>
  <si>
    <t>2,734.20</t>
  </si>
  <si>
    <t>2,767.90</t>
  </si>
  <si>
    <t>2,736.55</t>
  </si>
  <si>
    <t>2,747.50</t>
  </si>
  <si>
    <t>2,772.75</t>
  </si>
  <si>
    <t>2,730.80</t>
  </si>
  <si>
    <t>2,706.60</t>
  </si>
  <si>
    <t>2,764.65</t>
  </si>
  <si>
    <t>2,768.95</t>
  </si>
  <si>
    <t>2,789.65</t>
  </si>
  <si>
    <t>2,800.80</t>
  </si>
  <si>
    <t>2,795.35</t>
  </si>
  <si>
    <t>2,826.65</t>
  </si>
  <si>
    <t>2,849.25</t>
  </si>
  <si>
    <t>2,873.65</t>
  </si>
  <si>
    <t>2,811.35</t>
  </si>
  <si>
    <t>2,819.05</t>
  </si>
  <si>
    <t>2,814.75</t>
  </si>
  <si>
    <t>2,779.00</t>
  </si>
  <si>
    <t>2,806.25</t>
  </si>
  <si>
    <t>2,829.95</t>
  </si>
  <si>
    <t>2,822.80</t>
  </si>
  <si>
    <t>2,899.85</t>
  </si>
  <si>
    <t>2,781.05</t>
  </si>
  <si>
    <t>2,822.70</t>
  </si>
  <si>
    <t>2,775.20</t>
  </si>
  <si>
    <t>2,719.35</t>
  </si>
  <si>
    <t>2,742.80</t>
  </si>
  <si>
    <t>2,712.65</t>
  </si>
  <si>
    <t>2,644.90</t>
  </si>
  <si>
    <t>2,659.10</t>
  </si>
  <si>
    <t>2,682.25</t>
  </si>
  <si>
    <t>2,691.55</t>
  </si>
  <si>
    <t>2,681.85</t>
  </si>
  <si>
    <t>2,744.10</t>
  </si>
  <si>
    <t>2,764.40</t>
  </si>
  <si>
    <t>2,741.85</t>
  </si>
  <si>
    <t>2,737.75</t>
  </si>
  <si>
    <t>2,722.55</t>
  </si>
  <si>
    <t>2,699.50</t>
  </si>
  <si>
    <t>2,683.00</t>
  </si>
  <si>
    <t>2,477.75</t>
  </si>
  <si>
    <t>2,486.10</t>
  </si>
  <si>
    <t>2,427.80</t>
  </si>
  <si>
    <t>2,443.90</t>
  </si>
  <si>
    <t>2,432.85</t>
  </si>
  <si>
    <t>2,436.70</t>
  </si>
  <si>
    <t>2,442.45</t>
  </si>
  <si>
    <t>2,434.25</t>
  </si>
  <si>
    <t>2,452.30</t>
  </si>
  <si>
    <t>2,453.35</t>
  </si>
  <si>
    <t>2,450.35</t>
  </si>
  <si>
    <t>2,445.30</t>
  </si>
  <si>
    <t>2,452.45</t>
  </si>
  <si>
    <t>2,443.45</t>
  </si>
  <si>
    <t>2,424.90</t>
  </si>
  <si>
    <t>2,400.65</t>
  </si>
  <si>
    <t>2,359.20</t>
  </si>
  <si>
    <t>2,356.60</t>
  </si>
  <si>
    <t>2,393.05</t>
  </si>
  <si>
    <t>2,404.55</t>
  </si>
  <si>
    <t>2,407.75</t>
  </si>
  <si>
    <t>2,466.55</t>
  </si>
  <si>
    <t>2,453.65</t>
  </si>
  <si>
    <t>2,466.05</t>
  </si>
  <si>
    <t>2,468.65</t>
  </si>
  <si>
    <t>2,499.10</t>
  </si>
  <si>
    <t>2,427.55</t>
  </si>
  <si>
    <t>2,464.20</t>
  </si>
  <si>
    <t>2,434.00</t>
  </si>
  <si>
    <t>2,424.55</t>
  </si>
  <si>
    <t>2,477.25</t>
  </si>
  <si>
    <t>2,479.10</t>
  </si>
  <si>
    <t>2,470.45</t>
  </si>
  <si>
    <t>2,469.20</t>
  </si>
  <si>
    <t>2,439.10</t>
  </si>
  <si>
    <t>2,448.80</t>
  </si>
  <si>
    <t>2,408.55</t>
  </si>
  <si>
    <t>2,418.60</t>
  </si>
  <si>
    <t>2,324.70</t>
  </si>
  <si>
    <t>2,291.65</t>
  </si>
  <si>
    <t>2,291.80</t>
  </si>
  <si>
    <t>2,287.45</t>
  </si>
  <si>
    <t>2,298.80</t>
  </si>
  <si>
    <t>2,303.50</t>
  </si>
  <si>
    <t>2,308.60</t>
  </si>
  <si>
    <t>2,306.05</t>
  </si>
  <si>
    <t>2,304.45</t>
  </si>
  <si>
    <t>2,305.65</t>
  </si>
  <si>
    <t>2,303.85</t>
  </si>
  <si>
    <t>2,256.75</t>
  </si>
  <si>
    <t>2,282.40</t>
  </si>
  <si>
    <t>2,286.80</t>
  </si>
  <si>
    <t>2,231.45</t>
  </si>
  <si>
    <t>2,243.90</t>
  </si>
  <si>
    <t>2,282.50</t>
  </si>
  <si>
    <t>2,300.55</t>
  </si>
  <si>
    <t>2,307.45</t>
  </si>
  <si>
    <t>2,331.20</t>
  </si>
  <si>
    <t>2,317.15</t>
  </si>
  <si>
    <t>2,352.40</t>
  </si>
  <si>
    <t>2,362.75</t>
  </si>
  <si>
    <t>2,326.65</t>
  </si>
  <si>
    <t>2,284.35</t>
  </si>
  <si>
    <t>2,263.75</t>
  </si>
  <si>
    <t>2,304.30</t>
  </si>
  <si>
    <t>2,293.40</t>
  </si>
  <si>
    <t>2,320.65</t>
  </si>
  <si>
    <t>2,280.85</t>
  </si>
  <si>
    <t>2,265.40</t>
  </si>
  <si>
    <t>2,263.20</t>
  </si>
  <si>
    <t>2,236.75</t>
  </si>
  <si>
    <t>2,184.85</t>
  </si>
  <si>
    <t>2,152.20</t>
  </si>
  <si>
    <t>2,145.15</t>
  </si>
  <si>
    <t>2,150.45</t>
  </si>
  <si>
    <t>2,145.65</t>
  </si>
  <si>
    <t>2,194.40</t>
  </si>
  <si>
    <t>2,183.15</t>
  </si>
  <si>
    <t>2,170.75</t>
  </si>
  <si>
    <t>2,173.35</t>
  </si>
  <si>
    <t>2,205.50</t>
  </si>
  <si>
    <t>2,177.80</t>
  </si>
  <si>
    <t>2,182.15</t>
  </si>
  <si>
    <t>2,179.25</t>
  </si>
  <si>
    <t>2,182.45</t>
  </si>
  <si>
    <t>2,265.65</t>
  </si>
  <si>
    <t>2,315.30</t>
  </si>
  <si>
    <t>2,221.95</t>
  </si>
  <si>
    <t>2,229.65</t>
  </si>
  <si>
    <t>2,231.70</t>
  </si>
  <si>
    <t>2,202.80</t>
  </si>
  <si>
    <t>2,210.30</t>
  </si>
  <si>
    <t>2,213.90</t>
  </si>
  <si>
    <t>2,231.05</t>
  </si>
  <si>
    <t>2,244.90</t>
  </si>
  <si>
    <t>2,242.20</t>
  </si>
  <si>
    <t>2,241.55</t>
  </si>
  <si>
    <t>2,246.80</t>
  </si>
  <si>
    <t>2,246.35</t>
  </si>
  <si>
    <t>2,282.55</t>
  </si>
  <si>
    <t>2,231.15</t>
  </si>
  <si>
    <t>2,225.20</t>
  </si>
  <si>
    <t>2,160.45</t>
  </si>
  <si>
    <t>2,125.75</t>
  </si>
  <si>
    <t>2,151.85</t>
  </si>
  <si>
    <t>2,169.65</t>
  </si>
  <si>
    <t>2,211.05</t>
  </si>
  <si>
    <t>2,228.65</t>
  </si>
  <si>
    <t>2,210.85</t>
  </si>
  <si>
    <t>2,240.95</t>
  </si>
  <si>
    <t>2,223.45</t>
  </si>
  <si>
    <t>2,201.05</t>
  </si>
  <si>
    <t>2,194.90</t>
  </si>
  <si>
    <t>2,188.65</t>
  </si>
  <si>
    <t>2,190.55</t>
  </si>
  <si>
    <t>2,199.80</t>
  </si>
  <si>
    <t>2,203.60</t>
  </si>
  <si>
    <t>2,272.40</t>
  </si>
  <si>
    <t>2,277.00</t>
  </si>
  <si>
    <t>2,276.65</t>
  </si>
  <si>
    <t>2,285.85</t>
  </si>
  <si>
    <t>2,310.85</t>
  </si>
  <si>
    <t>2,295.90</t>
  </si>
  <si>
    <t>2,251.15</t>
  </si>
  <si>
    <t>2,260.30</t>
  </si>
  <si>
    <t>2,274.75</t>
  </si>
  <si>
    <t>2,301.20</t>
  </si>
  <si>
    <t>2,302.45</t>
  </si>
  <si>
    <t>2,296.60</t>
  </si>
  <si>
    <t>2,297.80</t>
  </si>
  <si>
    <t>2,284.75</t>
  </si>
  <si>
    <t>2,304.35</t>
  </si>
  <si>
    <t>2,299.90</t>
  </si>
  <si>
    <t>2,310.00</t>
  </si>
  <si>
    <t>2,334.40</t>
  </si>
  <si>
    <t>2,350.25</t>
  </si>
  <si>
    <t>2,351.75</t>
  </si>
  <si>
    <t>2,339.95</t>
  </si>
  <si>
    <t>2,333.85</t>
  </si>
  <si>
    <t>2,302.80</t>
  </si>
  <si>
    <t>2,299.80</t>
  </si>
  <si>
    <t>2,271.25</t>
  </si>
  <si>
    <t>2,230.45</t>
  </si>
  <si>
    <t>2,190.70</t>
  </si>
  <si>
    <t>2,106.35</t>
  </si>
  <si>
    <t>2,105.20</t>
  </si>
  <si>
    <t>2,151.45</t>
  </si>
  <si>
    <t>2,148.40</t>
  </si>
  <si>
    <t>2,145.25</t>
  </si>
  <si>
    <t>2,132.30</t>
  </si>
  <si>
    <t>2,130.80</t>
  </si>
  <si>
    <t>2,121.55</t>
  </si>
  <si>
    <t>2,140.15</t>
  </si>
  <si>
    <t>2,130.25</t>
  </si>
  <si>
    <t>2,138.45</t>
  </si>
  <si>
    <t>2,151.55</t>
  </si>
  <si>
    <t>2,137.05</t>
  </si>
  <si>
    <t>2,156.10</t>
  </si>
  <si>
    <t>2,157.15</t>
  </si>
  <si>
    <t>2,046.10</t>
  </si>
  <si>
    <t>2,113.25</t>
  </si>
  <si>
    <t>2,172.80</t>
  </si>
  <si>
    <t>2,223.80</t>
  </si>
  <si>
    <t>2,211.70</t>
  </si>
  <si>
    <t>2,224.35</t>
  </si>
  <si>
    <t>2,209.65</t>
  </si>
  <si>
    <t>2,192.85</t>
  </si>
  <si>
    <t>2,211.10</t>
  </si>
  <si>
    <t>2,205.65</t>
  </si>
  <si>
    <t>2,190.10</t>
  </si>
  <si>
    <t>2,188.55</t>
  </si>
  <si>
    <t>2,175.60</t>
  </si>
  <si>
    <t>2,153.95</t>
  </si>
  <si>
    <t>2,156.65</t>
  </si>
  <si>
    <t>2,205.45</t>
  </si>
  <si>
    <t>2,214.00</t>
  </si>
  <si>
    <t>2,136.75</t>
  </si>
  <si>
    <t>2,142.30</t>
  </si>
  <si>
    <t>2,132.50</t>
  </si>
  <si>
    <t>2,137.50</t>
  </si>
  <si>
    <t>2,116.60</t>
  </si>
  <si>
    <t>2,047.30</t>
  </si>
  <si>
    <t>1,996.65</t>
  </si>
  <si>
    <t>2,019.35</t>
  </si>
  <si>
    <t>2,015.95</t>
  </si>
  <si>
    <t>2,021.90</t>
  </si>
  <si>
    <t>1,941.85</t>
  </si>
  <si>
    <t>1,944.85</t>
  </si>
  <si>
    <t>1,940.35</t>
  </si>
  <si>
    <t>1,954.65</t>
  </si>
  <si>
    <t>1,940.65</t>
  </si>
  <si>
    <t>1,940.30</t>
  </si>
  <si>
    <t>1,939.00</t>
  </si>
  <si>
    <t>1,932.70</t>
  </si>
  <si>
    <t>1,927.50</t>
  </si>
  <si>
    <t>1,928.65</t>
  </si>
  <si>
    <t>1,897.40</t>
  </si>
  <si>
    <t>1,898.10</t>
  </si>
  <si>
    <t>1,944.80</t>
  </si>
  <si>
    <t>1,939.90</t>
  </si>
  <si>
    <t>1,943.40</t>
  </si>
  <si>
    <t>1,917.55</t>
  </si>
  <si>
    <t>1,940.95</t>
  </si>
  <si>
    <t>1,936.50</t>
  </si>
  <si>
    <t>1,926.50</t>
  </si>
  <si>
    <t>1,906.80</t>
  </si>
  <si>
    <t>1,905.00</t>
  </si>
  <si>
    <t>1,949.40</t>
  </si>
  <si>
    <t>1,950.70</t>
  </si>
  <si>
    <t>1,946.75</t>
  </si>
  <si>
    <t>1,945.00</t>
  </si>
  <si>
    <t>1,983.75</t>
  </si>
  <si>
    <t>1,976.55</t>
  </si>
  <si>
    <t>1,943.05</t>
  </si>
  <si>
    <t>1,943.95</t>
  </si>
  <si>
    <t>1,924.75</t>
  </si>
  <si>
    <t>1,930.10</t>
  </si>
  <si>
    <t>1,925.30</t>
  </si>
  <si>
    <t>1,921.90</t>
  </si>
  <si>
    <t>1,920.15</t>
  </si>
  <si>
    <t>1,919.40</t>
  </si>
  <si>
    <t>1,915.60</t>
  </si>
  <si>
    <t>1,880.55</t>
  </si>
  <si>
    <t>1,886.65</t>
  </si>
  <si>
    <t>1,896.30</t>
  </si>
  <si>
    <t>1,888.20</t>
  </si>
  <si>
    <t>1,850.50</t>
  </si>
  <si>
    <t>1,872.80</t>
  </si>
  <si>
    <t>1,873.65</t>
  </si>
  <si>
    <t>1,877.30</t>
  </si>
  <si>
    <t>1,885.15</t>
  </si>
  <si>
    <t>1,799.95</t>
  </si>
  <si>
    <t>1,777.20</t>
  </si>
  <si>
    <t>1,787.80</t>
  </si>
  <si>
    <t>1,780.90</t>
  </si>
  <si>
    <t>1,775.05</t>
  </si>
  <si>
    <t>1,785.70</t>
  </si>
  <si>
    <t>1,723.30</t>
  </si>
  <si>
    <t>1,744.70</t>
  </si>
  <si>
    <t>1,701.60</t>
  </si>
  <si>
    <t>1,745.00</t>
  </si>
  <si>
    <t>1,761.80</t>
  </si>
  <si>
    <t>1,769.40</t>
  </si>
  <si>
    <t>1,785.75</t>
  </si>
  <si>
    <t>1,785.80</t>
  </si>
  <si>
    <t>1,782.75</t>
  </si>
  <si>
    <t>1,783.95</t>
  </si>
  <si>
    <t>1,777.55</t>
  </si>
  <si>
    <t>1,785.00</t>
  </si>
  <si>
    <t>1,795.70</t>
  </si>
  <si>
    <t>1,800.00</t>
  </si>
  <si>
    <t>1,833.95</t>
  </si>
  <si>
    <t>1,843.15</t>
  </si>
  <si>
    <t>1,763.55</t>
  </si>
  <si>
    <t>1,738.20</t>
  </si>
  <si>
    <t>1,730.20</t>
  </si>
  <si>
    <t>1,729.00</t>
  </si>
  <si>
    <t>1,777.00</t>
  </si>
  <si>
    <t>1,775.50</t>
  </si>
  <si>
    <t>1,784.85</t>
  </si>
  <si>
    <t>1,769.35</t>
  </si>
  <si>
    <t>1,781.05</t>
  </si>
  <si>
    <t>1,773.45</t>
  </si>
  <si>
    <t>1,759.00</t>
  </si>
  <si>
    <t>1,764.50</t>
  </si>
  <si>
    <t>1,758.55</t>
  </si>
  <si>
    <t>1,812.60</t>
  </si>
  <si>
    <t>1,825.30</t>
  </si>
  <si>
    <t>1,830.70</t>
  </si>
  <si>
    <t>1,847.55</t>
  </si>
  <si>
    <t>1,836.65</t>
  </si>
  <si>
    <t>1,869.20</t>
  </si>
  <si>
    <t>1,878.45</t>
  </si>
  <si>
    <t>1,883.05</t>
  </si>
  <si>
    <t>1,879.05</t>
  </si>
  <si>
    <t>1,891.20</t>
  </si>
  <si>
    <t>1,871.90</t>
  </si>
  <si>
    <t>1,888.50</t>
  </si>
  <si>
    <t>1,900.65</t>
  </si>
  <si>
    <t>1,872.75</t>
  </si>
  <si>
    <t>1,876.75</t>
  </si>
  <si>
    <t>1,887.30</t>
  </si>
  <si>
    <t>1,895.30</t>
  </si>
  <si>
    <t>1,912.55</t>
  </si>
  <si>
    <t>1,914.80</t>
  </si>
  <si>
    <t>1,892.80</t>
  </si>
  <si>
    <t>1,920.90</t>
  </si>
  <si>
    <t>1,918.95</t>
  </si>
  <si>
    <t>1,922.70</t>
  </si>
  <si>
    <t>1,908.55</t>
  </si>
  <si>
    <t>1,947.15</t>
  </si>
  <si>
    <t>1,898.20</t>
  </si>
  <si>
    <t>1,910.15</t>
  </si>
  <si>
    <t>1,944.90</t>
  </si>
  <si>
    <t>1,930.15</t>
  </si>
  <si>
    <t>1,947.00</t>
  </si>
  <si>
    <t>1,960.40</t>
  </si>
  <si>
    <t>1,965.15</t>
  </si>
  <si>
    <t>1,927.85</t>
  </si>
  <si>
    <t>1,935.80</t>
  </si>
  <si>
    <t>1,952.15</t>
  </si>
  <si>
    <t>1,918.15</t>
  </si>
  <si>
    <t>1,865.90</t>
  </si>
  <si>
    <t>1,824.40</t>
  </si>
  <si>
    <t>1,826.70</t>
  </si>
  <si>
    <t>1,836.75</t>
  </si>
  <si>
    <t>1,854.05</t>
  </si>
  <si>
    <t>1,844.05</t>
  </si>
  <si>
    <t>1,886.10</t>
  </si>
  <si>
    <t>1,870.60</t>
  </si>
  <si>
    <t>1,850.95</t>
  </si>
  <si>
    <t>1,902.85</t>
  </si>
  <si>
    <t>1,917.75</t>
  </si>
  <si>
    <t>1,928.25</t>
  </si>
  <si>
    <t>1,938.90</t>
  </si>
  <si>
    <t>1,943.00</t>
  </si>
  <si>
    <t>1,946.30</t>
  </si>
  <si>
    <t>1,927.75</t>
  </si>
  <si>
    <t>1,912.50</t>
  </si>
  <si>
    <t>1,890.45</t>
  </si>
  <si>
    <t>1,885.75</t>
  </si>
  <si>
    <t>1,898.80</t>
  </si>
  <si>
    <t>1,899.70</t>
  </si>
  <si>
    <t>1,925.50</t>
  </si>
  <si>
    <t>1,902.45</t>
  </si>
  <si>
    <t>1,912.40</t>
  </si>
  <si>
    <t>1,940.75</t>
  </si>
  <si>
    <t>1,928.10</t>
  </si>
  <si>
    <t>1,930.80</t>
  </si>
  <si>
    <t>1,934.25</t>
  </si>
  <si>
    <t>1,937.75</t>
  </si>
  <si>
    <t>1,958.10</t>
  </si>
  <si>
    <t>1,945.10</t>
  </si>
  <si>
    <t>1,970.30</t>
  </si>
  <si>
    <t>1,979.55</t>
  </si>
  <si>
    <t>1,973.95</t>
  </si>
  <si>
    <t>1,975.20</t>
  </si>
  <si>
    <t>1,977.30</t>
  </si>
  <si>
    <t>1,979.75</t>
  </si>
  <si>
    <t>1,979.80</t>
  </si>
  <si>
    <t>1,975.05</t>
  </si>
  <si>
    <t>1,980.00</t>
  </si>
  <si>
    <t>2,010.35</t>
  </si>
  <si>
    <t>2,020.75</t>
  </si>
  <si>
    <t>2,019.80</t>
  </si>
  <si>
    <t>2,037.40</t>
  </si>
  <si>
    <t>2,045.45</t>
  </si>
  <si>
    <t>2,024.90</t>
  </si>
  <si>
    <t>1,995.30</t>
  </si>
  <si>
    <t>2,003.80</t>
  </si>
  <si>
    <t>1,990.10</t>
  </si>
  <si>
    <t>1,974.10</t>
  </si>
  <si>
    <t>2,020.90</t>
  </si>
  <si>
    <t>2,002.95</t>
  </si>
  <si>
    <t>1,978.40</t>
  </si>
  <si>
    <t>1,965.90</t>
  </si>
  <si>
    <t>1,990.90</t>
  </si>
  <si>
    <t>2,039.65</t>
  </si>
  <si>
    <t>2,053.85</t>
  </si>
  <si>
    <t>2,039.75</t>
  </si>
  <si>
    <t>2,052.95</t>
  </si>
  <si>
    <t>2,059.70</t>
  </si>
  <si>
    <t>2,085.75</t>
  </si>
  <si>
    <t>2,074.80</t>
  </si>
  <si>
    <t>2,072.50</t>
  </si>
  <si>
    <t>2,079.25</t>
  </si>
  <si>
    <t>2,059.15</t>
  </si>
  <si>
    <t>2,080.90</t>
  </si>
  <si>
    <t>2,093.95</t>
  </si>
  <si>
    <t>2,058.70</t>
  </si>
  <si>
    <t>2,049.00</t>
  </si>
  <si>
    <t>2,091.05</t>
  </si>
  <si>
    <t>2,187.15</t>
  </si>
  <si>
    <t>2,187.35</t>
  </si>
  <si>
    <t>2,170.80</t>
  </si>
  <si>
    <t>2,184.80</t>
  </si>
  <si>
    <t>2,203.50</t>
  </si>
  <si>
    <t>2,186.90</t>
  </si>
  <si>
    <t>2,112.95</t>
  </si>
  <si>
    <t>2,108.55</t>
  </si>
  <si>
    <t>2,116.00</t>
  </si>
  <si>
    <t>2,126.05</t>
  </si>
  <si>
    <t>2,128.85</t>
  </si>
  <si>
    <t>2,112.70</t>
  </si>
  <si>
    <t>2,102.55</t>
  </si>
  <si>
    <t>2,125.80</t>
  </si>
  <si>
    <t>2,089.60</t>
  </si>
  <si>
    <t>2,115.40</t>
  </si>
  <si>
    <t>2,078.45</t>
  </si>
  <si>
    <t>2,100.90</t>
  </si>
  <si>
    <t>2,130.10</t>
  </si>
  <si>
    <t>2,119.00</t>
  </si>
  <si>
    <t>2,093.60</t>
  </si>
  <si>
    <t>2,107.70</t>
  </si>
  <si>
    <t>2,161.25</t>
  </si>
  <si>
    <t>2,174.95</t>
  </si>
  <si>
    <t>2,197.85</t>
  </si>
  <si>
    <t>2,206.00</t>
  </si>
  <si>
    <t>2,217.85</t>
  </si>
  <si>
    <t>2,221.15</t>
  </si>
  <si>
    <t>2,245.00</t>
  </si>
  <si>
    <t>2,233.70</t>
  </si>
  <si>
    <t>2,227.95</t>
  </si>
  <si>
    <t>2,239.05</t>
  </si>
  <si>
    <t>2,237.25</t>
  </si>
  <si>
    <t>2,246.50</t>
  </si>
  <si>
    <t>2,266.20</t>
  </si>
  <si>
    <t>2,252.60</t>
  </si>
  <si>
    <t>2,249.65</t>
  </si>
  <si>
    <t>2,258.30</t>
  </si>
  <si>
    <t>2,193.95</t>
  </si>
  <si>
    <t>2,207.05</t>
  </si>
  <si>
    <t>2,199.35</t>
  </si>
  <si>
    <t>2,201.85</t>
  </si>
  <si>
    <t>2,218.60</t>
  </si>
  <si>
    <t>2,200.70</t>
  </si>
  <si>
    <t>2,211.15</t>
  </si>
  <si>
    <t>2,198.15</t>
  </si>
  <si>
    <t>2,211.95</t>
  </si>
  <si>
    <t>2,199.65</t>
  </si>
  <si>
    <t>2,204.50</t>
  </si>
  <si>
    <t>2,195.85</t>
  </si>
  <si>
    <t>2,225.05</t>
  </si>
  <si>
    <t>2,244.40</t>
  </si>
  <si>
    <t>2,237.15</t>
  </si>
  <si>
    <t>2,254.60</t>
  </si>
  <si>
    <t>2,269.65</t>
  </si>
  <si>
    <t>2,276.75</t>
  </si>
  <si>
    <t>2,211.45</t>
  </si>
  <si>
    <t>2,208.20</t>
  </si>
  <si>
    <t>2,201.20</t>
  </si>
  <si>
    <t>2,200.55</t>
  </si>
  <si>
    <t>2,206.15</t>
  </si>
  <si>
    <t>2,184.90</t>
  </si>
  <si>
    <t>2,188.10</t>
  </si>
  <si>
    <t>2,214.40</t>
  </si>
  <si>
    <t>2,225.15</t>
  </si>
  <si>
    <t>2,232.55</t>
  </si>
  <si>
    <t>2,224.95</t>
  </si>
  <si>
    <t>2,146.45</t>
  </si>
  <si>
    <t>2,131.60</t>
  </si>
  <si>
    <t>2,178.95</t>
  </si>
  <si>
    <t>2,225.55</t>
  </si>
  <si>
    <t>2,219.80</t>
  </si>
  <si>
    <t>2,236.80</t>
  </si>
  <si>
    <t>2,271.30</t>
  </si>
  <si>
    <t>2,271.75</t>
  </si>
  <si>
    <t>2,254.90</t>
  </si>
  <si>
    <t>2,255.15</t>
  </si>
  <si>
    <t>2,265.00</t>
  </si>
  <si>
    <t>2,265.45</t>
  </si>
  <si>
    <t>2,288.85</t>
  </si>
  <si>
    <t>2,270.30</t>
  </si>
  <si>
    <t>2,272.05</t>
  </si>
  <si>
    <t>2,264.40</t>
  </si>
  <si>
    <t>2,281.55</t>
  </si>
  <si>
    <t>2,289.85</t>
  </si>
  <si>
    <t>2,296.50</t>
  </si>
  <si>
    <t>2,287.70</t>
  </si>
  <si>
    <t>2,279.85</t>
  </si>
  <si>
    <t>2,295.50</t>
  </si>
  <si>
    <t>2,309.80</t>
  </si>
  <si>
    <t>2,330.65</t>
  </si>
  <si>
    <t>2,327.70</t>
  </si>
  <si>
    <t>2,354.30</t>
  </si>
  <si>
    <t>2,348.55</t>
  </si>
  <si>
    <t>2,326.55</t>
  </si>
  <si>
    <t>2,354.60</t>
  </si>
  <si>
    <t>2,321.15</t>
  </si>
  <si>
    <t>2,289.65</t>
  </si>
  <si>
    <t>2,310.65</t>
  </si>
  <si>
    <t>2,342.30</t>
  </si>
  <si>
    <t>2,325.55</t>
  </si>
  <si>
    <t>2,287.00</t>
  </si>
  <si>
    <t>2,245.05</t>
  </si>
  <si>
    <t>2,232.05</t>
  </si>
  <si>
    <t>2,267.90</t>
  </si>
  <si>
    <t>2,298.55</t>
  </si>
  <si>
    <t>2,303.55</t>
  </si>
  <si>
    <t>2,293.90</t>
  </si>
  <si>
    <t>2,284.45</t>
  </si>
  <si>
    <t>2,270.50</t>
  </si>
  <si>
    <t>2,279.75</t>
  </si>
  <si>
    <t>2,277.20</t>
  </si>
  <si>
    <t>2,264.35</t>
  </si>
  <si>
    <t>2,269.40</t>
  </si>
  <si>
    <t>2,283.70</t>
  </si>
  <si>
    <t>2,253.45</t>
  </si>
  <si>
    <t>2,277.60</t>
  </si>
  <si>
    <t>2,278.95</t>
  </si>
  <si>
    <t>2,278.25</t>
  </si>
  <si>
    <t>2,314.35</t>
  </si>
  <si>
    <t>2,250.40</t>
  </si>
  <si>
    <t>2,253.80</t>
  </si>
  <si>
    <t>2,267.35</t>
  </si>
  <si>
    <t>2,219.10</t>
  </si>
  <si>
    <t>2,202.60</t>
  </si>
  <si>
    <t>2,225.50</t>
  </si>
  <si>
    <t>2,198.40</t>
  </si>
  <si>
    <t>2,180.45</t>
  </si>
  <si>
    <t>2,179.50</t>
  </si>
  <si>
    <t>2,206.20</t>
  </si>
  <si>
    <t>2,219.95</t>
  </si>
  <si>
    <t>2,205.55</t>
  </si>
  <si>
    <t>2,191.65</t>
  </si>
  <si>
    <t>2,198.90</t>
  </si>
  <si>
    <t>2,214.70</t>
  </si>
  <si>
    <t>2,248.40</t>
  </si>
  <si>
    <t>2,243.15</t>
  </si>
  <si>
    <t>2,240.60</t>
  </si>
  <si>
    <t>2,229.10</t>
  </si>
  <si>
    <t>2,214.35</t>
  </si>
  <si>
    <t>2,219.65</t>
  </si>
  <si>
    <t>2,213.15</t>
  </si>
  <si>
    <t>2,208.85</t>
  </si>
  <si>
    <t>2,198.55</t>
  </si>
  <si>
    <t>2,266.05</t>
  </si>
  <si>
    <t>2,290.00</t>
  </si>
  <si>
    <t>2,259.55</t>
  </si>
  <si>
    <t>2,344.45</t>
  </si>
  <si>
    <t>2,401.35</t>
  </si>
  <si>
    <t>2,383.35</t>
  </si>
  <si>
    <t>2,427.95</t>
  </si>
  <si>
    <t>2,371.75</t>
  </si>
  <si>
    <t>Dulux Paint</t>
  </si>
  <si>
    <t>Asset Weight</t>
  </si>
  <si>
    <t>Dulux Paints</t>
  </si>
  <si>
    <t>Shalimar Paints</t>
  </si>
  <si>
    <t>Nerolac Paints</t>
  </si>
  <si>
    <t>indigo Paints</t>
  </si>
  <si>
    <t>Total</t>
  </si>
  <si>
    <t>Column1</t>
  </si>
  <si>
    <t>Sirca Paints</t>
  </si>
  <si>
    <t>Market Capitalisation (in Trillion Rupees)</t>
  </si>
  <si>
    <t>ASP</t>
  </si>
  <si>
    <t>BER</t>
  </si>
  <si>
    <t>IND</t>
  </si>
  <si>
    <t>NER</t>
  </si>
  <si>
    <t>SHA</t>
  </si>
  <si>
    <t>DUL</t>
  </si>
  <si>
    <t>SIR</t>
  </si>
  <si>
    <t>ASP_RET</t>
  </si>
  <si>
    <t>BER_RET</t>
  </si>
  <si>
    <t>IND_RET</t>
  </si>
  <si>
    <t>NER_RET</t>
  </si>
  <si>
    <t>SHA_RET</t>
  </si>
  <si>
    <t>DUL_RET</t>
  </si>
  <si>
    <t>SIR_RET</t>
  </si>
  <si>
    <t>-</t>
  </si>
  <si>
    <t>Portfolio Return</t>
  </si>
  <si>
    <t>A hypothetical portfolio value of ₹10,000,000 is assumed.</t>
  </si>
  <si>
    <t>Portfolio Value</t>
  </si>
  <si>
    <t>Mean Return</t>
  </si>
  <si>
    <t>Daily Volatility (Standard Deviation)</t>
  </si>
  <si>
    <t>Z - score (95% Confidence Interval)</t>
  </si>
  <si>
    <t>Z - score (99% Confidence Interval)</t>
  </si>
  <si>
    <t>99% Confidence Interval</t>
  </si>
  <si>
    <t>95% Confidence Interval</t>
  </si>
  <si>
    <t>VAR</t>
  </si>
  <si>
    <t>VALUE</t>
  </si>
  <si>
    <t xml:space="preserve">                                                     INTERPRETATION</t>
  </si>
  <si>
    <t>Portfolio</t>
  </si>
  <si>
    <t>Daily Volatility</t>
  </si>
  <si>
    <t>Current Portofolio Value</t>
  </si>
  <si>
    <t>Simulations</t>
  </si>
  <si>
    <t>Random simulations</t>
  </si>
  <si>
    <t>Simulated Returns</t>
  </si>
  <si>
    <t>Simulated Portfolio Value</t>
  </si>
  <si>
    <t>Loss</t>
  </si>
  <si>
    <t>VAR Return</t>
  </si>
  <si>
    <t>Interpretation</t>
  </si>
  <si>
    <t>95% Confidence</t>
  </si>
  <si>
    <t>99% Confidence</t>
  </si>
  <si>
    <t>Model</t>
  </si>
  <si>
    <t>95% VAR</t>
  </si>
  <si>
    <t>99% VAR</t>
  </si>
  <si>
    <t>Parametric VAR</t>
  </si>
  <si>
    <t>Historical Simulation</t>
  </si>
  <si>
    <t>Monte Carlo Simulation</t>
  </si>
  <si>
    <t>The three methods produce slightly different VaR estimates due to their underlying assumptions. The parametric model assumes normally distributed returns, while the historical and Monte Carlo approaches capture non-normal features of the return distribution.</t>
  </si>
  <si>
    <t>Historical Simulation VAR</t>
  </si>
  <si>
    <t>Monte Carlo Simulation VAR</t>
  </si>
  <si>
    <t>Breach</t>
  </si>
  <si>
    <t>Expected Breaches</t>
  </si>
  <si>
    <t>Actual Breaches</t>
  </si>
  <si>
    <t>Difference</t>
  </si>
  <si>
    <t>Method</t>
  </si>
  <si>
    <t>Predicts slightly more risk at 95% level, and underestimates the risk at 99% level.</t>
  </si>
  <si>
    <t>Predicts risk almost perfectly at the 95% level and slightly underestimates at the 99% level.</t>
  </si>
  <si>
    <t>Overestimates risk at the 95% and Underestimates 99% level.</t>
  </si>
  <si>
    <t>Last 252 observations have been chosen to check the Basel Traffic Light Test at 99% confidence level.</t>
  </si>
  <si>
    <t>Historical VAR</t>
  </si>
  <si>
    <t>Basel Traffic Light Classification</t>
  </si>
  <si>
    <t>Breaches</t>
  </si>
  <si>
    <t>Zone</t>
  </si>
  <si>
    <t>0–4</t>
  </si>
  <si>
    <t>Green</t>
  </si>
  <si>
    <t>5–9</t>
  </si>
  <si>
    <t>Yellow</t>
  </si>
  <si>
    <t>10+</t>
  </si>
  <si>
    <t>Red</t>
  </si>
  <si>
    <t>Breaches (last 252 days)</t>
  </si>
  <si>
    <t>Parametric</t>
  </si>
  <si>
    <t>Historical</t>
  </si>
  <si>
    <t>Monte Carlo</t>
  </si>
  <si>
    <t>Number of Stocks</t>
  </si>
  <si>
    <t>Data Period</t>
  </si>
  <si>
    <t>Observations</t>
  </si>
  <si>
    <t>Daily Mean Return</t>
  </si>
  <si>
    <t>"Apr'21 - Mar'26"</t>
  </si>
  <si>
    <t>Portfolio Summary</t>
  </si>
  <si>
    <t>95% VaR</t>
  </si>
  <si>
    <t>99% VaR</t>
  </si>
  <si>
    <t>VAR Metrics</t>
  </si>
  <si>
    <t>Basel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</si>
</sst>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6" formatCode="&quot;₹&quot;\ #,##0;[Red]&quot;₹&quot;\ \-#,##0"/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0.0%"/>
    <numFmt numFmtId="165" formatCode="0.0000"/>
    <numFmt numFmtId="166" formatCode="0.000"/>
    <numFmt numFmtId="167" formatCode="_ [$₹-4009]\ * #,##0.00_ ;_ [$₹-4009]\ * \-#,##0.00_ ;_ [$₹-4009]\ * &quot;-&quot;??_ ;_ @_ "/>
    <numFmt numFmtId="168" formatCode="0.000%"/>
    <numFmt numFmtId="169" formatCode="&quot;₹&quot;\ #,##0.00"/>
  </numFmts>
  <fonts count="7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7" xfId="0" applyBorder="1"/>
    <xf numFmtId="10" fontId="0" fillId="0" borderId="7" xfId="0" applyNumberFormat="1" applyBorder="1"/>
    <xf numFmtId="0" fontId="2" fillId="0" borderId="3" xfId="0" applyFont="1" applyBorder="1"/>
    <xf numFmtId="164" fontId="3" fillId="0" borderId="7" xfId="1" applyNumberFormat="1" applyFont="1" applyBorder="1"/>
    <xf numFmtId="164" fontId="3" fillId="0" borderId="2" xfId="1" applyNumberFormat="1" applyFont="1" applyBorder="1"/>
    <xf numFmtId="164" fontId="3" fillId="0" borderId="3" xfId="1" applyNumberFormat="1" applyFont="1" applyBorder="1"/>
    <xf numFmtId="164" fontId="3" fillId="0" borderId="13" xfId="1" applyNumberFormat="1" applyFont="1" applyBorder="1"/>
    <xf numFmtId="0" fontId="3" fillId="0" borderId="0" xfId="0" applyFont="1"/>
    <xf numFmtId="0" fontId="2" fillId="0" borderId="7" xfId="0" applyFont="1" applyBorder="1"/>
    <xf numFmtId="0" fontId="2" fillId="0" borderId="2" xfId="0" applyFont="1" applyBorder="1"/>
    <xf numFmtId="0" fontId="2" fillId="0" borderId="13" xfId="0" applyFont="1" applyBorder="1"/>
    <xf numFmtId="14" fontId="3" fillId="0" borderId="5" xfId="0" applyNumberFormat="1" applyFont="1" applyBorder="1"/>
    <xf numFmtId="10" fontId="3" fillId="0" borderId="11" xfId="1" applyNumberFormat="1" applyFont="1" applyBorder="1"/>
    <xf numFmtId="10" fontId="3" fillId="0" borderId="0" xfId="1" applyNumberFormat="1" applyFont="1" applyBorder="1"/>
    <xf numFmtId="10" fontId="3" fillId="0" borderId="8" xfId="1" applyNumberFormat="1" applyFont="1" applyBorder="1"/>
    <xf numFmtId="14" fontId="3" fillId="0" borderId="6" xfId="0" applyNumberFormat="1" applyFont="1" applyBorder="1"/>
    <xf numFmtId="10" fontId="3" fillId="0" borderId="12" xfId="1" applyNumberFormat="1" applyFont="1" applyBorder="1"/>
    <xf numFmtId="10" fontId="3" fillId="0" borderId="1" xfId="1" applyNumberFormat="1" applyFont="1" applyBorder="1"/>
    <xf numFmtId="10" fontId="3" fillId="0" borderId="9" xfId="1" applyNumberFormat="1" applyFont="1" applyBorder="1"/>
    <xf numFmtId="6" fontId="0" fillId="0" borderId="7" xfId="0" applyNumberFormat="1" applyBorder="1"/>
    <xf numFmtId="169" fontId="0" fillId="0" borderId="7" xfId="0" applyNumberFormat="1" applyBorder="1"/>
    <xf numFmtId="165" fontId="4" fillId="0" borderId="7" xfId="0" applyNumberFormat="1" applyFont="1" applyBorder="1"/>
    <xf numFmtId="0" fontId="3" fillId="0" borderId="0" xfId="0" applyFont="1" applyAlignment="1">
      <alignment wrapText="1"/>
    </xf>
    <xf numFmtId="0" fontId="2" fillId="0" borderId="0" xfId="0" applyFont="1"/>
    <xf numFmtId="10" fontId="3" fillId="0" borderId="0" xfId="1" applyNumberFormat="1" applyFont="1"/>
    <xf numFmtId="10" fontId="2" fillId="0" borderId="0" xfId="1" applyNumberFormat="1" applyFont="1"/>
    <xf numFmtId="14" fontId="3" fillId="0" borderId="0" xfId="0" applyNumberFormat="1" applyFont="1"/>
    <xf numFmtId="2" fontId="3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0" fontId="3" fillId="0" borderId="4" xfId="0" applyFont="1" applyBorder="1"/>
    <xf numFmtId="6" fontId="3" fillId="0" borderId="10" xfId="0" applyNumberFormat="1" applyFont="1" applyBorder="1"/>
    <xf numFmtId="0" fontId="3" fillId="0" borderId="3" xfId="0" applyFont="1" applyBorder="1"/>
    <xf numFmtId="10" fontId="3" fillId="0" borderId="7" xfId="0" applyNumberFormat="1" applyFont="1" applyBorder="1"/>
    <xf numFmtId="0" fontId="3" fillId="0" borderId="5" xfId="0" applyFont="1" applyBorder="1"/>
    <xf numFmtId="2" fontId="3" fillId="0" borderId="7" xfId="0" applyNumberFormat="1" applyFont="1" applyBorder="1"/>
    <xf numFmtId="0" fontId="3" fillId="0" borderId="6" xfId="0" applyFont="1" applyBorder="1"/>
    <xf numFmtId="2" fontId="3" fillId="0" borderId="12" xfId="0" applyNumberFormat="1" applyFont="1" applyBorder="1"/>
    <xf numFmtId="0" fontId="3" fillId="0" borderId="7" xfId="0" applyFont="1" applyBorder="1"/>
    <xf numFmtId="0" fontId="3" fillId="0" borderId="2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3" xfId="0" applyFont="1" applyBorder="1"/>
    <xf numFmtId="0" fontId="3" fillId="0" borderId="11" xfId="0" applyFont="1" applyBorder="1"/>
    <xf numFmtId="2" fontId="3" fillId="0" borderId="0" xfId="0" applyNumberFormat="1" applyFont="1"/>
    <xf numFmtId="2" fontId="3" fillId="0" borderId="11" xfId="0" applyNumberFormat="1" applyFont="1" applyBorder="1"/>
    <xf numFmtId="0" fontId="3" fillId="0" borderId="8" xfId="0" applyFont="1" applyBorder="1"/>
    <xf numFmtId="0" fontId="3" fillId="0" borderId="12" xfId="0" applyFont="1" applyBorder="1"/>
    <xf numFmtId="166" fontId="3" fillId="0" borderId="1" xfId="0" applyNumberFormat="1" applyFont="1" applyBorder="1"/>
    <xf numFmtId="0" fontId="3" fillId="0" borderId="9" xfId="0" applyFont="1" applyBorder="1"/>
    <xf numFmtId="0" fontId="3" fillId="0" borderId="0" xfId="0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44" fontId="3" fillId="0" borderId="11" xfId="2" applyFont="1" applyBorder="1"/>
    <xf numFmtId="0" fontId="3" fillId="0" borderId="12" xfId="0" applyFont="1" applyBorder="1" applyAlignment="1">
      <alignment horizontal="left"/>
    </xf>
    <xf numFmtId="167" fontId="3" fillId="0" borderId="12" xfId="0" applyNumberFormat="1" applyFont="1" applyBorder="1"/>
    <xf numFmtId="168" fontId="3" fillId="0" borderId="0" xfId="0" applyNumberFormat="1" applyFont="1"/>
    <xf numFmtId="167" fontId="3" fillId="0" borderId="0" xfId="0" applyNumberFormat="1" applyFont="1"/>
    <xf numFmtId="8" fontId="3" fillId="0" borderId="0" xfId="0" applyNumberFormat="1" applyFont="1"/>
    <xf numFmtId="8" fontId="0" fillId="0" borderId="0" xfId="0" applyNumberFormat="1"/>
    <xf numFmtId="0" fontId="4" fillId="0" borderId="7" xfId="0" applyFont="1" applyBorder="1"/>
    <xf numFmtId="8" fontId="0" fillId="0" borderId="7" xfId="0" applyNumberFormat="1" applyBorder="1"/>
    <xf numFmtId="0" fontId="0" fillId="0" borderId="0" xfId="0" applyAlignment="1">
      <alignment vertical="top" wrapText="1"/>
    </xf>
    <xf numFmtId="0" fontId="0" fillId="0" borderId="7" xfId="0" applyBorder="1" applyAlignment="1">
      <alignment horizontal="center" vertical="center" wrapText="1"/>
    </xf>
    <xf numFmtId="9" fontId="0" fillId="0" borderId="7" xfId="0" applyNumberFormat="1" applyBorder="1"/>
    <xf numFmtId="10" fontId="3" fillId="0" borderId="14" xfId="1" applyNumberFormat="1" applyFont="1" applyBorder="1"/>
    <xf numFmtId="10" fontId="0" fillId="0" borderId="0" xfId="1" applyNumberFormat="1" applyFont="1"/>
    <xf numFmtId="0" fontId="0" fillId="0" borderId="3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4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0" fillId="3" borderId="7" xfId="0" applyFill="1" applyBorder="1" applyAlignment="1">
      <alignment vertical="center" wrapText="1"/>
    </xf>
    <xf numFmtId="0" fontId="0" fillId="4" borderId="7" xfId="0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6" fillId="0" borderId="0" xfId="0" applyNumberFormat="1" applyFont="1" applyAlignment="1">
      <alignment vertical="center" wrapText="1"/>
    </xf>
    <xf numFmtId="0" fontId="6" fillId="0" borderId="0" xfId="0" applyFont="1" applyAlignment="1">
      <alignment vertical="center" wrapText="1"/>
    </xf>
    <xf numFmtId="10" fontId="6" fillId="0" borderId="0" xfId="0" applyNumberFormat="1" applyFont="1" applyAlignment="1">
      <alignment vertical="center" wrapText="1"/>
    </xf>
    <xf numFmtId="2" fontId="0" fillId="0" borderId="0" xfId="0" applyNumberFormat="1" applyAlignment="1">
      <alignment vertical="center" wrapText="1"/>
    </xf>
    <xf numFmtId="166" fontId="0" fillId="0" borderId="0" xfId="0" applyNumberFormat="1" applyAlignment="1">
      <alignment vertical="center" wrapText="1"/>
    </xf>
    <xf numFmtId="0" fontId="5" fillId="5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</cellXfs>
  <cellStyles count="3">
    <cellStyle name="Currency" xfId="2" builtinId="4"/>
    <cellStyle name="Normal" xfId="0" builtinId="0"/>
    <cellStyle name="Percent" xfId="1" builtinId="5"/>
  </cellStyles>
  <dxfs count="38"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2" formatCode="0.00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</dxfs>
  <tableStyles count="1" defaultTableStyle="TableStyleMedium2" defaultPivotStyle="PivotStyleLight16">
    <tableStyle name="Invisible" pivot="0" table="0" count="0" xr9:uid="{FC91C55A-FC50-4EF5-BA5D-080F0125FA76}"/>
  </tableStyles>
  <colors>
    <mruColors>
      <color rgb="FF6FAE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VAR</a:t>
            </a:r>
            <a:r>
              <a:rPr lang="en-IN" b="1" baseline="0"/>
              <a:t> Model Comparison</a:t>
            </a:r>
            <a:endParaRPr lang="en-IN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Comparison'!$B$4</c:f>
              <c:strCache>
                <c:ptCount val="1"/>
                <c:pt idx="0">
                  <c:v>Parametric VAR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 Comparison'!$C$3:$D$3</c:f>
              <c:strCache>
                <c:ptCount val="2"/>
                <c:pt idx="0">
                  <c:v>95% VAR</c:v>
                </c:pt>
                <c:pt idx="1">
                  <c:v>99% VAR</c:v>
                </c:pt>
              </c:strCache>
            </c:strRef>
          </c:cat>
          <c:val>
            <c:numRef>
              <c:f>'Model Comparison'!$C$4:$D$4</c:f>
              <c:numCache>
                <c:formatCode>"₹"#,##0.00_);[Red]\("₹"#,##0.00\)</c:formatCode>
                <c:ptCount val="2"/>
                <c:pt idx="0">
                  <c:v>202306.82479260259</c:v>
                </c:pt>
                <c:pt idx="1">
                  <c:v>286821.93012943491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85-4305-BB9E-3E3F048A611C}"/>
            </c:ext>
          </c:extLst>
        </c:ser>
        <c:ser>
          <c:idx val="1"/>
          <c:order val="1"/>
          <c:tx>
            <c:strRef>
              <c:f>'Model Comparison'!$B$5</c:f>
              <c:strCache>
                <c:ptCount val="1"/>
                <c:pt idx="0">
                  <c:v>Historical Simulation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 Comparison'!$C$3:$D$3</c:f>
              <c:strCache>
                <c:ptCount val="2"/>
                <c:pt idx="0">
                  <c:v>95% VAR</c:v>
                </c:pt>
                <c:pt idx="1">
                  <c:v>99% VAR</c:v>
                </c:pt>
              </c:strCache>
            </c:strRef>
          </c:cat>
          <c:val>
            <c:numRef>
              <c:f>'Model Comparison'!$C$5:$D$5</c:f>
              <c:numCache>
                <c:formatCode>"₹"\ #,##0.00</c:formatCode>
                <c:ptCount val="2"/>
                <c:pt idx="0">
                  <c:v>198397.29167757108</c:v>
                </c:pt>
                <c:pt idx="1">
                  <c:v>314289.16759065853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85-4305-BB9E-3E3F048A611C}"/>
            </c:ext>
          </c:extLst>
        </c:ser>
        <c:ser>
          <c:idx val="2"/>
          <c:order val="2"/>
          <c:tx>
            <c:strRef>
              <c:f>'Model Comparison'!$B$6</c:f>
              <c:strCache>
                <c:ptCount val="1"/>
                <c:pt idx="0">
                  <c:v>Monte Carlo Simulation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'Model Comparison'!$C$3:$D$3</c:f>
              <c:strCache>
                <c:ptCount val="2"/>
                <c:pt idx="0">
                  <c:v>95% VAR</c:v>
                </c:pt>
                <c:pt idx="1">
                  <c:v>99% VAR</c:v>
                </c:pt>
              </c:strCache>
            </c:strRef>
          </c:cat>
          <c:val>
            <c:numRef>
              <c:f>'Model Comparison'!$C$6:$D$6</c:f>
              <c:numCache>
                <c:formatCode>"₹"\ #,##0.00</c:formatCode>
                <c:ptCount val="2"/>
                <c:pt idx="0">
                  <c:v>215592.7071070938</c:v>
                </c:pt>
                <c:pt idx="1">
                  <c:v>291931.44057172054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85-4305-BB9E-3E3F048A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945711"/>
        <c:axId val="1047962031"/>
      </c:barChart>
      <c:catAx>
        <c:axId val="104794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62031"/>
        <c:crosses val="autoZero"/>
        <c:auto val="1"/>
        <c:lblAlgn val="ctr"/>
        <c:lblOffset val="100"/>
        <c:noMultiLvlLbl val="0"/>
      </c:catAx>
      <c:valAx>
        <c:axId val="10479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4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Portfolio Allocation</a:t>
            </a:r>
          </a:p>
        </c:rich>
      </c:tx>
      <c:overlay val="0"/>
      <c:spPr>
        <a:solidFill>
          <a:srgbClr val="6FAE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Asian Paints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Data!$C$4</c:f>
              <c:numCache>
                <c:formatCode>0.00%</c:formatCode>
                <c:ptCount val="1"/>
                <c:pt idx="0">
                  <c:v>0.71311053984575834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2F-4E49-B946-0A1D18AE9D7C}"/>
            </c:ext>
          </c:extLst>
        </c:ser>
        <c:ser>
          <c:idx val="1"/>
          <c:order val="1"/>
          <c:tx>
            <c:strRef>
              <c:f>Data!$D$2</c:f>
              <c:strCache>
                <c:ptCount val="1"/>
                <c:pt idx="0">
                  <c:v>Berger Paints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Data!$D$4</c:f>
              <c:numCache>
                <c:formatCode>0.00%</c:formatCode>
                <c:ptCount val="1"/>
                <c:pt idx="0">
                  <c:v>0.16874035989717223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2F-4E49-B946-0A1D18AE9D7C}"/>
            </c:ext>
          </c:extLst>
        </c:ser>
        <c:ser>
          <c:idx val="2"/>
          <c:order val="2"/>
          <c:tx>
            <c:strRef>
              <c:f>Data!$E$2</c:f>
              <c:strCache>
                <c:ptCount val="1"/>
                <c:pt idx="0">
                  <c:v>indigo Paints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Data!$E$4</c:f>
              <c:numCache>
                <c:formatCode>0.00%</c:formatCode>
                <c:ptCount val="1"/>
                <c:pt idx="0">
                  <c:v>1.2544987146529563E-2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2F-4E49-B946-0A1D18AE9D7C}"/>
            </c:ext>
          </c:extLst>
        </c:ser>
        <c:ser>
          <c:idx val="3"/>
          <c:order val="3"/>
          <c:tx>
            <c:strRef>
              <c:f>Data!$F$2</c:f>
              <c:strCache>
                <c:ptCount val="1"/>
                <c:pt idx="0">
                  <c:v>Nerolac Paints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Data!$F$4</c:f>
              <c:numCache>
                <c:formatCode>0.00%</c:formatCode>
                <c:ptCount val="1"/>
                <c:pt idx="0">
                  <c:v>4.9494430162810625E-2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2F-4E49-B946-0A1D18AE9D7C}"/>
            </c:ext>
          </c:extLst>
        </c:ser>
        <c:ser>
          <c:idx val="4"/>
          <c:order val="4"/>
          <c:tx>
            <c:strRef>
              <c:f>Data!$G$2</c:f>
              <c:strCache>
                <c:ptCount val="1"/>
                <c:pt idx="0">
                  <c:v>Shalimar Paints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Data!$G$4</c:f>
              <c:numCache>
                <c:formatCode>0.00%</c:formatCode>
                <c:ptCount val="1"/>
                <c:pt idx="0">
                  <c:v>1.1996572407883463E-3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2F-4E49-B946-0A1D18AE9D7C}"/>
            </c:ext>
          </c:extLst>
        </c:ser>
        <c:ser>
          <c:idx val="5"/>
          <c:order val="5"/>
          <c:tx>
            <c:strRef>
              <c:f>Data!$H$2</c:f>
              <c:strCache>
                <c:ptCount val="1"/>
                <c:pt idx="0">
                  <c:v>Dulux Paints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Data!$H$4</c:f>
              <c:numCache>
                <c:formatCode>0.00%</c:formatCode>
                <c:ptCount val="1"/>
                <c:pt idx="0">
                  <c:v>4.6683804627249352E-2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2F-4E49-B946-0A1D18AE9D7C}"/>
            </c:ext>
          </c:extLst>
        </c:ser>
        <c:ser>
          <c:idx val="6"/>
          <c:order val="6"/>
          <c:tx>
            <c:strRef>
              <c:f>Data!$I$2</c:f>
              <c:strCache>
                <c:ptCount val="1"/>
                <c:pt idx="0">
                  <c:v>Sirca Paints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Data!$I$4</c:f>
              <c:numCache>
                <c:formatCode>0.00%</c:formatCode>
                <c:ptCount val="1"/>
                <c:pt idx="0">
                  <c:v>8.2262210796915161E-3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2F-4E49-B946-0A1D18AE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2020640"/>
        <c:axId val="1042021120"/>
      </c:barChart>
      <c:catAx>
        <c:axId val="1042020640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021120"/>
        <c:crosses val="autoZero"/>
        <c:auto val="1"/>
        <c:lblAlgn val="ctr"/>
        <c:lblOffset val="100"/>
        <c:noMultiLvlLbl val="0"/>
      </c:catAx>
      <c:valAx>
        <c:axId val="1042021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202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VAR</a:t>
            </a:r>
            <a:r>
              <a:rPr lang="en-IN" b="1" baseline="0">
                <a:solidFill>
                  <a:schemeClr val="tx1"/>
                </a:solidFill>
              </a:rPr>
              <a:t> Model Comparison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solidFill>
          <a:srgbClr val="6FAE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Comparison'!$B$4</c:f>
              <c:strCache>
                <c:ptCount val="1"/>
                <c:pt idx="0">
                  <c:v>Parametric VAR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 Comparison'!$C$3:$D$3</c:f>
              <c:strCache>
                <c:ptCount val="2"/>
                <c:pt idx="0">
                  <c:v>95% VAR</c:v>
                </c:pt>
                <c:pt idx="1">
                  <c:v>99% VAR</c:v>
                </c:pt>
              </c:strCache>
            </c:strRef>
          </c:cat>
          <c:val>
            <c:numRef>
              <c:f>'Model Comparison'!$C$4:$D$4</c:f>
              <c:numCache>
                <c:formatCode>"₹"#,##0.00_);[Red]\("₹"#,##0.00\)</c:formatCode>
                <c:ptCount val="2"/>
                <c:pt idx="0">
                  <c:v>202306.82479260259</c:v>
                </c:pt>
                <c:pt idx="1">
                  <c:v>286821.93012943491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4-43F0-94B5-161C6817B740}"/>
            </c:ext>
          </c:extLst>
        </c:ser>
        <c:ser>
          <c:idx val="1"/>
          <c:order val="1"/>
          <c:tx>
            <c:strRef>
              <c:f>'Model Comparison'!$B$5</c:f>
              <c:strCache>
                <c:ptCount val="1"/>
                <c:pt idx="0">
                  <c:v>Historical Simulation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 Comparison'!$C$3:$D$3</c:f>
              <c:strCache>
                <c:ptCount val="2"/>
                <c:pt idx="0">
                  <c:v>95% VAR</c:v>
                </c:pt>
                <c:pt idx="1">
                  <c:v>99% VAR</c:v>
                </c:pt>
              </c:strCache>
            </c:strRef>
          </c:cat>
          <c:val>
            <c:numRef>
              <c:f>'Model Comparison'!$C$5:$D$5</c:f>
              <c:numCache>
                <c:formatCode>"₹"\ #,##0.00</c:formatCode>
                <c:ptCount val="2"/>
                <c:pt idx="0">
                  <c:v>198397.29167757108</c:v>
                </c:pt>
                <c:pt idx="1">
                  <c:v>314289.16759065853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4-43F0-94B5-161C6817B740}"/>
            </c:ext>
          </c:extLst>
        </c:ser>
        <c:ser>
          <c:idx val="2"/>
          <c:order val="2"/>
          <c:tx>
            <c:strRef>
              <c:f>'Model Comparison'!$B$6</c:f>
              <c:strCache>
                <c:ptCount val="1"/>
                <c:pt idx="0">
                  <c:v>Monte Carlo Simulation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'Model Comparison'!$C$3:$D$3</c:f>
              <c:strCache>
                <c:ptCount val="2"/>
                <c:pt idx="0">
                  <c:v>95% VAR</c:v>
                </c:pt>
                <c:pt idx="1">
                  <c:v>99% VAR</c:v>
                </c:pt>
              </c:strCache>
            </c:strRef>
          </c:cat>
          <c:val>
            <c:numRef>
              <c:f>'Model Comparison'!$C$6:$D$6</c:f>
              <c:numCache>
                <c:formatCode>"₹"\ #,##0.00</c:formatCode>
                <c:ptCount val="2"/>
                <c:pt idx="0">
                  <c:v>215592.7071070938</c:v>
                </c:pt>
                <c:pt idx="1">
                  <c:v>291931.44057172054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64-43F0-94B5-161C6817B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945711"/>
        <c:axId val="1047962031"/>
      </c:barChart>
      <c:catAx>
        <c:axId val="104794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62031"/>
        <c:crosses val="autoZero"/>
        <c:auto val="1"/>
        <c:lblAlgn val="ctr"/>
        <c:lblOffset val="100"/>
        <c:noMultiLvlLbl val="0"/>
      </c:catAx>
      <c:valAx>
        <c:axId val="104796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794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Portfolio Return Distribution</cx:v>
        </cx:txData>
      </cx:tx>
      <cx:spPr>
        <a:solidFill>
          <a:srgbClr val="6FAEFF"/>
        </a:solidFill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/>
              </a:solidFill>
            </a:defRPr>
          </a:pPr>
          <a:r>
            <a:rPr lang="en-US" sz="1400" b="1" i="0" u="none" strike="noStrike" baseline="0">
              <a:solidFill>
                <a:schemeClr val="tx1"/>
              </a:solidFill>
              <a:latin typeface="Calibri" panose="020F0502020204030204"/>
            </a:rPr>
            <a:t>Portfolio Return Distribution</a:t>
          </a:r>
        </a:p>
      </cx:txPr>
    </cx:title>
    <cx:plotArea>
      <cx:plotAreaRegion>
        <cx:series layoutId="clusteredColumn" uniqueId="{00000000-F908-43EA-8BF5-F199E4B0FD64}">
          <cx:tx>
            <cx:txData>
              <cx:f>_xlchart.v1.1</cx:f>
              <cx:v>Portfolio Return</cx:v>
            </cx:txData>
          </cx:tx>
          <cx:dataId val="0"/>
          <cx:layoutPr>
            <cx:binning intervalClosed="r"/>
          </cx:layoutPr>
        </cx:series>
      </cx:plotAreaRegion>
      <cx:axis id="0" hidden="1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microsoft.com/office/2014/relationships/chartEx" Target="../charts/chartEx1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8</xdr:row>
      <xdr:rowOff>0</xdr:rowOff>
    </xdr:from>
    <xdr:to>
      <xdr:col>12</xdr:col>
      <xdr:colOff>304800</xdr:colOff>
      <xdr:row>12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30A1815-8AFE-4A3B-8136-8B4FFEDC8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259080</xdr:colOff>
      <xdr:row>12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92A1B09-65DB-4265-9863-F250E8DB6F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</xdr:row>
      <xdr:rowOff>0</xdr:rowOff>
    </xdr:from>
    <xdr:to>
      <xdr:col>2</xdr:col>
      <xdr:colOff>480060</xdr:colOff>
      <xdr:row>19</xdr:row>
      <xdr:rowOff>129540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E3BE1050-D31E-461A-82C6-EDE75E6D71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645920"/>
              <a:ext cx="2804160" cy="19583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617220</xdr:colOff>
      <xdr:row>14</xdr:row>
      <xdr:rowOff>0</xdr:rowOff>
    </xdr:from>
    <xdr:to>
      <xdr:col>10</xdr:col>
      <xdr:colOff>281940</xdr:colOff>
      <xdr:row>24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0916FAE-90FB-44A1-B066-34ED798BD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69CFA-F950-42DC-8F9F-A4E4C647E7F6}" name="Table1" displayName="Table1" ref="B8:I1248" totalsRowShown="0" headerRowDxfId="37" dataDxfId="36">
  <autoFilter ref="B8:I1248" xr:uid="{C0E69CFA-F950-42DC-8F9F-A4E4C647E7F6}"/>
  <sortState xmlns:xlrd2="http://schemas.microsoft.com/office/spreadsheetml/2017/richdata2" ref="B9:H1248">
    <sortCondition descending="1" ref="B8:B1248"/>
  </sortState>
  <tableColumns count="8">
    <tableColumn id="1" xr3:uid="{6C270CEC-D6BD-4474-980C-6F1599DE00F9}" name="Date" dataDxfId="35"/>
    <tableColumn id="2" xr3:uid="{1AD739B2-0A7C-4FB1-A29E-CAA3F0004D43}" name="Asian Paints" dataDxfId="34"/>
    <tableColumn id="3" xr3:uid="{F44E3D4D-606E-4F18-A2A8-A85F0362C3F1}" name="Berger Paints" dataDxfId="33"/>
    <tableColumn id="4" xr3:uid="{B1DAA852-7DF5-4D3C-A9E9-76385B73F01A}" name="Indigo Paints" dataDxfId="32"/>
    <tableColumn id="5" xr3:uid="{AA51FE8B-88A2-4C04-B381-E73E3FEA9D74}" name="Nerolac Paint" dataDxfId="31"/>
    <tableColumn id="6" xr3:uid="{33B910E3-87CD-462C-B260-F83EFB45B419}" name="Shalimar Paint" dataDxfId="30"/>
    <tableColumn id="7" xr3:uid="{0F61BC62-DB38-416F-942A-9AFF859ABC1A}" name="Dulux Paint" dataDxfId="29"/>
    <tableColumn id="8" xr3:uid="{9AD403FB-D9DB-48E0-9778-402C2D31B6D4}" name="Sirca Paints" dataDxfId="28"/>
  </tableColumns>
  <tableStyleInfo name="TableStyleLight2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B0BC96-4306-4CBA-9D99-D5285B779DE4}" name="Table2" displayName="Table2" ref="B2:J4" totalsRowShown="0" headerRowDxfId="27" dataDxfId="26">
  <tableColumns count="9">
    <tableColumn id="1" xr3:uid="{9D4178CF-9697-423A-9595-A94AA4775C35}" name="Column1" dataDxfId="25"/>
    <tableColumn id="2" xr3:uid="{3BA5C2A3-2FE6-45CF-9F4F-02EC1AC3A611}" name="Asian Paints" dataDxfId="24">
      <calculatedColumnFormula>C2/$J$3</calculatedColumnFormula>
    </tableColumn>
    <tableColumn id="3" xr3:uid="{5D776638-4098-492C-864E-2D001EA57EF1}" name="Berger Paints" dataDxfId="23">
      <calculatedColumnFormula>D2/$J$3</calculatedColumnFormula>
    </tableColumn>
    <tableColumn id="4" xr3:uid="{4E155DF6-ACCB-446D-8CA7-70B8B9F30940}" name="indigo Paints" dataDxfId="22">
      <calculatedColumnFormula>E2/$J$3</calculatedColumnFormula>
    </tableColumn>
    <tableColumn id="5" xr3:uid="{EA0812DF-E82E-4725-BBC3-A6A800089C0B}" name="Nerolac Paints" dataDxfId="21">
      <calculatedColumnFormula>F2/$J$3</calculatedColumnFormula>
    </tableColumn>
    <tableColumn id="6" xr3:uid="{F946B5AC-B317-4E08-86A0-6CAE3D8C90A4}" name="Shalimar Paints" dataDxfId="20">
      <calculatedColumnFormula>G2/$J$3</calculatedColumnFormula>
    </tableColumn>
    <tableColumn id="7" xr3:uid="{43AD491F-6FBC-42D6-8795-4B7656533765}" name="Dulux Paints" dataDxfId="19">
      <calculatedColumnFormula>H2/$J$3</calculatedColumnFormula>
    </tableColumn>
    <tableColumn id="8" xr3:uid="{76420C8A-C65E-4684-A5AD-840C893E5D5C}" name="Sirca Paints" dataDxfId="18">
      <calculatedColumnFormula>I2/$J$3</calculatedColumnFormula>
    </tableColumn>
    <tableColumn id="9" xr3:uid="{3ECFF32E-46C2-47C3-BD1D-54091DFD79A5}" name="Total" dataDxfId="17">
      <calculatedColumnFormula>J2/$J$3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C15F55-C84B-4866-AD98-09E4970BC1DA}" name="Table3" displayName="Table3" ref="A1:O1241" totalsRowShown="0" headerRowDxfId="16" dataDxfId="15">
  <tableColumns count="15">
    <tableColumn id="1" xr3:uid="{39FC7BE1-B913-4C3C-99B1-4C3D45519F7B}" name="Date" dataDxfId="14"/>
    <tableColumn id="2" xr3:uid="{4C5F414F-9742-4F3A-B9B4-0E635B48752A}" name="ASP" dataDxfId="13"/>
    <tableColumn id="3" xr3:uid="{4B76FBDC-EE30-4729-8624-D76DA8EEB625}" name="BER" dataDxfId="12"/>
    <tableColumn id="4" xr3:uid="{46FCFB95-7B02-49C5-B343-A1B229FE0EDD}" name="IND" dataDxfId="11"/>
    <tableColumn id="5" xr3:uid="{BCA34350-D956-4289-8486-B1FF6B925BE8}" name="NER" dataDxfId="10"/>
    <tableColumn id="6" xr3:uid="{3AB2B542-2B79-4645-8484-285C605C1FDF}" name="SHA" dataDxfId="9"/>
    <tableColumn id="7" xr3:uid="{0D433FC8-9A0F-4D99-8497-88846AE31E1C}" name="DUL" dataDxfId="8"/>
    <tableColumn id="8" xr3:uid="{4814E3B6-0593-4F37-A544-ADEA15460CA9}" name="SIR" dataDxfId="7"/>
    <tableColumn id="9" xr3:uid="{130F6DE4-A63F-4698-A0B8-3B5E4C32FC25}" name="ASP_RET" dataDxfId="6">
      <calculatedColumnFormula>LN(B2/B1)</calculatedColumnFormula>
    </tableColumn>
    <tableColumn id="10" xr3:uid="{6B59117C-0EBF-479E-918E-753E3888A3AF}" name="BER_RET" dataDxfId="5">
      <calculatedColumnFormula>LN(C2/C1)</calculatedColumnFormula>
    </tableColumn>
    <tableColumn id="11" xr3:uid="{EA23D2B6-EC83-4A5E-BCDB-8042C5A47B86}" name="IND_RET" dataDxfId="4">
      <calculatedColumnFormula>LN(D2/D1)</calculatedColumnFormula>
    </tableColumn>
    <tableColumn id="12" xr3:uid="{505A66EC-5CE1-4607-A288-FA07E83FF83F}" name="NER_RET" dataDxfId="3">
      <calculatedColumnFormula>LN(E2/E1)</calculatedColumnFormula>
    </tableColumn>
    <tableColumn id="13" xr3:uid="{10C2E464-CD0A-4F6C-9FFE-DBDE56C9FB23}" name="SHA_RET" dataDxfId="2">
      <calculatedColumnFormula>LN(F2/F1)</calculatedColumnFormula>
    </tableColumn>
    <tableColumn id="14" xr3:uid="{BECA2228-4BC3-4542-89BD-B390D2A65689}" name="DUL_RET" dataDxfId="1">
      <calculatedColumnFormula>LN(G2/G1)</calculatedColumnFormula>
    </tableColumn>
    <tableColumn id="15" xr3:uid="{A87231AD-CCC7-471F-A4DF-A81FFD9DD96C}" name="SIR_RET" dataDxfId="0">
      <calculatedColumnFormula>LN(H2/H1)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71C11-6489-461A-8BC1-6CB00411F1AE}">
  <dimension ref="B2:J1248"/>
  <sheetViews>
    <sheetView showGridLines="0" workbookViewId="0">
      <selection activeCell="L14" sqref="L14"/>
    </sheetView>
  </sheetViews>
  <sheetFormatPr defaultRowHeight="13.8"/>
  <cols>
    <col min="1" max="1" width="8.88671875" style="8"/>
    <col min="2" max="2" width="21.88671875" style="8" customWidth="1"/>
    <col min="3" max="3" width="15.33203125" style="8" customWidth="1"/>
    <col min="4" max="4" width="15.6640625" style="8" customWidth="1"/>
    <col min="5" max="5" width="14" style="8" customWidth="1"/>
    <col min="6" max="6" width="14.88671875" style="8" customWidth="1"/>
    <col min="7" max="7" width="15.77734375" style="8" customWidth="1"/>
    <col min="8" max="8" width="14.6640625" style="8" customWidth="1"/>
    <col min="9" max="9" width="13.33203125" style="8" customWidth="1"/>
    <col min="10" max="16384" width="8.88671875" style="8"/>
  </cols>
  <sheetData>
    <row r="2" spans="2:10">
      <c r="B2" s="8" t="s">
        <v>3559</v>
      </c>
      <c r="C2" s="8" t="s">
        <v>1</v>
      </c>
      <c r="D2" s="8" t="s">
        <v>2</v>
      </c>
      <c r="E2" s="8" t="s">
        <v>3557</v>
      </c>
      <c r="F2" s="8" t="s">
        <v>3556</v>
      </c>
      <c r="G2" s="8" t="s">
        <v>3555</v>
      </c>
      <c r="H2" s="8" t="s">
        <v>3554</v>
      </c>
      <c r="I2" s="8" t="s">
        <v>3560</v>
      </c>
      <c r="J2" s="8" t="s">
        <v>3558</v>
      </c>
    </row>
    <row r="3" spans="2:10" ht="27.6">
      <c r="B3" s="23" t="s">
        <v>3561</v>
      </c>
      <c r="C3" s="8">
        <v>2.0804999999999998</v>
      </c>
      <c r="D3" s="8">
        <v>0.49230000000000002</v>
      </c>
      <c r="E3" s="8">
        <v>3.6600000000000001E-2</v>
      </c>
      <c r="F3" s="8">
        <v>0.1444</v>
      </c>
      <c r="G3" s="8">
        <v>3.5000000000000001E-3</v>
      </c>
      <c r="H3" s="8">
        <v>0.13619999999999999</v>
      </c>
      <c r="I3" s="8">
        <v>2.4E-2</v>
      </c>
      <c r="J3" s="24">
        <f>SUM(C3:I3)</f>
        <v>2.9175</v>
      </c>
    </row>
    <row r="4" spans="2:10">
      <c r="B4" s="8" t="s">
        <v>3553</v>
      </c>
      <c r="C4" s="25">
        <f>C3/$J$3</f>
        <v>0.71311053984575834</v>
      </c>
      <c r="D4" s="25">
        <f t="shared" ref="D4:J4" si="0">D3/$J$3</f>
        <v>0.16874035989717223</v>
      </c>
      <c r="E4" s="25">
        <f t="shared" si="0"/>
        <v>1.2544987146529563E-2</v>
      </c>
      <c r="F4" s="25">
        <f t="shared" si="0"/>
        <v>4.9494430162810625E-2</v>
      </c>
      <c r="G4" s="25">
        <f t="shared" si="0"/>
        <v>1.1996572407883463E-3</v>
      </c>
      <c r="H4" s="25">
        <f t="shared" si="0"/>
        <v>4.6683804627249352E-2</v>
      </c>
      <c r="I4" s="25">
        <f t="shared" si="0"/>
        <v>8.2262210796915161E-3</v>
      </c>
      <c r="J4" s="26">
        <f t="shared" si="0"/>
        <v>1</v>
      </c>
    </row>
    <row r="8" spans="2:10">
      <c r="B8" s="8" t="s">
        <v>0</v>
      </c>
      <c r="C8" s="8" t="s">
        <v>1</v>
      </c>
      <c r="D8" s="8" t="s">
        <v>2</v>
      </c>
      <c r="E8" s="8" t="s">
        <v>3</v>
      </c>
      <c r="F8" s="8" t="s">
        <v>4</v>
      </c>
      <c r="G8" s="8" t="s">
        <v>5</v>
      </c>
      <c r="H8" s="8" t="s">
        <v>3552</v>
      </c>
      <c r="I8" s="8" t="s">
        <v>3560</v>
      </c>
    </row>
    <row r="9" spans="2:10">
      <c r="B9" s="27">
        <v>46113</v>
      </c>
      <c r="C9" s="28" t="s">
        <v>6</v>
      </c>
      <c r="D9" s="28">
        <v>417.8</v>
      </c>
      <c r="E9" s="28" t="s">
        <v>1207</v>
      </c>
      <c r="F9" s="28">
        <v>175.56</v>
      </c>
      <c r="G9" s="28">
        <v>40.86</v>
      </c>
      <c r="H9" s="28" t="s">
        <v>2384</v>
      </c>
      <c r="I9" s="28">
        <v>422.75</v>
      </c>
    </row>
    <row r="10" spans="2:10">
      <c r="B10" s="27">
        <v>46111</v>
      </c>
      <c r="C10" s="28" t="s">
        <v>7</v>
      </c>
      <c r="D10" s="28">
        <v>410</v>
      </c>
      <c r="E10" s="28" t="s">
        <v>1208</v>
      </c>
      <c r="F10" s="28">
        <v>167.22</v>
      </c>
      <c r="G10" s="28">
        <v>36.08</v>
      </c>
      <c r="H10" s="28" t="s">
        <v>2385</v>
      </c>
      <c r="I10" s="28">
        <v>401.35</v>
      </c>
    </row>
    <row r="11" spans="2:10">
      <c r="B11" s="27">
        <v>46108</v>
      </c>
      <c r="C11" s="28" t="s">
        <v>8</v>
      </c>
      <c r="D11" s="28">
        <v>414.65</v>
      </c>
      <c r="E11" s="28" t="s">
        <v>1209</v>
      </c>
      <c r="F11" s="28">
        <v>170.5</v>
      </c>
      <c r="G11" s="28">
        <v>39.17</v>
      </c>
      <c r="H11" s="28" t="s">
        <v>2386</v>
      </c>
      <c r="I11" s="28">
        <v>419.7</v>
      </c>
    </row>
    <row r="12" spans="2:10">
      <c r="B12" s="27">
        <v>46106</v>
      </c>
      <c r="C12" s="28" t="s">
        <v>9</v>
      </c>
      <c r="D12" s="28">
        <v>425.45</v>
      </c>
      <c r="E12" s="28" t="s">
        <v>1210</v>
      </c>
      <c r="F12" s="28">
        <v>173.61</v>
      </c>
      <c r="G12" s="28">
        <v>41.58</v>
      </c>
      <c r="H12" s="28" t="s">
        <v>2387</v>
      </c>
      <c r="I12" s="28">
        <v>432.95</v>
      </c>
    </row>
    <row r="13" spans="2:10">
      <c r="B13" s="27">
        <v>46105</v>
      </c>
      <c r="C13" s="28" t="s">
        <v>10</v>
      </c>
      <c r="D13" s="28">
        <v>413.8</v>
      </c>
      <c r="E13" s="28" t="s">
        <v>1211</v>
      </c>
      <c r="F13" s="28">
        <v>161.29</v>
      </c>
      <c r="G13" s="28">
        <v>42.08</v>
      </c>
      <c r="H13" s="28" t="s">
        <v>2388</v>
      </c>
      <c r="I13" s="28">
        <v>416.2</v>
      </c>
    </row>
    <row r="14" spans="2:10">
      <c r="B14" s="27">
        <v>46104</v>
      </c>
      <c r="C14" s="28" t="s">
        <v>11</v>
      </c>
      <c r="D14" s="28">
        <v>405.45</v>
      </c>
      <c r="E14" s="28" t="s">
        <v>1212</v>
      </c>
      <c r="F14" s="28">
        <v>159.07</v>
      </c>
      <c r="G14" s="28">
        <v>40.67</v>
      </c>
      <c r="H14" s="28" t="s">
        <v>2389</v>
      </c>
      <c r="I14" s="28">
        <v>398.65</v>
      </c>
    </row>
    <row r="15" spans="2:10">
      <c r="B15" s="27">
        <v>46101</v>
      </c>
      <c r="C15" s="28" t="s">
        <v>12</v>
      </c>
      <c r="D15" s="28">
        <v>416.7</v>
      </c>
      <c r="E15" s="28" t="s">
        <v>1213</v>
      </c>
      <c r="F15" s="28">
        <v>166.77</v>
      </c>
      <c r="G15" s="28">
        <v>44.71</v>
      </c>
      <c r="H15" s="28" t="s">
        <v>2390</v>
      </c>
      <c r="I15" s="28">
        <v>429.25</v>
      </c>
    </row>
    <row r="16" spans="2:10">
      <c r="B16" s="27">
        <v>46100</v>
      </c>
      <c r="C16" s="28" t="s">
        <v>13</v>
      </c>
      <c r="D16" s="28">
        <v>409.45</v>
      </c>
      <c r="E16" s="28" t="s">
        <v>1214</v>
      </c>
      <c r="F16" s="28">
        <v>168.5</v>
      </c>
      <c r="G16" s="28">
        <v>45.4</v>
      </c>
      <c r="H16" s="28" t="s">
        <v>740</v>
      </c>
      <c r="I16" s="28">
        <v>424.65</v>
      </c>
    </row>
    <row r="17" spans="2:9">
      <c r="B17" s="27">
        <v>46099</v>
      </c>
      <c r="C17" s="28" t="s">
        <v>14</v>
      </c>
      <c r="D17" s="28">
        <v>414.95</v>
      </c>
      <c r="E17" s="28" t="s">
        <v>1215</v>
      </c>
      <c r="F17" s="28">
        <v>175.01</v>
      </c>
      <c r="G17" s="28">
        <v>47.69</v>
      </c>
      <c r="H17" s="28" t="s">
        <v>2391</v>
      </c>
      <c r="I17" s="28">
        <v>434</v>
      </c>
    </row>
    <row r="18" spans="2:9">
      <c r="B18" s="27">
        <v>46098</v>
      </c>
      <c r="C18" s="28" t="s">
        <v>15</v>
      </c>
      <c r="D18" s="28">
        <v>416.15</v>
      </c>
      <c r="E18" s="28" t="s">
        <v>1216</v>
      </c>
      <c r="F18" s="28">
        <v>173.72</v>
      </c>
      <c r="G18" s="28">
        <v>46.48</v>
      </c>
      <c r="H18" s="28" t="s">
        <v>2392</v>
      </c>
      <c r="I18" s="28">
        <v>426.3</v>
      </c>
    </row>
    <row r="19" spans="2:9">
      <c r="B19" s="27">
        <v>46097</v>
      </c>
      <c r="C19" s="28" t="s">
        <v>16</v>
      </c>
      <c r="D19" s="28">
        <v>404.5</v>
      </c>
      <c r="E19" s="28" t="s">
        <v>1217</v>
      </c>
      <c r="F19" s="28">
        <v>177.43</v>
      </c>
      <c r="G19" s="28">
        <v>48.35</v>
      </c>
      <c r="H19" s="28" t="s">
        <v>2393</v>
      </c>
      <c r="I19" s="28">
        <v>408.45</v>
      </c>
    </row>
    <row r="20" spans="2:9">
      <c r="B20" s="27">
        <v>46094</v>
      </c>
      <c r="C20" s="28" t="s">
        <v>17</v>
      </c>
      <c r="D20" s="28">
        <v>407.8</v>
      </c>
      <c r="E20" s="28" t="s">
        <v>1218</v>
      </c>
      <c r="F20" s="28">
        <v>182.14</v>
      </c>
      <c r="G20" s="28">
        <v>49.5</v>
      </c>
      <c r="H20" s="28" t="s">
        <v>2394</v>
      </c>
      <c r="I20" s="28">
        <v>410.25</v>
      </c>
    </row>
    <row r="21" spans="2:9">
      <c r="B21" s="27">
        <v>46093</v>
      </c>
      <c r="C21" s="28" t="s">
        <v>18</v>
      </c>
      <c r="D21" s="28">
        <v>422.7</v>
      </c>
      <c r="E21" s="28" t="s">
        <v>1219</v>
      </c>
      <c r="F21" s="28">
        <v>188.06</v>
      </c>
      <c r="G21" s="28">
        <v>52.01</v>
      </c>
      <c r="H21" s="28" t="s">
        <v>2395</v>
      </c>
      <c r="I21" s="28">
        <v>424.15</v>
      </c>
    </row>
    <row r="22" spans="2:9">
      <c r="B22" s="27">
        <v>46092</v>
      </c>
      <c r="C22" s="28" t="s">
        <v>19</v>
      </c>
      <c r="D22" s="28">
        <v>430.65</v>
      </c>
      <c r="E22" s="28" t="s">
        <v>1220</v>
      </c>
      <c r="F22" s="28">
        <v>187.02</v>
      </c>
      <c r="G22" s="28">
        <v>52.26</v>
      </c>
      <c r="H22" s="28" t="s">
        <v>2396</v>
      </c>
      <c r="I22" s="28">
        <v>428.5</v>
      </c>
    </row>
    <row r="23" spans="2:9">
      <c r="B23" s="27">
        <v>46091</v>
      </c>
      <c r="C23" s="28" t="s">
        <v>20</v>
      </c>
      <c r="D23" s="28">
        <v>436.7</v>
      </c>
      <c r="E23" s="28" t="s">
        <v>1221</v>
      </c>
      <c r="F23" s="28">
        <v>185.6</v>
      </c>
      <c r="G23" s="28">
        <v>51.56</v>
      </c>
      <c r="H23" s="28" t="s">
        <v>2397</v>
      </c>
      <c r="I23" s="28">
        <v>438.75</v>
      </c>
    </row>
    <row r="24" spans="2:9">
      <c r="B24" s="27">
        <v>46090</v>
      </c>
      <c r="C24" s="28" t="s">
        <v>21</v>
      </c>
      <c r="D24" s="28">
        <v>434.2</v>
      </c>
      <c r="E24" s="28" t="s">
        <v>1222</v>
      </c>
      <c r="F24" s="28">
        <v>185.33</v>
      </c>
      <c r="G24" s="28">
        <v>50.65</v>
      </c>
      <c r="H24" s="28" t="s">
        <v>2398</v>
      </c>
      <c r="I24" s="28">
        <v>432.55</v>
      </c>
    </row>
    <row r="25" spans="2:9">
      <c r="B25" s="27">
        <v>46087</v>
      </c>
      <c r="C25" s="28" t="s">
        <v>22</v>
      </c>
      <c r="D25" s="28">
        <v>440.3</v>
      </c>
      <c r="E25" s="28" t="s">
        <v>1223</v>
      </c>
      <c r="F25" s="28">
        <v>189.19</v>
      </c>
      <c r="G25" s="28">
        <v>52.65</v>
      </c>
      <c r="H25" s="28" t="s">
        <v>2399</v>
      </c>
      <c r="I25" s="28">
        <v>451.4</v>
      </c>
    </row>
    <row r="26" spans="2:9">
      <c r="B26" s="27">
        <v>46086</v>
      </c>
      <c r="C26" s="28" t="s">
        <v>23</v>
      </c>
      <c r="D26" s="28">
        <v>434.8</v>
      </c>
      <c r="E26" s="28" t="s">
        <v>1224</v>
      </c>
      <c r="F26" s="28">
        <v>193.38</v>
      </c>
      <c r="G26" s="28">
        <v>52.53</v>
      </c>
      <c r="H26" s="28" t="s">
        <v>2400</v>
      </c>
      <c r="I26" s="28">
        <v>452.95</v>
      </c>
    </row>
    <row r="27" spans="2:9">
      <c r="B27" s="27">
        <v>46085</v>
      </c>
      <c r="C27" s="28" t="s">
        <v>24</v>
      </c>
      <c r="D27" s="28">
        <v>438.75</v>
      </c>
      <c r="E27" s="28" t="s">
        <v>1225</v>
      </c>
      <c r="F27" s="28">
        <v>194.93</v>
      </c>
      <c r="G27" s="28">
        <v>52.94</v>
      </c>
      <c r="H27" s="28" t="s">
        <v>2401</v>
      </c>
      <c r="I27" s="28">
        <v>437.8</v>
      </c>
    </row>
    <row r="28" spans="2:9">
      <c r="B28" s="27">
        <v>46083</v>
      </c>
      <c r="C28" s="28" t="s">
        <v>25</v>
      </c>
      <c r="D28" s="28">
        <v>447.4</v>
      </c>
      <c r="E28" s="28" t="s">
        <v>1226</v>
      </c>
      <c r="F28" s="28">
        <v>196.31</v>
      </c>
      <c r="G28" s="28">
        <v>54.02</v>
      </c>
      <c r="H28" s="28" t="s">
        <v>2402</v>
      </c>
      <c r="I28" s="28">
        <v>439</v>
      </c>
    </row>
    <row r="29" spans="2:9">
      <c r="B29" s="27">
        <v>46080</v>
      </c>
      <c r="C29" s="28" t="s">
        <v>26</v>
      </c>
      <c r="D29" s="28">
        <v>456.1</v>
      </c>
      <c r="E29" s="28" t="s">
        <v>1227</v>
      </c>
      <c r="F29" s="28">
        <v>203.51</v>
      </c>
      <c r="G29" s="28">
        <v>55.41</v>
      </c>
      <c r="H29" s="28" t="s">
        <v>2403</v>
      </c>
      <c r="I29" s="28">
        <v>457.25</v>
      </c>
    </row>
    <row r="30" spans="2:9">
      <c r="B30" s="27">
        <v>46079</v>
      </c>
      <c r="C30" s="28" t="s">
        <v>27</v>
      </c>
      <c r="D30" s="28">
        <v>459.25</v>
      </c>
      <c r="E30" s="28" t="s">
        <v>1228</v>
      </c>
      <c r="F30" s="28">
        <v>200.41</v>
      </c>
      <c r="G30" s="28">
        <v>57.08</v>
      </c>
      <c r="H30" s="28" t="s">
        <v>2404</v>
      </c>
      <c r="I30" s="28">
        <v>458.25</v>
      </c>
    </row>
    <row r="31" spans="2:9">
      <c r="B31" s="27">
        <v>46078</v>
      </c>
      <c r="C31" s="28" t="s">
        <v>28</v>
      </c>
      <c r="D31" s="28">
        <v>456.05</v>
      </c>
      <c r="E31" s="28" t="s">
        <v>1229</v>
      </c>
      <c r="F31" s="28">
        <v>200.64</v>
      </c>
      <c r="G31" s="28">
        <v>56.05</v>
      </c>
      <c r="H31" s="28" t="s">
        <v>2405</v>
      </c>
      <c r="I31" s="28">
        <v>459.35</v>
      </c>
    </row>
    <row r="32" spans="2:9">
      <c r="B32" s="27">
        <v>46077</v>
      </c>
      <c r="C32" s="28" t="s">
        <v>29</v>
      </c>
      <c r="D32" s="28">
        <v>462.7</v>
      </c>
      <c r="E32" s="28" t="s">
        <v>1230</v>
      </c>
      <c r="F32" s="28">
        <v>197.66</v>
      </c>
      <c r="G32" s="28">
        <v>55.48</v>
      </c>
      <c r="H32" s="28" t="s">
        <v>2406</v>
      </c>
      <c r="I32" s="28">
        <v>464.3</v>
      </c>
    </row>
    <row r="33" spans="2:9">
      <c r="B33" s="27">
        <v>46076</v>
      </c>
      <c r="C33" s="28" t="s">
        <v>30</v>
      </c>
      <c r="D33" s="28">
        <v>464.8</v>
      </c>
      <c r="E33" s="28" t="s">
        <v>1231</v>
      </c>
      <c r="F33" s="28">
        <v>199.64</v>
      </c>
      <c r="G33" s="28">
        <v>56.85</v>
      </c>
      <c r="H33" s="28" t="s">
        <v>2407</v>
      </c>
      <c r="I33" s="28">
        <v>467.9</v>
      </c>
    </row>
    <row r="34" spans="2:9">
      <c r="B34" s="27">
        <v>46073</v>
      </c>
      <c r="C34" s="28" t="s">
        <v>31</v>
      </c>
      <c r="D34" s="28">
        <v>455.45</v>
      </c>
      <c r="E34" s="28" t="s">
        <v>1232</v>
      </c>
      <c r="F34" s="28">
        <v>198.69</v>
      </c>
      <c r="G34" s="28">
        <v>57.26</v>
      </c>
      <c r="H34" s="28" t="s">
        <v>2408</v>
      </c>
      <c r="I34" s="28">
        <v>458.85</v>
      </c>
    </row>
    <row r="35" spans="2:9">
      <c r="B35" s="27">
        <v>46072</v>
      </c>
      <c r="C35" s="28" t="s">
        <v>32</v>
      </c>
      <c r="D35" s="28">
        <v>457.45</v>
      </c>
      <c r="E35" s="28" t="s">
        <v>1233</v>
      </c>
      <c r="F35" s="28">
        <v>200.5</v>
      </c>
      <c r="G35" s="28">
        <v>57.58</v>
      </c>
      <c r="H35" s="28" t="s">
        <v>2409</v>
      </c>
      <c r="I35" s="28">
        <v>466</v>
      </c>
    </row>
    <row r="36" spans="2:9">
      <c r="B36" s="27">
        <v>46071</v>
      </c>
      <c r="C36" s="28" t="s">
        <v>33</v>
      </c>
      <c r="D36" s="28">
        <v>460.4</v>
      </c>
      <c r="E36" s="28" t="s">
        <v>1234</v>
      </c>
      <c r="F36" s="28">
        <v>201.38</v>
      </c>
      <c r="G36" s="28">
        <v>59.54</v>
      </c>
      <c r="H36" s="28" t="s">
        <v>2410</v>
      </c>
      <c r="I36" s="28">
        <v>468</v>
      </c>
    </row>
    <row r="37" spans="2:9">
      <c r="B37" s="27">
        <v>46070</v>
      </c>
      <c r="C37" s="28" t="s">
        <v>34</v>
      </c>
      <c r="D37" s="28">
        <v>463.4</v>
      </c>
      <c r="E37" s="28" t="s">
        <v>1235</v>
      </c>
      <c r="F37" s="28">
        <v>202.39</v>
      </c>
      <c r="G37" s="28">
        <v>59.89</v>
      </c>
      <c r="H37" s="28" t="s">
        <v>2411</v>
      </c>
      <c r="I37" s="28">
        <v>467.3</v>
      </c>
    </row>
    <row r="38" spans="2:9">
      <c r="B38" s="27">
        <v>46069</v>
      </c>
      <c r="C38" s="28" t="s">
        <v>35</v>
      </c>
      <c r="D38" s="28">
        <v>462.4</v>
      </c>
      <c r="E38" s="28" t="s">
        <v>1236</v>
      </c>
      <c r="F38" s="28">
        <v>203.42</v>
      </c>
      <c r="G38" s="28">
        <v>59.14</v>
      </c>
      <c r="H38" s="28" t="s">
        <v>1146</v>
      </c>
      <c r="I38" s="28">
        <v>473.4</v>
      </c>
    </row>
    <row r="39" spans="2:9">
      <c r="B39" s="27">
        <v>46066</v>
      </c>
      <c r="C39" s="28" t="s">
        <v>36</v>
      </c>
      <c r="D39" s="28">
        <v>462</v>
      </c>
      <c r="E39" s="28" t="s">
        <v>1237</v>
      </c>
      <c r="F39" s="28">
        <v>200.03</v>
      </c>
      <c r="G39" s="28">
        <v>61.1</v>
      </c>
      <c r="H39" s="28" t="s">
        <v>2412</v>
      </c>
      <c r="I39" s="28">
        <v>472.6</v>
      </c>
    </row>
    <row r="40" spans="2:9">
      <c r="B40" s="27">
        <v>46065</v>
      </c>
      <c r="C40" s="28" t="s">
        <v>37</v>
      </c>
      <c r="D40" s="28">
        <v>460.75</v>
      </c>
      <c r="E40" s="28" t="s">
        <v>1238</v>
      </c>
      <c r="F40" s="28">
        <v>202.42</v>
      </c>
      <c r="G40" s="28">
        <v>62.72</v>
      </c>
      <c r="H40" s="28" t="s">
        <v>2413</v>
      </c>
      <c r="I40" s="28">
        <v>478.2</v>
      </c>
    </row>
    <row r="41" spans="2:9">
      <c r="B41" s="27">
        <v>46064</v>
      </c>
      <c r="C41" s="28" t="s">
        <v>38</v>
      </c>
      <c r="D41" s="28">
        <v>458.5</v>
      </c>
      <c r="E41" s="28" t="s">
        <v>1239</v>
      </c>
      <c r="F41" s="28">
        <v>206.44</v>
      </c>
      <c r="G41" s="28">
        <v>63.27</v>
      </c>
      <c r="H41" s="28" t="s">
        <v>2414</v>
      </c>
      <c r="I41" s="28">
        <v>479.5</v>
      </c>
    </row>
    <row r="42" spans="2:9">
      <c r="B42" s="27">
        <v>46063</v>
      </c>
      <c r="C42" s="28" t="s">
        <v>39</v>
      </c>
      <c r="D42" s="28">
        <v>458.65</v>
      </c>
      <c r="E42" s="28" t="s">
        <v>1240</v>
      </c>
      <c r="F42" s="28">
        <v>211.9</v>
      </c>
      <c r="G42" s="28">
        <v>63.86</v>
      </c>
      <c r="H42" s="28" t="s">
        <v>2415</v>
      </c>
      <c r="I42" s="28">
        <v>480.2</v>
      </c>
    </row>
    <row r="43" spans="2:9">
      <c r="B43" s="27">
        <v>46062</v>
      </c>
      <c r="C43" s="28" t="s">
        <v>40</v>
      </c>
      <c r="D43" s="28">
        <v>467.15</v>
      </c>
      <c r="E43" s="28" t="s">
        <v>1241</v>
      </c>
      <c r="F43" s="28">
        <v>212.59</v>
      </c>
      <c r="G43" s="28">
        <v>65.13</v>
      </c>
      <c r="H43" s="28" t="s">
        <v>1117</v>
      </c>
      <c r="I43" s="28">
        <v>469.1</v>
      </c>
    </row>
    <row r="44" spans="2:9">
      <c r="B44" s="27">
        <v>46059</v>
      </c>
      <c r="C44" s="28" t="s">
        <v>41</v>
      </c>
      <c r="D44" s="28">
        <v>472.4</v>
      </c>
      <c r="E44" s="28" t="s">
        <v>1242</v>
      </c>
      <c r="F44" s="28">
        <v>214.35</v>
      </c>
      <c r="G44" s="28">
        <v>62.6</v>
      </c>
      <c r="H44" s="28" t="s">
        <v>2416</v>
      </c>
      <c r="I44" s="28">
        <v>465.5</v>
      </c>
    </row>
    <row r="45" spans="2:9">
      <c r="B45" s="27">
        <v>46058</v>
      </c>
      <c r="C45" s="28" t="s">
        <v>33</v>
      </c>
      <c r="D45" s="28">
        <v>472.3</v>
      </c>
      <c r="E45" s="28" t="s">
        <v>1243</v>
      </c>
      <c r="F45" s="28">
        <v>218.31</v>
      </c>
      <c r="G45" s="28">
        <v>61.14</v>
      </c>
      <c r="H45" s="28" t="s">
        <v>2417</v>
      </c>
      <c r="I45" s="28">
        <v>479.05</v>
      </c>
    </row>
    <row r="46" spans="2:9">
      <c r="B46" s="27">
        <v>46057</v>
      </c>
      <c r="C46" s="28" t="s">
        <v>42</v>
      </c>
      <c r="D46" s="28">
        <v>480.1</v>
      </c>
      <c r="E46" s="28" t="s">
        <v>1244</v>
      </c>
      <c r="F46" s="28">
        <v>222.07</v>
      </c>
      <c r="G46" s="28">
        <v>63.44</v>
      </c>
      <c r="H46" s="28" t="s">
        <v>905</v>
      </c>
      <c r="I46" s="28">
        <v>477.15</v>
      </c>
    </row>
    <row r="47" spans="2:9">
      <c r="B47" s="27">
        <v>46056</v>
      </c>
      <c r="C47" s="28" t="s">
        <v>43</v>
      </c>
      <c r="D47" s="28">
        <v>480.05</v>
      </c>
      <c r="E47" s="28" t="s">
        <v>1245</v>
      </c>
      <c r="F47" s="28">
        <v>228.14</v>
      </c>
      <c r="G47" s="28">
        <v>62.96</v>
      </c>
      <c r="H47" s="28" t="s">
        <v>2418</v>
      </c>
      <c r="I47" s="28">
        <v>474.05</v>
      </c>
    </row>
    <row r="48" spans="2:9">
      <c r="B48" s="27">
        <v>46055</v>
      </c>
      <c r="C48" s="28" t="s">
        <v>44</v>
      </c>
      <c r="D48" s="28">
        <v>466.15</v>
      </c>
      <c r="E48" s="28" t="s">
        <v>1246</v>
      </c>
      <c r="F48" s="28">
        <v>234.17</v>
      </c>
      <c r="G48" s="28">
        <v>60.46</v>
      </c>
      <c r="H48" s="28" t="s">
        <v>2419</v>
      </c>
      <c r="I48" s="28">
        <v>455.5</v>
      </c>
    </row>
    <row r="49" spans="2:9">
      <c r="B49" s="27">
        <v>46054</v>
      </c>
      <c r="C49" s="28" t="s">
        <v>45</v>
      </c>
      <c r="D49" s="28">
        <v>462.85</v>
      </c>
      <c r="E49" s="28" t="s">
        <v>1247</v>
      </c>
      <c r="F49" s="28">
        <v>225.38</v>
      </c>
      <c r="G49" s="28">
        <v>61.96</v>
      </c>
      <c r="H49" s="28" t="s">
        <v>2420</v>
      </c>
      <c r="I49" s="28">
        <v>456.6</v>
      </c>
    </row>
    <row r="50" spans="2:9">
      <c r="B50" s="27">
        <v>46052</v>
      </c>
      <c r="C50" s="28" t="s">
        <v>46</v>
      </c>
      <c r="D50" s="28">
        <v>462.9</v>
      </c>
      <c r="E50" s="28" t="s">
        <v>1248</v>
      </c>
      <c r="F50" s="28">
        <v>230.19</v>
      </c>
      <c r="G50" s="28">
        <v>61.1</v>
      </c>
      <c r="H50" s="28" t="s">
        <v>2421</v>
      </c>
      <c r="I50" s="28">
        <v>463.85</v>
      </c>
    </row>
    <row r="51" spans="2:9">
      <c r="B51" s="27">
        <v>46051</v>
      </c>
      <c r="C51" s="28" t="s">
        <v>47</v>
      </c>
      <c r="D51" s="28">
        <v>463.5</v>
      </c>
      <c r="E51" s="28" t="s">
        <v>1249</v>
      </c>
      <c r="F51" s="28">
        <v>225.42</v>
      </c>
      <c r="G51" s="28">
        <v>63.66</v>
      </c>
      <c r="H51" s="28" t="s">
        <v>2422</v>
      </c>
      <c r="I51" s="28">
        <v>465.75</v>
      </c>
    </row>
    <row r="52" spans="2:9">
      <c r="B52" s="27">
        <v>46050</v>
      </c>
      <c r="C52" s="28" t="s">
        <v>48</v>
      </c>
      <c r="D52" s="28">
        <v>478.85</v>
      </c>
      <c r="E52" s="28" t="s">
        <v>1250</v>
      </c>
      <c r="F52" s="28">
        <v>226.19</v>
      </c>
      <c r="G52" s="28">
        <v>64.84</v>
      </c>
      <c r="H52" s="28" t="s">
        <v>2423</v>
      </c>
      <c r="I52" s="28">
        <v>479.8</v>
      </c>
    </row>
    <row r="53" spans="2:9">
      <c r="B53" s="27">
        <v>46049</v>
      </c>
      <c r="C53" s="28" t="s">
        <v>49</v>
      </c>
      <c r="D53" s="28">
        <v>495.3</v>
      </c>
      <c r="E53" s="28" t="s">
        <v>1251</v>
      </c>
      <c r="F53" s="28">
        <v>225.3</v>
      </c>
      <c r="G53" s="28">
        <v>64.12</v>
      </c>
      <c r="H53" s="28" t="s">
        <v>2424</v>
      </c>
      <c r="I53" s="28">
        <v>460.5</v>
      </c>
    </row>
    <row r="54" spans="2:9">
      <c r="B54" s="27">
        <v>46045</v>
      </c>
      <c r="C54" s="28" t="s">
        <v>50</v>
      </c>
      <c r="D54" s="28">
        <v>504.5</v>
      </c>
      <c r="E54" s="28" t="s">
        <v>1252</v>
      </c>
      <c r="F54" s="28">
        <v>227.08</v>
      </c>
      <c r="G54" s="28">
        <v>59.87</v>
      </c>
      <c r="H54" s="28" t="s">
        <v>2425</v>
      </c>
      <c r="I54" s="28">
        <v>459.95</v>
      </c>
    </row>
    <row r="55" spans="2:9">
      <c r="B55" s="27">
        <v>46044</v>
      </c>
      <c r="C55" s="28" t="s">
        <v>51</v>
      </c>
      <c r="D55" s="28">
        <v>507.8</v>
      </c>
      <c r="E55" s="28" t="s">
        <v>1253</v>
      </c>
      <c r="F55" s="28">
        <v>227.32</v>
      </c>
      <c r="G55" s="28">
        <v>65.03</v>
      </c>
      <c r="H55" s="28" t="s">
        <v>2426</v>
      </c>
      <c r="I55" s="28">
        <v>470.2</v>
      </c>
    </row>
    <row r="56" spans="2:9">
      <c r="B56" s="27">
        <v>46043</v>
      </c>
      <c r="C56" s="28" t="s">
        <v>52</v>
      </c>
      <c r="D56" s="28">
        <v>515.79999999999995</v>
      </c>
      <c r="E56" s="28" t="s">
        <v>1254</v>
      </c>
      <c r="F56" s="28">
        <v>229.21</v>
      </c>
      <c r="G56" s="28">
        <v>65.12</v>
      </c>
      <c r="H56" s="28" t="s">
        <v>2427</v>
      </c>
      <c r="I56" s="28">
        <v>469.05</v>
      </c>
    </row>
    <row r="57" spans="2:9">
      <c r="B57" s="27">
        <v>46042</v>
      </c>
      <c r="C57" s="28" t="s">
        <v>53</v>
      </c>
      <c r="D57" s="28">
        <v>514.35</v>
      </c>
      <c r="E57" s="28" t="s">
        <v>1255</v>
      </c>
      <c r="F57" s="28">
        <v>226.85</v>
      </c>
      <c r="G57" s="28">
        <v>67.22</v>
      </c>
      <c r="H57" s="28" t="s">
        <v>2428</v>
      </c>
      <c r="I57" s="28">
        <v>481.7</v>
      </c>
    </row>
    <row r="58" spans="2:9">
      <c r="B58" s="27">
        <v>46041</v>
      </c>
      <c r="C58" s="28" t="s">
        <v>54</v>
      </c>
      <c r="D58" s="28">
        <v>519.70000000000005</v>
      </c>
      <c r="E58" s="28" t="s">
        <v>1256</v>
      </c>
      <c r="F58" s="28">
        <v>232.74</v>
      </c>
      <c r="G58" s="28">
        <v>68.28</v>
      </c>
      <c r="H58" s="28" t="s">
        <v>2429</v>
      </c>
      <c r="I58" s="28">
        <v>493.7</v>
      </c>
    </row>
    <row r="59" spans="2:9">
      <c r="B59" s="27">
        <v>46038</v>
      </c>
      <c r="C59" s="28" t="s">
        <v>55</v>
      </c>
      <c r="D59" s="28">
        <v>519.75</v>
      </c>
      <c r="E59" s="28" t="s">
        <v>1257</v>
      </c>
      <c r="F59" s="28">
        <v>231.43</v>
      </c>
      <c r="G59" s="28">
        <v>69.349999999999994</v>
      </c>
      <c r="H59" s="28" t="s">
        <v>2430</v>
      </c>
      <c r="I59" s="28">
        <v>491.4</v>
      </c>
    </row>
    <row r="60" spans="2:9">
      <c r="B60" s="27">
        <v>46036</v>
      </c>
      <c r="C60" s="28" t="s">
        <v>56</v>
      </c>
      <c r="D60" s="28">
        <v>525.15</v>
      </c>
      <c r="E60" s="28" t="s">
        <v>1258</v>
      </c>
      <c r="F60" s="28">
        <v>236.55</v>
      </c>
      <c r="G60" s="28">
        <v>69.64</v>
      </c>
      <c r="H60" s="28" t="s">
        <v>2431</v>
      </c>
      <c r="I60" s="28">
        <v>485.15</v>
      </c>
    </row>
    <row r="61" spans="2:9">
      <c r="B61" s="27">
        <v>46035</v>
      </c>
      <c r="C61" s="28" t="s">
        <v>57</v>
      </c>
      <c r="D61" s="28">
        <v>520.75</v>
      </c>
      <c r="E61" s="28" t="s">
        <v>1259</v>
      </c>
      <c r="F61" s="28">
        <v>232.26</v>
      </c>
      <c r="G61" s="28">
        <v>67.900000000000006</v>
      </c>
      <c r="H61" s="28" t="s">
        <v>2432</v>
      </c>
      <c r="I61" s="28">
        <v>479</v>
      </c>
    </row>
    <row r="62" spans="2:9">
      <c r="B62" s="27">
        <v>46034</v>
      </c>
      <c r="C62" s="28" t="s">
        <v>58</v>
      </c>
      <c r="D62" s="28">
        <v>509.9</v>
      </c>
      <c r="E62" s="28" t="s">
        <v>1260</v>
      </c>
      <c r="F62" s="28">
        <v>230.64</v>
      </c>
      <c r="G62" s="28">
        <v>68.2</v>
      </c>
      <c r="H62" s="28" t="s">
        <v>2433</v>
      </c>
      <c r="I62" s="28">
        <v>468.55</v>
      </c>
    </row>
    <row r="63" spans="2:9">
      <c r="B63" s="27">
        <v>46031</v>
      </c>
      <c r="C63" s="28" t="s">
        <v>59</v>
      </c>
      <c r="D63" s="28">
        <v>514.20000000000005</v>
      </c>
      <c r="E63" s="28" t="s">
        <v>1261</v>
      </c>
      <c r="F63" s="28">
        <v>232.46</v>
      </c>
      <c r="G63" s="28">
        <v>68.599999999999994</v>
      </c>
      <c r="H63" s="28" t="s">
        <v>2434</v>
      </c>
      <c r="I63" s="28">
        <v>470.45</v>
      </c>
    </row>
    <row r="64" spans="2:9">
      <c r="B64" s="27">
        <v>46030</v>
      </c>
      <c r="C64" s="28" t="s">
        <v>60</v>
      </c>
      <c r="D64" s="28">
        <v>519.70000000000005</v>
      </c>
      <c r="E64" s="28" t="s">
        <v>1262</v>
      </c>
      <c r="F64" s="28">
        <v>234.59</v>
      </c>
      <c r="G64" s="28">
        <v>70.48</v>
      </c>
      <c r="H64" s="28" t="s">
        <v>2435</v>
      </c>
      <c r="I64" s="28">
        <v>483.7</v>
      </c>
    </row>
    <row r="65" spans="2:9">
      <c r="B65" s="27">
        <v>46029</v>
      </c>
      <c r="C65" s="28" t="s">
        <v>61</v>
      </c>
      <c r="D65" s="28">
        <v>526.15</v>
      </c>
      <c r="E65" s="28" t="s">
        <v>1263</v>
      </c>
      <c r="F65" s="28">
        <v>237.86</v>
      </c>
      <c r="G65" s="28">
        <v>73.17</v>
      </c>
      <c r="H65" s="28" t="s">
        <v>2436</v>
      </c>
      <c r="I65" s="28">
        <v>489.2</v>
      </c>
    </row>
    <row r="66" spans="2:9">
      <c r="B66" s="27">
        <v>46028</v>
      </c>
      <c r="C66" s="28" t="s">
        <v>62</v>
      </c>
      <c r="D66" s="28">
        <v>526.79999999999995</v>
      </c>
      <c r="E66" s="28" t="s">
        <v>1264</v>
      </c>
      <c r="F66" s="28">
        <v>240.25</v>
      </c>
      <c r="G66" s="28">
        <v>72.650000000000006</v>
      </c>
      <c r="H66" s="28" t="s">
        <v>2437</v>
      </c>
      <c r="I66" s="28">
        <v>491.4</v>
      </c>
    </row>
    <row r="67" spans="2:9">
      <c r="B67" s="27">
        <v>46027</v>
      </c>
      <c r="C67" s="28" t="s">
        <v>63</v>
      </c>
      <c r="D67" s="28">
        <v>528.6</v>
      </c>
      <c r="E67" s="28" t="s">
        <v>1265</v>
      </c>
      <c r="F67" s="28">
        <v>239.32</v>
      </c>
      <c r="G67" s="28">
        <v>73.510000000000005</v>
      </c>
      <c r="H67" s="28" t="s">
        <v>2438</v>
      </c>
      <c r="I67" s="28">
        <v>500.65</v>
      </c>
    </row>
    <row r="68" spans="2:9">
      <c r="B68" s="27">
        <v>46024</v>
      </c>
      <c r="C68" s="28" t="s">
        <v>64</v>
      </c>
      <c r="D68" s="28">
        <v>524.1</v>
      </c>
      <c r="E68" s="28" t="s">
        <v>1266</v>
      </c>
      <c r="F68" s="28">
        <v>241.08</v>
      </c>
      <c r="G68" s="28">
        <v>75.37</v>
      </c>
      <c r="H68" s="28" t="s">
        <v>2439</v>
      </c>
      <c r="I68" s="28">
        <v>503.65</v>
      </c>
    </row>
    <row r="69" spans="2:9">
      <c r="B69" s="27">
        <v>46023</v>
      </c>
      <c r="C69" s="28" t="s">
        <v>65</v>
      </c>
      <c r="D69" s="28">
        <v>533.65</v>
      </c>
      <c r="E69" s="28" t="s">
        <v>1267</v>
      </c>
      <c r="F69" s="28">
        <v>239.72</v>
      </c>
      <c r="G69" s="28">
        <v>64.540000000000006</v>
      </c>
      <c r="H69" s="28" t="s">
        <v>2440</v>
      </c>
      <c r="I69" s="28">
        <v>483.15</v>
      </c>
    </row>
    <row r="70" spans="2:9">
      <c r="B70" s="27">
        <v>46022</v>
      </c>
      <c r="C70" s="28" t="s">
        <v>66</v>
      </c>
      <c r="D70" s="28">
        <v>536.54999999999995</v>
      </c>
      <c r="E70" s="28" t="s">
        <v>1268</v>
      </c>
      <c r="F70" s="28">
        <v>235.45</v>
      </c>
      <c r="G70" s="28">
        <v>61.65</v>
      </c>
      <c r="H70" s="28" t="s">
        <v>2441</v>
      </c>
      <c r="I70" s="28">
        <v>486.65</v>
      </c>
    </row>
    <row r="71" spans="2:9">
      <c r="B71" s="27">
        <v>46021</v>
      </c>
      <c r="C71" s="28" t="s">
        <v>67</v>
      </c>
      <c r="D71" s="28">
        <v>525.54999999999995</v>
      </c>
      <c r="E71" s="28" t="s">
        <v>1269</v>
      </c>
      <c r="F71" s="28">
        <v>233.86</v>
      </c>
      <c r="G71" s="28">
        <v>59.95</v>
      </c>
      <c r="H71" s="28" t="s">
        <v>2442</v>
      </c>
      <c r="I71" s="28">
        <v>484</v>
      </c>
    </row>
    <row r="72" spans="2:9">
      <c r="B72" s="27">
        <v>46020</v>
      </c>
      <c r="C72" s="28" t="s">
        <v>68</v>
      </c>
      <c r="D72" s="28">
        <v>544.6</v>
      </c>
      <c r="E72" s="28" t="s">
        <v>1270</v>
      </c>
      <c r="F72" s="28">
        <v>234.48</v>
      </c>
      <c r="G72" s="28">
        <v>58.54</v>
      </c>
      <c r="H72" s="28" t="s">
        <v>1013</v>
      </c>
      <c r="I72" s="28">
        <v>483.5</v>
      </c>
    </row>
    <row r="73" spans="2:9">
      <c r="B73" s="27">
        <v>46017</v>
      </c>
      <c r="C73" s="28" t="s">
        <v>69</v>
      </c>
      <c r="D73" s="28">
        <v>542.04999999999995</v>
      </c>
      <c r="E73" s="28" t="s">
        <v>1271</v>
      </c>
      <c r="F73" s="28">
        <v>237.42</v>
      </c>
      <c r="G73" s="28">
        <v>57.56</v>
      </c>
      <c r="H73" s="28" t="s">
        <v>2443</v>
      </c>
      <c r="I73" s="28">
        <v>486.25</v>
      </c>
    </row>
    <row r="74" spans="2:9">
      <c r="B74" s="27">
        <v>46015</v>
      </c>
      <c r="C74" s="28" t="s">
        <v>70</v>
      </c>
      <c r="D74" s="28">
        <v>555.15</v>
      </c>
      <c r="E74" s="28" t="s">
        <v>1272</v>
      </c>
      <c r="F74" s="28">
        <v>242.22</v>
      </c>
      <c r="G74" s="28">
        <v>55.84</v>
      </c>
      <c r="H74" s="28" t="s">
        <v>2444</v>
      </c>
      <c r="I74" s="28">
        <v>481.95</v>
      </c>
    </row>
    <row r="75" spans="2:9">
      <c r="B75" s="27">
        <v>46014</v>
      </c>
      <c r="C75" s="28" t="s">
        <v>71</v>
      </c>
      <c r="D75" s="28">
        <v>544.04999999999995</v>
      </c>
      <c r="E75" s="28" t="s">
        <v>1273</v>
      </c>
      <c r="F75" s="28">
        <v>224.26</v>
      </c>
      <c r="G75" s="28">
        <v>57.5</v>
      </c>
      <c r="H75" s="28" t="s">
        <v>2445</v>
      </c>
      <c r="I75" s="28">
        <v>493.6</v>
      </c>
    </row>
    <row r="76" spans="2:9">
      <c r="B76" s="27">
        <v>46013</v>
      </c>
      <c r="C76" s="28" t="s">
        <v>72</v>
      </c>
      <c r="D76" s="28">
        <v>542.15</v>
      </c>
      <c r="E76" s="28" t="s">
        <v>1274</v>
      </c>
      <c r="F76" s="28">
        <v>223.11</v>
      </c>
      <c r="G76" s="28">
        <v>57.66</v>
      </c>
      <c r="H76" s="28" t="s">
        <v>2446</v>
      </c>
      <c r="I76" s="28">
        <v>501.55</v>
      </c>
    </row>
    <row r="77" spans="2:9">
      <c r="B77" s="27">
        <v>46010</v>
      </c>
      <c r="C77" s="28" t="s">
        <v>73</v>
      </c>
      <c r="D77" s="28">
        <v>538</v>
      </c>
      <c r="E77" s="28" t="s">
        <v>1275</v>
      </c>
      <c r="F77" s="28">
        <v>222.98</v>
      </c>
      <c r="G77" s="28">
        <v>55.13</v>
      </c>
      <c r="H77" s="28" t="s">
        <v>2447</v>
      </c>
      <c r="I77" s="28">
        <v>481.1</v>
      </c>
    </row>
    <row r="78" spans="2:9">
      <c r="B78" s="27">
        <v>46009</v>
      </c>
      <c r="C78" s="28" t="s">
        <v>74</v>
      </c>
      <c r="D78" s="28">
        <v>536.35</v>
      </c>
      <c r="E78" s="28" t="s">
        <v>1276</v>
      </c>
      <c r="F78" s="28">
        <v>220.91</v>
      </c>
      <c r="G78" s="28">
        <v>54.89</v>
      </c>
      <c r="H78" s="28" t="s">
        <v>2448</v>
      </c>
      <c r="I78" s="28">
        <v>475.4</v>
      </c>
    </row>
    <row r="79" spans="2:9">
      <c r="B79" s="27">
        <v>46008</v>
      </c>
      <c r="C79" s="28" t="s">
        <v>75</v>
      </c>
      <c r="D79" s="28">
        <v>538.9</v>
      </c>
      <c r="E79" s="28" t="s">
        <v>1277</v>
      </c>
      <c r="F79" s="28">
        <v>222.07</v>
      </c>
      <c r="G79" s="28">
        <v>55.2</v>
      </c>
      <c r="H79" s="28" t="s">
        <v>2449</v>
      </c>
      <c r="I79" s="28">
        <v>480.25</v>
      </c>
    </row>
    <row r="80" spans="2:9">
      <c r="B80" s="27">
        <v>46007</v>
      </c>
      <c r="C80" s="28" t="s">
        <v>76</v>
      </c>
      <c r="D80" s="28">
        <v>540.04999999999995</v>
      </c>
      <c r="E80" s="28" t="s">
        <v>1278</v>
      </c>
      <c r="F80" s="28">
        <v>224.52</v>
      </c>
      <c r="G80" s="28">
        <v>57.39</v>
      </c>
      <c r="H80" s="28" t="s">
        <v>2450</v>
      </c>
      <c r="I80" s="28">
        <v>481.5</v>
      </c>
    </row>
    <row r="81" spans="2:9">
      <c r="B81" s="27">
        <v>46006</v>
      </c>
      <c r="C81" s="28" t="s">
        <v>77</v>
      </c>
      <c r="D81" s="28">
        <v>540.1</v>
      </c>
      <c r="E81" s="28" t="s">
        <v>1279</v>
      </c>
      <c r="F81" s="28">
        <v>226.37</v>
      </c>
      <c r="G81" s="28">
        <v>58.86</v>
      </c>
      <c r="H81" s="28" t="s">
        <v>2451</v>
      </c>
      <c r="I81" s="28">
        <v>479.25</v>
      </c>
    </row>
    <row r="82" spans="2:9">
      <c r="B82" s="27">
        <v>46003</v>
      </c>
      <c r="C82" s="28" t="s">
        <v>78</v>
      </c>
      <c r="D82" s="28">
        <v>541.25</v>
      </c>
      <c r="E82" s="28" t="s">
        <v>1280</v>
      </c>
      <c r="F82" s="28">
        <v>223.5</v>
      </c>
      <c r="G82" s="28">
        <v>60.25</v>
      </c>
      <c r="H82" s="28" t="s">
        <v>2452</v>
      </c>
      <c r="I82" s="28">
        <v>474.15</v>
      </c>
    </row>
    <row r="83" spans="2:9">
      <c r="B83" s="27">
        <v>46002</v>
      </c>
      <c r="C83" s="28" t="s">
        <v>79</v>
      </c>
      <c r="D83" s="28">
        <v>539.5</v>
      </c>
      <c r="E83" s="28" t="s">
        <v>1281</v>
      </c>
      <c r="F83" s="28">
        <v>223.26</v>
      </c>
      <c r="G83" s="28">
        <v>60.66</v>
      </c>
      <c r="H83" s="28" t="s">
        <v>2453</v>
      </c>
      <c r="I83" s="28">
        <v>471.05</v>
      </c>
    </row>
    <row r="84" spans="2:9">
      <c r="B84" s="27">
        <v>46001</v>
      </c>
      <c r="C84" s="28" t="s">
        <v>80</v>
      </c>
      <c r="D84" s="28">
        <v>549.1</v>
      </c>
      <c r="E84" s="28" t="s">
        <v>1282</v>
      </c>
      <c r="F84" s="28">
        <v>224.62</v>
      </c>
      <c r="G84" s="28">
        <v>60.08</v>
      </c>
      <c r="H84" s="28" t="s">
        <v>2454</v>
      </c>
      <c r="I84" s="28">
        <v>460.2</v>
      </c>
    </row>
    <row r="85" spans="2:9">
      <c r="B85" s="27">
        <v>46000</v>
      </c>
      <c r="C85" s="28" t="s">
        <v>81</v>
      </c>
      <c r="D85" s="28">
        <v>539.95000000000005</v>
      </c>
      <c r="E85" s="28" t="s">
        <v>1283</v>
      </c>
      <c r="F85" s="28">
        <v>221.91</v>
      </c>
      <c r="G85" s="28">
        <v>60.12</v>
      </c>
      <c r="H85" s="28" t="s">
        <v>2455</v>
      </c>
      <c r="I85" s="28">
        <v>469.9</v>
      </c>
    </row>
    <row r="86" spans="2:9">
      <c r="B86" s="27">
        <v>45999</v>
      </c>
      <c r="C86" s="28" t="s">
        <v>82</v>
      </c>
      <c r="D86" s="28">
        <v>539.1</v>
      </c>
      <c r="E86" s="28" t="s">
        <v>1284</v>
      </c>
      <c r="F86" s="28">
        <v>221.85</v>
      </c>
      <c r="G86" s="28">
        <v>59.97</v>
      </c>
      <c r="H86" s="28" t="s">
        <v>2456</v>
      </c>
      <c r="I86" s="28">
        <v>469.6</v>
      </c>
    </row>
    <row r="87" spans="2:9">
      <c r="B87" s="27">
        <v>45996</v>
      </c>
      <c r="C87" s="28" t="s">
        <v>83</v>
      </c>
      <c r="D87" s="28">
        <v>554.5</v>
      </c>
      <c r="E87" s="28" t="s">
        <v>1285</v>
      </c>
      <c r="F87" s="28">
        <v>228.11</v>
      </c>
      <c r="G87" s="28">
        <v>61.86</v>
      </c>
      <c r="H87" s="28" t="s">
        <v>2457</v>
      </c>
      <c r="I87" s="28">
        <v>501.45</v>
      </c>
    </row>
    <row r="88" spans="2:9">
      <c r="B88" s="27">
        <v>45995</v>
      </c>
      <c r="C88" s="28" t="s">
        <v>84</v>
      </c>
      <c r="D88" s="28">
        <v>556.15</v>
      </c>
      <c r="E88" s="28" t="s">
        <v>1286</v>
      </c>
      <c r="F88" s="28">
        <v>229.66</v>
      </c>
      <c r="G88" s="28">
        <v>64.09</v>
      </c>
      <c r="H88" s="28" t="s">
        <v>2458</v>
      </c>
      <c r="I88" s="28">
        <v>501.3</v>
      </c>
    </row>
    <row r="89" spans="2:9">
      <c r="B89" s="27">
        <v>45994</v>
      </c>
      <c r="C89" s="28" t="s">
        <v>85</v>
      </c>
      <c r="D89" s="28">
        <v>558.29999999999995</v>
      </c>
      <c r="E89" s="28" t="s">
        <v>1287</v>
      </c>
      <c r="F89" s="28">
        <v>232.67</v>
      </c>
      <c r="G89" s="28">
        <v>64.42</v>
      </c>
      <c r="H89" s="28" t="s">
        <v>2459</v>
      </c>
      <c r="I89" s="28">
        <v>505.4</v>
      </c>
    </row>
    <row r="90" spans="2:9">
      <c r="B90" s="27">
        <v>45993</v>
      </c>
      <c r="C90" s="28" t="s">
        <v>86</v>
      </c>
      <c r="D90" s="28">
        <v>559.04999999999995</v>
      </c>
      <c r="E90" s="28" t="s">
        <v>1288</v>
      </c>
      <c r="F90" s="28">
        <v>230.65</v>
      </c>
      <c r="G90" s="28">
        <v>65.27</v>
      </c>
      <c r="H90" s="28" t="s">
        <v>2460</v>
      </c>
      <c r="I90" s="28">
        <v>501.45</v>
      </c>
    </row>
    <row r="91" spans="2:9">
      <c r="B91" s="27">
        <v>45992</v>
      </c>
      <c r="C91" s="28" t="s">
        <v>87</v>
      </c>
      <c r="D91" s="28">
        <v>556.1</v>
      </c>
      <c r="E91" s="28" t="s">
        <v>1289</v>
      </c>
      <c r="F91" s="28">
        <v>232.11</v>
      </c>
      <c r="G91" s="28">
        <v>65.95</v>
      </c>
      <c r="H91" s="28" t="s">
        <v>2461</v>
      </c>
      <c r="I91" s="28">
        <v>503.6</v>
      </c>
    </row>
    <row r="92" spans="2:9">
      <c r="B92" s="27">
        <v>45989</v>
      </c>
      <c r="C92" s="28" t="s">
        <v>88</v>
      </c>
      <c r="D92" s="28">
        <v>564.6</v>
      </c>
      <c r="E92" s="28" t="s">
        <v>1290</v>
      </c>
      <c r="F92" s="28">
        <v>236.49</v>
      </c>
      <c r="G92" s="28">
        <v>66.790000000000006</v>
      </c>
      <c r="H92" s="28" t="s">
        <v>2462</v>
      </c>
      <c r="I92" s="28">
        <v>519.6</v>
      </c>
    </row>
    <row r="93" spans="2:9">
      <c r="B93" s="27">
        <v>45988</v>
      </c>
      <c r="C93" s="28" t="s">
        <v>89</v>
      </c>
      <c r="D93" s="28">
        <v>570.85</v>
      </c>
      <c r="E93" s="28" t="s">
        <v>1291</v>
      </c>
      <c r="F93" s="28">
        <v>236.73</v>
      </c>
      <c r="G93" s="28">
        <v>66.94</v>
      </c>
      <c r="H93" s="28" t="s">
        <v>2463</v>
      </c>
      <c r="I93" s="28">
        <v>523.95000000000005</v>
      </c>
    </row>
    <row r="94" spans="2:9">
      <c r="B94" s="27">
        <v>45987</v>
      </c>
      <c r="C94" s="28" t="s">
        <v>90</v>
      </c>
      <c r="D94" s="28">
        <v>575.65</v>
      </c>
      <c r="E94" s="28" t="s">
        <v>1292</v>
      </c>
      <c r="F94" s="28">
        <v>234.01</v>
      </c>
      <c r="G94" s="28">
        <v>67.2</v>
      </c>
      <c r="H94" s="28" t="s">
        <v>2464</v>
      </c>
      <c r="I94" s="28">
        <v>523.45000000000005</v>
      </c>
    </row>
    <row r="95" spans="2:9">
      <c r="B95" s="27">
        <v>45986</v>
      </c>
      <c r="C95" s="28" t="s">
        <v>91</v>
      </c>
      <c r="D95" s="28">
        <v>569.15</v>
      </c>
      <c r="E95" s="28" t="s">
        <v>1293</v>
      </c>
      <c r="F95" s="28">
        <v>231.02</v>
      </c>
      <c r="G95" s="28">
        <v>66.42</v>
      </c>
      <c r="H95" s="28" t="s">
        <v>2465</v>
      </c>
      <c r="I95" s="28">
        <v>513.5</v>
      </c>
    </row>
    <row r="96" spans="2:9">
      <c r="B96" s="27">
        <v>45985</v>
      </c>
      <c r="C96" s="28" t="s">
        <v>92</v>
      </c>
      <c r="D96" s="28">
        <v>579.29999999999995</v>
      </c>
      <c r="E96" s="28" t="s">
        <v>1294</v>
      </c>
      <c r="F96" s="28">
        <v>231.99</v>
      </c>
      <c r="G96" s="28">
        <v>67.2</v>
      </c>
      <c r="H96" s="28" t="s">
        <v>877</v>
      </c>
      <c r="I96" s="28">
        <v>516.79999999999995</v>
      </c>
    </row>
    <row r="97" spans="2:9">
      <c r="B97" s="27">
        <v>45982</v>
      </c>
      <c r="C97" s="28" t="s">
        <v>93</v>
      </c>
      <c r="D97" s="28">
        <v>579.54999999999995</v>
      </c>
      <c r="E97" s="28" t="s">
        <v>1295</v>
      </c>
      <c r="F97" s="28">
        <v>232.8</v>
      </c>
      <c r="G97" s="28">
        <v>68.34</v>
      </c>
      <c r="H97" s="28" t="s">
        <v>2466</v>
      </c>
      <c r="I97" s="28">
        <v>521.6</v>
      </c>
    </row>
    <row r="98" spans="2:9">
      <c r="B98" s="27">
        <v>45981</v>
      </c>
      <c r="C98" s="28" t="s">
        <v>94</v>
      </c>
      <c r="D98" s="28">
        <v>590.1</v>
      </c>
      <c r="E98" s="28" t="s">
        <v>1296</v>
      </c>
      <c r="F98" s="28">
        <v>239.78</v>
      </c>
      <c r="G98" s="28">
        <v>69.72</v>
      </c>
      <c r="H98" s="28" t="s">
        <v>2467</v>
      </c>
      <c r="I98" s="28">
        <v>529.85</v>
      </c>
    </row>
    <row r="99" spans="2:9">
      <c r="B99" s="27">
        <v>45980</v>
      </c>
      <c r="C99" s="28" t="s">
        <v>95</v>
      </c>
      <c r="D99" s="28">
        <v>588.95000000000005</v>
      </c>
      <c r="E99" s="28" t="s">
        <v>1297</v>
      </c>
      <c r="F99" s="28">
        <v>244.87</v>
      </c>
      <c r="G99" s="28">
        <v>70.09</v>
      </c>
      <c r="H99" s="28" t="s">
        <v>2468</v>
      </c>
      <c r="I99" s="28">
        <v>532.6</v>
      </c>
    </row>
    <row r="100" spans="2:9">
      <c r="B100" s="27">
        <v>45979</v>
      </c>
      <c r="C100" s="28" t="s">
        <v>96</v>
      </c>
      <c r="D100" s="28">
        <v>586.6</v>
      </c>
      <c r="E100" s="28" t="s">
        <v>1298</v>
      </c>
      <c r="F100" s="28">
        <v>246.97</v>
      </c>
      <c r="G100" s="28">
        <v>69.39</v>
      </c>
      <c r="H100" s="28" t="s">
        <v>2469</v>
      </c>
      <c r="I100" s="28">
        <v>534.6</v>
      </c>
    </row>
    <row r="101" spans="2:9">
      <c r="B101" s="27">
        <v>45978</v>
      </c>
      <c r="C101" s="28" t="s">
        <v>97</v>
      </c>
      <c r="D101" s="28">
        <v>578.1</v>
      </c>
      <c r="E101" s="28" t="s">
        <v>1299</v>
      </c>
      <c r="F101" s="28">
        <v>247.69</v>
      </c>
      <c r="G101" s="28">
        <v>70.209999999999994</v>
      </c>
      <c r="H101" s="28" t="s">
        <v>2470</v>
      </c>
      <c r="I101" s="28">
        <v>529.25</v>
      </c>
    </row>
    <row r="102" spans="2:9">
      <c r="B102" s="27">
        <v>45975</v>
      </c>
      <c r="C102" s="28" t="s">
        <v>98</v>
      </c>
      <c r="D102" s="28">
        <v>579.54999999999995</v>
      </c>
      <c r="E102" s="28" t="s">
        <v>1300</v>
      </c>
      <c r="F102" s="28">
        <v>248.8</v>
      </c>
      <c r="G102" s="28">
        <v>71.14</v>
      </c>
      <c r="H102" s="28" t="s">
        <v>2471</v>
      </c>
      <c r="I102" s="28">
        <v>520.1</v>
      </c>
    </row>
    <row r="103" spans="2:9">
      <c r="B103" s="27">
        <v>45974</v>
      </c>
      <c r="C103" s="28" t="s">
        <v>99</v>
      </c>
      <c r="D103" s="28">
        <v>577.9</v>
      </c>
      <c r="E103" s="28" t="s">
        <v>1301</v>
      </c>
      <c r="F103" s="28">
        <v>249.34</v>
      </c>
      <c r="G103" s="28">
        <v>73.239999999999995</v>
      </c>
      <c r="H103" s="28" t="s">
        <v>2472</v>
      </c>
      <c r="I103" s="28">
        <v>512.35</v>
      </c>
    </row>
    <row r="104" spans="2:9">
      <c r="B104" s="27">
        <v>45973</v>
      </c>
      <c r="C104" s="28" t="s">
        <v>100</v>
      </c>
      <c r="D104" s="28">
        <v>560.1</v>
      </c>
      <c r="E104" s="28" t="s">
        <v>1302</v>
      </c>
      <c r="F104" s="28">
        <v>245.53</v>
      </c>
      <c r="G104" s="28">
        <v>77.040000000000006</v>
      </c>
      <c r="H104" s="28" t="s">
        <v>2473</v>
      </c>
      <c r="I104" s="28">
        <v>512.4</v>
      </c>
    </row>
    <row r="105" spans="2:9">
      <c r="B105" s="27">
        <v>45972</v>
      </c>
      <c r="C105" s="28" t="s">
        <v>101</v>
      </c>
      <c r="D105" s="28">
        <v>546.20000000000005</v>
      </c>
      <c r="E105" s="28" t="s">
        <v>1303</v>
      </c>
      <c r="F105" s="28">
        <v>243.85</v>
      </c>
      <c r="G105" s="28">
        <v>74.540000000000006</v>
      </c>
      <c r="H105" s="28" t="s">
        <v>2474</v>
      </c>
      <c r="I105" s="28">
        <v>515</v>
      </c>
    </row>
    <row r="106" spans="2:9">
      <c r="B106" s="27">
        <v>45971</v>
      </c>
      <c r="C106" s="28" t="s">
        <v>102</v>
      </c>
      <c r="D106" s="28">
        <v>535.6</v>
      </c>
      <c r="E106" s="28" t="s">
        <v>1304</v>
      </c>
      <c r="F106" s="28">
        <v>245.82</v>
      </c>
      <c r="G106" s="28">
        <v>73.55</v>
      </c>
      <c r="H106" s="28" t="s">
        <v>2475</v>
      </c>
      <c r="I106" s="28">
        <v>526.65</v>
      </c>
    </row>
    <row r="107" spans="2:9">
      <c r="B107" s="27">
        <v>45968</v>
      </c>
      <c r="C107" s="28" t="s">
        <v>103</v>
      </c>
      <c r="D107" s="28">
        <v>531.04999999999995</v>
      </c>
      <c r="E107" s="28" t="s">
        <v>1305</v>
      </c>
      <c r="F107" s="28">
        <v>246.32</v>
      </c>
      <c r="G107" s="28">
        <v>75.11</v>
      </c>
      <c r="H107" s="28" t="s">
        <v>2476</v>
      </c>
      <c r="I107" s="28">
        <v>510.2</v>
      </c>
    </row>
    <row r="108" spans="2:9">
      <c r="B108" s="27">
        <v>45967</v>
      </c>
      <c r="C108" s="28" t="s">
        <v>104</v>
      </c>
      <c r="D108" s="28">
        <v>544.45000000000005</v>
      </c>
      <c r="E108" s="28" t="s">
        <v>1306</v>
      </c>
      <c r="F108" s="28">
        <v>248.18</v>
      </c>
      <c r="G108" s="28">
        <v>74.680000000000007</v>
      </c>
      <c r="H108" s="28" t="s">
        <v>2477</v>
      </c>
      <c r="I108" s="28">
        <v>504.1</v>
      </c>
    </row>
    <row r="109" spans="2:9">
      <c r="B109" s="27">
        <v>45965</v>
      </c>
      <c r="C109" s="28" t="s">
        <v>105</v>
      </c>
      <c r="D109" s="28">
        <v>537.45000000000005</v>
      </c>
      <c r="E109" s="28" t="s">
        <v>1307</v>
      </c>
      <c r="F109" s="28">
        <v>248.54</v>
      </c>
      <c r="G109" s="28">
        <v>77.2</v>
      </c>
      <c r="H109" s="28" t="s">
        <v>2478</v>
      </c>
      <c r="I109" s="28">
        <v>506.55</v>
      </c>
    </row>
    <row r="110" spans="2:9">
      <c r="B110" s="27">
        <v>45964</v>
      </c>
      <c r="C110" s="28" t="s">
        <v>106</v>
      </c>
      <c r="D110" s="28">
        <v>539</v>
      </c>
      <c r="E110" s="28" t="s">
        <v>1308</v>
      </c>
      <c r="F110" s="28">
        <v>249.15</v>
      </c>
      <c r="G110" s="28">
        <v>78.09</v>
      </c>
      <c r="H110" s="28" t="s">
        <v>2479</v>
      </c>
      <c r="I110" s="28">
        <v>522.25</v>
      </c>
    </row>
    <row r="111" spans="2:9">
      <c r="B111" s="27">
        <v>45961</v>
      </c>
      <c r="C111" s="28" t="s">
        <v>107</v>
      </c>
      <c r="D111" s="28">
        <v>542.1</v>
      </c>
      <c r="E111" s="28" t="s">
        <v>1309</v>
      </c>
      <c r="F111" s="28">
        <v>247.96</v>
      </c>
      <c r="G111" s="28">
        <v>78.31</v>
      </c>
      <c r="H111" s="28" t="s">
        <v>2480</v>
      </c>
      <c r="I111" s="28">
        <v>519.1</v>
      </c>
    </row>
    <row r="112" spans="2:9">
      <c r="B112" s="27">
        <v>45960</v>
      </c>
      <c r="C112" s="28" t="s">
        <v>108</v>
      </c>
      <c r="D112" s="28">
        <v>544.75</v>
      </c>
      <c r="E112" s="28" t="s">
        <v>1310</v>
      </c>
      <c r="F112" s="28">
        <v>250.49</v>
      </c>
      <c r="G112" s="28">
        <v>77.569999999999993</v>
      </c>
      <c r="H112" s="28" t="s">
        <v>2481</v>
      </c>
      <c r="I112" s="28">
        <v>514</v>
      </c>
    </row>
    <row r="113" spans="2:9">
      <c r="B113" s="27">
        <v>45959</v>
      </c>
      <c r="C113" s="28" t="s">
        <v>109</v>
      </c>
      <c r="D113" s="28">
        <v>545.04999999999995</v>
      </c>
      <c r="E113" s="28" t="s">
        <v>1311</v>
      </c>
      <c r="F113" s="28">
        <v>252.68</v>
      </c>
      <c r="G113" s="28">
        <v>78.819999999999993</v>
      </c>
      <c r="H113" s="28" t="s">
        <v>2482</v>
      </c>
      <c r="I113" s="28">
        <v>511.75</v>
      </c>
    </row>
    <row r="114" spans="2:9">
      <c r="B114" s="27">
        <v>45958</v>
      </c>
      <c r="C114" s="28" t="s">
        <v>110</v>
      </c>
      <c r="D114" s="28">
        <v>544.9</v>
      </c>
      <c r="E114" s="28" t="s">
        <v>1312</v>
      </c>
      <c r="F114" s="28">
        <v>249.5</v>
      </c>
      <c r="G114" s="28">
        <v>77.349999999999994</v>
      </c>
      <c r="H114" s="28" t="s">
        <v>2483</v>
      </c>
      <c r="I114" s="28">
        <v>510.05</v>
      </c>
    </row>
    <row r="115" spans="2:9">
      <c r="B115" s="27">
        <v>45957</v>
      </c>
      <c r="C115" s="28" t="s">
        <v>111</v>
      </c>
      <c r="D115" s="28">
        <v>541.20000000000005</v>
      </c>
      <c r="E115" s="28" t="s">
        <v>1313</v>
      </c>
      <c r="F115" s="28">
        <v>253.18</v>
      </c>
      <c r="G115" s="28">
        <v>78.23</v>
      </c>
      <c r="H115" s="28" t="s">
        <v>2484</v>
      </c>
      <c r="I115" s="28">
        <v>502.55</v>
      </c>
    </row>
    <row r="116" spans="2:9">
      <c r="B116" s="27">
        <v>45954</v>
      </c>
      <c r="C116" s="28" t="s">
        <v>112</v>
      </c>
      <c r="D116" s="28">
        <v>545.65</v>
      </c>
      <c r="E116" s="28" t="s">
        <v>1314</v>
      </c>
      <c r="F116" s="28">
        <v>253.97</v>
      </c>
      <c r="G116" s="28">
        <v>79.05</v>
      </c>
      <c r="H116" s="28" t="s">
        <v>2485</v>
      </c>
      <c r="I116" s="28">
        <v>501.9</v>
      </c>
    </row>
    <row r="117" spans="2:9">
      <c r="B117" s="27">
        <v>45953</v>
      </c>
      <c r="C117" s="28" t="s">
        <v>113</v>
      </c>
      <c r="D117" s="28">
        <v>542.35</v>
      </c>
      <c r="E117" s="28" t="s">
        <v>1315</v>
      </c>
      <c r="F117" s="28">
        <v>255.43</v>
      </c>
      <c r="G117" s="28">
        <v>79.010000000000005</v>
      </c>
      <c r="H117" s="28" t="s">
        <v>2486</v>
      </c>
      <c r="I117" s="28">
        <v>503.7</v>
      </c>
    </row>
    <row r="118" spans="2:9">
      <c r="B118" s="27">
        <v>45951</v>
      </c>
      <c r="C118" s="28" t="s">
        <v>114</v>
      </c>
      <c r="D118" s="28">
        <v>541.4</v>
      </c>
      <c r="E118" s="28" t="s">
        <v>1316</v>
      </c>
      <c r="F118" s="28">
        <v>256.85000000000002</v>
      </c>
      <c r="G118" s="28">
        <v>81.66</v>
      </c>
      <c r="H118" s="28" t="s">
        <v>2487</v>
      </c>
      <c r="I118" s="28">
        <v>496.05</v>
      </c>
    </row>
    <row r="119" spans="2:9">
      <c r="B119" s="27">
        <v>45950</v>
      </c>
      <c r="C119" s="28" t="s">
        <v>115</v>
      </c>
      <c r="D119" s="28">
        <v>539.75</v>
      </c>
      <c r="E119" s="28" t="s">
        <v>1317</v>
      </c>
      <c r="F119" s="28">
        <v>253.54</v>
      </c>
      <c r="G119" s="28">
        <v>80.81</v>
      </c>
      <c r="H119" s="28" t="s">
        <v>2488</v>
      </c>
      <c r="I119" s="28">
        <v>493.15</v>
      </c>
    </row>
    <row r="120" spans="2:9">
      <c r="B120" s="27">
        <v>45947</v>
      </c>
      <c r="C120" s="28" t="s">
        <v>116</v>
      </c>
      <c r="D120" s="28">
        <v>544.9</v>
      </c>
      <c r="E120" s="28" t="s">
        <v>1318</v>
      </c>
      <c r="F120" s="28">
        <v>253.26</v>
      </c>
      <c r="G120" s="28">
        <v>80.27</v>
      </c>
      <c r="H120" s="28" t="s">
        <v>862</v>
      </c>
      <c r="I120" s="28">
        <v>493.65</v>
      </c>
    </row>
    <row r="121" spans="2:9">
      <c r="B121" s="27">
        <v>45946</v>
      </c>
      <c r="C121" s="28" t="s">
        <v>117</v>
      </c>
      <c r="D121" s="28">
        <v>532.9</v>
      </c>
      <c r="E121" s="28" t="s">
        <v>1319</v>
      </c>
      <c r="F121" s="28">
        <v>245.16</v>
      </c>
      <c r="G121" s="28">
        <v>79.48</v>
      </c>
      <c r="H121" s="28" t="s">
        <v>2489</v>
      </c>
      <c r="I121" s="28">
        <v>500.2</v>
      </c>
    </row>
    <row r="122" spans="2:9">
      <c r="B122" s="27">
        <v>45945</v>
      </c>
      <c r="C122" s="28" t="s">
        <v>118</v>
      </c>
      <c r="D122" s="28">
        <v>526.25</v>
      </c>
      <c r="E122" s="28" t="s">
        <v>1320</v>
      </c>
      <c r="F122" s="28">
        <v>245.66</v>
      </c>
      <c r="G122" s="28">
        <v>80.13</v>
      </c>
      <c r="H122" s="28" t="s">
        <v>2490</v>
      </c>
      <c r="I122" s="28">
        <v>501.55</v>
      </c>
    </row>
    <row r="123" spans="2:9">
      <c r="B123" s="27">
        <v>45944</v>
      </c>
      <c r="C123" s="28" t="s">
        <v>119</v>
      </c>
      <c r="D123" s="28">
        <v>533.95000000000005</v>
      </c>
      <c r="E123" s="28" t="s">
        <v>1321</v>
      </c>
      <c r="F123" s="28">
        <v>245.44</v>
      </c>
      <c r="G123" s="28">
        <v>79.489999999999995</v>
      </c>
      <c r="H123" s="28" t="s">
        <v>2491</v>
      </c>
      <c r="I123" s="28">
        <v>503.1</v>
      </c>
    </row>
    <row r="124" spans="2:9">
      <c r="B124" s="27">
        <v>45943</v>
      </c>
      <c r="C124" s="28" t="s">
        <v>120</v>
      </c>
      <c r="D124" s="28">
        <v>534.1</v>
      </c>
      <c r="E124" s="28" t="s">
        <v>1322</v>
      </c>
      <c r="F124" s="28">
        <v>245.7</v>
      </c>
      <c r="G124" s="28">
        <v>81.13</v>
      </c>
      <c r="H124" s="28" t="s">
        <v>1102</v>
      </c>
      <c r="I124" s="28">
        <v>501.15</v>
      </c>
    </row>
    <row r="125" spans="2:9">
      <c r="B125" s="27">
        <v>45940</v>
      </c>
      <c r="C125" s="28" t="s">
        <v>121</v>
      </c>
      <c r="D125" s="28">
        <v>535.15</v>
      </c>
      <c r="E125" s="28" t="s">
        <v>1323</v>
      </c>
      <c r="F125" s="28">
        <v>247.5</v>
      </c>
      <c r="G125" s="28">
        <v>80.900000000000006</v>
      </c>
      <c r="H125" s="28" t="s">
        <v>2492</v>
      </c>
      <c r="I125" s="28">
        <v>488.5</v>
      </c>
    </row>
    <row r="126" spans="2:9">
      <c r="B126" s="27">
        <v>45939</v>
      </c>
      <c r="C126" s="28" t="s">
        <v>122</v>
      </c>
      <c r="D126" s="28">
        <v>533</v>
      </c>
      <c r="E126" s="28" t="s">
        <v>1324</v>
      </c>
      <c r="F126" s="28">
        <v>245.35</v>
      </c>
      <c r="G126" s="28">
        <v>82.1</v>
      </c>
      <c r="H126" s="28" t="s">
        <v>2493</v>
      </c>
      <c r="I126" s="28">
        <v>479.8</v>
      </c>
    </row>
    <row r="127" spans="2:9">
      <c r="B127" s="27">
        <v>45938</v>
      </c>
      <c r="C127" s="28" t="s">
        <v>123</v>
      </c>
      <c r="D127" s="28">
        <v>526.20000000000005</v>
      </c>
      <c r="E127" s="28" t="s">
        <v>1325</v>
      </c>
      <c r="F127" s="28">
        <v>244.6</v>
      </c>
      <c r="G127" s="28">
        <v>82.79</v>
      </c>
      <c r="H127" s="28" t="s">
        <v>2494</v>
      </c>
      <c r="I127" s="28">
        <v>476.3</v>
      </c>
    </row>
    <row r="128" spans="2:9">
      <c r="B128" s="27">
        <v>45937</v>
      </c>
      <c r="C128" s="28" t="s">
        <v>124</v>
      </c>
      <c r="D128" s="28">
        <v>536.1</v>
      </c>
      <c r="E128" s="28" t="s">
        <v>1326</v>
      </c>
      <c r="F128" s="28">
        <v>246.48</v>
      </c>
      <c r="G128" s="28">
        <v>82.74</v>
      </c>
      <c r="H128" s="28" t="s">
        <v>2495</v>
      </c>
      <c r="I128" s="28">
        <v>481.45</v>
      </c>
    </row>
    <row r="129" spans="2:9">
      <c r="B129" s="27">
        <v>45936</v>
      </c>
      <c r="C129" s="28" t="s">
        <v>125</v>
      </c>
      <c r="D129" s="28">
        <v>532.20000000000005</v>
      </c>
      <c r="E129" s="28" t="s">
        <v>1327</v>
      </c>
      <c r="F129" s="28">
        <v>250.99</v>
      </c>
      <c r="G129" s="28">
        <v>82.57</v>
      </c>
      <c r="H129" s="28" t="s">
        <v>2496</v>
      </c>
      <c r="I129" s="28">
        <v>496.15</v>
      </c>
    </row>
    <row r="130" spans="2:9">
      <c r="B130" s="27">
        <v>45933</v>
      </c>
      <c r="C130" s="28" t="s">
        <v>126</v>
      </c>
      <c r="D130" s="28">
        <v>542.6</v>
      </c>
      <c r="E130" s="28" t="s">
        <v>1328</v>
      </c>
      <c r="F130" s="28">
        <v>252.36</v>
      </c>
      <c r="G130" s="28">
        <v>84.29</v>
      </c>
      <c r="H130" s="28" t="s">
        <v>2497</v>
      </c>
      <c r="I130" s="28">
        <v>490.8</v>
      </c>
    </row>
    <row r="131" spans="2:9">
      <c r="B131" s="27">
        <v>45931</v>
      </c>
      <c r="C131" s="28" t="s">
        <v>127</v>
      </c>
      <c r="D131" s="28">
        <v>529.65</v>
      </c>
      <c r="E131" s="28" t="s">
        <v>1329</v>
      </c>
      <c r="F131" s="28">
        <v>249.22</v>
      </c>
      <c r="G131" s="28">
        <v>85.06</v>
      </c>
      <c r="H131" s="28" t="s">
        <v>2498</v>
      </c>
      <c r="I131" s="28">
        <v>481.95</v>
      </c>
    </row>
    <row r="132" spans="2:9">
      <c r="B132" s="27">
        <v>45930</v>
      </c>
      <c r="C132" s="28" t="s">
        <v>128</v>
      </c>
      <c r="D132" s="28">
        <v>515.20000000000005</v>
      </c>
      <c r="E132" s="28" t="s">
        <v>1330</v>
      </c>
      <c r="F132" s="28">
        <v>247.38</v>
      </c>
      <c r="G132" s="28">
        <v>86.2</v>
      </c>
      <c r="H132" s="28" t="s">
        <v>2499</v>
      </c>
      <c r="I132" s="28">
        <v>476.55</v>
      </c>
    </row>
    <row r="133" spans="2:9">
      <c r="B133" s="27">
        <v>45929</v>
      </c>
      <c r="C133" s="28" t="s">
        <v>129</v>
      </c>
      <c r="D133" s="28">
        <v>516.70000000000005</v>
      </c>
      <c r="E133" s="28" t="s">
        <v>1331</v>
      </c>
      <c r="F133" s="28">
        <v>245.12</v>
      </c>
      <c r="G133" s="28">
        <v>83.38</v>
      </c>
      <c r="H133" s="28" t="s">
        <v>2500</v>
      </c>
      <c r="I133" s="28">
        <v>480</v>
      </c>
    </row>
    <row r="134" spans="2:9">
      <c r="B134" s="27">
        <v>45926</v>
      </c>
      <c r="C134" s="28" t="s">
        <v>130</v>
      </c>
      <c r="D134" s="28">
        <v>521.45000000000005</v>
      </c>
      <c r="E134" s="28" t="s">
        <v>1332</v>
      </c>
      <c r="F134" s="28">
        <v>246.58</v>
      </c>
      <c r="G134" s="28">
        <v>76.180000000000007</v>
      </c>
      <c r="H134" s="28" t="s">
        <v>2501</v>
      </c>
      <c r="I134" s="28">
        <v>483.75</v>
      </c>
    </row>
    <row r="135" spans="2:9">
      <c r="B135" s="27">
        <v>45925</v>
      </c>
      <c r="C135" s="28" t="s">
        <v>131</v>
      </c>
      <c r="D135" s="28">
        <v>531.20000000000005</v>
      </c>
      <c r="E135" s="28" t="s">
        <v>1333</v>
      </c>
      <c r="F135" s="28">
        <v>245.24</v>
      </c>
      <c r="G135" s="28">
        <v>78.22</v>
      </c>
      <c r="H135" s="28" t="s">
        <v>2502</v>
      </c>
      <c r="I135" s="28">
        <v>499.25</v>
      </c>
    </row>
    <row r="136" spans="2:9">
      <c r="B136" s="27">
        <v>45924</v>
      </c>
      <c r="C136" s="28" t="s">
        <v>132</v>
      </c>
      <c r="D136" s="28">
        <v>535.79999999999995</v>
      </c>
      <c r="E136" s="28" t="s">
        <v>1334</v>
      </c>
      <c r="F136" s="28">
        <v>245.28</v>
      </c>
      <c r="G136" s="28">
        <v>79.680000000000007</v>
      </c>
      <c r="H136" s="28" t="s">
        <v>2503</v>
      </c>
      <c r="I136" s="28">
        <v>507.55</v>
      </c>
    </row>
    <row r="137" spans="2:9">
      <c r="B137" s="27">
        <v>45923</v>
      </c>
      <c r="C137" s="28" t="s">
        <v>133</v>
      </c>
      <c r="D137" s="28">
        <v>532.6</v>
      </c>
      <c r="E137" s="28" t="s">
        <v>1335</v>
      </c>
      <c r="F137" s="28">
        <v>246.21</v>
      </c>
      <c r="G137" s="28">
        <v>80.98</v>
      </c>
      <c r="H137" s="28" t="s">
        <v>2504</v>
      </c>
      <c r="I137" s="28">
        <v>501.45</v>
      </c>
    </row>
    <row r="138" spans="2:9">
      <c r="B138" s="27">
        <v>45922</v>
      </c>
      <c r="C138" s="28" t="s">
        <v>134</v>
      </c>
      <c r="D138" s="28">
        <v>531.54999999999995</v>
      </c>
      <c r="E138" s="28" t="s">
        <v>1336</v>
      </c>
      <c r="F138" s="28">
        <v>253</v>
      </c>
      <c r="G138" s="28">
        <v>82.42</v>
      </c>
      <c r="H138" s="28" t="s">
        <v>2505</v>
      </c>
      <c r="I138" s="28">
        <v>489.05</v>
      </c>
    </row>
    <row r="139" spans="2:9">
      <c r="B139" s="27">
        <v>45919</v>
      </c>
      <c r="C139" s="28" t="s">
        <v>135</v>
      </c>
      <c r="D139" s="28">
        <v>531.6</v>
      </c>
      <c r="E139" s="28" t="s">
        <v>1337</v>
      </c>
      <c r="F139" s="28">
        <v>251.85</v>
      </c>
      <c r="G139" s="28">
        <v>85.86</v>
      </c>
      <c r="H139" s="28" t="s">
        <v>2506</v>
      </c>
      <c r="I139" s="28">
        <v>489.7</v>
      </c>
    </row>
    <row r="140" spans="2:9">
      <c r="B140" s="27">
        <v>45918</v>
      </c>
      <c r="C140" s="28" t="s">
        <v>136</v>
      </c>
      <c r="D140" s="28">
        <v>535.35</v>
      </c>
      <c r="E140" s="28" t="s">
        <v>1338</v>
      </c>
      <c r="F140" s="28">
        <v>253.25</v>
      </c>
      <c r="G140" s="28">
        <v>84.4</v>
      </c>
      <c r="H140" s="28" t="s">
        <v>2507</v>
      </c>
      <c r="I140" s="28">
        <v>488.3</v>
      </c>
    </row>
    <row r="141" spans="2:9">
      <c r="B141" s="27">
        <v>45917</v>
      </c>
      <c r="C141" s="28" t="s">
        <v>137</v>
      </c>
      <c r="D141" s="28">
        <v>534.25</v>
      </c>
      <c r="E141" s="28" t="s">
        <v>1339</v>
      </c>
      <c r="F141" s="28">
        <v>249.49</v>
      </c>
      <c r="G141" s="28">
        <v>73.48</v>
      </c>
      <c r="H141" s="28" t="s">
        <v>2508</v>
      </c>
      <c r="I141" s="28">
        <v>486.85</v>
      </c>
    </row>
    <row r="142" spans="2:9">
      <c r="B142" s="27">
        <v>45916</v>
      </c>
      <c r="C142" s="28" t="s">
        <v>138</v>
      </c>
      <c r="D142" s="28">
        <v>536.75</v>
      </c>
      <c r="E142" s="28" t="s">
        <v>1340</v>
      </c>
      <c r="F142" s="28">
        <v>245.07</v>
      </c>
      <c r="G142" s="28">
        <v>73.16</v>
      </c>
      <c r="H142" s="28" t="s">
        <v>2509</v>
      </c>
      <c r="I142" s="28">
        <v>484</v>
      </c>
    </row>
    <row r="143" spans="2:9">
      <c r="B143" s="27">
        <v>45915</v>
      </c>
      <c r="C143" s="28" t="s">
        <v>139</v>
      </c>
      <c r="D143" s="28">
        <v>544.25</v>
      </c>
      <c r="E143" s="28" t="s">
        <v>1341</v>
      </c>
      <c r="F143" s="28">
        <v>246.15</v>
      </c>
      <c r="G143" s="28">
        <v>73.959999999999994</v>
      </c>
      <c r="H143" s="28" t="s">
        <v>2510</v>
      </c>
      <c r="I143" s="28">
        <v>482.1</v>
      </c>
    </row>
    <row r="144" spans="2:9">
      <c r="B144" s="27">
        <v>45912</v>
      </c>
      <c r="C144" s="28" t="s">
        <v>140</v>
      </c>
      <c r="D144" s="28">
        <v>539.35</v>
      </c>
      <c r="E144" s="28" t="s">
        <v>1342</v>
      </c>
      <c r="F144" s="28">
        <v>247.54</v>
      </c>
      <c r="G144" s="28">
        <v>72.91</v>
      </c>
      <c r="H144" s="28" t="s">
        <v>2511</v>
      </c>
      <c r="I144" s="28">
        <v>465.9</v>
      </c>
    </row>
    <row r="145" spans="2:9">
      <c r="B145" s="27">
        <v>45911</v>
      </c>
      <c r="C145" s="28" t="s">
        <v>141</v>
      </c>
      <c r="D145" s="28">
        <v>551.35</v>
      </c>
      <c r="E145" s="28" t="s">
        <v>1343</v>
      </c>
      <c r="F145" s="28">
        <v>246.61</v>
      </c>
      <c r="G145" s="28">
        <v>73.73</v>
      </c>
      <c r="H145" s="28" t="s">
        <v>2512</v>
      </c>
      <c r="I145" s="28">
        <v>459.9</v>
      </c>
    </row>
    <row r="146" spans="2:9">
      <c r="B146" s="27">
        <v>45910</v>
      </c>
      <c r="C146" s="28" t="s">
        <v>142</v>
      </c>
      <c r="D146" s="28">
        <v>535.65</v>
      </c>
      <c r="E146" s="28" t="s">
        <v>1344</v>
      </c>
      <c r="F146" s="28">
        <v>244.3</v>
      </c>
      <c r="G146" s="28">
        <v>73.72</v>
      </c>
      <c r="H146" s="28" t="s">
        <v>2513</v>
      </c>
      <c r="I146" s="28">
        <v>462.45</v>
      </c>
    </row>
    <row r="147" spans="2:9">
      <c r="B147" s="27">
        <v>45909</v>
      </c>
      <c r="C147" s="28" t="s">
        <v>143</v>
      </c>
      <c r="D147" s="28">
        <v>529.35</v>
      </c>
      <c r="E147" s="28" t="s">
        <v>1345</v>
      </c>
      <c r="F147" s="28">
        <v>248.67</v>
      </c>
      <c r="G147" s="28">
        <v>73.42</v>
      </c>
      <c r="H147" s="28" t="s">
        <v>2514</v>
      </c>
      <c r="I147" s="28">
        <v>481</v>
      </c>
    </row>
    <row r="148" spans="2:9">
      <c r="B148" s="27">
        <v>45908</v>
      </c>
      <c r="C148" s="28" t="s">
        <v>144</v>
      </c>
      <c r="D148" s="28">
        <v>539.70000000000005</v>
      </c>
      <c r="E148" s="28" t="s">
        <v>1346</v>
      </c>
      <c r="F148" s="28">
        <v>243.31</v>
      </c>
      <c r="G148" s="28">
        <v>72.8</v>
      </c>
      <c r="H148" s="28" t="s">
        <v>2515</v>
      </c>
      <c r="I148" s="28">
        <v>465.25</v>
      </c>
    </row>
    <row r="149" spans="2:9">
      <c r="B149" s="27">
        <v>45905</v>
      </c>
      <c r="C149" s="28" t="s">
        <v>145</v>
      </c>
      <c r="D149" s="28">
        <v>538.70000000000005</v>
      </c>
      <c r="E149" s="28" t="s">
        <v>1347</v>
      </c>
      <c r="F149" s="28">
        <v>242.88</v>
      </c>
      <c r="G149" s="28">
        <v>72.58</v>
      </c>
      <c r="H149" s="28" t="s">
        <v>2516</v>
      </c>
      <c r="I149" s="28">
        <v>467.75</v>
      </c>
    </row>
    <row r="150" spans="2:9">
      <c r="B150" s="27">
        <v>45904</v>
      </c>
      <c r="C150" s="28" t="s">
        <v>146</v>
      </c>
      <c r="D150" s="28">
        <v>541.1</v>
      </c>
      <c r="E150" s="28" t="s">
        <v>1348</v>
      </c>
      <c r="F150" s="28">
        <v>243.24</v>
      </c>
      <c r="G150" s="28">
        <v>73.180000000000007</v>
      </c>
      <c r="H150" s="28" t="s">
        <v>2517</v>
      </c>
      <c r="I150" s="28">
        <v>463.95</v>
      </c>
    </row>
    <row r="151" spans="2:9">
      <c r="B151" s="27">
        <v>45903</v>
      </c>
      <c r="C151" s="28" t="s">
        <v>147</v>
      </c>
      <c r="D151" s="28">
        <v>542.85</v>
      </c>
      <c r="E151" s="28" t="s">
        <v>1349</v>
      </c>
      <c r="F151" s="28">
        <v>244.57</v>
      </c>
      <c r="G151" s="28">
        <v>73.98</v>
      </c>
      <c r="H151" s="28" t="s">
        <v>551</v>
      </c>
      <c r="I151" s="28">
        <v>462.1</v>
      </c>
    </row>
    <row r="152" spans="2:9">
      <c r="B152" s="27">
        <v>45902</v>
      </c>
      <c r="C152" s="28" t="s">
        <v>148</v>
      </c>
      <c r="D152" s="28">
        <v>543.79999999999995</v>
      </c>
      <c r="E152" s="28" t="s">
        <v>1350</v>
      </c>
      <c r="F152" s="28">
        <v>241.99</v>
      </c>
      <c r="G152" s="28">
        <v>74.260000000000005</v>
      </c>
      <c r="H152" s="28" t="s">
        <v>2518</v>
      </c>
      <c r="I152" s="28">
        <v>464.6</v>
      </c>
    </row>
    <row r="153" spans="2:9">
      <c r="B153" s="27">
        <v>45901</v>
      </c>
      <c r="C153" s="28" t="s">
        <v>149</v>
      </c>
      <c r="D153" s="28">
        <v>547</v>
      </c>
      <c r="E153" s="28" t="s">
        <v>1351</v>
      </c>
      <c r="F153" s="28">
        <v>241.63</v>
      </c>
      <c r="G153" s="28">
        <v>71.209999999999994</v>
      </c>
      <c r="H153" s="28" t="s">
        <v>2519</v>
      </c>
      <c r="I153" s="28">
        <v>468.25</v>
      </c>
    </row>
    <row r="154" spans="2:9">
      <c r="B154" s="27">
        <v>45898</v>
      </c>
      <c r="C154" s="28" t="s">
        <v>150</v>
      </c>
      <c r="D154" s="28">
        <v>533</v>
      </c>
      <c r="E154" s="28" t="s">
        <v>1334</v>
      </c>
      <c r="F154" s="28">
        <v>239.99</v>
      </c>
      <c r="G154" s="28">
        <v>71.73</v>
      </c>
      <c r="H154" s="28" t="s">
        <v>2520</v>
      </c>
      <c r="I154" s="28">
        <v>462.75</v>
      </c>
    </row>
    <row r="155" spans="2:9">
      <c r="B155" s="27">
        <v>45897</v>
      </c>
      <c r="C155" s="28" t="s">
        <v>151</v>
      </c>
      <c r="D155" s="28">
        <v>528.5</v>
      </c>
      <c r="E155" s="28" t="s">
        <v>1352</v>
      </c>
      <c r="F155" s="28">
        <v>238.04</v>
      </c>
      <c r="G155" s="28">
        <v>72.77</v>
      </c>
      <c r="H155" s="28" t="s">
        <v>2521</v>
      </c>
      <c r="I155" s="28">
        <v>451.55</v>
      </c>
    </row>
    <row r="156" spans="2:9">
      <c r="B156" s="27">
        <v>45895</v>
      </c>
      <c r="C156" s="28" t="s">
        <v>152</v>
      </c>
      <c r="D156" s="28">
        <v>525.1</v>
      </c>
      <c r="E156" s="28" t="s">
        <v>1353</v>
      </c>
      <c r="F156" s="28">
        <v>234.07</v>
      </c>
      <c r="G156" s="28">
        <v>74.099999999999994</v>
      </c>
      <c r="H156" s="28" t="s">
        <v>2522</v>
      </c>
      <c r="I156" s="28">
        <v>456.8</v>
      </c>
    </row>
    <row r="157" spans="2:9">
      <c r="B157" s="27">
        <v>45894</v>
      </c>
      <c r="C157" s="28" t="s">
        <v>153</v>
      </c>
      <c r="D157" s="28">
        <v>534.54999999999995</v>
      </c>
      <c r="E157" s="28" t="s">
        <v>1354</v>
      </c>
      <c r="F157" s="28">
        <v>234.54</v>
      </c>
      <c r="G157" s="28">
        <v>72.53</v>
      </c>
      <c r="H157" s="28" t="s">
        <v>1027</v>
      </c>
      <c r="I157" s="28">
        <v>456.5</v>
      </c>
    </row>
    <row r="158" spans="2:9">
      <c r="B158" s="27">
        <v>45891</v>
      </c>
      <c r="C158" s="28" t="s">
        <v>154</v>
      </c>
      <c r="D158" s="28">
        <v>527</v>
      </c>
      <c r="E158" s="28" t="s">
        <v>1355</v>
      </c>
      <c r="F158" s="28">
        <v>232.62</v>
      </c>
      <c r="G158" s="28">
        <v>73</v>
      </c>
      <c r="H158" s="28" t="s">
        <v>2523</v>
      </c>
      <c r="I158" s="28">
        <v>458.85</v>
      </c>
    </row>
    <row r="159" spans="2:9">
      <c r="B159" s="27">
        <v>45890</v>
      </c>
      <c r="C159" s="28" t="s">
        <v>155</v>
      </c>
      <c r="D159" s="28">
        <v>530.29999999999995</v>
      </c>
      <c r="E159" s="28" t="s">
        <v>1356</v>
      </c>
      <c r="F159" s="28">
        <v>238.13</v>
      </c>
      <c r="G159" s="28">
        <v>73.349999999999994</v>
      </c>
      <c r="H159" s="28" t="s">
        <v>2524</v>
      </c>
      <c r="I159" s="28">
        <v>454.15</v>
      </c>
    </row>
    <row r="160" spans="2:9">
      <c r="B160" s="27">
        <v>45889</v>
      </c>
      <c r="C160" s="28" t="s">
        <v>156</v>
      </c>
      <c r="D160" s="28">
        <v>543.5</v>
      </c>
      <c r="E160" s="28" t="s">
        <v>1357</v>
      </c>
      <c r="F160" s="28">
        <v>244.21</v>
      </c>
      <c r="G160" s="28">
        <v>73.27</v>
      </c>
      <c r="H160" s="28" t="s">
        <v>2525</v>
      </c>
      <c r="I160" s="28">
        <v>449.2</v>
      </c>
    </row>
    <row r="161" spans="2:9">
      <c r="B161" s="27">
        <v>45888</v>
      </c>
      <c r="C161" s="28" t="s">
        <v>157</v>
      </c>
      <c r="D161" s="28">
        <v>547.1</v>
      </c>
      <c r="E161" s="28" t="s">
        <v>1358</v>
      </c>
      <c r="F161" s="28">
        <v>242.87</v>
      </c>
      <c r="G161" s="28">
        <v>71.73</v>
      </c>
      <c r="H161" s="28" t="s">
        <v>554</v>
      </c>
      <c r="I161" s="28">
        <v>464.6</v>
      </c>
    </row>
    <row r="162" spans="2:9">
      <c r="B162" s="27">
        <v>45887</v>
      </c>
      <c r="C162" s="28" t="s">
        <v>158</v>
      </c>
      <c r="D162" s="28">
        <v>551.35</v>
      </c>
      <c r="E162" s="28" t="s">
        <v>1359</v>
      </c>
      <c r="F162" s="28">
        <v>236.86</v>
      </c>
      <c r="G162" s="28">
        <v>73.14</v>
      </c>
      <c r="H162" s="28" t="s">
        <v>2526</v>
      </c>
      <c r="I162" s="28">
        <v>469.35</v>
      </c>
    </row>
    <row r="163" spans="2:9">
      <c r="B163" s="27">
        <v>45883</v>
      </c>
      <c r="C163" s="28" t="s">
        <v>159</v>
      </c>
      <c r="D163" s="28">
        <v>533.45000000000005</v>
      </c>
      <c r="E163" s="28" t="s">
        <v>1360</v>
      </c>
      <c r="F163" s="28">
        <v>235.45</v>
      </c>
      <c r="G163" s="28">
        <v>70.239999999999995</v>
      </c>
      <c r="H163" s="28" t="s">
        <v>2527</v>
      </c>
      <c r="I163" s="28">
        <v>464.5</v>
      </c>
    </row>
    <row r="164" spans="2:9">
      <c r="B164" s="27">
        <v>45882</v>
      </c>
      <c r="C164" s="28" t="s">
        <v>160</v>
      </c>
      <c r="D164" s="28">
        <v>537.4</v>
      </c>
      <c r="E164" s="28" t="s">
        <v>1361</v>
      </c>
      <c r="F164" s="28">
        <v>236.48</v>
      </c>
      <c r="G164" s="28">
        <v>71.53</v>
      </c>
      <c r="H164" s="28" t="s">
        <v>2528</v>
      </c>
      <c r="I164" s="28">
        <v>464.65</v>
      </c>
    </row>
    <row r="165" spans="2:9">
      <c r="B165" s="27">
        <v>45881</v>
      </c>
      <c r="C165" s="28" t="s">
        <v>161</v>
      </c>
      <c r="D165" s="28">
        <v>537.4</v>
      </c>
      <c r="E165" s="28" t="s">
        <v>1362</v>
      </c>
      <c r="F165" s="28">
        <v>238.36</v>
      </c>
      <c r="G165" s="28">
        <v>73.36</v>
      </c>
      <c r="H165" s="28" t="s">
        <v>2529</v>
      </c>
      <c r="I165" s="28">
        <v>462.45</v>
      </c>
    </row>
    <row r="166" spans="2:9">
      <c r="B166" s="27">
        <v>45880</v>
      </c>
      <c r="C166" s="28" t="s">
        <v>162</v>
      </c>
      <c r="D166" s="28">
        <v>546.1</v>
      </c>
      <c r="E166" s="28" t="s">
        <v>1363</v>
      </c>
      <c r="F166" s="28">
        <v>235.02</v>
      </c>
      <c r="G166" s="28">
        <v>74</v>
      </c>
      <c r="H166" s="28" t="s">
        <v>2530</v>
      </c>
      <c r="I166" s="28">
        <v>458.85</v>
      </c>
    </row>
    <row r="167" spans="2:9">
      <c r="B167" s="27">
        <v>45877</v>
      </c>
      <c r="C167" s="28" t="s">
        <v>163</v>
      </c>
      <c r="D167" s="28">
        <v>551.04999999999995</v>
      </c>
      <c r="E167" s="28" t="s">
        <v>1364</v>
      </c>
      <c r="F167" s="28">
        <v>232.89</v>
      </c>
      <c r="G167" s="28">
        <v>75.14</v>
      </c>
      <c r="H167" s="28" t="s">
        <v>2531</v>
      </c>
      <c r="I167" s="28">
        <v>453.1</v>
      </c>
    </row>
    <row r="168" spans="2:9">
      <c r="B168" s="27">
        <v>45876</v>
      </c>
      <c r="C168" s="28" t="s">
        <v>164</v>
      </c>
      <c r="D168" s="28">
        <v>545.95000000000005</v>
      </c>
      <c r="E168" s="28" t="s">
        <v>1365</v>
      </c>
      <c r="F168" s="28">
        <v>233.37</v>
      </c>
      <c r="G168" s="28">
        <v>75.87</v>
      </c>
      <c r="H168" s="28" t="s">
        <v>2532</v>
      </c>
      <c r="I168" s="28">
        <v>443.95</v>
      </c>
    </row>
    <row r="169" spans="2:9">
      <c r="B169" s="27">
        <v>45875</v>
      </c>
      <c r="C169" s="28" t="s">
        <v>165</v>
      </c>
      <c r="D169" s="28">
        <v>565.29999999999995</v>
      </c>
      <c r="E169" s="28" t="s">
        <v>1366</v>
      </c>
      <c r="F169" s="28">
        <v>234.9</v>
      </c>
      <c r="G169" s="28">
        <v>76.680000000000007</v>
      </c>
      <c r="H169" s="28" t="s">
        <v>2533</v>
      </c>
      <c r="I169" s="28">
        <v>441.65</v>
      </c>
    </row>
    <row r="170" spans="2:9">
      <c r="B170" s="27">
        <v>45874</v>
      </c>
      <c r="C170" s="28" t="s">
        <v>166</v>
      </c>
      <c r="D170" s="28">
        <v>571.70000000000005</v>
      </c>
      <c r="E170" s="28" t="s">
        <v>1367</v>
      </c>
      <c r="F170" s="28">
        <v>242.17</v>
      </c>
      <c r="G170" s="28">
        <v>78.28</v>
      </c>
      <c r="H170" s="28" t="s">
        <v>2534</v>
      </c>
      <c r="I170" s="28">
        <v>448.8</v>
      </c>
    </row>
    <row r="171" spans="2:9">
      <c r="B171" s="27">
        <v>45873</v>
      </c>
      <c r="C171" s="28" t="s">
        <v>167</v>
      </c>
      <c r="D171" s="28">
        <v>570</v>
      </c>
      <c r="E171" s="28" t="s">
        <v>1368</v>
      </c>
      <c r="F171" s="28">
        <v>243.97</v>
      </c>
      <c r="G171" s="28">
        <v>78.42</v>
      </c>
      <c r="H171" s="28" t="s">
        <v>2535</v>
      </c>
      <c r="I171" s="28">
        <v>441.2</v>
      </c>
    </row>
    <row r="172" spans="2:9">
      <c r="B172" s="27">
        <v>45870</v>
      </c>
      <c r="C172" s="28" t="s">
        <v>168</v>
      </c>
      <c r="D172" s="28">
        <v>566.9</v>
      </c>
      <c r="E172" s="28" t="s">
        <v>1369</v>
      </c>
      <c r="F172" s="28">
        <v>250.05</v>
      </c>
      <c r="G172" s="28">
        <v>78.239999999999995</v>
      </c>
      <c r="H172" s="28" t="s">
        <v>2536</v>
      </c>
      <c r="I172" s="28">
        <v>434.55</v>
      </c>
    </row>
    <row r="173" spans="2:9">
      <c r="B173" s="27">
        <v>45869</v>
      </c>
      <c r="C173" s="28" t="s">
        <v>169</v>
      </c>
      <c r="D173" s="28">
        <v>564.9</v>
      </c>
      <c r="E173" s="28" t="s">
        <v>1370</v>
      </c>
      <c r="F173" s="28">
        <v>244.9</v>
      </c>
      <c r="G173" s="28">
        <v>81.709999999999994</v>
      </c>
      <c r="H173" s="28" t="s">
        <v>2537</v>
      </c>
      <c r="I173" s="28">
        <v>434.95</v>
      </c>
    </row>
    <row r="174" spans="2:9">
      <c r="B174" s="27">
        <v>45868</v>
      </c>
      <c r="C174" s="28" t="s">
        <v>170</v>
      </c>
      <c r="D174" s="28">
        <v>574.95000000000005</v>
      </c>
      <c r="E174" s="28" t="s">
        <v>1371</v>
      </c>
      <c r="F174" s="28">
        <v>245.6</v>
      </c>
      <c r="G174" s="28">
        <v>81.239999999999995</v>
      </c>
      <c r="H174" s="28" t="s">
        <v>2538</v>
      </c>
      <c r="I174" s="28">
        <v>430.1</v>
      </c>
    </row>
    <row r="175" spans="2:9">
      <c r="B175" s="27">
        <v>45867</v>
      </c>
      <c r="C175" s="28" t="s">
        <v>171</v>
      </c>
      <c r="D175" s="28">
        <v>571.5</v>
      </c>
      <c r="E175" s="28" t="s">
        <v>1372</v>
      </c>
      <c r="F175" s="28">
        <v>242</v>
      </c>
      <c r="G175" s="28">
        <v>82.14</v>
      </c>
      <c r="H175" s="28" t="s">
        <v>2539</v>
      </c>
      <c r="I175" s="28">
        <v>418.2</v>
      </c>
    </row>
    <row r="176" spans="2:9">
      <c r="B176" s="27">
        <v>45866</v>
      </c>
      <c r="C176" s="28" t="s">
        <v>172</v>
      </c>
      <c r="D176" s="28">
        <v>560.1</v>
      </c>
      <c r="E176" s="28" t="s">
        <v>1373</v>
      </c>
      <c r="F176" s="28">
        <v>240.7</v>
      </c>
      <c r="G176" s="28">
        <v>83.24</v>
      </c>
      <c r="H176" s="28" t="s">
        <v>2540</v>
      </c>
      <c r="I176" s="28">
        <v>413.8</v>
      </c>
    </row>
    <row r="177" spans="2:9">
      <c r="B177" s="27">
        <v>45863</v>
      </c>
      <c r="C177" s="28" t="s">
        <v>173</v>
      </c>
      <c r="D177" s="28">
        <v>558</v>
      </c>
      <c r="E177" s="28" t="s">
        <v>1374</v>
      </c>
      <c r="F177" s="28">
        <v>244.95</v>
      </c>
      <c r="G177" s="28">
        <v>84.52</v>
      </c>
      <c r="H177" s="28" t="s">
        <v>2541</v>
      </c>
      <c r="I177" s="28">
        <v>417.35</v>
      </c>
    </row>
    <row r="178" spans="2:9">
      <c r="B178" s="27">
        <v>45862</v>
      </c>
      <c r="C178" s="28" t="s">
        <v>174</v>
      </c>
      <c r="D178" s="28">
        <v>577.04999999999995</v>
      </c>
      <c r="E178" s="28" t="s">
        <v>1375</v>
      </c>
      <c r="F178" s="28">
        <v>249.45</v>
      </c>
      <c r="G178" s="28">
        <v>92.29</v>
      </c>
      <c r="H178" s="28" t="s">
        <v>2542</v>
      </c>
      <c r="I178" s="28">
        <v>420.4</v>
      </c>
    </row>
    <row r="179" spans="2:9">
      <c r="B179" s="27">
        <v>45861</v>
      </c>
      <c r="C179" s="28" t="s">
        <v>175</v>
      </c>
      <c r="D179" s="28">
        <v>576.20000000000005</v>
      </c>
      <c r="E179" s="28" t="s">
        <v>1376</v>
      </c>
      <c r="F179" s="28">
        <v>247.05</v>
      </c>
      <c r="G179" s="28">
        <v>93.28</v>
      </c>
      <c r="H179" s="28" t="s">
        <v>2543</v>
      </c>
      <c r="I179" s="28">
        <v>418.45</v>
      </c>
    </row>
    <row r="180" spans="2:9">
      <c r="B180" s="27">
        <v>45860</v>
      </c>
      <c r="C180" s="28" t="s">
        <v>176</v>
      </c>
      <c r="D180" s="28">
        <v>570.5</v>
      </c>
      <c r="E180" s="28" t="s">
        <v>1258</v>
      </c>
      <c r="F180" s="28">
        <v>246.35</v>
      </c>
      <c r="G180" s="28">
        <v>95.76</v>
      </c>
      <c r="H180" s="28" t="s">
        <v>2544</v>
      </c>
      <c r="I180" s="28">
        <v>418.4</v>
      </c>
    </row>
    <row r="181" spans="2:9">
      <c r="B181" s="27">
        <v>45859</v>
      </c>
      <c r="C181" s="28" t="s">
        <v>175</v>
      </c>
      <c r="D181" s="28">
        <v>566.65</v>
      </c>
      <c r="E181" s="28" t="s">
        <v>1377</v>
      </c>
      <c r="F181" s="28">
        <v>247.65</v>
      </c>
      <c r="G181" s="28">
        <v>96.21</v>
      </c>
      <c r="H181" s="28" t="s">
        <v>2545</v>
      </c>
      <c r="I181" s="28">
        <v>417.8</v>
      </c>
    </row>
    <row r="182" spans="2:9">
      <c r="B182" s="27">
        <v>45856</v>
      </c>
      <c r="C182" s="28" t="s">
        <v>177</v>
      </c>
      <c r="D182" s="28">
        <v>576.79999999999995</v>
      </c>
      <c r="E182" s="28" t="s">
        <v>1378</v>
      </c>
      <c r="F182" s="28">
        <v>248.1</v>
      </c>
      <c r="G182" s="28">
        <v>96.62</v>
      </c>
      <c r="H182" s="28" t="s">
        <v>2546</v>
      </c>
      <c r="I182" s="28">
        <v>422.05</v>
      </c>
    </row>
    <row r="183" spans="2:9">
      <c r="B183" s="27">
        <v>45855</v>
      </c>
      <c r="C183" s="28" t="s">
        <v>178</v>
      </c>
      <c r="D183" s="28">
        <v>579.25</v>
      </c>
      <c r="E183" s="28" t="s">
        <v>1379</v>
      </c>
      <c r="F183" s="28">
        <v>249.75</v>
      </c>
      <c r="G183" s="28">
        <v>97.4</v>
      </c>
      <c r="H183" s="28" t="s">
        <v>2547</v>
      </c>
      <c r="I183" s="28">
        <v>422.35</v>
      </c>
    </row>
    <row r="184" spans="2:9">
      <c r="B184" s="27">
        <v>45854</v>
      </c>
      <c r="C184" s="28" t="s">
        <v>37</v>
      </c>
      <c r="D184" s="28">
        <v>564.9</v>
      </c>
      <c r="E184" s="28" t="s">
        <v>1261</v>
      </c>
      <c r="F184" s="28">
        <v>247.25</v>
      </c>
      <c r="G184" s="28">
        <v>97.89</v>
      </c>
      <c r="H184" s="28" t="s">
        <v>2548</v>
      </c>
      <c r="I184" s="28">
        <v>417.45</v>
      </c>
    </row>
    <row r="185" spans="2:9">
      <c r="B185" s="27">
        <v>45853</v>
      </c>
      <c r="C185" s="28" t="s">
        <v>179</v>
      </c>
      <c r="D185" s="28">
        <v>561.20000000000005</v>
      </c>
      <c r="E185" s="28" t="s">
        <v>1380</v>
      </c>
      <c r="F185" s="28">
        <v>249.8</v>
      </c>
      <c r="G185" s="28">
        <v>97.37</v>
      </c>
      <c r="H185" s="28" t="s">
        <v>2549</v>
      </c>
      <c r="I185" s="28">
        <v>413.85</v>
      </c>
    </row>
    <row r="186" spans="2:9">
      <c r="B186" s="27">
        <v>45852</v>
      </c>
      <c r="C186" s="28" t="s">
        <v>180</v>
      </c>
      <c r="D186" s="28">
        <v>556.85</v>
      </c>
      <c r="E186" s="28" t="s">
        <v>1381</v>
      </c>
      <c r="F186" s="28">
        <v>245.95</v>
      </c>
      <c r="G186" s="28">
        <v>96.24</v>
      </c>
      <c r="H186" s="28" t="s">
        <v>2550</v>
      </c>
      <c r="I186" s="28">
        <v>418.3</v>
      </c>
    </row>
    <row r="187" spans="2:9">
      <c r="B187" s="27">
        <v>45849</v>
      </c>
      <c r="C187" s="28" t="s">
        <v>181</v>
      </c>
      <c r="D187" s="28">
        <v>572.54999999999995</v>
      </c>
      <c r="E187" s="28" t="s">
        <v>1377</v>
      </c>
      <c r="F187" s="28">
        <v>246.25</v>
      </c>
      <c r="G187" s="28">
        <v>96.68</v>
      </c>
      <c r="H187" s="28" t="s">
        <v>2551</v>
      </c>
      <c r="I187" s="28">
        <v>424.6</v>
      </c>
    </row>
    <row r="188" spans="2:9">
      <c r="B188" s="27">
        <v>45848</v>
      </c>
      <c r="C188" s="28" t="s">
        <v>182</v>
      </c>
      <c r="D188" s="28">
        <v>578.20000000000005</v>
      </c>
      <c r="E188" s="28" t="s">
        <v>1377</v>
      </c>
      <c r="F188" s="28">
        <v>249.1</v>
      </c>
      <c r="G188" s="28">
        <v>98.52</v>
      </c>
      <c r="H188" s="28" t="s">
        <v>2552</v>
      </c>
      <c r="I188" s="28">
        <v>423.8</v>
      </c>
    </row>
    <row r="189" spans="2:9">
      <c r="B189" s="27">
        <v>45847</v>
      </c>
      <c r="C189" s="28" t="s">
        <v>183</v>
      </c>
      <c r="D189" s="28">
        <v>585</v>
      </c>
      <c r="E189" s="28" t="s">
        <v>1261</v>
      </c>
      <c r="F189" s="28">
        <v>250.35</v>
      </c>
      <c r="G189" s="28">
        <v>95.91</v>
      </c>
      <c r="H189" s="28" t="s">
        <v>2553</v>
      </c>
      <c r="I189" s="28">
        <v>417.6</v>
      </c>
    </row>
    <row r="190" spans="2:9">
      <c r="B190" s="27">
        <v>45846</v>
      </c>
      <c r="C190" s="28" t="s">
        <v>184</v>
      </c>
      <c r="D190" s="28">
        <v>582.54999999999995</v>
      </c>
      <c r="E190" s="28" t="s">
        <v>1261</v>
      </c>
      <c r="F190" s="28">
        <v>249.95</v>
      </c>
      <c r="G190" s="28">
        <v>95.72</v>
      </c>
      <c r="H190" s="28" t="s">
        <v>2554</v>
      </c>
      <c r="I190" s="28">
        <v>411.65</v>
      </c>
    </row>
    <row r="191" spans="2:9">
      <c r="B191" s="27">
        <v>45845</v>
      </c>
      <c r="C191" s="28" t="s">
        <v>185</v>
      </c>
      <c r="D191" s="28">
        <v>585.9</v>
      </c>
      <c r="E191" s="28" t="s">
        <v>1382</v>
      </c>
      <c r="F191" s="28">
        <v>249.75</v>
      </c>
      <c r="G191" s="28">
        <v>95.77</v>
      </c>
      <c r="H191" s="28" t="s">
        <v>2555</v>
      </c>
      <c r="I191" s="28">
        <v>405.95</v>
      </c>
    </row>
    <row r="192" spans="2:9">
      <c r="B192" s="27">
        <v>45842</v>
      </c>
      <c r="C192" s="28" t="s">
        <v>186</v>
      </c>
      <c r="D192" s="28">
        <v>596</v>
      </c>
      <c r="E192" s="28" t="s">
        <v>1383</v>
      </c>
      <c r="F192" s="28">
        <v>250.05</v>
      </c>
      <c r="G192" s="28">
        <v>95.93</v>
      </c>
      <c r="H192" s="28" t="s">
        <v>2556</v>
      </c>
      <c r="I192" s="28">
        <v>382</v>
      </c>
    </row>
    <row r="193" spans="2:9">
      <c r="B193" s="27">
        <v>45841</v>
      </c>
      <c r="C193" s="28" t="s">
        <v>187</v>
      </c>
      <c r="D193" s="28">
        <v>600.15</v>
      </c>
      <c r="E193" s="28" t="s">
        <v>1384</v>
      </c>
      <c r="F193" s="28">
        <v>250.25</v>
      </c>
      <c r="G193" s="28">
        <v>96.44</v>
      </c>
      <c r="H193" s="28" t="s">
        <v>2557</v>
      </c>
      <c r="I193" s="28">
        <v>372.65</v>
      </c>
    </row>
    <row r="194" spans="2:9">
      <c r="B194" s="27">
        <v>45840</v>
      </c>
      <c r="C194" s="28" t="s">
        <v>188</v>
      </c>
      <c r="D194" s="28">
        <v>594.85</v>
      </c>
      <c r="E194" s="28" t="s">
        <v>1385</v>
      </c>
      <c r="F194" s="28">
        <v>248.45</v>
      </c>
      <c r="G194" s="28">
        <v>97.35</v>
      </c>
      <c r="H194" s="28" t="s">
        <v>2558</v>
      </c>
      <c r="I194" s="28">
        <v>370.2</v>
      </c>
    </row>
    <row r="195" spans="2:9">
      <c r="B195" s="27">
        <v>45839</v>
      </c>
      <c r="C195" s="28" t="s">
        <v>189</v>
      </c>
      <c r="D195" s="28">
        <v>594.04999999999995</v>
      </c>
      <c r="E195" s="28" t="s">
        <v>1386</v>
      </c>
      <c r="F195" s="28">
        <v>250.15</v>
      </c>
      <c r="G195" s="28">
        <v>96.77</v>
      </c>
      <c r="H195" s="28" t="s">
        <v>2559</v>
      </c>
      <c r="I195" s="28">
        <v>375.55</v>
      </c>
    </row>
    <row r="196" spans="2:9">
      <c r="B196" s="27">
        <v>45838</v>
      </c>
      <c r="C196" s="28" t="s">
        <v>190</v>
      </c>
      <c r="D196" s="28">
        <v>592.65</v>
      </c>
      <c r="E196" s="28" t="s">
        <v>1387</v>
      </c>
      <c r="F196" s="28">
        <v>252.15</v>
      </c>
      <c r="G196" s="28">
        <v>96.97</v>
      </c>
      <c r="H196" s="28" t="s">
        <v>2560</v>
      </c>
      <c r="I196" s="28">
        <v>380.8</v>
      </c>
    </row>
    <row r="197" spans="2:9">
      <c r="B197" s="27">
        <v>45835</v>
      </c>
      <c r="C197" s="28" t="s">
        <v>191</v>
      </c>
      <c r="D197" s="28">
        <v>583.95000000000005</v>
      </c>
      <c r="E197" s="28" t="s">
        <v>1388</v>
      </c>
      <c r="F197" s="28">
        <v>248.1</v>
      </c>
      <c r="G197" s="28">
        <v>96.01</v>
      </c>
      <c r="H197" s="28" t="s">
        <v>2561</v>
      </c>
      <c r="I197" s="28">
        <v>382.2</v>
      </c>
    </row>
    <row r="198" spans="2:9">
      <c r="B198" s="27">
        <v>45834</v>
      </c>
      <c r="C198" s="28" t="s">
        <v>192</v>
      </c>
      <c r="D198" s="28">
        <v>570</v>
      </c>
      <c r="E198" s="28" t="s">
        <v>1389</v>
      </c>
      <c r="F198" s="28">
        <v>244.1</v>
      </c>
      <c r="G198" s="28">
        <v>97.05</v>
      </c>
      <c r="H198" s="28" t="s">
        <v>2562</v>
      </c>
      <c r="I198" s="28">
        <v>381.35</v>
      </c>
    </row>
    <row r="199" spans="2:9">
      <c r="B199" s="27">
        <v>45833</v>
      </c>
      <c r="C199" s="28" t="s">
        <v>193</v>
      </c>
      <c r="D199" s="28">
        <v>568.29999999999995</v>
      </c>
      <c r="E199" s="28" t="s">
        <v>1390</v>
      </c>
      <c r="F199" s="28">
        <v>243.75</v>
      </c>
      <c r="G199" s="28">
        <v>97.99</v>
      </c>
      <c r="H199" s="28" t="s">
        <v>2563</v>
      </c>
      <c r="I199" s="28">
        <v>382.95</v>
      </c>
    </row>
    <row r="200" spans="2:9">
      <c r="B200" s="27">
        <v>45832</v>
      </c>
      <c r="C200" s="28" t="s">
        <v>194</v>
      </c>
      <c r="D200" s="28">
        <v>553.29999999999995</v>
      </c>
      <c r="E200" s="28" t="s">
        <v>1391</v>
      </c>
      <c r="F200" s="28">
        <v>241.85</v>
      </c>
      <c r="G200" s="28">
        <v>97.56</v>
      </c>
      <c r="H200" s="28" t="s">
        <v>2564</v>
      </c>
      <c r="I200" s="28">
        <v>379.5</v>
      </c>
    </row>
    <row r="201" spans="2:9">
      <c r="B201" s="27">
        <v>45831</v>
      </c>
      <c r="C201" s="28" t="s">
        <v>195</v>
      </c>
      <c r="D201" s="28">
        <v>553.35</v>
      </c>
      <c r="E201" s="28" t="s">
        <v>1357</v>
      </c>
      <c r="F201" s="28">
        <v>238.9</v>
      </c>
      <c r="G201" s="28">
        <v>96.26</v>
      </c>
      <c r="H201" s="28" t="s">
        <v>2565</v>
      </c>
      <c r="I201" s="28">
        <v>376.6</v>
      </c>
    </row>
    <row r="202" spans="2:9">
      <c r="B202" s="27">
        <v>45828</v>
      </c>
      <c r="C202" s="28" t="s">
        <v>196</v>
      </c>
      <c r="D202" s="28">
        <v>535.75</v>
      </c>
      <c r="E202" s="28" t="s">
        <v>1392</v>
      </c>
      <c r="F202" s="28">
        <v>238.55</v>
      </c>
      <c r="G202" s="28">
        <v>95.33</v>
      </c>
      <c r="H202" s="28" t="s">
        <v>2566</v>
      </c>
      <c r="I202" s="28">
        <v>378.2</v>
      </c>
    </row>
    <row r="203" spans="2:9">
      <c r="B203" s="27">
        <v>45827</v>
      </c>
      <c r="C203" s="28" t="s">
        <v>197</v>
      </c>
      <c r="D203" s="28">
        <v>544.5</v>
      </c>
      <c r="E203" s="28" t="s">
        <v>1393</v>
      </c>
      <c r="F203" s="28">
        <v>239.45</v>
      </c>
      <c r="G203" s="28">
        <v>96.14</v>
      </c>
      <c r="H203" s="28" t="s">
        <v>2567</v>
      </c>
      <c r="I203" s="28">
        <v>376.5</v>
      </c>
    </row>
    <row r="204" spans="2:9">
      <c r="B204" s="27">
        <v>45826</v>
      </c>
      <c r="C204" s="28" t="s">
        <v>198</v>
      </c>
      <c r="D204" s="28">
        <v>557.65</v>
      </c>
      <c r="E204" s="28" t="s">
        <v>1394</v>
      </c>
      <c r="F204" s="28">
        <v>242.58</v>
      </c>
      <c r="G204" s="28">
        <v>96.31</v>
      </c>
      <c r="H204" s="28" t="s">
        <v>2568</v>
      </c>
      <c r="I204" s="28">
        <v>382.85</v>
      </c>
    </row>
    <row r="205" spans="2:9">
      <c r="B205" s="27">
        <v>45825</v>
      </c>
      <c r="C205" s="28" t="s">
        <v>199</v>
      </c>
      <c r="D205" s="28">
        <v>561.25</v>
      </c>
      <c r="E205" s="28" t="s">
        <v>1395</v>
      </c>
      <c r="F205" s="28">
        <v>242.13</v>
      </c>
      <c r="G205" s="28">
        <v>98.66</v>
      </c>
      <c r="H205" s="28" t="s">
        <v>2569</v>
      </c>
      <c r="I205" s="28">
        <v>385.8</v>
      </c>
    </row>
    <row r="206" spans="2:9">
      <c r="B206" s="27">
        <v>45824</v>
      </c>
      <c r="C206" s="28" t="s">
        <v>200</v>
      </c>
      <c r="D206" s="28">
        <v>569.6</v>
      </c>
      <c r="E206" s="28" t="s">
        <v>1396</v>
      </c>
      <c r="F206" s="28">
        <v>240.64</v>
      </c>
      <c r="G206" s="28">
        <v>98.85</v>
      </c>
      <c r="H206" s="28" t="s">
        <v>2570</v>
      </c>
      <c r="I206" s="28">
        <v>386.05</v>
      </c>
    </row>
    <row r="207" spans="2:9">
      <c r="B207" s="27">
        <v>45821</v>
      </c>
      <c r="C207" s="28" t="s">
        <v>201</v>
      </c>
      <c r="D207" s="28">
        <v>570.15</v>
      </c>
      <c r="E207" s="28" t="s">
        <v>1397</v>
      </c>
      <c r="F207" s="28">
        <v>242.45</v>
      </c>
      <c r="G207" s="28">
        <v>100.11</v>
      </c>
      <c r="H207" s="28" t="s">
        <v>2571</v>
      </c>
      <c r="I207" s="28">
        <v>383</v>
      </c>
    </row>
    <row r="208" spans="2:9">
      <c r="B208" s="27">
        <v>45820</v>
      </c>
      <c r="C208" s="28" t="s">
        <v>202</v>
      </c>
      <c r="D208" s="28">
        <v>568.54999999999995</v>
      </c>
      <c r="E208" s="28" t="s">
        <v>1398</v>
      </c>
      <c r="F208" s="28">
        <v>249.85</v>
      </c>
      <c r="G208" s="28">
        <v>102.5</v>
      </c>
      <c r="H208" s="28" t="s">
        <v>2572</v>
      </c>
      <c r="I208" s="28">
        <v>381.05</v>
      </c>
    </row>
    <row r="209" spans="2:9">
      <c r="B209" s="27">
        <v>45819</v>
      </c>
      <c r="C209" s="28" t="s">
        <v>203</v>
      </c>
      <c r="D209" s="28">
        <v>567.20000000000005</v>
      </c>
      <c r="E209" s="28" t="s">
        <v>1399</v>
      </c>
      <c r="F209" s="28">
        <v>250.8</v>
      </c>
      <c r="G209" s="28">
        <v>101.46</v>
      </c>
      <c r="H209" s="28" t="s">
        <v>2573</v>
      </c>
      <c r="I209" s="28">
        <v>385.8</v>
      </c>
    </row>
    <row r="210" spans="2:9">
      <c r="B210" s="27">
        <v>45818</v>
      </c>
      <c r="C210" s="28" t="s">
        <v>204</v>
      </c>
      <c r="D210" s="28">
        <v>572.9</v>
      </c>
      <c r="E210" s="28" t="s">
        <v>1400</v>
      </c>
      <c r="F210" s="28">
        <v>253.85</v>
      </c>
      <c r="G210" s="28">
        <v>101.06</v>
      </c>
      <c r="H210" s="28" t="s">
        <v>2574</v>
      </c>
      <c r="I210" s="28">
        <v>383.65</v>
      </c>
    </row>
    <row r="211" spans="2:9">
      <c r="B211" s="27">
        <v>45817</v>
      </c>
      <c r="C211" s="28" t="s">
        <v>205</v>
      </c>
      <c r="D211" s="28">
        <v>571.5</v>
      </c>
      <c r="E211" s="28" t="s">
        <v>1401</v>
      </c>
      <c r="F211" s="28">
        <v>250.1</v>
      </c>
      <c r="G211" s="28">
        <v>99.6</v>
      </c>
      <c r="H211" s="28" t="s">
        <v>2575</v>
      </c>
      <c r="I211" s="28">
        <v>373.2</v>
      </c>
    </row>
    <row r="212" spans="2:9">
      <c r="B212" s="27">
        <v>45814</v>
      </c>
      <c r="C212" s="28" t="s">
        <v>206</v>
      </c>
      <c r="D212" s="28">
        <v>581.5</v>
      </c>
      <c r="E212" s="28" t="s">
        <v>1402</v>
      </c>
      <c r="F212" s="28">
        <v>249.15</v>
      </c>
      <c r="G212" s="28">
        <v>98.97</v>
      </c>
      <c r="H212" s="28" t="s">
        <v>2576</v>
      </c>
      <c r="I212" s="28">
        <v>367.3</v>
      </c>
    </row>
    <row r="213" spans="2:9">
      <c r="B213" s="27">
        <v>45813</v>
      </c>
      <c r="C213" s="28" t="s">
        <v>207</v>
      </c>
      <c r="D213" s="28">
        <v>582</v>
      </c>
      <c r="E213" s="28" t="s">
        <v>1402</v>
      </c>
      <c r="F213" s="28">
        <v>248.3</v>
      </c>
      <c r="G213" s="28">
        <v>99.53</v>
      </c>
      <c r="H213" s="28" t="s">
        <v>2577</v>
      </c>
      <c r="I213" s="28">
        <v>363.25</v>
      </c>
    </row>
    <row r="214" spans="2:9">
      <c r="B214" s="27">
        <v>45812</v>
      </c>
      <c r="C214" s="28" t="s">
        <v>208</v>
      </c>
      <c r="D214" s="28">
        <v>569.25</v>
      </c>
      <c r="E214" s="28" t="s">
        <v>1396</v>
      </c>
      <c r="F214" s="28">
        <v>248.7</v>
      </c>
      <c r="G214" s="28">
        <v>97.07</v>
      </c>
      <c r="H214" s="28" t="s">
        <v>2578</v>
      </c>
      <c r="I214" s="28">
        <v>359.5</v>
      </c>
    </row>
    <row r="215" spans="2:9">
      <c r="B215" s="27">
        <v>45811</v>
      </c>
      <c r="C215" s="28" t="s">
        <v>209</v>
      </c>
      <c r="D215" s="28">
        <v>558</v>
      </c>
      <c r="E215" s="28" t="s">
        <v>1403</v>
      </c>
      <c r="F215" s="28">
        <v>250.35</v>
      </c>
      <c r="G215" s="28">
        <v>98.89</v>
      </c>
      <c r="H215" s="28" t="s">
        <v>2579</v>
      </c>
      <c r="I215" s="28">
        <v>354.95</v>
      </c>
    </row>
    <row r="216" spans="2:9">
      <c r="B216" s="27">
        <v>45810</v>
      </c>
      <c r="C216" s="28" t="s">
        <v>210</v>
      </c>
      <c r="D216" s="28">
        <v>556.9</v>
      </c>
      <c r="E216" s="28" t="s">
        <v>1404</v>
      </c>
      <c r="F216" s="28">
        <v>252</v>
      </c>
      <c r="G216" s="28">
        <v>99.79</v>
      </c>
      <c r="H216" s="28" t="s">
        <v>2580</v>
      </c>
      <c r="I216" s="28">
        <v>354.25</v>
      </c>
    </row>
    <row r="217" spans="2:9">
      <c r="B217" s="27">
        <v>45807</v>
      </c>
      <c r="C217" s="28" t="s">
        <v>211</v>
      </c>
      <c r="D217" s="28">
        <v>568.29999999999995</v>
      </c>
      <c r="E217" s="28" t="s">
        <v>1405</v>
      </c>
      <c r="F217" s="28">
        <v>253.7</v>
      </c>
      <c r="G217" s="28">
        <v>99.93</v>
      </c>
      <c r="H217" s="28" t="s">
        <v>2581</v>
      </c>
      <c r="I217" s="28">
        <v>349.05</v>
      </c>
    </row>
    <row r="218" spans="2:9">
      <c r="B218" s="27">
        <v>45806</v>
      </c>
      <c r="C218" s="28" t="s">
        <v>212</v>
      </c>
      <c r="D218" s="28">
        <v>561.20000000000005</v>
      </c>
      <c r="E218" s="28" t="s">
        <v>1406</v>
      </c>
      <c r="F218" s="28">
        <v>253.5</v>
      </c>
      <c r="G218" s="28">
        <v>100.32</v>
      </c>
      <c r="H218" s="28" t="s">
        <v>2582</v>
      </c>
      <c r="I218" s="28">
        <v>343.4</v>
      </c>
    </row>
    <row r="219" spans="2:9">
      <c r="B219" s="27">
        <v>45805</v>
      </c>
      <c r="C219" s="28" t="s">
        <v>213</v>
      </c>
      <c r="D219" s="28">
        <v>552.85</v>
      </c>
      <c r="E219" s="28" t="s">
        <v>1407</v>
      </c>
      <c r="F219" s="28">
        <v>254.4</v>
      </c>
      <c r="G219" s="28">
        <v>101.23</v>
      </c>
      <c r="H219" s="28" t="s">
        <v>2583</v>
      </c>
      <c r="I219" s="28">
        <v>338.9</v>
      </c>
    </row>
    <row r="220" spans="2:9">
      <c r="B220" s="27">
        <v>45804</v>
      </c>
      <c r="C220" s="28" t="s">
        <v>214</v>
      </c>
      <c r="D220" s="28">
        <v>551.35</v>
      </c>
      <c r="E220" s="28" t="s">
        <v>1408</v>
      </c>
      <c r="F220" s="28">
        <v>257.05</v>
      </c>
      <c r="G220" s="28">
        <v>102.28</v>
      </c>
      <c r="H220" s="28" t="s">
        <v>2584</v>
      </c>
      <c r="I220" s="28">
        <v>338.4</v>
      </c>
    </row>
    <row r="221" spans="2:9">
      <c r="B221" s="27">
        <v>45803</v>
      </c>
      <c r="C221" s="28" t="s">
        <v>215</v>
      </c>
      <c r="D221" s="28">
        <v>547.9</v>
      </c>
      <c r="E221" s="28" t="s">
        <v>1409</v>
      </c>
      <c r="F221" s="28">
        <v>254.7</v>
      </c>
      <c r="G221" s="28">
        <v>103.59</v>
      </c>
      <c r="H221" s="28" t="s">
        <v>2585</v>
      </c>
      <c r="I221" s="28">
        <v>328.8</v>
      </c>
    </row>
    <row r="222" spans="2:9">
      <c r="B222" s="27">
        <v>45800</v>
      </c>
      <c r="C222" s="28" t="s">
        <v>216</v>
      </c>
      <c r="D222" s="28">
        <v>554.9</v>
      </c>
      <c r="E222" s="28" t="s">
        <v>1410</v>
      </c>
      <c r="F222" s="28">
        <v>260.2</v>
      </c>
      <c r="G222" s="28">
        <v>102.78</v>
      </c>
      <c r="H222" s="28" t="s">
        <v>2586</v>
      </c>
      <c r="I222" s="28">
        <v>315</v>
      </c>
    </row>
    <row r="223" spans="2:9">
      <c r="B223" s="27">
        <v>45799</v>
      </c>
      <c r="C223" s="28" t="s">
        <v>217</v>
      </c>
      <c r="D223" s="28">
        <v>566.4</v>
      </c>
      <c r="E223" s="28" t="s">
        <v>1411</v>
      </c>
      <c r="F223" s="28">
        <v>262.10000000000002</v>
      </c>
      <c r="G223" s="28">
        <v>100.68</v>
      </c>
      <c r="H223" s="28" t="s">
        <v>2587</v>
      </c>
      <c r="I223" s="28">
        <v>302.75</v>
      </c>
    </row>
    <row r="224" spans="2:9">
      <c r="B224" s="27">
        <v>45798</v>
      </c>
      <c r="C224" s="28" t="s">
        <v>218</v>
      </c>
      <c r="D224" s="28">
        <v>548.6</v>
      </c>
      <c r="E224" s="28" t="s">
        <v>1412</v>
      </c>
      <c r="F224" s="28">
        <v>264.7</v>
      </c>
      <c r="G224" s="28">
        <v>100.97</v>
      </c>
      <c r="H224" s="28" t="s">
        <v>2588</v>
      </c>
      <c r="I224" s="28">
        <v>298.3</v>
      </c>
    </row>
    <row r="225" spans="2:9">
      <c r="B225" s="27">
        <v>45797</v>
      </c>
      <c r="C225" s="28" t="s">
        <v>219</v>
      </c>
      <c r="D225" s="28">
        <v>557.1</v>
      </c>
      <c r="E225" s="28" t="s">
        <v>1413</v>
      </c>
      <c r="F225" s="28">
        <v>263.7</v>
      </c>
      <c r="G225" s="28">
        <v>101.15</v>
      </c>
      <c r="H225" s="28" t="s">
        <v>2589</v>
      </c>
      <c r="I225" s="28">
        <v>295.95</v>
      </c>
    </row>
    <row r="226" spans="2:9">
      <c r="B226" s="27">
        <v>45796</v>
      </c>
      <c r="C226" s="28" t="s">
        <v>220</v>
      </c>
      <c r="D226" s="28">
        <v>563.35</v>
      </c>
      <c r="E226" s="28" t="s">
        <v>1414</v>
      </c>
      <c r="F226" s="28">
        <v>264.2</v>
      </c>
      <c r="G226" s="28">
        <v>102.88</v>
      </c>
      <c r="H226" s="28" t="s">
        <v>2590</v>
      </c>
      <c r="I226" s="28">
        <v>290.7</v>
      </c>
    </row>
    <row r="227" spans="2:9">
      <c r="B227" s="27">
        <v>45793</v>
      </c>
      <c r="C227" s="28" t="s">
        <v>221</v>
      </c>
      <c r="D227" s="28">
        <v>576.1</v>
      </c>
      <c r="E227" s="28" t="s">
        <v>1415</v>
      </c>
      <c r="F227" s="28">
        <v>263.60000000000002</v>
      </c>
      <c r="G227" s="28">
        <v>102.03</v>
      </c>
      <c r="H227" s="28" t="s">
        <v>2591</v>
      </c>
      <c r="I227" s="28">
        <v>273.35000000000002</v>
      </c>
    </row>
    <row r="228" spans="2:9">
      <c r="B228" s="27">
        <v>45792</v>
      </c>
      <c r="C228" s="28" t="s">
        <v>222</v>
      </c>
      <c r="D228" s="28">
        <v>572.25</v>
      </c>
      <c r="E228" s="28" t="s">
        <v>1416</v>
      </c>
      <c r="F228" s="28">
        <v>266.35000000000002</v>
      </c>
      <c r="G228" s="28">
        <v>100.84</v>
      </c>
      <c r="H228" s="28" t="s">
        <v>2592</v>
      </c>
      <c r="I228" s="28">
        <v>267.55</v>
      </c>
    </row>
    <row r="229" spans="2:9">
      <c r="B229" s="27">
        <v>45791</v>
      </c>
      <c r="C229" s="28" t="s">
        <v>223</v>
      </c>
      <c r="D229" s="28">
        <v>552.95000000000005</v>
      </c>
      <c r="E229" s="28" t="s">
        <v>1417</v>
      </c>
      <c r="F229" s="28">
        <v>260.2</v>
      </c>
      <c r="G229" s="28">
        <v>100.96</v>
      </c>
      <c r="H229" s="28" t="s">
        <v>2593</v>
      </c>
      <c r="I229" s="28">
        <v>268.2</v>
      </c>
    </row>
    <row r="230" spans="2:9">
      <c r="B230" s="27">
        <v>45790</v>
      </c>
      <c r="C230" s="28" t="s">
        <v>224</v>
      </c>
      <c r="D230" s="28">
        <v>542.9</v>
      </c>
      <c r="E230" s="28" t="s">
        <v>1418</v>
      </c>
      <c r="F230" s="28">
        <v>260.3</v>
      </c>
      <c r="G230" s="28">
        <v>104.89</v>
      </c>
      <c r="H230" s="28" t="s">
        <v>2594</v>
      </c>
      <c r="I230" s="28">
        <v>267.60000000000002</v>
      </c>
    </row>
    <row r="231" spans="2:9">
      <c r="B231" s="27">
        <v>45789</v>
      </c>
      <c r="C231" s="28" t="s">
        <v>225</v>
      </c>
      <c r="D231" s="28">
        <v>540.95000000000005</v>
      </c>
      <c r="E231" s="28" t="s">
        <v>1419</v>
      </c>
      <c r="F231" s="28">
        <v>260.14999999999998</v>
      </c>
      <c r="G231" s="28">
        <v>101.56</v>
      </c>
      <c r="H231" s="28" t="s">
        <v>2595</v>
      </c>
      <c r="I231" s="28">
        <v>262.2</v>
      </c>
    </row>
    <row r="232" spans="2:9">
      <c r="B232" s="27">
        <v>45786</v>
      </c>
      <c r="C232" s="28" t="s">
        <v>226</v>
      </c>
      <c r="D232" s="28">
        <v>536.6</v>
      </c>
      <c r="E232" s="28" t="s">
        <v>1420</v>
      </c>
      <c r="F232" s="28">
        <v>257.75</v>
      </c>
      <c r="G232" s="28">
        <v>96.69</v>
      </c>
      <c r="H232" s="28" t="s">
        <v>2596</v>
      </c>
      <c r="I232" s="28">
        <v>260.3</v>
      </c>
    </row>
    <row r="233" spans="2:9">
      <c r="B233" s="27">
        <v>45785</v>
      </c>
      <c r="C233" s="28" t="s">
        <v>227</v>
      </c>
      <c r="D233" s="28">
        <v>538.15</v>
      </c>
      <c r="E233" s="28" t="s">
        <v>1421</v>
      </c>
      <c r="F233" s="28">
        <v>252.35</v>
      </c>
      <c r="G233" s="28">
        <v>98.1</v>
      </c>
      <c r="H233" s="28" t="s">
        <v>2597</v>
      </c>
      <c r="I233" s="28">
        <v>261.35000000000002</v>
      </c>
    </row>
    <row r="234" spans="2:9">
      <c r="B234" s="27">
        <v>45784</v>
      </c>
      <c r="C234" s="28" t="s">
        <v>228</v>
      </c>
      <c r="D234" s="28">
        <v>541.35</v>
      </c>
      <c r="E234" s="28" t="s">
        <v>1422</v>
      </c>
      <c r="F234" s="28">
        <v>254.85</v>
      </c>
      <c r="G234" s="28">
        <v>99.98</v>
      </c>
      <c r="H234" s="28" t="s">
        <v>2598</v>
      </c>
      <c r="I234" s="28">
        <v>266.14999999999998</v>
      </c>
    </row>
    <row r="235" spans="2:9">
      <c r="B235" s="27">
        <v>45783</v>
      </c>
      <c r="C235" s="28" t="s">
        <v>229</v>
      </c>
      <c r="D235" s="28">
        <v>543.25</v>
      </c>
      <c r="E235" s="28" t="s">
        <v>1423</v>
      </c>
      <c r="F235" s="28">
        <v>253.35</v>
      </c>
      <c r="G235" s="28">
        <v>100.13</v>
      </c>
      <c r="H235" s="28" t="s">
        <v>2599</v>
      </c>
      <c r="I235" s="28">
        <v>264.85000000000002</v>
      </c>
    </row>
    <row r="236" spans="2:9">
      <c r="B236" s="27">
        <v>45782</v>
      </c>
      <c r="C236" s="28" t="s">
        <v>230</v>
      </c>
      <c r="D236" s="28">
        <v>554.1</v>
      </c>
      <c r="E236" s="28" t="s">
        <v>1424</v>
      </c>
      <c r="F236" s="28">
        <v>255.4</v>
      </c>
      <c r="G236" s="28">
        <v>103.37</v>
      </c>
      <c r="H236" s="28" t="s">
        <v>2600</v>
      </c>
      <c r="I236" s="28">
        <v>278.64999999999998</v>
      </c>
    </row>
    <row r="237" spans="2:9">
      <c r="B237" s="27">
        <v>45779</v>
      </c>
      <c r="C237" s="28" t="s">
        <v>231</v>
      </c>
      <c r="D237" s="28">
        <v>543.6</v>
      </c>
      <c r="E237" s="28" t="s">
        <v>1425</v>
      </c>
      <c r="F237" s="28">
        <v>254.75</v>
      </c>
      <c r="G237" s="28">
        <v>102.57</v>
      </c>
      <c r="H237" s="28" t="s">
        <v>2601</v>
      </c>
      <c r="I237" s="28">
        <v>284.60000000000002</v>
      </c>
    </row>
    <row r="238" spans="2:9">
      <c r="B238" s="27">
        <v>45777</v>
      </c>
      <c r="C238" s="28" t="s">
        <v>232</v>
      </c>
      <c r="D238" s="28">
        <v>544.20000000000005</v>
      </c>
      <c r="E238" s="28" t="s">
        <v>1426</v>
      </c>
      <c r="F238" s="28">
        <v>257.17</v>
      </c>
      <c r="G238" s="28">
        <v>104.99</v>
      </c>
      <c r="H238" s="28" t="s">
        <v>2602</v>
      </c>
      <c r="I238" s="28">
        <v>289.45999999999998</v>
      </c>
    </row>
    <row r="239" spans="2:9">
      <c r="B239" s="27">
        <v>45776</v>
      </c>
      <c r="C239" s="28" t="s">
        <v>233</v>
      </c>
      <c r="D239" s="28">
        <v>545.95000000000005</v>
      </c>
      <c r="E239" s="28" t="s">
        <v>1427</v>
      </c>
      <c r="F239" s="28">
        <v>266.91000000000003</v>
      </c>
      <c r="G239" s="28">
        <v>107.66</v>
      </c>
      <c r="H239" s="28" t="s">
        <v>2603</v>
      </c>
      <c r="I239" s="28">
        <v>290.48</v>
      </c>
    </row>
    <row r="240" spans="2:9">
      <c r="B240" s="27">
        <v>45775</v>
      </c>
      <c r="C240" s="28" t="s">
        <v>234</v>
      </c>
      <c r="D240" s="28">
        <v>553.54999999999995</v>
      </c>
      <c r="E240" s="28" t="s">
        <v>1428</v>
      </c>
      <c r="F240" s="28">
        <v>261.70999999999998</v>
      </c>
      <c r="G240" s="28">
        <v>108.05</v>
      </c>
      <c r="H240" s="28" t="s">
        <v>2604</v>
      </c>
      <c r="I240" s="28">
        <v>286.83999999999997</v>
      </c>
    </row>
    <row r="241" spans="2:9">
      <c r="B241" s="27">
        <v>45772</v>
      </c>
      <c r="C241" s="28" t="s">
        <v>235</v>
      </c>
      <c r="D241" s="28">
        <v>552.5</v>
      </c>
      <c r="E241" s="28" t="s">
        <v>1429</v>
      </c>
      <c r="F241" s="28">
        <v>262.20999999999998</v>
      </c>
      <c r="G241" s="28">
        <v>109.57</v>
      </c>
      <c r="H241" s="28" t="s">
        <v>2605</v>
      </c>
      <c r="I241" s="28">
        <v>283.2</v>
      </c>
    </row>
    <row r="242" spans="2:9">
      <c r="B242" s="27">
        <v>45771</v>
      </c>
      <c r="C242" s="28" t="s">
        <v>236</v>
      </c>
      <c r="D242" s="28">
        <v>584.95000000000005</v>
      </c>
      <c r="E242" s="28" t="s">
        <v>1430</v>
      </c>
      <c r="F242" s="28">
        <v>265.89999999999998</v>
      </c>
      <c r="G242" s="28">
        <v>114.24</v>
      </c>
      <c r="H242" s="28" t="s">
        <v>2606</v>
      </c>
      <c r="I242" s="28">
        <v>293.56</v>
      </c>
    </row>
    <row r="243" spans="2:9">
      <c r="B243" s="27">
        <v>45770</v>
      </c>
      <c r="C243" s="28" t="s">
        <v>237</v>
      </c>
      <c r="D243" s="28">
        <v>589.1</v>
      </c>
      <c r="E243" s="28" t="s">
        <v>1431</v>
      </c>
      <c r="F243" s="28">
        <v>267.95</v>
      </c>
      <c r="G243" s="28">
        <v>115.67</v>
      </c>
      <c r="H243" s="28" t="s">
        <v>2607</v>
      </c>
      <c r="I243" s="28">
        <v>300.36</v>
      </c>
    </row>
    <row r="244" spans="2:9">
      <c r="B244" s="27">
        <v>45769</v>
      </c>
      <c r="C244" s="28" t="s">
        <v>238</v>
      </c>
      <c r="D244" s="28">
        <v>579.20000000000005</v>
      </c>
      <c r="E244" s="28" t="s">
        <v>1432</v>
      </c>
      <c r="F244" s="28">
        <v>269.95</v>
      </c>
      <c r="G244" s="28">
        <v>113.28</v>
      </c>
      <c r="H244" s="28" t="s">
        <v>2608</v>
      </c>
      <c r="I244" s="28">
        <v>301.2</v>
      </c>
    </row>
    <row r="245" spans="2:9">
      <c r="B245" s="27">
        <v>45768</v>
      </c>
      <c r="C245" s="28" t="s">
        <v>239</v>
      </c>
      <c r="D245" s="28">
        <v>553.35</v>
      </c>
      <c r="E245" s="28" t="s">
        <v>1433</v>
      </c>
      <c r="F245" s="28">
        <v>265.68</v>
      </c>
      <c r="G245" s="28">
        <v>113.82</v>
      </c>
      <c r="H245" s="28" t="s">
        <v>2609</v>
      </c>
      <c r="I245" s="28">
        <v>307.61</v>
      </c>
    </row>
    <row r="246" spans="2:9">
      <c r="B246" s="27">
        <v>45764</v>
      </c>
      <c r="C246" s="28" t="s">
        <v>240</v>
      </c>
      <c r="D246" s="28">
        <v>543.6</v>
      </c>
      <c r="E246" s="28" t="s">
        <v>1434</v>
      </c>
      <c r="F246" s="28">
        <v>258.12</v>
      </c>
      <c r="G246" s="28">
        <v>112.2</v>
      </c>
      <c r="H246" s="28" t="s">
        <v>2610</v>
      </c>
      <c r="I246" s="28">
        <v>291.14999999999998</v>
      </c>
    </row>
    <row r="247" spans="2:9">
      <c r="B247" s="27">
        <v>45763</v>
      </c>
      <c r="C247" s="28" t="s">
        <v>241</v>
      </c>
      <c r="D247" s="28">
        <v>542.04999999999995</v>
      </c>
      <c r="E247" s="28" t="s">
        <v>1435</v>
      </c>
      <c r="F247" s="28">
        <v>259.87</v>
      </c>
      <c r="G247" s="28">
        <v>112.35</v>
      </c>
      <c r="H247" s="28" t="s">
        <v>2611</v>
      </c>
      <c r="I247" s="28">
        <v>282.70999999999998</v>
      </c>
    </row>
    <row r="248" spans="2:9">
      <c r="B248" s="27">
        <v>45762</v>
      </c>
      <c r="C248" s="28" t="s">
        <v>242</v>
      </c>
      <c r="D248" s="28">
        <v>526.4</v>
      </c>
      <c r="E248" s="28" t="s">
        <v>1436</v>
      </c>
      <c r="F248" s="28">
        <v>255.81</v>
      </c>
      <c r="G248" s="28">
        <v>114.08</v>
      </c>
      <c r="H248" s="28" t="s">
        <v>2612</v>
      </c>
      <c r="I248" s="28">
        <v>274.02999999999997</v>
      </c>
    </row>
    <row r="249" spans="2:9">
      <c r="B249" s="27">
        <v>45758</v>
      </c>
      <c r="C249" s="28" t="s">
        <v>39</v>
      </c>
      <c r="D249" s="28">
        <v>530.5</v>
      </c>
      <c r="E249" s="28" t="s">
        <v>1437</v>
      </c>
      <c r="F249" s="28">
        <v>249.58</v>
      </c>
      <c r="G249" s="28">
        <v>107.33</v>
      </c>
      <c r="H249" s="28" t="s">
        <v>2613</v>
      </c>
      <c r="I249" s="28">
        <v>260.02999999999997</v>
      </c>
    </row>
    <row r="250" spans="2:9">
      <c r="B250" s="27">
        <v>45756</v>
      </c>
      <c r="C250" s="28" t="s">
        <v>243</v>
      </c>
      <c r="D250" s="28">
        <v>537.6</v>
      </c>
      <c r="E250" s="28" t="s">
        <v>1438</v>
      </c>
      <c r="F250" s="28">
        <v>244.84</v>
      </c>
      <c r="G250" s="28">
        <v>107.52</v>
      </c>
      <c r="H250" s="28" t="s">
        <v>2614</v>
      </c>
      <c r="I250" s="28">
        <v>254.75</v>
      </c>
    </row>
    <row r="251" spans="2:9">
      <c r="B251" s="27">
        <v>45755</v>
      </c>
      <c r="C251" s="28" t="s">
        <v>244</v>
      </c>
      <c r="D251" s="28">
        <v>535.54999999999995</v>
      </c>
      <c r="E251" s="28" t="s">
        <v>1439</v>
      </c>
      <c r="F251" s="28">
        <v>244.27</v>
      </c>
      <c r="G251" s="28">
        <v>103.3</v>
      </c>
      <c r="H251" s="28" t="s">
        <v>2612</v>
      </c>
      <c r="I251" s="28">
        <v>252.21</v>
      </c>
    </row>
    <row r="252" spans="2:9">
      <c r="B252" s="27">
        <v>45754</v>
      </c>
      <c r="C252" s="28" t="s">
        <v>245</v>
      </c>
      <c r="D252" s="28">
        <v>511.95</v>
      </c>
      <c r="E252" s="28" t="s">
        <v>1440</v>
      </c>
      <c r="F252" s="28">
        <v>234.97</v>
      </c>
      <c r="G252" s="28">
        <v>93.91</v>
      </c>
      <c r="H252" s="28" t="s">
        <v>2615</v>
      </c>
      <c r="I252" s="28">
        <v>242.36</v>
      </c>
    </row>
    <row r="253" spans="2:9">
      <c r="B253" s="27">
        <v>45751</v>
      </c>
      <c r="C253" s="28" t="s">
        <v>246</v>
      </c>
      <c r="D253" s="28">
        <v>512.04999999999995</v>
      </c>
      <c r="E253" s="28" t="s">
        <v>1441</v>
      </c>
      <c r="F253" s="28">
        <v>239.54</v>
      </c>
      <c r="G253" s="28">
        <v>101.94</v>
      </c>
      <c r="H253" s="28" t="s">
        <v>2616</v>
      </c>
      <c r="I253" s="28">
        <v>258.52</v>
      </c>
    </row>
    <row r="254" spans="2:9">
      <c r="B254" s="27">
        <v>45750</v>
      </c>
      <c r="C254" s="28" t="s">
        <v>247</v>
      </c>
      <c r="D254" s="28">
        <v>511.3</v>
      </c>
      <c r="E254" s="28" t="s">
        <v>1442</v>
      </c>
      <c r="F254" s="28">
        <v>242.82</v>
      </c>
      <c r="G254" s="28">
        <v>102.66</v>
      </c>
      <c r="H254" s="28" t="s">
        <v>2617</v>
      </c>
      <c r="I254" s="28">
        <v>256.47000000000003</v>
      </c>
    </row>
    <row r="255" spans="2:9">
      <c r="B255" s="27">
        <v>45749</v>
      </c>
      <c r="C255" s="28" t="s">
        <v>248</v>
      </c>
      <c r="D255" s="28">
        <v>505.1</v>
      </c>
      <c r="E255" s="28" t="s">
        <v>1443</v>
      </c>
      <c r="F255" s="28">
        <v>240.28</v>
      </c>
      <c r="G255" s="28">
        <v>100.97</v>
      </c>
      <c r="H255" s="28" t="s">
        <v>2618</v>
      </c>
      <c r="I255" s="28">
        <v>258.01</v>
      </c>
    </row>
    <row r="256" spans="2:9">
      <c r="B256" s="27">
        <v>45748</v>
      </c>
      <c r="C256" s="28" t="s">
        <v>249</v>
      </c>
      <c r="D256" s="28">
        <v>493.5</v>
      </c>
      <c r="E256" s="28" t="s">
        <v>1444</v>
      </c>
      <c r="F256" s="28">
        <v>237.83</v>
      </c>
      <c r="G256" s="28">
        <v>103.57</v>
      </c>
      <c r="H256" s="28" t="s">
        <v>2619</v>
      </c>
      <c r="I256" s="28">
        <v>247.85</v>
      </c>
    </row>
    <row r="257" spans="2:9">
      <c r="B257" s="27">
        <v>45744</v>
      </c>
      <c r="C257" s="28" t="s">
        <v>250</v>
      </c>
      <c r="D257" s="28">
        <v>500.2</v>
      </c>
      <c r="E257" s="28" t="s">
        <v>1445</v>
      </c>
      <c r="F257" s="28">
        <v>232.9</v>
      </c>
      <c r="G257" s="28">
        <v>98.71</v>
      </c>
      <c r="H257" s="28" t="s">
        <v>2620</v>
      </c>
      <c r="I257" s="28">
        <v>241.7</v>
      </c>
    </row>
    <row r="258" spans="2:9">
      <c r="B258" s="27">
        <v>45743</v>
      </c>
      <c r="C258" s="28" t="s">
        <v>251</v>
      </c>
      <c r="D258" s="28">
        <v>501.75</v>
      </c>
      <c r="E258" s="28" t="s">
        <v>1446</v>
      </c>
      <c r="F258" s="28">
        <v>232.59</v>
      </c>
      <c r="G258" s="28">
        <v>99.85</v>
      </c>
      <c r="H258" s="28" t="s">
        <v>2621</v>
      </c>
      <c r="I258" s="28">
        <v>241.2</v>
      </c>
    </row>
    <row r="259" spans="2:9">
      <c r="B259" s="27">
        <v>45742</v>
      </c>
      <c r="C259" s="28" t="s">
        <v>252</v>
      </c>
      <c r="D259" s="28">
        <v>501.45</v>
      </c>
      <c r="E259" s="28" t="s">
        <v>1447</v>
      </c>
      <c r="F259" s="28">
        <v>238.07</v>
      </c>
      <c r="G259" s="28">
        <v>99.27</v>
      </c>
      <c r="H259" s="28" t="s">
        <v>2622</v>
      </c>
      <c r="I259" s="28">
        <v>244.45</v>
      </c>
    </row>
    <row r="260" spans="2:9">
      <c r="B260" s="27">
        <v>45741</v>
      </c>
      <c r="C260" s="28" t="s">
        <v>253</v>
      </c>
      <c r="D260" s="28">
        <v>501</v>
      </c>
      <c r="E260" s="28" t="s">
        <v>1448</v>
      </c>
      <c r="F260" s="28">
        <v>237.84</v>
      </c>
      <c r="G260" s="28">
        <v>104.48</v>
      </c>
      <c r="H260" s="28" t="s">
        <v>2488</v>
      </c>
      <c r="I260" s="28">
        <v>256.55</v>
      </c>
    </row>
    <row r="261" spans="2:9">
      <c r="B261" s="27">
        <v>45740</v>
      </c>
      <c r="C261" s="28" t="s">
        <v>254</v>
      </c>
      <c r="D261" s="28">
        <v>511.6</v>
      </c>
      <c r="E261" s="28" t="s">
        <v>1449</v>
      </c>
      <c r="F261" s="28">
        <v>243.63</v>
      </c>
      <c r="G261" s="28">
        <v>108.65</v>
      </c>
      <c r="H261" s="28" t="s">
        <v>2623</v>
      </c>
      <c r="I261" s="28">
        <v>269.64999999999998</v>
      </c>
    </row>
    <row r="262" spans="2:9">
      <c r="B262" s="27">
        <v>45737</v>
      </c>
      <c r="C262" s="28" t="s">
        <v>255</v>
      </c>
      <c r="D262" s="28">
        <v>500.3</v>
      </c>
      <c r="E262" s="28" t="s">
        <v>1450</v>
      </c>
      <c r="F262" s="28">
        <v>244.93</v>
      </c>
      <c r="G262" s="28">
        <v>107.34</v>
      </c>
      <c r="H262" s="28" t="s">
        <v>2624</v>
      </c>
      <c r="I262" s="28">
        <v>269.85000000000002</v>
      </c>
    </row>
    <row r="263" spans="2:9">
      <c r="B263" s="27">
        <v>45736</v>
      </c>
      <c r="C263" s="28" t="s">
        <v>256</v>
      </c>
      <c r="D263" s="28">
        <v>507.85</v>
      </c>
      <c r="E263" s="28" t="s">
        <v>1451</v>
      </c>
      <c r="F263" s="28">
        <v>237.3</v>
      </c>
      <c r="G263" s="28">
        <v>106.7</v>
      </c>
      <c r="H263" s="28" t="s">
        <v>2625</v>
      </c>
      <c r="I263" s="28">
        <v>270.25</v>
      </c>
    </row>
    <row r="264" spans="2:9">
      <c r="B264" s="27">
        <v>45735</v>
      </c>
      <c r="C264" s="28" t="s">
        <v>257</v>
      </c>
      <c r="D264" s="28">
        <v>501.4</v>
      </c>
      <c r="E264" s="28" t="s">
        <v>1452</v>
      </c>
      <c r="F264" s="28">
        <v>236.01</v>
      </c>
      <c r="G264" s="28">
        <v>106.34</v>
      </c>
      <c r="H264" s="28" t="s">
        <v>2626</v>
      </c>
      <c r="I264" s="28">
        <v>243.35</v>
      </c>
    </row>
    <row r="265" spans="2:9">
      <c r="B265" s="27">
        <v>45734</v>
      </c>
      <c r="C265" s="28" t="s">
        <v>258</v>
      </c>
      <c r="D265" s="28">
        <v>505.6</v>
      </c>
      <c r="E265" s="28" t="s">
        <v>1453</v>
      </c>
      <c r="F265" s="28">
        <v>229.85</v>
      </c>
      <c r="G265" s="28">
        <v>102.77</v>
      </c>
      <c r="H265" s="28" t="s">
        <v>2627</v>
      </c>
      <c r="I265" s="28">
        <v>239.75</v>
      </c>
    </row>
    <row r="266" spans="2:9">
      <c r="B266" s="27">
        <v>45733</v>
      </c>
      <c r="C266" s="28" t="s">
        <v>259</v>
      </c>
      <c r="D266" s="28">
        <v>502.65</v>
      </c>
      <c r="E266" s="28" t="s">
        <v>1454</v>
      </c>
      <c r="F266" s="28">
        <v>225.05</v>
      </c>
      <c r="G266" s="28">
        <v>103.94</v>
      </c>
      <c r="H266" s="28" t="s">
        <v>2628</v>
      </c>
      <c r="I266" s="28">
        <v>245.25</v>
      </c>
    </row>
    <row r="267" spans="2:9">
      <c r="B267" s="27">
        <v>45729</v>
      </c>
      <c r="C267" s="28" t="s">
        <v>260</v>
      </c>
      <c r="D267" s="28">
        <v>488.2</v>
      </c>
      <c r="E267" s="28" t="s">
        <v>1455</v>
      </c>
      <c r="F267" s="28">
        <v>224.65</v>
      </c>
      <c r="G267" s="28">
        <v>105.82</v>
      </c>
      <c r="H267" s="28" t="s">
        <v>2629</v>
      </c>
      <c r="I267" s="28">
        <v>254</v>
      </c>
    </row>
    <row r="268" spans="2:9">
      <c r="B268" s="27">
        <v>45728</v>
      </c>
      <c r="C268" s="28" t="s">
        <v>261</v>
      </c>
      <c r="D268" s="28">
        <v>482.6</v>
      </c>
      <c r="E268" s="28" t="s">
        <v>1456</v>
      </c>
      <c r="F268" s="28">
        <v>228.07</v>
      </c>
      <c r="G268" s="28">
        <v>104.12</v>
      </c>
      <c r="H268" s="28" t="s">
        <v>2630</v>
      </c>
      <c r="I268" s="28">
        <v>245.4</v>
      </c>
    </row>
    <row r="269" spans="2:9">
      <c r="B269" s="27">
        <v>45727</v>
      </c>
      <c r="C269" s="28" t="s">
        <v>262</v>
      </c>
      <c r="D269" s="28">
        <v>498.05</v>
      </c>
      <c r="E269" s="28" t="s">
        <v>1457</v>
      </c>
      <c r="F269" s="28">
        <v>232.73</v>
      </c>
      <c r="G269" s="28">
        <v>104.96</v>
      </c>
      <c r="H269" s="28" t="s">
        <v>2631</v>
      </c>
      <c r="I269" s="28">
        <v>249.5</v>
      </c>
    </row>
    <row r="270" spans="2:9">
      <c r="B270" s="27">
        <v>45726</v>
      </c>
      <c r="C270" s="28" t="s">
        <v>263</v>
      </c>
      <c r="D270" s="28">
        <v>504.45</v>
      </c>
      <c r="E270" s="28" t="s">
        <v>1458</v>
      </c>
      <c r="F270" s="28">
        <v>230.68</v>
      </c>
      <c r="G270" s="28">
        <v>107.72</v>
      </c>
      <c r="H270" s="28" t="s">
        <v>2632</v>
      </c>
      <c r="I270" s="28">
        <v>260.75</v>
      </c>
    </row>
    <row r="271" spans="2:9">
      <c r="B271" s="27">
        <v>45723</v>
      </c>
      <c r="C271" s="28" t="s">
        <v>264</v>
      </c>
      <c r="D271" s="28">
        <v>509.35</v>
      </c>
      <c r="E271" s="28" t="s">
        <v>1459</v>
      </c>
      <c r="F271" s="28">
        <v>235.65</v>
      </c>
      <c r="G271" s="28">
        <v>110.98</v>
      </c>
      <c r="H271" s="28" t="s">
        <v>2633</v>
      </c>
      <c r="I271" s="28">
        <v>263.89999999999998</v>
      </c>
    </row>
    <row r="272" spans="2:9">
      <c r="B272" s="27">
        <v>45722</v>
      </c>
      <c r="C272" s="28" t="s">
        <v>265</v>
      </c>
      <c r="D272" s="28">
        <v>500.6</v>
      </c>
      <c r="E272" s="28" t="s">
        <v>1460</v>
      </c>
      <c r="F272" s="28">
        <v>234.38</v>
      </c>
      <c r="G272" s="28">
        <v>109.1</v>
      </c>
      <c r="H272" s="28" t="s">
        <v>2634</v>
      </c>
      <c r="I272" s="28">
        <v>263.8</v>
      </c>
    </row>
    <row r="273" spans="2:9">
      <c r="B273" s="27">
        <v>45721</v>
      </c>
      <c r="C273" s="28" t="s">
        <v>266</v>
      </c>
      <c r="D273" s="28">
        <v>484</v>
      </c>
      <c r="E273" s="28" t="s">
        <v>1461</v>
      </c>
      <c r="F273" s="28">
        <v>229.11</v>
      </c>
      <c r="G273" s="28">
        <v>106.76</v>
      </c>
      <c r="H273" s="28" t="s">
        <v>992</v>
      </c>
      <c r="I273" s="28">
        <v>259.45</v>
      </c>
    </row>
    <row r="274" spans="2:9">
      <c r="B274" s="27">
        <v>45720</v>
      </c>
      <c r="C274" s="28" t="s">
        <v>267</v>
      </c>
      <c r="D274" s="28">
        <v>481.6</v>
      </c>
      <c r="E274" s="28" t="s">
        <v>1462</v>
      </c>
      <c r="F274" s="28">
        <v>223.74</v>
      </c>
      <c r="G274" s="28">
        <v>105.1</v>
      </c>
      <c r="H274" s="28" t="s">
        <v>1050</v>
      </c>
      <c r="I274" s="28">
        <v>260.64999999999998</v>
      </c>
    </row>
    <row r="275" spans="2:9">
      <c r="B275" s="27">
        <v>45719</v>
      </c>
      <c r="C275" s="28" t="s">
        <v>268</v>
      </c>
      <c r="D275" s="28">
        <v>488.65</v>
      </c>
      <c r="E275" s="28" t="s">
        <v>1463</v>
      </c>
      <c r="F275" s="28">
        <v>221.99</v>
      </c>
      <c r="G275" s="28">
        <v>103.92</v>
      </c>
      <c r="H275" s="28" t="s">
        <v>2635</v>
      </c>
      <c r="I275" s="28">
        <v>266.39999999999998</v>
      </c>
    </row>
    <row r="276" spans="2:9">
      <c r="B276" s="27">
        <v>45716</v>
      </c>
      <c r="C276" s="28" t="s">
        <v>269</v>
      </c>
      <c r="D276" s="28">
        <v>488.55</v>
      </c>
      <c r="E276" s="28" t="s">
        <v>1464</v>
      </c>
      <c r="F276" s="28">
        <v>226.66</v>
      </c>
      <c r="G276" s="28">
        <v>107.83</v>
      </c>
      <c r="H276" s="28" t="s">
        <v>2636</v>
      </c>
      <c r="I276" s="28">
        <v>269.85000000000002</v>
      </c>
    </row>
    <row r="277" spans="2:9">
      <c r="B277" s="27">
        <v>45715</v>
      </c>
      <c r="C277" s="28" t="s">
        <v>270</v>
      </c>
      <c r="D277" s="28">
        <v>505.25</v>
      </c>
      <c r="E277" s="28" t="s">
        <v>1465</v>
      </c>
      <c r="F277" s="28">
        <v>230.75</v>
      </c>
      <c r="G277" s="28">
        <v>104.96</v>
      </c>
      <c r="H277" s="28" t="s">
        <v>2637</v>
      </c>
      <c r="I277" s="28">
        <v>274.95</v>
      </c>
    </row>
    <row r="278" spans="2:9">
      <c r="B278" s="27">
        <v>45713</v>
      </c>
      <c r="C278" s="28" t="s">
        <v>271</v>
      </c>
      <c r="D278" s="28">
        <v>500.95</v>
      </c>
      <c r="E278" s="28" t="s">
        <v>1466</v>
      </c>
      <c r="F278" s="28">
        <v>231.13</v>
      </c>
      <c r="G278" s="28">
        <v>109.46</v>
      </c>
      <c r="H278" s="28" t="s">
        <v>2638</v>
      </c>
      <c r="I278" s="28">
        <v>275.5</v>
      </c>
    </row>
    <row r="279" spans="2:9">
      <c r="B279" s="27">
        <v>45712</v>
      </c>
      <c r="C279" s="28" t="s">
        <v>272</v>
      </c>
      <c r="D279" s="28">
        <v>502.85</v>
      </c>
      <c r="E279" s="28" t="s">
        <v>1402</v>
      </c>
      <c r="F279" s="28">
        <v>235.4</v>
      </c>
      <c r="G279" s="28">
        <v>112.79</v>
      </c>
      <c r="H279" s="28" t="s">
        <v>2639</v>
      </c>
      <c r="I279" s="28">
        <v>280.45</v>
      </c>
    </row>
    <row r="280" spans="2:9">
      <c r="B280" s="27">
        <v>45709</v>
      </c>
      <c r="C280" s="28" t="s">
        <v>273</v>
      </c>
      <c r="D280" s="28">
        <v>491.25</v>
      </c>
      <c r="E280" s="28" t="s">
        <v>1467</v>
      </c>
      <c r="F280" s="28">
        <v>241.63</v>
      </c>
      <c r="G280" s="28">
        <v>108.02</v>
      </c>
      <c r="H280" s="28" t="s">
        <v>2640</v>
      </c>
      <c r="I280" s="28">
        <v>279.3</v>
      </c>
    </row>
    <row r="281" spans="2:9">
      <c r="B281" s="27">
        <v>45708</v>
      </c>
      <c r="C281" s="28" t="s">
        <v>274</v>
      </c>
      <c r="D281" s="28">
        <v>492.05</v>
      </c>
      <c r="E281" s="28" t="s">
        <v>1468</v>
      </c>
      <c r="F281" s="28">
        <v>235.48</v>
      </c>
      <c r="G281" s="28">
        <v>110.42</v>
      </c>
      <c r="H281" s="28" t="s">
        <v>2641</v>
      </c>
      <c r="I281" s="28">
        <v>274.14999999999998</v>
      </c>
    </row>
    <row r="282" spans="2:9">
      <c r="B282" s="27">
        <v>45707</v>
      </c>
      <c r="C282" s="28" t="s">
        <v>275</v>
      </c>
      <c r="D282" s="28">
        <v>489</v>
      </c>
      <c r="E282" s="28" t="s">
        <v>1469</v>
      </c>
      <c r="F282" s="28">
        <v>230.21</v>
      </c>
      <c r="G282" s="28">
        <v>110.27</v>
      </c>
      <c r="H282" s="28" t="s">
        <v>2642</v>
      </c>
      <c r="I282" s="28">
        <v>276.8</v>
      </c>
    </row>
    <row r="283" spans="2:9">
      <c r="B283" s="27">
        <v>45706</v>
      </c>
      <c r="C283" s="28" t="s">
        <v>276</v>
      </c>
      <c r="D283" s="28">
        <v>491.95</v>
      </c>
      <c r="E283" s="28" t="s">
        <v>1470</v>
      </c>
      <c r="F283" s="28">
        <v>228.42</v>
      </c>
      <c r="G283" s="28">
        <v>109.35</v>
      </c>
      <c r="H283" s="28" t="s">
        <v>2643</v>
      </c>
      <c r="I283" s="28">
        <v>267.60000000000002</v>
      </c>
    </row>
    <row r="284" spans="2:9">
      <c r="B284" s="27">
        <v>45705</v>
      </c>
      <c r="C284" s="28" t="s">
        <v>277</v>
      </c>
      <c r="D284" s="28">
        <v>483.7</v>
      </c>
      <c r="E284" s="28" t="s">
        <v>1471</v>
      </c>
      <c r="F284" s="28">
        <v>229.73</v>
      </c>
      <c r="G284" s="28">
        <v>120.76</v>
      </c>
      <c r="H284" s="28" t="s">
        <v>2644</v>
      </c>
      <c r="I284" s="28">
        <v>270.5</v>
      </c>
    </row>
    <row r="285" spans="2:9">
      <c r="B285" s="27">
        <v>45702</v>
      </c>
      <c r="C285" s="28" t="s">
        <v>260</v>
      </c>
      <c r="D285" s="28">
        <v>478.3</v>
      </c>
      <c r="E285" s="28" t="s">
        <v>1472</v>
      </c>
      <c r="F285" s="28">
        <v>231.4</v>
      </c>
      <c r="G285" s="28">
        <v>119.23</v>
      </c>
      <c r="H285" s="28" t="s">
        <v>2645</v>
      </c>
      <c r="I285" s="28">
        <v>285.75</v>
      </c>
    </row>
    <row r="286" spans="2:9">
      <c r="B286" s="27">
        <v>45701</v>
      </c>
      <c r="C286" s="28" t="s">
        <v>278</v>
      </c>
      <c r="D286" s="28">
        <v>485.25</v>
      </c>
      <c r="E286" s="28" t="s">
        <v>1473</v>
      </c>
      <c r="F286" s="28">
        <v>234.71</v>
      </c>
      <c r="G286" s="28">
        <v>123.44</v>
      </c>
      <c r="H286" s="28" t="s">
        <v>2646</v>
      </c>
      <c r="I286" s="28">
        <v>301.60000000000002</v>
      </c>
    </row>
    <row r="287" spans="2:9">
      <c r="B287" s="27">
        <v>45700</v>
      </c>
      <c r="C287" s="28" t="s">
        <v>279</v>
      </c>
      <c r="D287" s="28">
        <v>484.7</v>
      </c>
      <c r="E287" s="28" t="s">
        <v>1474</v>
      </c>
      <c r="F287" s="28">
        <v>233.88</v>
      </c>
      <c r="G287" s="28">
        <v>118.75</v>
      </c>
      <c r="H287" s="28" t="s">
        <v>2647</v>
      </c>
      <c r="I287" s="28">
        <v>292.95</v>
      </c>
    </row>
    <row r="288" spans="2:9">
      <c r="B288" s="27">
        <v>45699</v>
      </c>
      <c r="C288" s="28" t="s">
        <v>280</v>
      </c>
      <c r="D288" s="28">
        <v>475.9</v>
      </c>
      <c r="E288" s="28" t="s">
        <v>1387</v>
      </c>
      <c r="F288" s="28">
        <v>238.56</v>
      </c>
      <c r="G288" s="28">
        <v>126.12</v>
      </c>
      <c r="H288" s="28" t="s">
        <v>2648</v>
      </c>
      <c r="I288" s="28">
        <v>276.10000000000002</v>
      </c>
    </row>
    <row r="289" spans="2:9">
      <c r="B289" s="27">
        <v>45698</v>
      </c>
      <c r="C289" s="28" t="s">
        <v>281</v>
      </c>
      <c r="D289" s="28">
        <v>484.8</v>
      </c>
      <c r="E289" s="28" t="s">
        <v>1475</v>
      </c>
      <c r="F289" s="28">
        <v>242.46</v>
      </c>
      <c r="G289" s="28">
        <v>134.19999999999999</v>
      </c>
      <c r="H289" s="28" t="s">
        <v>2649</v>
      </c>
      <c r="I289" s="28">
        <v>299.7</v>
      </c>
    </row>
    <row r="290" spans="2:9">
      <c r="B290" s="27">
        <v>45695</v>
      </c>
      <c r="C290" s="28" t="s">
        <v>282</v>
      </c>
      <c r="D290" s="28">
        <v>479.35</v>
      </c>
      <c r="E290" s="28" t="s">
        <v>1476</v>
      </c>
      <c r="F290" s="28">
        <v>248.98</v>
      </c>
      <c r="G290" s="28">
        <v>135.62</v>
      </c>
      <c r="H290" s="28" t="s">
        <v>2650</v>
      </c>
      <c r="I290" s="28">
        <v>303.95</v>
      </c>
    </row>
    <row r="291" spans="2:9">
      <c r="B291" s="27">
        <v>45694</v>
      </c>
      <c r="C291" s="28" t="s">
        <v>283</v>
      </c>
      <c r="D291" s="28">
        <v>476</v>
      </c>
      <c r="E291" s="28" t="s">
        <v>1477</v>
      </c>
      <c r="F291" s="28">
        <v>254.22</v>
      </c>
      <c r="G291" s="28">
        <v>135.13</v>
      </c>
      <c r="H291" s="28" t="s">
        <v>2651</v>
      </c>
      <c r="I291" s="28">
        <v>303.39999999999998</v>
      </c>
    </row>
    <row r="292" spans="2:9">
      <c r="B292" s="27">
        <v>45693</v>
      </c>
      <c r="C292" s="28" t="s">
        <v>284</v>
      </c>
      <c r="D292" s="28">
        <v>479.05</v>
      </c>
      <c r="E292" s="28" t="s">
        <v>1478</v>
      </c>
      <c r="F292" s="28">
        <v>245.16</v>
      </c>
      <c r="G292" s="28">
        <v>139.02000000000001</v>
      </c>
      <c r="H292" s="28" t="s">
        <v>2652</v>
      </c>
      <c r="I292" s="28">
        <v>303.64999999999998</v>
      </c>
    </row>
    <row r="293" spans="2:9">
      <c r="B293" s="27">
        <v>45692</v>
      </c>
      <c r="C293" s="28" t="s">
        <v>285</v>
      </c>
      <c r="D293" s="28">
        <v>489.4</v>
      </c>
      <c r="E293" s="28" t="s">
        <v>1479</v>
      </c>
      <c r="F293" s="28">
        <v>247.66</v>
      </c>
      <c r="G293" s="28">
        <v>136.43</v>
      </c>
      <c r="H293" s="28" t="s">
        <v>2653</v>
      </c>
      <c r="I293" s="28">
        <v>307.95</v>
      </c>
    </row>
    <row r="294" spans="2:9">
      <c r="B294" s="27">
        <v>45691</v>
      </c>
      <c r="C294" s="28" t="s">
        <v>286</v>
      </c>
      <c r="D294" s="28">
        <v>485.5</v>
      </c>
      <c r="E294" s="28" t="s">
        <v>1480</v>
      </c>
      <c r="F294" s="28">
        <v>245.18</v>
      </c>
      <c r="G294" s="28">
        <v>138.1</v>
      </c>
      <c r="H294" s="28" t="s">
        <v>2654</v>
      </c>
      <c r="I294" s="28">
        <v>306.10000000000002</v>
      </c>
    </row>
    <row r="295" spans="2:9">
      <c r="B295" s="27">
        <v>45689</v>
      </c>
      <c r="C295" s="28" t="s">
        <v>287</v>
      </c>
      <c r="D295" s="28">
        <v>492.15</v>
      </c>
      <c r="E295" s="28" t="s">
        <v>1481</v>
      </c>
      <c r="F295" s="28">
        <v>240.03</v>
      </c>
      <c r="G295" s="28">
        <v>136.02000000000001</v>
      </c>
      <c r="H295" s="28" t="s">
        <v>2655</v>
      </c>
      <c r="I295" s="28">
        <v>316.14999999999998</v>
      </c>
    </row>
    <row r="296" spans="2:9">
      <c r="B296" s="27">
        <v>45688</v>
      </c>
      <c r="C296" s="28" t="s">
        <v>288</v>
      </c>
      <c r="D296" s="28">
        <v>472.75</v>
      </c>
      <c r="E296" s="28" t="s">
        <v>1482</v>
      </c>
      <c r="F296" s="28">
        <v>233.1</v>
      </c>
      <c r="G296" s="28">
        <v>139.21</v>
      </c>
      <c r="H296" s="28" t="s">
        <v>2656</v>
      </c>
      <c r="I296" s="28">
        <v>315</v>
      </c>
    </row>
    <row r="297" spans="2:9">
      <c r="B297" s="27">
        <v>45687</v>
      </c>
      <c r="C297" s="28" t="s">
        <v>289</v>
      </c>
      <c r="D297" s="28">
        <v>475.85</v>
      </c>
      <c r="E297" s="28" t="s">
        <v>1483</v>
      </c>
      <c r="F297" s="28">
        <v>235.35</v>
      </c>
      <c r="G297" s="28">
        <v>135.18</v>
      </c>
      <c r="H297" s="28" t="s">
        <v>2657</v>
      </c>
      <c r="I297" s="28">
        <v>313.14999999999998</v>
      </c>
    </row>
    <row r="298" spans="2:9">
      <c r="B298" s="27">
        <v>45686</v>
      </c>
      <c r="C298" s="28" t="s">
        <v>290</v>
      </c>
      <c r="D298" s="28">
        <v>458.8</v>
      </c>
      <c r="E298" s="28" t="s">
        <v>1484</v>
      </c>
      <c r="F298" s="28">
        <v>237.45</v>
      </c>
      <c r="G298" s="28">
        <v>135.46</v>
      </c>
      <c r="H298" s="28" t="s">
        <v>2658</v>
      </c>
      <c r="I298" s="28">
        <v>309.55</v>
      </c>
    </row>
    <row r="299" spans="2:9">
      <c r="B299" s="27">
        <v>45685</v>
      </c>
      <c r="C299" s="28" t="s">
        <v>291</v>
      </c>
      <c r="D299" s="28">
        <v>472.75</v>
      </c>
      <c r="E299" s="28" t="s">
        <v>1485</v>
      </c>
      <c r="F299" s="28">
        <v>231.55</v>
      </c>
      <c r="G299" s="28">
        <v>124.31</v>
      </c>
      <c r="H299" s="28" t="s">
        <v>2659</v>
      </c>
      <c r="I299" s="28">
        <v>295.10000000000002</v>
      </c>
    </row>
    <row r="300" spans="2:9">
      <c r="B300" s="27">
        <v>45684</v>
      </c>
      <c r="C300" s="28" t="s">
        <v>292</v>
      </c>
      <c r="D300" s="28">
        <v>480</v>
      </c>
      <c r="E300" s="28" t="s">
        <v>1486</v>
      </c>
      <c r="F300" s="28">
        <v>237.95</v>
      </c>
      <c r="G300" s="28">
        <v>127.44</v>
      </c>
      <c r="H300" s="28" t="s">
        <v>2660</v>
      </c>
      <c r="I300" s="28">
        <v>298.7</v>
      </c>
    </row>
    <row r="301" spans="2:9">
      <c r="B301" s="27">
        <v>45681</v>
      </c>
      <c r="C301" s="28" t="s">
        <v>293</v>
      </c>
      <c r="D301" s="28">
        <v>480.1</v>
      </c>
      <c r="E301" s="28" t="s">
        <v>1487</v>
      </c>
      <c r="F301" s="28">
        <v>242.1</v>
      </c>
      <c r="G301" s="28">
        <v>131.97999999999999</v>
      </c>
      <c r="H301" s="28" t="s">
        <v>2661</v>
      </c>
      <c r="I301" s="28">
        <v>309.5</v>
      </c>
    </row>
    <row r="302" spans="2:9">
      <c r="B302" s="27">
        <v>45680</v>
      </c>
      <c r="C302" s="28" t="s">
        <v>294</v>
      </c>
      <c r="D302" s="28">
        <v>480.35</v>
      </c>
      <c r="E302" s="28" t="s">
        <v>1488</v>
      </c>
      <c r="F302" s="28">
        <v>241.15</v>
      </c>
      <c r="G302" s="28">
        <v>132.19</v>
      </c>
      <c r="H302" s="28" t="s">
        <v>2662</v>
      </c>
      <c r="I302" s="28">
        <v>311.3</v>
      </c>
    </row>
    <row r="303" spans="2:9">
      <c r="B303" s="27">
        <v>45679</v>
      </c>
      <c r="C303" s="28" t="s">
        <v>14</v>
      </c>
      <c r="D303" s="28">
        <v>476.05</v>
      </c>
      <c r="E303" s="28" t="s">
        <v>1489</v>
      </c>
      <c r="F303" s="28">
        <v>242.35</v>
      </c>
      <c r="G303" s="28">
        <v>133.24</v>
      </c>
      <c r="H303" s="28" t="s">
        <v>2663</v>
      </c>
      <c r="I303" s="28">
        <v>313.60000000000002</v>
      </c>
    </row>
    <row r="304" spans="2:9">
      <c r="B304" s="27">
        <v>45678</v>
      </c>
      <c r="C304" s="28" t="s">
        <v>295</v>
      </c>
      <c r="D304" s="28">
        <v>475.2</v>
      </c>
      <c r="E304" s="28" t="s">
        <v>1490</v>
      </c>
      <c r="F304" s="28">
        <v>246</v>
      </c>
      <c r="G304" s="28">
        <v>129.08000000000001</v>
      </c>
      <c r="H304" s="28" t="s">
        <v>2664</v>
      </c>
      <c r="I304" s="28">
        <v>313.89999999999998</v>
      </c>
    </row>
    <row r="305" spans="2:9">
      <c r="B305" s="27">
        <v>45677</v>
      </c>
      <c r="C305" s="28" t="s">
        <v>296</v>
      </c>
      <c r="D305" s="28">
        <v>468.5</v>
      </c>
      <c r="E305" s="28" t="s">
        <v>1491</v>
      </c>
      <c r="F305" s="28">
        <v>244.45</v>
      </c>
      <c r="G305" s="28">
        <v>128.24</v>
      </c>
      <c r="H305" s="28" t="s">
        <v>2665</v>
      </c>
      <c r="I305" s="28">
        <v>313.85000000000002</v>
      </c>
    </row>
    <row r="306" spans="2:9">
      <c r="B306" s="27">
        <v>45674</v>
      </c>
      <c r="C306" s="28" t="s">
        <v>297</v>
      </c>
      <c r="D306" s="28">
        <v>468.8</v>
      </c>
      <c r="E306" s="28" t="s">
        <v>1492</v>
      </c>
      <c r="F306" s="28">
        <v>244.2</v>
      </c>
      <c r="G306" s="28">
        <v>132.51</v>
      </c>
      <c r="H306" s="28" t="s">
        <v>2666</v>
      </c>
      <c r="I306" s="28">
        <v>321.5</v>
      </c>
    </row>
    <row r="307" spans="2:9">
      <c r="B307" s="27">
        <v>45673</v>
      </c>
      <c r="C307" s="28" t="s">
        <v>298</v>
      </c>
      <c r="D307" s="28">
        <v>464.8</v>
      </c>
      <c r="E307" s="28" t="s">
        <v>1493</v>
      </c>
      <c r="F307" s="28">
        <v>243.25</v>
      </c>
      <c r="G307" s="28">
        <v>134.15</v>
      </c>
      <c r="H307" s="28" t="s">
        <v>2667</v>
      </c>
      <c r="I307" s="28">
        <v>322.10000000000002</v>
      </c>
    </row>
    <row r="308" spans="2:9">
      <c r="B308" s="27">
        <v>45672</v>
      </c>
      <c r="C308" s="28" t="s">
        <v>299</v>
      </c>
      <c r="D308" s="28">
        <v>464.4</v>
      </c>
      <c r="E308" s="28" t="s">
        <v>1487</v>
      </c>
      <c r="F308" s="28">
        <v>243</v>
      </c>
      <c r="G308" s="28">
        <v>127.53</v>
      </c>
      <c r="H308" s="28" t="s">
        <v>2668</v>
      </c>
      <c r="I308" s="28">
        <v>320.10000000000002</v>
      </c>
    </row>
    <row r="309" spans="2:9">
      <c r="B309" s="27">
        <v>45671</v>
      </c>
      <c r="C309" s="28" t="s">
        <v>300</v>
      </c>
      <c r="D309" s="28">
        <v>462.45</v>
      </c>
      <c r="E309" s="28" t="s">
        <v>1494</v>
      </c>
      <c r="F309" s="28">
        <v>243.55</v>
      </c>
      <c r="G309" s="28">
        <v>128.85</v>
      </c>
      <c r="H309" s="28" t="s">
        <v>2669</v>
      </c>
      <c r="I309" s="28">
        <v>311.45</v>
      </c>
    </row>
    <row r="310" spans="2:9">
      <c r="B310" s="27">
        <v>45670</v>
      </c>
      <c r="C310" s="28" t="s">
        <v>301</v>
      </c>
      <c r="D310" s="28">
        <v>451.4</v>
      </c>
      <c r="E310" s="28" t="s">
        <v>1495</v>
      </c>
      <c r="F310" s="28">
        <v>245.55</v>
      </c>
      <c r="G310" s="28">
        <v>129.32</v>
      </c>
      <c r="H310" s="28" t="s">
        <v>2670</v>
      </c>
      <c r="I310" s="28">
        <v>299.64999999999998</v>
      </c>
    </row>
    <row r="311" spans="2:9">
      <c r="B311" s="27">
        <v>45667</v>
      </c>
      <c r="C311" s="28" t="s">
        <v>302</v>
      </c>
      <c r="D311" s="28">
        <v>460.85</v>
      </c>
      <c r="E311" s="28" t="s">
        <v>1496</v>
      </c>
      <c r="F311" s="28">
        <v>253.8</v>
      </c>
      <c r="G311" s="28">
        <v>130.24</v>
      </c>
      <c r="H311" s="28" t="s">
        <v>2671</v>
      </c>
      <c r="I311" s="28">
        <v>305</v>
      </c>
    </row>
    <row r="312" spans="2:9">
      <c r="B312" s="27">
        <v>45666</v>
      </c>
      <c r="C312" s="28" t="s">
        <v>303</v>
      </c>
      <c r="D312" s="28">
        <v>468.75</v>
      </c>
      <c r="E312" s="28" t="s">
        <v>1497</v>
      </c>
      <c r="F312" s="28">
        <v>257.10000000000002</v>
      </c>
      <c r="G312" s="28">
        <v>125.7</v>
      </c>
      <c r="H312" s="28" t="s">
        <v>2672</v>
      </c>
      <c r="I312" s="28">
        <v>316.55</v>
      </c>
    </row>
    <row r="313" spans="2:9">
      <c r="B313" s="27">
        <v>45665</v>
      </c>
      <c r="C313" s="28" t="s">
        <v>304</v>
      </c>
      <c r="D313" s="28">
        <v>461.95</v>
      </c>
      <c r="E313" s="28" t="s">
        <v>1498</v>
      </c>
      <c r="F313" s="28">
        <v>257.25</v>
      </c>
      <c r="G313" s="28">
        <v>127.1</v>
      </c>
      <c r="H313" s="28" t="s">
        <v>2673</v>
      </c>
      <c r="I313" s="28">
        <v>313.2</v>
      </c>
    </row>
    <row r="314" spans="2:9">
      <c r="B314" s="27">
        <v>45664</v>
      </c>
      <c r="C314" s="28" t="s">
        <v>305</v>
      </c>
      <c r="D314" s="28">
        <v>451.25</v>
      </c>
      <c r="E314" s="28" t="s">
        <v>1499</v>
      </c>
      <c r="F314" s="28">
        <v>260.60000000000002</v>
      </c>
      <c r="G314" s="28">
        <v>129.94</v>
      </c>
      <c r="H314" s="28" t="s">
        <v>2674</v>
      </c>
      <c r="I314" s="28">
        <v>319</v>
      </c>
    </row>
    <row r="315" spans="2:9">
      <c r="B315" s="27">
        <v>45663</v>
      </c>
      <c r="C315" s="28" t="s">
        <v>306</v>
      </c>
      <c r="D315" s="28">
        <v>447.6</v>
      </c>
      <c r="E315" s="28" t="s">
        <v>1500</v>
      </c>
      <c r="F315" s="28">
        <v>257.60000000000002</v>
      </c>
      <c r="G315" s="28">
        <v>124.69</v>
      </c>
      <c r="H315" s="28" t="s">
        <v>2675</v>
      </c>
      <c r="I315" s="28">
        <v>317.39999999999998</v>
      </c>
    </row>
    <row r="316" spans="2:9">
      <c r="B316" s="27">
        <v>45660</v>
      </c>
      <c r="C316" s="28" t="s">
        <v>307</v>
      </c>
      <c r="D316" s="28">
        <v>457.85</v>
      </c>
      <c r="E316" s="28" t="s">
        <v>1501</v>
      </c>
      <c r="F316" s="28">
        <v>261.89999999999998</v>
      </c>
      <c r="G316" s="28">
        <v>128.88999999999999</v>
      </c>
      <c r="H316" s="28" t="s">
        <v>2676</v>
      </c>
      <c r="I316" s="28">
        <v>332.2</v>
      </c>
    </row>
    <row r="317" spans="2:9">
      <c r="B317" s="27">
        <v>45659</v>
      </c>
      <c r="C317" s="28" t="s">
        <v>308</v>
      </c>
      <c r="D317" s="28">
        <v>457.4</v>
      </c>
      <c r="E317" s="28" t="s">
        <v>1502</v>
      </c>
      <c r="F317" s="28">
        <v>262.55</v>
      </c>
      <c r="G317" s="28">
        <v>124.69</v>
      </c>
      <c r="H317" s="28" t="s">
        <v>2677</v>
      </c>
      <c r="I317" s="28">
        <v>334.55</v>
      </c>
    </row>
    <row r="318" spans="2:9">
      <c r="B318" s="27">
        <v>45658</v>
      </c>
      <c r="C318" s="28" t="s">
        <v>309</v>
      </c>
      <c r="D318" s="28">
        <v>458.15</v>
      </c>
      <c r="E318" s="28" t="s">
        <v>1503</v>
      </c>
      <c r="F318" s="28">
        <v>263.85000000000002</v>
      </c>
      <c r="G318" s="28">
        <v>124.58</v>
      </c>
      <c r="H318" s="28" t="s">
        <v>2678</v>
      </c>
      <c r="I318" s="28">
        <v>343.25</v>
      </c>
    </row>
    <row r="319" spans="2:9">
      <c r="B319" s="27">
        <v>45657</v>
      </c>
      <c r="C319" s="28" t="s">
        <v>310</v>
      </c>
      <c r="D319" s="28">
        <v>448.55</v>
      </c>
      <c r="E319" s="28" t="s">
        <v>1504</v>
      </c>
      <c r="F319" s="28">
        <v>265</v>
      </c>
      <c r="G319" s="28">
        <v>125.92</v>
      </c>
      <c r="H319" s="28" t="s">
        <v>2679</v>
      </c>
      <c r="I319" s="28">
        <v>343.1</v>
      </c>
    </row>
    <row r="320" spans="2:9">
      <c r="B320" s="27">
        <v>45656</v>
      </c>
      <c r="C320" s="28" t="s">
        <v>311</v>
      </c>
      <c r="D320" s="28">
        <v>448.25</v>
      </c>
      <c r="E320" s="28" t="s">
        <v>1505</v>
      </c>
      <c r="F320" s="28">
        <v>258.10000000000002</v>
      </c>
      <c r="G320" s="28">
        <v>125.43</v>
      </c>
      <c r="H320" s="28" t="s">
        <v>2680</v>
      </c>
      <c r="I320" s="28">
        <v>331.45</v>
      </c>
    </row>
    <row r="321" spans="2:9">
      <c r="B321" s="27">
        <v>45653</v>
      </c>
      <c r="C321" s="28" t="s">
        <v>312</v>
      </c>
      <c r="D321" s="28">
        <v>442.3</v>
      </c>
      <c r="E321" s="28" t="s">
        <v>1506</v>
      </c>
      <c r="F321" s="28">
        <v>261.3</v>
      </c>
      <c r="G321" s="28">
        <v>128.44</v>
      </c>
      <c r="H321" s="28" t="s">
        <v>2681</v>
      </c>
      <c r="I321" s="28">
        <v>338.7</v>
      </c>
    </row>
    <row r="322" spans="2:9">
      <c r="B322" s="27">
        <v>45652</v>
      </c>
      <c r="C322" s="28" t="s">
        <v>293</v>
      </c>
      <c r="D322" s="28">
        <v>441</v>
      </c>
      <c r="E322" s="28" t="s">
        <v>1507</v>
      </c>
      <c r="F322" s="28">
        <v>261.25</v>
      </c>
      <c r="G322" s="28">
        <v>128.08000000000001</v>
      </c>
      <c r="H322" s="28" t="s">
        <v>2682</v>
      </c>
      <c r="I322" s="28">
        <v>338.2</v>
      </c>
    </row>
    <row r="323" spans="2:9">
      <c r="B323" s="27">
        <v>45650</v>
      </c>
      <c r="C323" s="28" t="s">
        <v>313</v>
      </c>
      <c r="D323" s="28">
        <v>443.85</v>
      </c>
      <c r="E323" s="28" t="s">
        <v>1508</v>
      </c>
      <c r="F323" s="28">
        <v>263.10000000000002</v>
      </c>
      <c r="G323" s="28">
        <v>130.22</v>
      </c>
      <c r="H323" s="28" t="s">
        <v>2683</v>
      </c>
      <c r="I323" s="28">
        <v>331.5</v>
      </c>
    </row>
    <row r="324" spans="2:9">
      <c r="B324" s="27">
        <v>45649</v>
      </c>
      <c r="C324" s="28" t="s">
        <v>314</v>
      </c>
      <c r="D324" s="28">
        <v>443.6</v>
      </c>
      <c r="E324" s="28" t="s">
        <v>1509</v>
      </c>
      <c r="F324" s="28">
        <v>265.14999999999998</v>
      </c>
      <c r="G324" s="28">
        <v>128.28</v>
      </c>
      <c r="H324" s="28" t="s">
        <v>2684</v>
      </c>
      <c r="I324" s="28">
        <v>323.25</v>
      </c>
    </row>
    <row r="325" spans="2:9">
      <c r="B325" s="27">
        <v>45646</v>
      </c>
      <c r="C325" s="28" t="s">
        <v>315</v>
      </c>
      <c r="D325" s="28">
        <v>444.8</v>
      </c>
      <c r="E325" s="28" t="s">
        <v>1510</v>
      </c>
      <c r="F325" s="28">
        <v>262.2</v>
      </c>
      <c r="G325" s="28">
        <v>124.83</v>
      </c>
      <c r="H325" s="28" t="s">
        <v>2685</v>
      </c>
      <c r="I325" s="28">
        <v>325.14999999999998</v>
      </c>
    </row>
    <row r="326" spans="2:9">
      <c r="B326" s="27">
        <v>45645</v>
      </c>
      <c r="C326" s="28" t="s">
        <v>316</v>
      </c>
      <c r="D326" s="28">
        <v>445.05</v>
      </c>
      <c r="E326" s="28" t="s">
        <v>1511</v>
      </c>
      <c r="F326" s="28">
        <v>257.05</v>
      </c>
      <c r="G326" s="28">
        <v>130.24</v>
      </c>
      <c r="H326" s="28" t="s">
        <v>2686</v>
      </c>
      <c r="I326" s="28">
        <v>327.35000000000002</v>
      </c>
    </row>
    <row r="327" spans="2:9">
      <c r="B327" s="27">
        <v>45644</v>
      </c>
      <c r="C327" s="28" t="s">
        <v>317</v>
      </c>
      <c r="D327" s="28">
        <v>452.85</v>
      </c>
      <c r="E327" s="28" t="s">
        <v>1512</v>
      </c>
      <c r="F327" s="28">
        <v>260.89999999999998</v>
      </c>
      <c r="G327" s="28">
        <v>124.16</v>
      </c>
      <c r="H327" s="28" t="s">
        <v>2687</v>
      </c>
      <c r="I327" s="28">
        <v>328</v>
      </c>
    </row>
    <row r="328" spans="2:9">
      <c r="B328" s="27">
        <v>45643</v>
      </c>
      <c r="C328" s="28" t="s">
        <v>318</v>
      </c>
      <c r="D328" s="28">
        <v>463.05</v>
      </c>
      <c r="E328" s="28" t="s">
        <v>1513</v>
      </c>
      <c r="F328" s="28">
        <v>261.7</v>
      </c>
      <c r="G328" s="28">
        <v>117.84</v>
      </c>
      <c r="H328" s="28" t="s">
        <v>2688</v>
      </c>
      <c r="I328" s="28">
        <v>333.65</v>
      </c>
    </row>
    <row r="329" spans="2:9">
      <c r="B329" s="27">
        <v>45642</v>
      </c>
      <c r="C329" s="28" t="s">
        <v>319</v>
      </c>
      <c r="D329" s="28">
        <v>477.5</v>
      </c>
      <c r="E329" s="28" t="s">
        <v>1514</v>
      </c>
      <c r="F329" s="28">
        <v>261.64999999999998</v>
      </c>
      <c r="G329" s="28">
        <v>115.4</v>
      </c>
      <c r="H329" s="28" t="s">
        <v>2689</v>
      </c>
      <c r="I329" s="28">
        <v>338.9</v>
      </c>
    </row>
    <row r="330" spans="2:9">
      <c r="B330" s="27">
        <v>45639</v>
      </c>
      <c r="C330" s="28" t="s">
        <v>320</v>
      </c>
      <c r="D330" s="28">
        <v>475</v>
      </c>
      <c r="E330" s="28" t="s">
        <v>1515</v>
      </c>
      <c r="F330" s="28">
        <v>262.7</v>
      </c>
      <c r="G330" s="28">
        <v>116.68</v>
      </c>
      <c r="H330" s="28" t="s">
        <v>2690</v>
      </c>
      <c r="I330" s="28">
        <v>346.25</v>
      </c>
    </row>
    <row r="331" spans="2:9">
      <c r="B331" s="27">
        <v>45638</v>
      </c>
      <c r="C331" s="28" t="s">
        <v>321</v>
      </c>
      <c r="D331" s="28">
        <v>472.05</v>
      </c>
      <c r="E331" s="28" t="s">
        <v>1516</v>
      </c>
      <c r="F331" s="28">
        <v>262.7</v>
      </c>
      <c r="G331" s="28">
        <v>118.11</v>
      </c>
      <c r="H331" s="28" t="s">
        <v>2691</v>
      </c>
      <c r="I331" s="28">
        <v>346.25</v>
      </c>
    </row>
    <row r="332" spans="2:9">
      <c r="B332" s="27">
        <v>45637</v>
      </c>
      <c r="C332" s="28" t="s">
        <v>322</v>
      </c>
      <c r="D332" s="28">
        <v>476.15</v>
      </c>
      <c r="E332" s="28" t="s">
        <v>1517</v>
      </c>
      <c r="F332" s="28">
        <v>263.8</v>
      </c>
      <c r="G332" s="28">
        <v>119.76</v>
      </c>
      <c r="H332" s="28" t="s">
        <v>2692</v>
      </c>
      <c r="I332" s="28">
        <v>331.5</v>
      </c>
    </row>
    <row r="333" spans="2:9">
      <c r="B333" s="27">
        <v>45636</v>
      </c>
      <c r="C333" s="28" t="s">
        <v>323</v>
      </c>
      <c r="D333" s="28">
        <v>477.4</v>
      </c>
      <c r="E333" s="28" t="s">
        <v>1518</v>
      </c>
      <c r="F333" s="28">
        <v>263.3</v>
      </c>
      <c r="G333" s="28">
        <v>119.5</v>
      </c>
      <c r="H333" s="28" t="s">
        <v>2693</v>
      </c>
      <c r="I333" s="28">
        <v>332.3</v>
      </c>
    </row>
    <row r="334" spans="2:9">
      <c r="B334" s="27">
        <v>45635</v>
      </c>
      <c r="C334" s="28" t="s">
        <v>324</v>
      </c>
      <c r="D334" s="28">
        <v>479.1</v>
      </c>
      <c r="E334" s="28" t="s">
        <v>1519</v>
      </c>
      <c r="F334" s="28">
        <v>273.3</v>
      </c>
      <c r="G334" s="28">
        <v>118.64</v>
      </c>
      <c r="H334" s="28" t="s">
        <v>2694</v>
      </c>
      <c r="I334" s="28">
        <v>336.55</v>
      </c>
    </row>
    <row r="335" spans="2:9">
      <c r="B335" s="27">
        <v>45632</v>
      </c>
      <c r="C335" s="28" t="s">
        <v>30</v>
      </c>
      <c r="D335" s="28">
        <v>480.45</v>
      </c>
      <c r="E335" s="28" t="s">
        <v>1520</v>
      </c>
      <c r="F335" s="28">
        <v>277.85000000000002</v>
      </c>
      <c r="G335" s="28">
        <v>114.15</v>
      </c>
      <c r="H335" s="28" t="s">
        <v>2695</v>
      </c>
      <c r="I335" s="28">
        <v>340.45</v>
      </c>
    </row>
    <row r="336" spans="2:9">
      <c r="B336" s="27">
        <v>45631</v>
      </c>
      <c r="C336" s="28" t="s">
        <v>234</v>
      </c>
      <c r="D336" s="28">
        <v>482.9</v>
      </c>
      <c r="E336" s="28" t="s">
        <v>1521</v>
      </c>
      <c r="F336" s="28">
        <v>277.89999999999998</v>
      </c>
      <c r="G336" s="28">
        <v>116.65</v>
      </c>
      <c r="H336" s="28" t="s">
        <v>2553</v>
      </c>
      <c r="I336" s="28">
        <v>341.3</v>
      </c>
    </row>
    <row r="337" spans="2:9">
      <c r="B337" s="27">
        <v>45630</v>
      </c>
      <c r="C337" s="28" t="s">
        <v>325</v>
      </c>
      <c r="D337" s="28">
        <v>478.3</v>
      </c>
      <c r="E337" s="28" t="s">
        <v>1522</v>
      </c>
      <c r="F337" s="28">
        <v>278.35000000000002</v>
      </c>
      <c r="G337" s="28">
        <v>108.82</v>
      </c>
      <c r="H337" s="28" t="s">
        <v>2696</v>
      </c>
      <c r="I337" s="28">
        <v>343.1</v>
      </c>
    </row>
    <row r="338" spans="2:9">
      <c r="B338" s="27">
        <v>45629</v>
      </c>
      <c r="C338" s="28" t="s">
        <v>326</v>
      </c>
      <c r="D338" s="28">
        <v>482.15</v>
      </c>
      <c r="E338" s="28" t="s">
        <v>1523</v>
      </c>
      <c r="F338" s="28">
        <v>282.25</v>
      </c>
      <c r="G338" s="28">
        <v>106.58</v>
      </c>
      <c r="H338" s="28" t="s">
        <v>2697</v>
      </c>
      <c r="I338" s="28">
        <v>347.3</v>
      </c>
    </row>
    <row r="339" spans="2:9">
      <c r="B339" s="27">
        <v>45628</v>
      </c>
      <c r="C339" s="28" t="s">
        <v>327</v>
      </c>
      <c r="D339" s="28">
        <v>489.6</v>
      </c>
      <c r="E339" s="28" t="s">
        <v>1524</v>
      </c>
      <c r="F339" s="28">
        <v>276.60000000000002</v>
      </c>
      <c r="G339" s="28">
        <v>111.49</v>
      </c>
      <c r="H339" s="28" t="s">
        <v>2698</v>
      </c>
      <c r="I339" s="28">
        <v>347.6</v>
      </c>
    </row>
    <row r="340" spans="2:9">
      <c r="B340" s="27">
        <v>45625</v>
      </c>
      <c r="C340" s="28" t="s">
        <v>328</v>
      </c>
      <c r="D340" s="28">
        <v>493.7</v>
      </c>
      <c r="E340" s="28" t="s">
        <v>1525</v>
      </c>
      <c r="F340" s="28">
        <v>280.95</v>
      </c>
      <c r="G340" s="28">
        <v>107.16</v>
      </c>
      <c r="H340" s="28" t="s">
        <v>2699</v>
      </c>
      <c r="I340" s="28">
        <v>338.3</v>
      </c>
    </row>
    <row r="341" spans="2:9">
      <c r="B341" s="27">
        <v>45624</v>
      </c>
      <c r="C341" s="28" t="s">
        <v>329</v>
      </c>
      <c r="D341" s="28">
        <v>489.45</v>
      </c>
      <c r="E341" s="28" t="s">
        <v>1526</v>
      </c>
      <c r="F341" s="28">
        <v>274.5</v>
      </c>
      <c r="G341" s="28">
        <v>108.82</v>
      </c>
      <c r="H341" s="28" t="s">
        <v>2700</v>
      </c>
      <c r="I341" s="28">
        <v>328.9</v>
      </c>
    </row>
    <row r="342" spans="2:9">
      <c r="B342" s="27">
        <v>45623</v>
      </c>
      <c r="C342" s="28" t="s">
        <v>330</v>
      </c>
      <c r="D342" s="28">
        <v>490.35</v>
      </c>
      <c r="E342" s="28" t="s">
        <v>1527</v>
      </c>
      <c r="F342" s="28">
        <v>275.39999999999998</v>
      </c>
      <c r="G342" s="28">
        <v>110.87</v>
      </c>
      <c r="H342" s="28" t="s">
        <v>2701</v>
      </c>
      <c r="I342" s="28">
        <v>324.05</v>
      </c>
    </row>
    <row r="343" spans="2:9">
      <c r="B343" s="27">
        <v>45622</v>
      </c>
      <c r="C343" s="28" t="s">
        <v>331</v>
      </c>
      <c r="D343" s="28">
        <v>486.95</v>
      </c>
      <c r="E343" s="28" t="s">
        <v>1528</v>
      </c>
      <c r="F343" s="28">
        <v>275.3</v>
      </c>
      <c r="G343" s="28">
        <v>109.21</v>
      </c>
      <c r="H343" s="28" t="s">
        <v>2702</v>
      </c>
      <c r="I343" s="28">
        <v>328.9</v>
      </c>
    </row>
    <row r="344" spans="2:9">
      <c r="B344" s="27">
        <v>45621</v>
      </c>
      <c r="C344" s="28" t="s">
        <v>332</v>
      </c>
      <c r="D344" s="28">
        <v>475.9</v>
      </c>
      <c r="E344" s="28" t="s">
        <v>1529</v>
      </c>
      <c r="F344" s="28">
        <v>264.95</v>
      </c>
      <c r="G344" s="28">
        <v>102.35</v>
      </c>
      <c r="H344" s="28" t="s">
        <v>2703</v>
      </c>
      <c r="I344" s="28">
        <v>325.5</v>
      </c>
    </row>
    <row r="345" spans="2:9">
      <c r="B345" s="27">
        <v>45618</v>
      </c>
      <c r="C345" s="28" t="s">
        <v>333</v>
      </c>
      <c r="D345" s="28">
        <v>476.25</v>
      </c>
      <c r="E345" s="28" t="s">
        <v>1530</v>
      </c>
      <c r="F345" s="28">
        <v>267.25</v>
      </c>
      <c r="G345" s="28">
        <v>100.42</v>
      </c>
      <c r="H345" s="28" t="s">
        <v>2704</v>
      </c>
      <c r="I345" s="28">
        <v>315.35000000000002</v>
      </c>
    </row>
    <row r="346" spans="2:9">
      <c r="B346" s="27">
        <v>45617</v>
      </c>
      <c r="C346" s="28" t="s">
        <v>334</v>
      </c>
      <c r="D346" s="28">
        <v>465.5</v>
      </c>
      <c r="E346" s="28" t="s">
        <v>1531</v>
      </c>
      <c r="F346" s="28">
        <v>255.45</v>
      </c>
      <c r="G346" s="28">
        <v>98.7</v>
      </c>
      <c r="H346" s="28" t="s">
        <v>2705</v>
      </c>
      <c r="I346" s="28">
        <v>321.5</v>
      </c>
    </row>
    <row r="347" spans="2:9">
      <c r="B347" s="27">
        <v>45615</v>
      </c>
      <c r="C347" s="28" t="s">
        <v>335</v>
      </c>
      <c r="D347" s="28">
        <v>476.25</v>
      </c>
      <c r="E347" s="28" t="s">
        <v>1532</v>
      </c>
      <c r="F347" s="28">
        <v>261.10000000000002</v>
      </c>
      <c r="G347" s="28">
        <v>103.36</v>
      </c>
      <c r="H347" s="28" t="s">
        <v>2706</v>
      </c>
      <c r="I347" s="28">
        <v>334.1</v>
      </c>
    </row>
    <row r="348" spans="2:9">
      <c r="B348" s="27">
        <v>45614</v>
      </c>
      <c r="C348" s="28" t="s">
        <v>335</v>
      </c>
      <c r="D348" s="28">
        <v>479.35</v>
      </c>
      <c r="E348" s="28" t="s">
        <v>1533</v>
      </c>
      <c r="F348" s="28">
        <v>261.64999999999998</v>
      </c>
      <c r="G348" s="28">
        <v>102.57</v>
      </c>
      <c r="H348" s="28" t="s">
        <v>2707</v>
      </c>
      <c r="I348" s="28">
        <v>324.60000000000002</v>
      </c>
    </row>
    <row r="349" spans="2:9">
      <c r="B349" s="27">
        <v>45610</v>
      </c>
      <c r="C349" s="28" t="s">
        <v>336</v>
      </c>
      <c r="D349" s="28">
        <v>491.9</v>
      </c>
      <c r="E349" s="28" t="s">
        <v>1534</v>
      </c>
      <c r="F349" s="28">
        <v>259.25</v>
      </c>
      <c r="G349" s="28">
        <v>104.7</v>
      </c>
      <c r="H349" s="28" t="s">
        <v>2708</v>
      </c>
      <c r="I349" s="28">
        <v>339.6</v>
      </c>
    </row>
    <row r="350" spans="2:9">
      <c r="B350" s="27">
        <v>45609</v>
      </c>
      <c r="C350" s="28" t="s">
        <v>337</v>
      </c>
      <c r="D350" s="28">
        <v>489.75</v>
      </c>
      <c r="E350" s="28" t="s">
        <v>1535</v>
      </c>
      <c r="F350" s="28">
        <v>262.3</v>
      </c>
      <c r="G350" s="28">
        <v>101.23</v>
      </c>
      <c r="H350" s="28" t="s">
        <v>2709</v>
      </c>
      <c r="I350" s="28">
        <v>340.45</v>
      </c>
    </row>
    <row r="351" spans="2:9">
      <c r="B351" s="27">
        <v>45608</v>
      </c>
      <c r="C351" s="28" t="s">
        <v>338</v>
      </c>
      <c r="D351" s="28">
        <v>496.15</v>
      </c>
      <c r="E351" s="28" t="s">
        <v>1536</v>
      </c>
      <c r="F351" s="28">
        <v>267.2</v>
      </c>
      <c r="G351" s="28">
        <v>102.57</v>
      </c>
      <c r="H351" s="28" t="s">
        <v>2710</v>
      </c>
      <c r="I351" s="28">
        <v>352.05</v>
      </c>
    </row>
    <row r="352" spans="2:9">
      <c r="B352" s="27">
        <v>45607</v>
      </c>
      <c r="C352" s="28" t="s">
        <v>339</v>
      </c>
      <c r="D352" s="28">
        <v>490.8</v>
      </c>
      <c r="E352" s="28" t="s">
        <v>1537</v>
      </c>
      <c r="F352" s="28">
        <v>268.25</v>
      </c>
      <c r="G352" s="28">
        <v>108.59</v>
      </c>
      <c r="H352" s="28" t="s">
        <v>2711</v>
      </c>
      <c r="I352" s="28">
        <v>350</v>
      </c>
    </row>
    <row r="353" spans="2:9">
      <c r="B353" s="27">
        <v>45604</v>
      </c>
      <c r="C353" s="28" t="s">
        <v>340</v>
      </c>
      <c r="D353" s="28">
        <v>504.25</v>
      </c>
      <c r="E353" s="28" t="s">
        <v>1538</v>
      </c>
      <c r="F353" s="28">
        <v>271.14999999999998</v>
      </c>
      <c r="G353" s="28">
        <v>114.93</v>
      </c>
      <c r="H353" s="28" t="s">
        <v>2712</v>
      </c>
      <c r="I353" s="28">
        <v>362.6</v>
      </c>
    </row>
    <row r="354" spans="2:9">
      <c r="B354" s="27">
        <v>45603</v>
      </c>
      <c r="C354" s="28" t="s">
        <v>341</v>
      </c>
      <c r="D354" s="28">
        <v>516.25</v>
      </c>
      <c r="E354" s="28" t="s">
        <v>1539</v>
      </c>
      <c r="F354" s="28">
        <v>279.7</v>
      </c>
      <c r="G354" s="28">
        <v>118.3</v>
      </c>
      <c r="H354" s="28" t="s">
        <v>2713</v>
      </c>
      <c r="I354" s="28">
        <v>370.85</v>
      </c>
    </row>
    <row r="355" spans="2:9">
      <c r="B355" s="27">
        <v>45602</v>
      </c>
      <c r="C355" s="28" t="s">
        <v>342</v>
      </c>
      <c r="D355" s="28">
        <v>525.15</v>
      </c>
      <c r="E355" s="28" t="s">
        <v>1540</v>
      </c>
      <c r="F355" s="28">
        <v>285.64999999999998</v>
      </c>
      <c r="G355" s="28">
        <v>121.15</v>
      </c>
      <c r="H355" s="28" t="s">
        <v>2714</v>
      </c>
      <c r="I355" s="28">
        <v>378.5</v>
      </c>
    </row>
    <row r="356" spans="2:9">
      <c r="B356" s="27">
        <v>45601</v>
      </c>
      <c r="C356" s="28" t="s">
        <v>343</v>
      </c>
      <c r="D356" s="28">
        <v>513.4</v>
      </c>
      <c r="E356" s="28" t="s">
        <v>1541</v>
      </c>
      <c r="F356" s="28">
        <v>283.89999999999998</v>
      </c>
      <c r="G356" s="28">
        <v>116.2</v>
      </c>
      <c r="H356" s="28" t="s">
        <v>2715</v>
      </c>
      <c r="I356" s="28">
        <v>367.05</v>
      </c>
    </row>
    <row r="357" spans="2:9">
      <c r="B357" s="27">
        <v>45600</v>
      </c>
      <c r="C357" s="28" t="s">
        <v>344</v>
      </c>
      <c r="D357" s="28">
        <v>524.5</v>
      </c>
      <c r="E357" s="28" t="s">
        <v>1542</v>
      </c>
      <c r="F357" s="28">
        <v>285.8</v>
      </c>
      <c r="G357" s="28">
        <v>114.63</v>
      </c>
      <c r="H357" s="28" t="s">
        <v>2716</v>
      </c>
      <c r="I357" s="28">
        <v>356.85</v>
      </c>
    </row>
    <row r="358" spans="2:9">
      <c r="B358" s="27">
        <v>45597</v>
      </c>
      <c r="C358" s="28" t="s">
        <v>345</v>
      </c>
      <c r="D358" s="28">
        <v>531.75</v>
      </c>
      <c r="E358" s="28" t="s">
        <v>1543</v>
      </c>
      <c r="F358" s="28">
        <v>287</v>
      </c>
      <c r="G358" s="28">
        <v>116.67</v>
      </c>
      <c r="H358" s="28" t="s">
        <v>2717</v>
      </c>
      <c r="I358" s="28">
        <v>341.2</v>
      </c>
    </row>
    <row r="359" spans="2:9">
      <c r="B359" s="27">
        <v>45596</v>
      </c>
      <c r="C359" s="28" t="s">
        <v>346</v>
      </c>
      <c r="D359" s="28">
        <v>536.79999999999995</v>
      </c>
      <c r="E359" s="28" t="s">
        <v>1544</v>
      </c>
      <c r="F359" s="28">
        <v>285.10000000000002</v>
      </c>
      <c r="G359" s="28">
        <v>113.84</v>
      </c>
      <c r="H359" s="28" t="s">
        <v>2718</v>
      </c>
      <c r="I359" s="28">
        <v>342.55</v>
      </c>
    </row>
    <row r="360" spans="2:9">
      <c r="B360" s="27">
        <v>45595</v>
      </c>
      <c r="C360" s="28" t="s">
        <v>347</v>
      </c>
      <c r="D360" s="28">
        <v>546.9</v>
      </c>
      <c r="E360" s="28" t="s">
        <v>1545</v>
      </c>
      <c r="F360" s="28">
        <v>285.60000000000002</v>
      </c>
      <c r="G360" s="28">
        <v>109.19</v>
      </c>
      <c r="H360" s="28" t="s">
        <v>2719</v>
      </c>
      <c r="I360" s="28">
        <v>338.5</v>
      </c>
    </row>
    <row r="361" spans="2:9">
      <c r="B361" s="27">
        <v>45594</v>
      </c>
      <c r="C361" s="28" t="s">
        <v>348</v>
      </c>
      <c r="D361" s="28">
        <v>545.5</v>
      </c>
      <c r="E361" s="28" t="s">
        <v>1546</v>
      </c>
      <c r="F361" s="28">
        <v>286.55</v>
      </c>
      <c r="G361" s="28">
        <v>106.77</v>
      </c>
      <c r="H361" s="28" t="s">
        <v>2720</v>
      </c>
      <c r="I361" s="28">
        <v>319.75</v>
      </c>
    </row>
    <row r="362" spans="2:9">
      <c r="B362" s="27">
        <v>45593</v>
      </c>
      <c r="C362" s="28" t="s">
        <v>349</v>
      </c>
      <c r="D362" s="28">
        <v>539.20000000000005</v>
      </c>
      <c r="E362" s="28" t="s">
        <v>1547</v>
      </c>
      <c r="F362" s="28">
        <v>283.39999999999998</v>
      </c>
      <c r="G362" s="28">
        <v>106.36</v>
      </c>
      <c r="H362" s="28" t="s">
        <v>2721</v>
      </c>
      <c r="I362" s="28">
        <v>311.55</v>
      </c>
    </row>
    <row r="363" spans="2:9">
      <c r="B363" s="27">
        <v>45590</v>
      </c>
      <c r="C363" s="28" t="s">
        <v>350</v>
      </c>
      <c r="D363" s="28">
        <v>536.95000000000005</v>
      </c>
      <c r="E363" s="28" t="s">
        <v>1548</v>
      </c>
      <c r="F363" s="28">
        <v>279.14999999999998</v>
      </c>
      <c r="G363" s="28">
        <v>112.22</v>
      </c>
      <c r="H363" s="28" t="s">
        <v>2722</v>
      </c>
      <c r="I363" s="28">
        <v>301.5</v>
      </c>
    </row>
    <row r="364" spans="2:9">
      <c r="B364" s="27">
        <v>45589</v>
      </c>
      <c r="C364" s="28" t="s">
        <v>351</v>
      </c>
      <c r="D364" s="28">
        <v>544</v>
      </c>
      <c r="E364" s="28" t="s">
        <v>1549</v>
      </c>
      <c r="F364" s="28">
        <v>270.75</v>
      </c>
      <c r="G364" s="28">
        <v>119.26</v>
      </c>
      <c r="H364" s="28" t="s">
        <v>2723</v>
      </c>
      <c r="I364" s="28">
        <v>308.64999999999998</v>
      </c>
    </row>
    <row r="365" spans="2:9">
      <c r="B365" s="27">
        <v>45588</v>
      </c>
      <c r="C365" s="28" t="s">
        <v>352</v>
      </c>
      <c r="D365" s="28">
        <v>534.6</v>
      </c>
      <c r="E365" s="28" t="s">
        <v>1550</v>
      </c>
      <c r="F365" s="28">
        <v>275.95</v>
      </c>
      <c r="G365" s="28">
        <v>119.76</v>
      </c>
      <c r="H365" s="28" t="s">
        <v>2724</v>
      </c>
      <c r="I365" s="28">
        <v>310.7</v>
      </c>
    </row>
    <row r="366" spans="2:9">
      <c r="B366" s="27">
        <v>45587</v>
      </c>
      <c r="C366" s="28" t="s">
        <v>353</v>
      </c>
      <c r="D366" s="28">
        <v>538.45000000000005</v>
      </c>
      <c r="E366" s="28" t="s">
        <v>1551</v>
      </c>
      <c r="F366" s="28">
        <v>275.35000000000002</v>
      </c>
      <c r="G366" s="28">
        <v>114.73</v>
      </c>
      <c r="H366" s="28" t="s">
        <v>2725</v>
      </c>
      <c r="I366" s="28">
        <v>307.75</v>
      </c>
    </row>
    <row r="367" spans="2:9">
      <c r="B367" s="27">
        <v>45586</v>
      </c>
      <c r="C367" s="28" t="s">
        <v>354</v>
      </c>
      <c r="D367" s="28">
        <v>556.65</v>
      </c>
      <c r="E367" s="28" t="s">
        <v>1552</v>
      </c>
      <c r="F367" s="28">
        <v>278.85000000000002</v>
      </c>
      <c r="G367" s="28">
        <v>124.36</v>
      </c>
      <c r="H367" s="28" t="s">
        <v>2726</v>
      </c>
      <c r="I367" s="28">
        <v>321.85000000000002</v>
      </c>
    </row>
    <row r="368" spans="2:9">
      <c r="B368" s="27">
        <v>45583</v>
      </c>
      <c r="C368" s="28" t="s">
        <v>355</v>
      </c>
      <c r="D368" s="28">
        <v>556.35</v>
      </c>
      <c r="E368" s="28" t="s">
        <v>1553</v>
      </c>
      <c r="F368" s="28">
        <v>287.05</v>
      </c>
      <c r="G368" s="28">
        <v>128.08000000000001</v>
      </c>
      <c r="H368" s="28" t="s">
        <v>2727</v>
      </c>
      <c r="I368" s="28">
        <v>326.75</v>
      </c>
    </row>
    <row r="369" spans="2:9">
      <c r="B369" s="27">
        <v>45582</v>
      </c>
      <c r="C369" s="28" t="s">
        <v>356</v>
      </c>
      <c r="D369" s="28">
        <v>558.15</v>
      </c>
      <c r="E369" s="28" t="s">
        <v>1554</v>
      </c>
      <c r="F369" s="28">
        <v>287</v>
      </c>
      <c r="G369" s="28">
        <v>128.87</v>
      </c>
      <c r="H369" s="28" t="s">
        <v>2728</v>
      </c>
      <c r="I369" s="28">
        <v>329.2</v>
      </c>
    </row>
    <row r="370" spans="2:9">
      <c r="B370" s="27">
        <v>45581</v>
      </c>
      <c r="C370" s="28" t="s">
        <v>357</v>
      </c>
      <c r="D370" s="28">
        <v>569.70000000000005</v>
      </c>
      <c r="E370" s="28" t="s">
        <v>1555</v>
      </c>
      <c r="F370" s="28">
        <v>295.5</v>
      </c>
      <c r="G370" s="28">
        <v>130.91999999999999</v>
      </c>
      <c r="H370" s="28" t="s">
        <v>2729</v>
      </c>
      <c r="I370" s="28">
        <v>329</v>
      </c>
    </row>
    <row r="371" spans="2:9">
      <c r="B371" s="27">
        <v>45580</v>
      </c>
      <c r="C371" s="28" t="s">
        <v>358</v>
      </c>
      <c r="D371" s="28">
        <v>581.25</v>
      </c>
      <c r="E371" s="28" t="s">
        <v>1556</v>
      </c>
      <c r="F371" s="28">
        <v>286.3</v>
      </c>
      <c r="G371" s="28">
        <v>130.85</v>
      </c>
      <c r="H371" s="28" t="s">
        <v>2730</v>
      </c>
      <c r="I371" s="28">
        <v>333.9</v>
      </c>
    </row>
    <row r="372" spans="2:9">
      <c r="B372" s="27">
        <v>45579</v>
      </c>
      <c r="C372" s="28" t="s">
        <v>359</v>
      </c>
      <c r="D372" s="28">
        <v>568.45000000000005</v>
      </c>
      <c r="E372" s="28" t="s">
        <v>1557</v>
      </c>
      <c r="F372" s="28">
        <v>287.8</v>
      </c>
      <c r="G372" s="28">
        <v>129.93</v>
      </c>
      <c r="H372" s="28" t="s">
        <v>2731</v>
      </c>
      <c r="I372" s="28">
        <v>331.7</v>
      </c>
    </row>
    <row r="373" spans="2:9">
      <c r="B373" s="27">
        <v>45576</v>
      </c>
      <c r="C373" s="28" t="s">
        <v>360</v>
      </c>
      <c r="D373" s="28">
        <v>571.54999999999995</v>
      </c>
      <c r="E373" s="28" t="s">
        <v>1558</v>
      </c>
      <c r="F373" s="28">
        <v>288.75</v>
      </c>
      <c r="G373" s="28">
        <v>130.32</v>
      </c>
      <c r="H373" s="28" t="s">
        <v>2732</v>
      </c>
      <c r="I373" s="28">
        <v>332.2</v>
      </c>
    </row>
    <row r="374" spans="2:9">
      <c r="B374" s="27">
        <v>45575</v>
      </c>
      <c r="C374" s="28" t="s">
        <v>361</v>
      </c>
      <c r="D374" s="28">
        <v>573.29999999999995</v>
      </c>
      <c r="E374" s="28" t="s">
        <v>1559</v>
      </c>
      <c r="F374" s="28">
        <v>291.5</v>
      </c>
      <c r="G374" s="28">
        <v>130.58000000000001</v>
      </c>
      <c r="H374" s="28" t="s">
        <v>2733</v>
      </c>
      <c r="I374" s="28">
        <v>331.95</v>
      </c>
    </row>
    <row r="375" spans="2:9">
      <c r="B375" s="27">
        <v>45574</v>
      </c>
      <c r="C375" s="28" t="s">
        <v>362</v>
      </c>
      <c r="D375" s="28">
        <v>575.79999999999995</v>
      </c>
      <c r="E375" s="28" t="s">
        <v>1560</v>
      </c>
      <c r="F375" s="28">
        <v>291.39999999999998</v>
      </c>
      <c r="G375" s="28">
        <v>130.18</v>
      </c>
      <c r="H375" s="28" t="s">
        <v>2734</v>
      </c>
      <c r="I375" s="28">
        <v>333.05</v>
      </c>
    </row>
    <row r="376" spans="2:9">
      <c r="B376" s="27">
        <v>45573</v>
      </c>
      <c r="C376" s="28" t="s">
        <v>363</v>
      </c>
      <c r="D376" s="28">
        <v>573.1</v>
      </c>
      <c r="E376" s="28" t="s">
        <v>1561</v>
      </c>
      <c r="F376" s="28">
        <v>287.05</v>
      </c>
      <c r="G376" s="28">
        <v>134.13</v>
      </c>
      <c r="H376" s="28" t="s">
        <v>2735</v>
      </c>
      <c r="I376" s="28">
        <v>326.75</v>
      </c>
    </row>
    <row r="377" spans="2:9">
      <c r="B377" s="27">
        <v>45572</v>
      </c>
      <c r="C377" s="28" t="s">
        <v>364</v>
      </c>
      <c r="D377" s="28">
        <v>567.85</v>
      </c>
      <c r="E377" s="28" t="s">
        <v>1562</v>
      </c>
      <c r="F377" s="28">
        <v>280.55</v>
      </c>
      <c r="G377" s="28">
        <v>129.33000000000001</v>
      </c>
      <c r="H377" s="28" t="s">
        <v>2736</v>
      </c>
      <c r="I377" s="28">
        <v>319.7</v>
      </c>
    </row>
    <row r="378" spans="2:9">
      <c r="B378" s="27">
        <v>45569</v>
      </c>
      <c r="C378" s="28" t="s">
        <v>365</v>
      </c>
      <c r="D378" s="28">
        <v>576.95000000000005</v>
      </c>
      <c r="E378" s="28" t="s">
        <v>1563</v>
      </c>
      <c r="F378" s="28">
        <v>292.10000000000002</v>
      </c>
      <c r="G378" s="28">
        <v>133.78</v>
      </c>
      <c r="H378" s="28" t="s">
        <v>2737</v>
      </c>
      <c r="I378" s="28">
        <v>333.85</v>
      </c>
    </row>
    <row r="379" spans="2:9">
      <c r="B379" s="27">
        <v>45568</v>
      </c>
      <c r="C379" s="28" t="s">
        <v>366</v>
      </c>
      <c r="D379" s="28">
        <v>597.04999999999995</v>
      </c>
      <c r="E379" s="28" t="s">
        <v>1564</v>
      </c>
      <c r="F379" s="28">
        <v>301.7</v>
      </c>
      <c r="G379" s="28">
        <v>135.81</v>
      </c>
      <c r="H379" s="28" t="s">
        <v>2738</v>
      </c>
      <c r="I379" s="28">
        <v>336.3</v>
      </c>
    </row>
    <row r="380" spans="2:9">
      <c r="B380" s="27">
        <v>45566</v>
      </c>
      <c r="C380" s="28" t="s">
        <v>367</v>
      </c>
      <c r="D380" s="28">
        <v>619.65</v>
      </c>
      <c r="E380" s="28" t="s">
        <v>1565</v>
      </c>
      <c r="F380" s="28">
        <v>311.5</v>
      </c>
      <c r="G380" s="28">
        <v>138.11000000000001</v>
      </c>
      <c r="H380" s="28" t="s">
        <v>2739</v>
      </c>
      <c r="I380" s="28">
        <v>343.9</v>
      </c>
    </row>
    <row r="381" spans="2:9">
      <c r="B381" s="27">
        <v>45565</v>
      </c>
      <c r="C381" s="28" t="s">
        <v>368</v>
      </c>
      <c r="D381" s="28">
        <v>622.29999999999995</v>
      </c>
      <c r="E381" s="28" t="s">
        <v>1566</v>
      </c>
      <c r="F381" s="28">
        <v>309.5</v>
      </c>
      <c r="G381" s="28">
        <v>136.29</v>
      </c>
      <c r="H381" s="28" t="s">
        <v>2740</v>
      </c>
      <c r="I381" s="28">
        <v>337.35</v>
      </c>
    </row>
    <row r="382" spans="2:9">
      <c r="B382" s="27">
        <v>45562</v>
      </c>
      <c r="C382" s="28" t="s">
        <v>369</v>
      </c>
      <c r="D382" s="28">
        <v>617.54999999999995</v>
      </c>
      <c r="E382" s="28" t="s">
        <v>1567</v>
      </c>
      <c r="F382" s="28">
        <v>309.35000000000002</v>
      </c>
      <c r="G382" s="28">
        <v>138.78</v>
      </c>
      <c r="H382" s="28" t="s">
        <v>2741</v>
      </c>
      <c r="I382" s="28">
        <v>342.55</v>
      </c>
    </row>
    <row r="383" spans="2:9">
      <c r="B383" s="27">
        <v>45561</v>
      </c>
      <c r="C383" s="28" t="s">
        <v>370</v>
      </c>
      <c r="D383" s="28">
        <v>613.9</v>
      </c>
      <c r="E383" s="28" t="s">
        <v>1568</v>
      </c>
      <c r="F383" s="28">
        <v>304.05</v>
      </c>
      <c r="G383" s="28">
        <v>138.18</v>
      </c>
      <c r="H383" s="28" t="s">
        <v>2742</v>
      </c>
      <c r="I383" s="28">
        <v>345.75</v>
      </c>
    </row>
    <row r="384" spans="2:9">
      <c r="B384" s="27">
        <v>45560</v>
      </c>
      <c r="C384" s="28" t="s">
        <v>371</v>
      </c>
      <c r="D384" s="28">
        <v>615.95000000000005</v>
      </c>
      <c r="E384" s="28" t="s">
        <v>1569</v>
      </c>
      <c r="F384" s="28">
        <v>308.3</v>
      </c>
      <c r="G384" s="28">
        <v>138.38999999999999</v>
      </c>
      <c r="H384" s="28" t="s">
        <v>2743</v>
      </c>
      <c r="I384" s="28">
        <v>348.3</v>
      </c>
    </row>
    <row r="385" spans="2:9">
      <c r="B385" s="27">
        <v>45559</v>
      </c>
      <c r="C385" s="28" t="s">
        <v>372</v>
      </c>
      <c r="D385" s="28">
        <v>612</v>
      </c>
      <c r="E385" s="28" t="s">
        <v>1559</v>
      </c>
      <c r="F385" s="28">
        <v>305.89999999999998</v>
      </c>
      <c r="G385" s="28">
        <v>138.75</v>
      </c>
      <c r="H385" s="28" t="s">
        <v>2744</v>
      </c>
      <c r="I385" s="28">
        <v>352.75</v>
      </c>
    </row>
    <row r="386" spans="2:9">
      <c r="B386" s="27">
        <v>45558</v>
      </c>
      <c r="C386" s="28" t="s">
        <v>373</v>
      </c>
      <c r="D386" s="28">
        <v>614.85</v>
      </c>
      <c r="E386" s="28" t="s">
        <v>1570</v>
      </c>
      <c r="F386" s="28">
        <v>303.8</v>
      </c>
      <c r="G386" s="28">
        <v>143.83000000000001</v>
      </c>
      <c r="H386" s="28" t="s">
        <v>2745</v>
      </c>
      <c r="I386" s="28">
        <v>350.95</v>
      </c>
    </row>
    <row r="387" spans="2:9">
      <c r="B387" s="27">
        <v>45555</v>
      </c>
      <c r="C387" s="28" t="s">
        <v>374</v>
      </c>
      <c r="D387" s="28">
        <v>622.85</v>
      </c>
      <c r="E387" s="28" t="s">
        <v>1571</v>
      </c>
      <c r="F387" s="28">
        <v>302.14999999999998</v>
      </c>
      <c r="G387" s="28">
        <v>141.28</v>
      </c>
      <c r="H387" s="28" t="s">
        <v>2746</v>
      </c>
      <c r="I387" s="28">
        <v>348.1</v>
      </c>
    </row>
    <row r="388" spans="2:9">
      <c r="B388" s="27">
        <v>45554</v>
      </c>
      <c r="C388" s="28" t="s">
        <v>375</v>
      </c>
      <c r="D388" s="28">
        <v>620.5</v>
      </c>
      <c r="E388" s="28" t="s">
        <v>1572</v>
      </c>
      <c r="F388" s="28">
        <v>304.55</v>
      </c>
      <c r="G388" s="28">
        <v>140.06</v>
      </c>
      <c r="H388" s="28" t="s">
        <v>2747</v>
      </c>
      <c r="I388" s="28">
        <v>343.6</v>
      </c>
    </row>
    <row r="389" spans="2:9">
      <c r="B389" s="27">
        <v>45553</v>
      </c>
      <c r="C389" s="28" t="s">
        <v>376</v>
      </c>
      <c r="D389" s="28">
        <v>620.20000000000005</v>
      </c>
      <c r="E389" s="28" t="s">
        <v>1573</v>
      </c>
      <c r="F389" s="28">
        <v>306.05</v>
      </c>
      <c r="G389" s="28">
        <v>143.09</v>
      </c>
      <c r="H389" s="28" t="s">
        <v>2748</v>
      </c>
      <c r="I389" s="28">
        <v>351.75</v>
      </c>
    </row>
    <row r="390" spans="2:9">
      <c r="B390" s="27">
        <v>45552</v>
      </c>
      <c r="C390" s="28" t="s">
        <v>377</v>
      </c>
      <c r="D390" s="28">
        <v>622.54999999999995</v>
      </c>
      <c r="E390" s="28" t="s">
        <v>1574</v>
      </c>
      <c r="F390" s="28">
        <v>309.05</v>
      </c>
      <c r="G390" s="28">
        <v>144.97</v>
      </c>
      <c r="H390" s="28" t="s">
        <v>2749</v>
      </c>
      <c r="I390" s="28">
        <v>352.45</v>
      </c>
    </row>
    <row r="391" spans="2:9">
      <c r="B391" s="27">
        <v>45551</v>
      </c>
      <c r="C391" s="28" t="s">
        <v>378</v>
      </c>
      <c r="D391" s="28">
        <v>625.15</v>
      </c>
      <c r="E391" s="28" t="s">
        <v>1575</v>
      </c>
      <c r="F391" s="28">
        <v>312.8</v>
      </c>
      <c r="G391" s="28">
        <v>149.74</v>
      </c>
      <c r="H391" s="28" t="s">
        <v>2750</v>
      </c>
      <c r="I391" s="28">
        <v>342.1</v>
      </c>
    </row>
    <row r="392" spans="2:9">
      <c r="B392" s="27">
        <v>45548</v>
      </c>
      <c r="C392" s="28" t="s">
        <v>379</v>
      </c>
      <c r="D392" s="28">
        <v>622.65</v>
      </c>
      <c r="E392" s="28" t="s">
        <v>1576</v>
      </c>
      <c r="F392" s="28">
        <v>311.39999999999998</v>
      </c>
      <c r="G392" s="28">
        <v>144.85</v>
      </c>
      <c r="H392" s="28" t="s">
        <v>2751</v>
      </c>
      <c r="I392" s="28">
        <v>350.9</v>
      </c>
    </row>
    <row r="393" spans="2:9">
      <c r="B393" s="27">
        <v>45547</v>
      </c>
      <c r="C393" s="28" t="s">
        <v>380</v>
      </c>
      <c r="D393" s="28">
        <v>620.85</v>
      </c>
      <c r="E393" s="28" t="s">
        <v>1577</v>
      </c>
      <c r="F393" s="28">
        <v>316.2</v>
      </c>
      <c r="G393" s="28">
        <v>144.85</v>
      </c>
      <c r="H393" s="28" t="s">
        <v>2752</v>
      </c>
      <c r="I393" s="28">
        <v>352.75</v>
      </c>
    </row>
    <row r="394" spans="2:9">
      <c r="B394" s="27">
        <v>45546</v>
      </c>
      <c r="C394" s="28" t="s">
        <v>381</v>
      </c>
      <c r="D394" s="28">
        <v>618</v>
      </c>
      <c r="E394" s="28" t="s">
        <v>1578</v>
      </c>
      <c r="F394" s="28">
        <v>316.10000000000002</v>
      </c>
      <c r="G394" s="28">
        <v>137.4</v>
      </c>
      <c r="H394" s="28" t="s">
        <v>2753</v>
      </c>
      <c r="I394" s="28">
        <v>346.95</v>
      </c>
    </row>
    <row r="395" spans="2:9">
      <c r="B395" s="27">
        <v>45545</v>
      </c>
      <c r="C395" s="28" t="s">
        <v>382</v>
      </c>
      <c r="D395" s="28">
        <v>601.75</v>
      </c>
      <c r="E395" s="28" t="s">
        <v>1579</v>
      </c>
      <c r="F395" s="28">
        <v>308.05</v>
      </c>
      <c r="G395" s="28">
        <v>136.29</v>
      </c>
      <c r="H395" s="28" t="s">
        <v>2754</v>
      </c>
      <c r="I395" s="28">
        <v>336.4</v>
      </c>
    </row>
    <row r="396" spans="2:9">
      <c r="B396" s="27">
        <v>45544</v>
      </c>
      <c r="C396" s="28" t="s">
        <v>383</v>
      </c>
      <c r="D396" s="28">
        <v>602.35</v>
      </c>
      <c r="E396" s="28" t="s">
        <v>1580</v>
      </c>
      <c r="F396" s="28">
        <v>304.85000000000002</v>
      </c>
      <c r="G396" s="28">
        <v>136.53</v>
      </c>
      <c r="H396" s="28" t="s">
        <v>2755</v>
      </c>
      <c r="I396" s="28">
        <v>325.60000000000002</v>
      </c>
    </row>
    <row r="397" spans="2:9">
      <c r="B397" s="27">
        <v>45541</v>
      </c>
      <c r="C397" s="28" t="s">
        <v>384</v>
      </c>
      <c r="D397" s="28">
        <v>596.29999999999995</v>
      </c>
      <c r="E397" s="28" t="s">
        <v>1581</v>
      </c>
      <c r="F397" s="28">
        <v>306.05</v>
      </c>
      <c r="G397" s="28">
        <v>136.72999999999999</v>
      </c>
      <c r="H397" s="28" t="s">
        <v>2756</v>
      </c>
      <c r="I397" s="28">
        <v>333.7</v>
      </c>
    </row>
    <row r="398" spans="2:9">
      <c r="B398" s="27">
        <v>45540</v>
      </c>
      <c r="C398" s="28" t="s">
        <v>385</v>
      </c>
      <c r="D398" s="28">
        <v>595.5</v>
      </c>
      <c r="E398" s="28" t="s">
        <v>1582</v>
      </c>
      <c r="F398" s="28">
        <v>310.25</v>
      </c>
      <c r="G398" s="28">
        <v>142.22999999999999</v>
      </c>
      <c r="H398" s="28" t="s">
        <v>2757</v>
      </c>
      <c r="I398" s="28">
        <v>340.2</v>
      </c>
    </row>
    <row r="399" spans="2:9">
      <c r="B399" s="27">
        <v>45539</v>
      </c>
      <c r="C399" s="28" t="s">
        <v>386</v>
      </c>
      <c r="D399" s="28">
        <v>597.70000000000005</v>
      </c>
      <c r="E399" s="28" t="s">
        <v>1583</v>
      </c>
      <c r="F399" s="28">
        <v>304.95</v>
      </c>
      <c r="G399" s="28">
        <v>138.09</v>
      </c>
      <c r="H399" s="28" t="s">
        <v>2758</v>
      </c>
      <c r="I399" s="28">
        <v>320.7</v>
      </c>
    </row>
    <row r="400" spans="2:9">
      <c r="B400" s="27">
        <v>45538</v>
      </c>
      <c r="C400" s="28" t="s">
        <v>387</v>
      </c>
      <c r="D400" s="28">
        <v>576.79999999999995</v>
      </c>
      <c r="E400" s="28" t="s">
        <v>1584</v>
      </c>
      <c r="F400" s="28">
        <v>298.7</v>
      </c>
      <c r="G400" s="28">
        <v>133.63</v>
      </c>
      <c r="H400" s="28" t="s">
        <v>2759</v>
      </c>
      <c r="I400" s="28">
        <v>313.45</v>
      </c>
    </row>
    <row r="401" spans="2:9">
      <c r="B401" s="27">
        <v>45537</v>
      </c>
      <c r="C401" s="28" t="s">
        <v>388</v>
      </c>
      <c r="D401" s="28">
        <v>576.1</v>
      </c>
      <c r="E401" s="28" t="s">
        <v>1585</v>
      </c>
      <c r="F401" s="28">
        <v>298</v>
      </c>
      <c r="G401" s="28">
        <v>135.85</v>
      </c>
      <c r="H401" s="28" t="s">
        <v>870</v>
      </c>
      <c r="I401" s="28">
        <v>315.3</v>
      </c>
    </row>
    <row r="402" spans="2:9">
      <c r="B402" s="27">
        <v>45534</v>
      </c>
      <c r="C402" s="28" t="s">
        <v>389</v>
      </c>
      <c r="D402" s="28">
        <v>571.04999999999995</v>
      </c>
      <c r="E402" s="28" t="s">
        <v>1586</v>
      </c>
      <c r="F402" s="28">
        <v>296.5</v>
      </c>
      <c r="G402" s="28">
        <v>137.09</v>
      </c>
      <c r="H402" s="28" t="s">
        <v>2760</v>
      </c>
      <c r="I402" s="28">
        <v>321.64999999999998</v>
      </c>
    </row>
    <row r="403" spans="2:9">
      <c r="B403" s="27">
        <v>45533</v>
      </c>
      <c r="C403" s="28" t="s">
        <v>390</v>
      </c>
      <c r="D403" s="28">
        <v>572.04999999999995</v>
      </c>
      <c r="E403" s="28" t="s">
        <v>1587</v>
      </c>
      <c r="F403" s="28">
        <v>298</v>
      </c>
      <c r="G403" s="28">
        <v>135.24</v>
      </c>
      <c r="H403" s="28" t="s">
        <v>2761</v>
      </c>
      <c r="I403" s="28">
        <v>330.05</v>
      </c>
    </row>
    <row r="404" spans="2:9">
      <c r="B404" s="27">
        <v>45532</v>
      </c>
      <c r="C404" s="28" t="s">
        <v>391</v>
      </c>
      <c r="D404" s="28">
        <v>573.85</v>
      </c>
      <c r="E404" s="28" t="s">
        <v>1588</v>
      </c>
      <c r="F404" s="28">
        <v>297.55</v>
      </c>
      <c r="G404" s="28">
        <v>137.38999999999999</v>
      </c>
      <c r="H404" s="28" t="s">
        <v>2762</v>
      </c>
      <c r="I404" s="28">
        <v>337.3</v>
      </c>
    </row>
    <row r="405" spans="2:9">
      <c r="B405" s="27">
        <v>45531</v>
      </c>
      <c r="C405" s="28" t="s">
        <v>392</v>
      </c>
      <c r="D405" s="28">
        <v>584.15</v>
      </c>
      <c r="E405" s="28" t="s">
        <v>1589</v>
      </c>
      <c r="F405" s="28">
        <v>297.95</v>
      </c>
      <c r="G405" s="28">
        <v>137.96</v>
      </c>
      <c r="H405" s="28" t="s">
        <v>2763</v>
      </c>
      <c r="I405" s="28">
        <v>340.25</v>
      </c>
    </row>
    <row r="406" spans="2:9">
      <c r="B406" s="27">
        <v>45530</v>
      </c>
      <c r="C406" s="28" t="s">
        <v>393</v>
      </c>
      <c r="D406" s="28">
        <v>572.35</v>
      </c>
      <c r="E406" s="28" t="s">
        <v>1590</v>
      </c>
      <c r="F406" s="28">
        <v>295.10000000000002</v>
      </c>
      <c r="G406" s="28">
        <v>138.5</v>
      </c>
      <c r="H406" s="28" t="s">
        <v>2764</v>
      </c>
      <c r="I406" s="28">
        <v>337.05</v>
      </c>
    </row>
    <row r="407" spans="2:9">
      <c r="B407" s="27">
        <v>45527</v>
      </c>
      <c r="C407" s="28" t="s">
        <v>394</v>
      </c>
      <c r="D407" s="28">
        <v>565.70000000000005</v>
      </c>
      <c r="E407" s="28" t="s">
        <v>1591</v>
      </c>
      <c r="F407" s="28">
        <v>294.3</v>
      </c>
      <c r="G407" s="28">
        <v>137.94999999999999</v>
      </c>
      <c r="H407" s="28" t="s">
        <v>2765</v>
      </c>
      <c r="I407" s="28">
        <v>336.95</v>
      </c>
    </row>
    <row r="408" spans="2:9">
      <c r="B408" s="27">
        <v>45526</v>
      </c>
      <c r="C408" s="28" t="s">
        <v>395</v>
      </c>
      <c r="D408" s="28">
        <v>582.04999999999995</v>
      </c>
      <c r="E408" s="28" t="s">
        <v>1592</v>
      </c>
      <c r="F408" s="28">
        <v>301.10000000000002</v>
      </c>
      <c r="G408" s="28">
        <v>139.59</v>
      </c>
      <c r="H408" s="28" t="s">
        <v>2766</v>
      </c>
      <c r="I408" s="28">
        <v>339.55</v>
      </c>
    </row>
    <row r="409" spans="2:9">
      <c r="B409" s="27">
        <v>45525</v>
      </c>
      <c r="C409" s="28" t="s">
        <v>396</v>
      </c>
      <c r="D409" s="28">
        <v>576.04999999999995</v>
      </c>
      <c r="E409" s="28" t="s">
        <v>1593</v>
      </c>
      <c r="F409" s="28">
        <v>296.7</v>
      </c>
      <c r="G409" s="28">
        <v>140.03</v>
      </c>
      <c r="H409" s="28" t="s">
        <v>2767</v>
      </c>
      <c r="I409" s="28">
        <v>339.05</v>
      </c>
    </row>
    <row r="410" spans="2:9">
      <c r="B410" s="27">
        <v>45524</v>
      </c>
      <c r="C410" s="28" t="s">
        <v>397</v>
      </c>
      <c r="D410" s="28">
        <v>568</v>
      </c>
      <c r="E410" s="28" t="s">
        <v>1594</v>
      </c>
      <c r="F410" s="28">
        <v>295.39999999999998</v>
      </c>
      <c r="G410" s="28">
        <v>134.36000000000001</v>
      </c>
      <c r="H410" s="28" t="s">
        <v>2768</v>
      </c>
      <c r="I410" s="28">
        <v>331.95</v>
      </c>
    </row>
    <row r="411" spans="2:9">
      <c r="B411" s="27">
        <v>45523</v>
      </c>
      <c r="C411" s="28" t="s">
        <v>398</v>
      </c>
      <c r="D411" s="28">
        <v>562.75</v>
      </c>
      <c r="E411" s="28" t="s">
        <v>1595</v>
      </c>
      <c r="F411" s="28">
        <v>295.3</v>
      </c>
      <c r="G411" s="28">
        <v>135.13999999999999</v>
      </c>
      <c r="H411" s="28" t="s">
        <v>2769</v>
      </c>
      <c r="I411" s="28">
        <v>325.3</v>
      </c>
    </row>
    <row r="412" spans="2:9">
      <c r="B412" s="27">
        <v>45520</v>
      </c>
      <c r="C412" s="28" t="s">
        <v>399</v>
      </c>
      <c r="D412" s="28">
        <v>549.9</v>
      </c>
      <c r="E412" s="28" t="s">
        <v>1596</v>
      </c>
      <c r="F412" s="28">
        <v>290.10000000000002</v>
      </c>
      <c r="G412" s="28">
        <v>134.01</v>
      </c>
      <c r="H412" s="28" t="s">
        <v>2770</v>
      </c>
      <c r="I412" s="28">
        <v>325.39999999999998</v>
      </c>
    </row>
    <row r="413" spans="2:9">
      <c r="B413" s="27">
        <v>45518</v>
      </c>
      <c r="C413" s="28" t="s">
        <v>400</v>
      </c>
      <c r="D413" s="28">
        <v>547.20000000000005</v>
      </c>
      <c r="E413" s="28" t="s">
        <v>1597</v>
      </c>
      <c r="F413" s="28">
        <v>290.85000000000002</v>
      </c>
      <c r="G413" s="28">
        <v>133.94</v>
      </c>
      <c r="H413" s="28" t="s">
        <v>2771</v>
      </c>
      <c r="I413" s="28">
        <v>326.5</v>
      </c>
    </row>
    <row r="414" spans="2:9">
      <c r="B414" s="27">
        <v>45517</v>
      </c>
      <c r="C414" s="28" t="s">
        <v>401</v>
      </c>
      <c r="D414" s="28">
        <v>534.85</v>
      </c>
      <c r="E414" s="28" t="s">
        <v>1598</v>
      </c>
      <c r="F414" s="28">
        <v>289.39999999999998</v>
      </c>
      <c r="G414" s="28">
        <v>136.49</v>
      </c>
      <c r="H414" s="28" t="s">
        <v>2772</v>
      </c>
      <c r="I414" s="28">
        <v>324.89999999999998</v>
      </c>
    </row>
    <row r="415" spans="2:9">
      <c r="B415" s="27">
        <v>45516</v>
      </c>
      <c r="C415" s="28" t="s">
        <v>402</v>
      </c>
      <c r="D415" s="28">
        <v>526.04999999999995</v>
      </c>
      <c r="E415" s="28" t="s">
        <v>1599</v>
      </c>
      <c r="F415" s="28">
        <v>295.55</v>
      </c>
      <c r="G415" s="28">
        <v>139.01</v>
      </c>
      <c r="H415" s="28" t="s">
        <v>2773</v>
      </c>
      <c r="I415" s="28">
        <v>331.3</v>
      </c>
    </row>
    <row r="416" spans="2:9">
      <c r="B416" s="27">
        <v>45513</v>
      </c>
      <c r="C416" s="28" t="s">
        <v>403</v>
      </c>
      <c r="D416" s="28">
        <v>531.65</v>
      </c>
      <c r="E416" s="28" t="s">
        <v>1600</v>
      </c>
      <c r="F416" s="28">
        <v>293.7</v>
      </c>
      <c r="G416" s="28">
        <v>140.21</v>
      </c>
      <c r="H416" s="28" t="s">
        <v>2774</v>
      </c>
      <c r="I416" s="28">
        <v>343.35</v>
      </c>
    </row>
    <row r="417" spans="2:9">
      <c r="B417" s="27">
        <v>45512</v>
      </c>
      <c r="C417" s="28" t="s">
        <v>404</v>
      </c>
      <c r="D417" s="28">
        <v>518.15</v>
      </c>
      <c r="E417" s="28" t="s">
        <v>1601</v>
      </c>
      <c r="F417" s="28">
        <v>295.2</v>
      </c>
      <c r="G417" s="28">
        <v>145.16</v>
      </c>
      <c r="H417" s="28" t="s">
        <v>2775</v>
      </c>
      <c r="I417" s="28">
        <v>340</v>
      </c>
    </row>
    <row r="418" spans="2:9">
      <c r="B418" s="27">
        <v>45511</v>
      </c>
      <c r="C418" s="28" t="s">
        <v>405</v>
      </c>
      <c r="D418" s="28">
        <v>533.75</v>
      </c>
      <c r="E418" s="28" t="s">
        <v>1602</v>
      </c>
      <c r="F418" s="28">
        <v>298.89999999999998</v>
      </c>
      <c r="G418" s="28">
        <v>148.41</v>
      </c>
      <c r="H418" s="28" t="s">
        <v>2776</v>
      </c>
      <c r="I418" s="28">
        <v>345.65</v>
      </c>
    </row>
    <row r="419" spans="2:9">
      <c r="B419" s="27">
        <v>45510</v>
      </c>
      <c r="C419" s="28" t="s">
        <v>406</v>
      </c>
      <c r="D419" s="28">
        <v>540.70000000000005</v>
      </c>
      <c r="E419" s="28" t="s">
        <v>1603</v>
      </c>
      <c r="F419" s="28">
        <v>297.05</v>
      </c>
      <c r="G419" s="28">
        <v>145.30000000000001</v>
      </c>
      <c r="H419" s="28" t="s">
        <v>2777</v>
      </c>
      <c r="I419" s="28">
        <v>344.8</v>
      </c>
    </row>
    <row r="420" spans="2:9">
      <c r="B420" s="27">
        <v>45509</v>
      </c>
      <c r="C420" s="28" t="s">
        <v>407</v>
      </c>
      <c r="D420" s="28">
        <v>544.35</v>
      </c>
      <c r="E420" s="28" t="s">
        <v>1588</v>
      </c>
      <c r="F420" s="28">
        <v>297.5</v>
      </c>
      <c r="G420" s="28">
        <v>143.99</v>
      </c>
      <c r="H420" s="28" t="s">
        <v>357</v>
      </c>
      <c r="I420" s="28">
        <v>351.95</v>
      </c>
    </row>
    <row r="421" spans="2:9">
      <c r="B421" s="27">
        <v>45506</v>
      </c>
      <c r="C421" s="28" t="s">
        <v>408</v>
      </c>
      <c r="D421" s="28">
        <v>550.25</v>
      </c>
      <c r="E421" s="28" t="s">
        <v>1604</v>
      </c>
      <c r="F421" s="28">
        <v>302.60000000000002</v>
      </c>
      <c r="G421" s="28">
        <v>150.18</v>
      </c>
      <c r="H421" s="28" t="s">
        <v>2778</v>
      </c>
      <c r="I421" s="28">
        <v>360.7</v>
      </c>
    </row>
    <row r="422" spans="2:9">
      <c r="B422" s="27">
        <v>45505</v>
      </c>
      <c r="C422" s="28" t="s">
        <v>409</v>
      </c>
      <c r="D422" s="28">
        <v>553</v>
      </c>
      <c r="E422" s="28" t="s">
        <v>1605</v>
      </c>
      <c r="F422" s="28">
        <v>305.10000000000002</v>
      </c>
      <c r="G422" s="28">
        <v>148.46</v>
      </c>
      <c r="H422" s="28" t="s">
        <v>2779</v>
      </c>
      <c r="I422" s="28">
        <v>357</v>
      </c>
    </row>
    <row r="423" spans="2:9">
      <c r="B423" s="27">
        <v>45504</v>
      </c>
      <c r="C423" s="28" t="s">
        <v>410</v>
      </c>
      <c r="D423" s="28">
        <v>554.9</v>
      </c>
      <c r="E423" s="28" t="s">
        <v>1606</v>
      </c>
      <c r="F423" s="28">
        <v>307.2</v>
      </c>
      <c r="G423" s="28">
        <v>151.38</v>
      </c>
      <c r="H423" s="28" t="s">
        <v>2780</v>
      </c>
      <c r="I423" s="28">
        <v>363.05</v>
      </c>
    </row>
    <row r="424" spans="2:9">
      <c r="B424" s="27">
        <v>45503</v>
      </c>
      <c r="C424" s="28" t="s">
        <v>411</v>
      </c>
      <c r="D424" s="28">
        <v>550.85</v>
      </c>
      <c r="E424" s="28" t="s">
        <v>1607</v>
      </c>
      <c r="F424" s="28">
        <v>304.55</v>
      </c>
      <c r="G424" s="28">
        <v>151.66999999999999</v>
      </c>
      <c r="H424" s="28" t="s">
        <v>2781</v>
      </c>
      <c r="I424" s="28">
        <v>365.7</v>
      </c>
    </row>
    <row r="425" spans="2:9">
      <c r="B425" s="27">
        <v>45502</v>
      </c>
      <c r="C425" s="28" t="s">
        <v>412</v>
      </c>
      <c r="D425" s="28">
        <v>538.79999999999995</v>
      </c>
      <c r="E425" s="28" t="s">
        <v>1608</v>
      </c>
      <c r="F425" s="28">
        <v>281.7</v>
      </c>
      <c r="G425" s="28">
        <v>143.9</v>
      </c>
      <c r="H425" s="28" t="s">
        <v>2782</v>
      </c>
      <c r="I425" s="28">
        <v>359.3</v>
      </c>
    </row>
    <row r="426" spans="2:9">
      <c r="B426" s="27">
        <v>45499</v>
      </c>
      <c r="C426" s="28" t="s">
        <v>413</v>
      </c>
      <c r="D426" s="28">
        <v>542.4</v>
      </c>
      <c r="E426" s="28" t="s">
        <v>1609</v>
      </c>
      <c r="F426" s="28">
        <v>275.3</v>
      </c>
      <c r="G426" s="28">
        <v>143.79</v>
      </c>
      <c r="H426" s="28" t="s">
        <v>2783</v>
      </c>
      <c r="I426" s="28">
        <v>351.95</v>
      </c>
    </row>
    <row r="427" spans="2:9">
      <c r="B427" s="27">
        <v>45498</v>
      </c>
      <c r="C427" s="28" t="s">
        <v>414</v>
      </c>
      <c r="D427" s="28">
        <v>530.29999999999995</v>
      </c>
      <c r="E427" s="28" t="s">
        <v>1610</v>
      </c>
      <c r="F427" s="28">
        <v>275</v>
      </c>
      <c r="G427" s="28">
        <v>141.47</v>
      </c>
      <c r="H427" s="28" t="s">
        <v>2784</v>
      </c>
      <c r="I427" s="28">
        <v>353.05</v>
      </c>
    </row>
    <row r="428" spans="2:9">
      <c r="B428" s="27">
        <v>45497</v>
      </c>
      <c r="C428" s="28" t="s">
        <v>415</v>
      </c>
      <c r="D428" s="28">
        <v>529.95000000000005</v>
      </c>
      <c r="E428" s="28" t="s">
        <v>1611</v>
      </c>
      <c r="F428" s="28">
        <v>273.60000000000002</v>
      </c>
      <c r="G428" s="28">
        <v>143.94</v>
      </c>
      <c r="H428" s="28" t="s">
        <v>2785</v>
      </c>
      <c r="I428" s="28">
        <v>360.7</v>
      </c>
    </row>
    <row r="429" spans="2:9">
      <c r="B429" s="27">
        <v>45496</v>
      </c>
      <c r="C429" s="28" t="s">
        <v>416</v>
      </c>
      <c r="D429" s="28">
        <v>525.65</v>
      </c>
      <c r="E429" s="28" t="s">
        <v>1612</v>
      </c>
      <c r="F429" s="28">
        <v>273.05</v>
      </c>
      <c r="G429" s="28">
        <v>140.59</v>
      </c>
      <c r="H429" s="28" t="s">
        <v>2786</v>
      </c>
      <c r="I429" s="28">
        <v>357.85</v>
      </c>
    </row>
    <row r="430" spans="2:9">
      <c r="B430" s="27">
        <v>45495</v>
      </c>
      <c r="C430" s="28" t="s">
        <v>417</v>
      </c>
      <c r="D430" s="28">
        <v>526.79999999999995</v>
      </c>
      <c r="E430" s="28" t="s">
        <v>1613</v>
      </c>
      <c r="F430" s="28">
        <v>270.95</v>
      </c>
      <c r="G430" s="28">
        <v>143.97</v>
      </c>
      <c r="H430" s="28" t="s">
        <v>2787</v>
      </c>
      <c r="I430" s="28">
        <v>347.75</v>
      </c>
    </row>
    <row r="431" spans="2:9">
      <c r="B431" s="27">
        <v>45492</v>
      </c>
      <c r="C431" s="28" t="s">
        <v>418</v>
      </c>
      <c r="D431" s="28">
        <v>523.75</v>
      </c>
      <c r="E431" s="28" t="s">
        <v>1614</v>
      </c>
      <c r="F431" s="28">
        <v>271.5</v>
      </c>
      <c r="G431" s="28">
        <v>143.71</v>
      </c>
      <c r="H431" s="28" t="s">
        <v>2788</v>
      </c>
      <c r="I431" s="28">
        <v>357.85</v>
      </c>
    </row>
    <row r="432" spans="2:9">
      <c r="B432" s="27">
        <v>45491</v>
      </c>
      <c r="C432" s="28" t="s">
        <v>419</v>
      </c>
      <c r="D432" s="28">
        <v>521.25</v>
      </c>
      <c r="E432" s="28" t="s">
        <v>1615</v>
      </c>
      <c r="F432" s="28">
        <v>274.60000000000002</v>
      </c>
      <c r="G432" s="28">
        <v>147.58000000000001</v>
      </c>
      <c r="H432" s="28" t="s">
        <v>2789</v>
      </c>
      <c r="I432" s="28">
        <v>373.45</v>
      </c>
    </row>
    <row r="433" spans="2:9">
      <c r="B433" s="27">
        <v>45489</v>
      </c>
      <c r="C433" s="28" t="s">
        <v>420</v>
      </c>
      <c r="D433" s="28">
        <v>520.5</v>
      </c>
      <c r="E433" s="28" t="s">
        <v>1616</v>
      </c>
      <c r="F433" s="28">
        <v>279.89999999999998</v>
      </c>
      <c r="G433" s="28">
        <v>148.02000000000001</v>
      </c>
      <c r="H433" s="28" t="s">
        <v>2790</v>
      </c>
      <c r="I433" s="28">
        <v>372.85</v>
      </c>
    </row>
    <row r="434" spans="2:9">
      <c r="B434" s="27">
        <v>45488</v>
      </c>
      <c r="C434" s="28" t="s">
        <v>421</v>
      </c>
      <c r="D434" s="28">
        <v>520.65</v>
      </c>
      <c r="E434" s="28" t="s">
        <v>1617</v>
      </c>
      <c r="F434" s="28">
        <v>279.95</v>
      </c>
      <c r="G434" s="28">
        <v>147.37</v>
      </c>
      <c r="H434" s="28" t="s">
        <v>2791</v>
      </c>
      <c r="I434" s="28">
        <v>353.6</v>
      </c>
    </row>
    <row r="435" spans="2:9">
      <c r="B435" s="27">
        <v>45485</v>
      </c>
      <c r="C435" s="28" t="s">
        <v>422</v>
      </c>
      <c r="D435" s="28">
        <v>526</v>
      </c>
      <c r="E435" s="28" t="s">
        <v>1618</v>
      </c>
      <c r="F435" s="28">
        <v>278.10000000000002</v>
      </c>
      <c r="G435" s="28">
        <v>147.30000000000001</v>
      </c>
      <c r="H435" s="28" t="s">
        <v>2792</v>
      </c>
      <c r="I435" s="28">
        <v>338.8</v>
      </c>
    </row>
    <row r="436" spans="2:9">
      <c r="B436" s="27">
        <v>45484</v>
      </c>
      <c r="C436" s="28" t="s">
        <v>423</v>
      </c>
      <c r="D436" s="28">
        <v>523.4</v>
      </c>
      <c r="E436" s="28" t="s">
        <v>1619</v>
      </c>
      <c r="F436" s="28">
        <v>279.35000000000002</v>
      </c>
      <c r="G436" s="28">
        <v>148.25</v>
      </c>
      <c r="H436" s="28" t="s">
        <v>2793</v>
      </c>
      <c r="I436" s="28">
        <v>344.9</v>
      </c>
    </row>
    <row r="437" spans="2:9">
      <c r="B437" s="27">
        <v>45483</v>
      </c>
      <c r="C437" s="28" t="s">
        <v>424</v>
      </c>
      <c r="D437" s="28">
        <v>526.29999999999995</v>
      </c>
      <c r="E437" s="28" t="s">
        <v>1620</v>
      </c>
      <c r="F437" s="28">
        <v>282.35000000000002</v>
      </c>
      <c r="G437" s="28">
        <v>151.38</v>
      </c>
      <c r="H437" s="28" t="s">
        <v>2391</v>
      </c>
      <c r="I437" s="28">
        <v>352.7</v>
      </c>
    </row>
    <row r="438" spans="2:9">
      <c r="B438" s="27">
        <v>45482</v>
      </c>
      <c r="C438" s="28" t="s">
        <v>425</v>
      </c>
      <c r="D438" s="28">
        <v>513.85</v>
      </c>
      <c r="E438" s="28" t="s">
        <v>1621</v>
      </c>
      <c r="F438" s="28">
        <v>273.25</v>
      </c>
      <c r="G438" s="28">
        <v>148.93</v>
      </c>
      <c r="H438" s="28" t="s">
        <v>2794</v>
      </c>
      <c r="I438" s="28">
        <v>334.55</v>
      </c>
    </row>
    <row r="439" spans="2:9">
      <c r="B439" s="27">
        <v>45481</v>
      </c>
      <c r="C439" s="28" t="s">
        <v>426</v>
      </c>
      <c r="D439" s="28">
        <v>509.5</v>
      </c>
      <c r="E439" s="28" t="s">
        <v>1622</v>
      </c>
      <c r="F439" s="28">
        <v>270.45</v>
      </c>
      <c r="G439" s="28">
        <v>149.93</v>
      </c>
      <c r="H439" s="28" t="s">
        <v>2795</v>
      </c>
      <c r="I439" s="28">
        <v>337.75</v>
      </c>
    </row>
    <row r="440" spans="2:9">
      <c r="B440" s="27">
        <v>45478</v>
      </c>
      <c r="C440" s="28" t="s">
        <v>427</v>
      </c>
      <c r="D440" s="28">
        <v>514.4</v>
      </c>
      <c r="E440" s="28" t="s">
        <v>1623</v>
      </c>
      <c r="F440" s="28">
        <v>266.95</v>
      </c>
      <c r="G440" s="28">
        <v>152.97999999999999</v>
      </c>
      <c r="H440" s="28" t="s">
        <v>2796</v>
      </c>
      <c r="I440" s="28">
        <v>344.65</v>
      </c>
    </row>
    <row r="441" spans="2:9">
      <c r="B441" s="27">
        <v>45477</v>
      </c>
      <c r="C441" s="28" t="s">
        <v>428</v>
      </c>
      <c r="D441" s="28">
        <v>513</v>
      </c>
      <c r="E441" s="28" t="s">
        <v>1624</v>
      </c>
      <c r="F441" s="28">
        <v>269.25</v>
      </c>
      <c r="G441" s="28">
        <v>153.65</v>
      </c>
      <c r="H441" s="28" t="s">
        <v>2797</v>
      </c>
      <c r="I441" s="28">
        <v>349.85</v>
      </c>
    </row>
    <row r="442" spans="2:9">
      <c r="B442" s="27">
        <v>45476</v>
      </c>
      <c r="C442" s="28" t="s">
        <v>429</v>
      </c>
      <c r="D442" s="28">
        <v>510.7</v>
      </c>
      <c r="E442" s="28" t="s">
        <v>1625</v>
      </c>
      <c r="F442" s="28">
        <v>268</v>
      </c>
      <c r="G442" s="28">
        <v>140.11000000000001</v>
      </c>
      <c r="H442" s="28" t="s">
        <v>2798</v>
      </c>
      <c r="I442" s="28">
        <v>344.3</v>
      </c>
    </row>
    <row r="443" spans="2:9">
      <c r="B443" s="27">
        <v>45475</v>
      </c>
      <c r="C443" s="28" t="s">
        <v>430</v>
      </c>
      <c r="D443" s="28">
        <v>508.15</v>
      </c>
      <c r="E443" s="28" t="s">
        <v>1626</v>
      </c>
      <c r="F443" s="28">
        <v>269.8</v>
      </c>
      <c r="G443" s="28">
        <v>137.94999999999999</v>
      </c>
      <c r="H443" s="28" t="s">
        <v>2799</v>
      </c>
      <c r="I443" s="28">
        <v>326.95</v>
      </c>
    </row>
    <row r="444" spans="2:9">
      <c r="B444" s="27">
        <v>45474</v>
      </c>
      <c r="C444" s="28" t="s">
        <v>431</v>
      </c>
      <c r="D444" s="28">
        <v>507.25</v>
      </c>
      <c r="E444" s="28" t="s">
        <v>1627</v>
      </c>
      <c r="F444" s="28">
        <v>270</v>
      </c>
      <c r="G444" s="28">
        <v>139.66999999999999</v>
      </c>
      <c r="H444" s="28" t="s">
        <v>2800</v>
      </c>
      <c r="I444" s="28">
        <v>320.95</v>
      </c>
    </row>
    <row r="445" spans="2:9">
      <c r="B445" s="27">
        <v>45471</v>
      </c>
      <c r="C445" s="28" t="s">
        <v>432</v>
      </c>
      <c r="D445" s="28">
        <v>504.2</v>
      </c>
      <c r="E445" s="28" t="s">
        <v>1628</v>
      </c>
      <c r="F445" s="28">
        <v>270.10000000000002</v>
      </c>
      <c r="G445" s="28">
        <v>138.01</v>
      </c>
      <c r="H445" s="28" t="s">
        <v>2801</v>
      </c>
      <c r="I445" s="28">
        <v>320.64999999999998</v>
      </c>
    </row>
    <row r="446" spans="2:9">
      <c r="B446" s="27">
        <v>45470</v>
      </c>
      <c r="C446" s="28" t="s">
        <v>433</v>
      </c>
      <c r="D446" s="28">
        <v>501.8</v>
      </c>
      <c r="E446" s="28" t="s">
        <v>1629</v>
      </c>
      <c r="F446" s="28">
        <v>273.60000000000002</v>
      </c>
      <c r="G446" s="28">
        <v>138.38</v>
      </c>
      <c r="H446" s="28" t="s">
        <v>2802</v>
      </c>
      <c r="I446" s="28">
        <v>323.85000000000002</v>
      </c>
    </row>
    <row r="447" spans="2:9">
      <c r="B447" s="27">
        <v>45469</v>
      </c>
      <c r="C447" s="28" t="s">
        <v>434</v>
      </c>
      <c r="D447" s="28">
        <v>495.8</v>
      </c>
      <c r="E447" s="28" t="s">
        <v>1630</v>
      </c>
      <c r="F447" s="28">
        <v>269.95</v>
      </c>
      <c r="G447" s="28">
        <v>139.88</v>
      </c>
      <c r="H447" s="28" t="s">
        <v>2803</v>
      </c>
      <c r="I447" s="28">
        <v>320.8</v>
      </c>
    </row>
    <row r="448" spans="2:9">
      <c r="B448" s="27">
        <v>45468</v>
      </c>
      <c r="C448" s="28" t="s">
        <v>435</v>
      </c>
      <c r="D448" s="28">
        <v>500.05</v>
      </c>
      <c r="E448" s="28" t="s">
        <v>1631</v>
      </c>
      <c r="F448" s="28">
        <v>274.85000000000002</v>
      </c>
      <c r="G448" s="28">
        <v>140.57</v>
      </c>
      <c r="H448" s="28" t="s">
        <v>2804</v>
      </c>
      <c r="I448" s="28">
        <v>321.8</v>
      </c>
    </row>
    <row r="449" spans="2:9">
      <c r="B449" s="27">
        <v>45467</v>
      </c>
      <c r="C449" s="28" t="s">
        <v>436</v>
      </c>
      <c r="D449" s="28">
        <v>502.8</v>
      </c>
      <c r="E449" s="28" t="s">
        <v>1632</v>
      </c>
      <c r="F449" s="28">
        <v>277.25</v>
      </c>
      <c r="G449" s="28">
        <v>144.96</v>
      </c>
      <c r="H449" s="28" t="s">
        <v>2805</v>
      </c>
      <c r="I449" s="28">
        <v>321.7</v>
      </c>
    </row>
    <row r="450" spans="2:9">
      <c r="B450" s="27">
        <v>45464</v>
      </c>
      <c r="C450" s="28" t="s">
        <v>437</v>
      </c>
      <c r="D450" s="28">
        <v>502.2</v>
      </c>
      <c r="E450" s="28" t="s">
        <v>1633</v>
      </c>
      <c r="F450" s="28">
        <v>274.14999999999998</v>
      </c>
      <c r="G450" s="28">
        <v>144.37</v>
      </c>
      <c r="H450" s="28" t="s">
        <v>2806</v>
      </c>
      <c r="I450" s="28">
        <v>323.7</v>
      </c>
    </row>
    <row r="451" spans="2:9">
      <c r="B451" s="27">
        <v>45463</v>
      </c>
      <c r="C451" s="28" t="s">
        <v>438</v>
      </c>
      <c r="D451" s="28">
        <v>510.15</v>
      </c>
      <c r="E451" s="28" t="s">
        <v>1634</v>
      </c>
      <c r="F451" s="28">
        <v>281.75</v>
      </c>
      <c r="G451" s="28">
        <v>144.43</v>
      </c>
      <c r="H451" s="28" t="s">
        <v>2807</v>
      </c>
      <c r="I451" s="28">
        <v>322.39999999999998</v>
      </c>
    </row>
    <row r="452" spans="2:9">
      <c r="B452" s="27">
        <v>45462</v>
      </c>
      <c r="C452" s="28" t="s">
        <v>439</v>
      </c>
      <c r="D452" s="28">
        <v>497.65</v>
      </c>
      <c r="E452" s="28" t="s">
        <v>1635</v>
      </c>
      <c r="F452" s="28">
        <v>278.70999999999998</v>
      </c>
      <c r="G452" s="28">
        <v>144.62</v>
      </c>
      <c r="H452" s="28" t="s">
        <v>2808</v>
      </c>
      <c r="I452" s="28">
        <v>325.39999999999998</v>
      </c>
    </row>
    <row r="453" spans="2:9">
      <c r="B453" s="27">
        <v>45461</v>
      </c>
      <c r="C453" s="28" t="s">
        <v>440</v>
      </c>
      <c r="D453" s="28">
        <v>504</v>
      </c>
      <c r="E453" s="28" t="s">
        <v>1636</v>
      </c>
      <c r="F453" s="28">
        <v>280.36</v>
      </c>
      <c r="G453" s="28">
        <v>145.07</v>
      </c>
      <c r="H453" s="28" t="s">
        <v>2809</v>
      </c>
      <c r="I453" s="28">
        <v>330.6</v>
      </c>
    </row>
    <row r="454" spans="2:9">
      <c r="B454" s="27">
        <v>45457</v>
      </c>
      <c r="C454" s="28" t="s">
        <v>441</v>
      </c>
      <c r="D454" s="28">
        <v>502.7</v>
      </c>
      <c r="E454" s="28" t="s">
        <v>1637</v>
      </c>
      <c r="F454" s="28">
        <v>281.64999999999998</v>
      </c>
      <c r="G454" s="28">
        <v>149.66999999999999</v>
      </c>
      <c r="H454" s="28" t="s">
        <v>2810</v>
      </c>
      <c r="I454" s="28">
        <v>328.65</v>
      </c>
    </row>
    <row r="455" spans="2:9">
      <c r="B455" s="27">
        <v>45456</v>
      </c>
      <c r="C455" s="28" t="s">
        <v>442</v>
      </c>
      <c r="D455" s="28">
        <v>501.35</v>
      </c>
      <c r="E455" s="28" t="s">
        <v>1638</v>
      </c>
      <c r="F455" s="28">
        <v>281.95</v>
      </c>
      <c r="G455" s="28">
        <v>149.21</v>
      </c>
      <c r="H455" s="28" t="s">
        <v>63</v>
      </c>
      <c r="I455" s="28">
        <v>324.89999999999998</v>
      </c>
    </row>
    <row r="456" spans="2:9">
      <c r="B456" s="27">
        <v>45455</v>
      </c>
      <c r="C456" s="28" t="s">
        <v>443</v>
      </c>
      <c r="D456" s="28">
        <v>499</v>
      </c>
      <c r="E456" s="28" t="s">
        <v>1639</v>
      </c>
      <c r="F456" s="28">
        <v>282.64999999999998</v>
      </c>
      <c r="G456" s="28">
        <v>153.37</v>
      </c>
      <c r="H456" s="28" t="s">
        <v>2811</v>
      </c>
      <c r="I456" s="28">
        <v>331.45</v>
      </c>
    </row>
    <row r="457" spans="2:9">
      <c r="B457" s="27">
        <v>45454</v>
      </c>
      <c r="C457" s="28" t="s">
        <v>444</v>
      </c>
      <c r="D457" s="28">
        <v>493.1</v>
      </c>
      <c r="E457" s="28" t="s">
        <v>1640</v>
      </c>
      <c r="F457" s="28">
        <v>281.2</v>
      </c>
      <c r="G457" s="28">
        <v>154.5</v>
      </c>
      <c r="H457" s="28" t="s">
        <v>2812</v>
      </c>
      <c r="I457" s="28">
        <v>325.64999999999998</v>
      </c>
    </row>
    <row r="458" spans="2:9">
      <c r="B458" s="27">
        <v>45453</v>
      </c>
      <c r="C458" s="28" t="s">
        <v>445</v>
      </c>
      <c r="D458" s="28">
        <v>491.95</v>
      </c>
      <c r="E458" s="28" t="s">
        <v>1641</v>
      </c>
      <c r="F458" s="28">
        <v>283.44</v>
      </c>
      <c r="G458" s="28">
        <v>150.41999999999999</v>
      </c>
      <c r="H458" s="28" t="s">
        <v>2813</v>
      </c>
      <c r="I458" s="28">
        <v>328.85</v>
      </c>
    </row>
    <row r="459" spans="2:9">
      <c r="B459" s="27">
        <v>45450</v>
      </c>
      <c r="C459" s="28" t="s">
        <v>446</v>
      </c>
      <c r="D459" s="28">
        <v>482.55</v>
      </c>
      <c r="E459" s="28" t="s">
        <v>1642</v>
      </c>
      <c r="F459" s="28">
        <v>276.77</v>
      </c>
      <c r="G459" s="28">
        <v>150.4</v>
      </c>
      <c r="H459" s="28" t="s">
        <v>923</v>
      </c>
      <c r="I459" s="28">
        <v>323.10000000000002</v>
      </c>
    </row>
    <row r="460" spans="2:9">
      <c r="B460" s="27">
        <v>45449</v>
      </c>
      <c r="C460" s="28" t="s">
        <v>447</v>
      </c>
      <c r="D460" s="28">
        <v>477.15</v>
      </c>
      <c r="E460" s="28" t="s">
        <v>1643</v>
      </c>
      <c r="F460" s="28">
        <v>272.29000000000002</v>
      </c>
      <c r="G460" s="28">
        <v>149.94999999999999</v>
      </c>
      <c r="H460" s="28" t="s">
        <v>2814</v>
      </c>
      <c r="I460" s="28">
        <v>314.85000000000002</v>
      </c>
    </row>
    <row r="461" spans="2:9">
      <c r="B461" s="27">
        <v>45448</v>
      </c>
      <c r="C461" s="28" t="s">
        <v>448</v>
      </c>
      <c r="D461" s="28">
        <v>475.05</v>
      </c>
      <c r="E461" s="28" t="s">
        <v>1644</v>
      </c>
      <c r="F461" s="28">
        <v>271.7</v>
      </c>
      <c r="G461" s="28">
        <v>139.4</v>
      </c>
      <c r="H461" s="28" t="s">
        <v>2815</v>
      </c>
      <c r="I461" s="28">
        <v>311.39999999999998</v>
      </c>
    </row>
    <row r="462" spans="2:9">
      <c r="B462" s="27">
        <v>45447</v>
      </c>
      <c r="C462" s="28" t="s">
        <v>449</v>
      </c>
      <c r="D462" s="28">
        <v>455.7</v>
      </c>
      <c r="E462" s="28" t="s">
        <v>1645</v>
      </c>
      <c r="F462" s="28">
        <v>261.14</v>
      </c>
      <c r="G462" s="28">
        <v>138.35</v>
      </c>
      <c r="H462" s="28" t="s">
        <v>2816</v>
      </c>
      <c r="I462" s="28">
        <v>304.89999999999998</v>
      </c>
    </row>
    <row r="463" spans="2:9">
      <c r="B463" s="27">
        <v>45446</v>
      </c>
      <c r="C463" s="28" t="s">
        <v>450</v>
      </c>
      <c r="D463" s="28">
        <v>471.8</v>
      </c>
      <c r="E463" s="28" t="s">
        <v>1646</v>
      </c>
      <c r="F463" s="28">
        <v>269.3</v>
      </c>
      <c r="G463" s="28">
        <v>149.1</v>
      </c>
      <c r="H463" s="28" t="s">
        <v>2817</v>
      </c>
      <c r="I463" s="28">
        <v>311</v>
      </c>
    </row>
    <row r="464" spans="2:9">
      <c r="B464" s="27">
        <v>45443</v>
      </c>
      <c r="C464" s="28" t="s">
        <v>451</v>
      </c>
      <c r="D464" s="28">
        <v>460</v>
      </c>
      <c r="E464" s="28" t="s">
        <v>1647</v>
      </c>
      <c r="F464" s="28">
        <v>268.41000000000003</v>
      </c>
      <c r="G464" s="28">
        <v>147</v>
      </c>
      <c r="H464" s="28" t="s">
        <v>2818</v>
      </c>
      <c r="I464" s="28">
        <v>313.3</v>
      </c>
    </row>
    <row r="465" spans="2:9">
      <c r="B465" s="27">
        <v>45442</v>
      </c>
      <c r="C465" s="28" t="s">
        <v>452</v>
      </c>
      <c r="D465" s="28">
        <v>477.55</v>
      </c>
      <c r="E465" s="28" t="s">
        <v>1648</v>
      </c>
      <c r="F465" s="28">
        <v>268.20999999999998</v>
      </c>
      <c r="G465" s="28">
        <v>146.69999999999999</v>
      </c>
      <c r="H465" s="28" t="s">
        <v>2819</v>
      </c>
      <c r="I465" s="28">
        <v>315.5</v>
      </c>
    </row>
    <row r="466" spans="2:9">
      <c r="B466" s="27">
        <v>45441</v>
      </c>
      <c r="C466" s="28" t="s">
        <v>453</v>
      </c>
      <c r="D466" s="28">
        <v>492.65</v>
      </c>
      <c r="E466" s="28" t="s">
        <v>1649</v>
      </c>
      <c r="F466" s="28">
        <v>271.25</v>
      </c>
      <c r="G466" s="28">
        <v>149.55000000000001</v>
      </c>
      <c r="H466" s="28" t="s">
        <v>2820</v>
      </c>
      <c r="I466" s="28">
        <v>316.7</v>
      </c>
    </row>
    <row r="467" spans="2:9">
      <c r="B467" s="27">
        <v>45440</v>
      </c>
      <c r="C467" s="28" t="s">
        <v>454</v>
      </c>
      <c r="D467" s="28">
        <v>496.05</v>
      </c>
      <c r="E467" s="28" t="s">
        <v>1650</v>
      </c>
      <c r="F467" s="28">
        <v>272.58999999999997</v>
      </c>
      <c r="G467" s="28">
        <v>148.55000000000001</v>
      </c>
      <c r="H467" s="28" t="s">
        <v>2821</v>
      </c>
      <c r="I467" s="28">
        <v>321.60000000000002</v>
      </c>
    </row>
    <row r="468" spans="2:9">
      <c r="B468" s="27">
        <v>45439</v>
      </c>
      <c r="C468" s="28" t="s">
        <v>455</v>
      </c>
      <c r="D468" s="28">
        <v>486.35</v>
      </c>
      <c r="E468" s="28" t="s">
        <v>1651</v>
      </c>
      <c r="F468" s="28">
        <v>268.61</v>
      </c>
      <c r="G468" s="28">
        <v>153.19999999999999</v>
      </c>
      <c r="H468" s="28" t="s">
        <v>2293</v>
      </c>
      <c r="I468" s="28">
        <v>323.55</v>
      </c>
    </row>
    <row r="469" spans="2:9">
      <c r="B469" s="27">
        <v>45436</v>
      </c>
      <c r="C469" s="28" t="s">
        <v>456</v>
      </c>
      <c r="D469" s="28">
        <v>487.7</v>
      </c>
      <c r="E469" s="28" t="s">
        <v>1652</v>
      </c>
      <c r="F469" s="28">
        <v>272.04000000000002</v>
      </c>
      <c r="G469" s="28">
        <v>154.4</v>
      </c>
      <c r="H469" s="28" t="s">
        <v>2822</v>
      </c>
      <c r="I469" s="28">
        <v>327.10000000000002</v>
      </c>
    </row>
    <row r="470" spans="2:9">
      <c r="B470" s="27">
        <v>45435</v>
      </c>
      <c r="C470" s="28" t="s">
        <v>457</v>
      </c>
      <c r="D470" s="28">
        <v>488.3</v>
      </c>
      <c r="E470" s="28" t="s">
        <v>1653</v>
      </c>
      <c r="F470" s="28">
        <v>272.14</v>
      </c>
      <c r="G470" s="28">
        <v>157.80000000000001</v>
      </c>
      <c r="H470" s="28" t="s">
        <v>2823</v>
      </c>
      <c r="I470" s="28">
        <v>332.4</v>
      </c>
    </row>
    <row r="471" spans="2:9">
      <c r="B471" s="27">
        <v>45434</v>
      </c>
      <c r="C471" s="28" t="s">
        <v>458</v>
      </c>
      <c r="D471" s="28">
        <v>488</v>
      </c>
      <c r="E471" s="28" t="s">
        <v>1654</v>
      </c>
      <c r="F471" s="28">
        <v>271.83999999999997</v>
      </c>
      <c r="G471" s="28">
        <v>156.1</v>
      </c>
      <c r="H471" s="28" t="s">
        <v>2824</v>
      </c>
      <c r="I471" s="28">
        <v>333.5</v>
      </c>
    </row>
    <row r="472" spans="2:9">
      <c r="B472" s="27">
        <v>45433</v>
      </c>
      <c r="C472" s="28" t="s">
        <v>459</v>
      </c>
      <c r="D472" s="28">
        <v>491.95</v>
      </c>
      <c r="E472" s="28" t="s">
        <v>1655</v>
      </c>
      <c r="F472" s="28">
        <v>270.8</v>
      </c>
      <c r="G472" s="28">
        <v>155.6</v>
      </c>
      <c r="H472" s="28" t="s">
        <v>2825</v>
      </c>
      <c r="I472" s="28">
        <v>330.5</v>
      </c>
    </row>
    <row r="473" spans="2:9">
      <c r="B473" s="27">
        <v>45430</v>
      </c>
      <c r="C473" s="28" t="s">
        <v>460</v>
      </c>
      <c r="D473" s="28">
        <v>494.2</v>
      </c>
      <c r="E473" s="28" t="s">
        <v>1656</v>
      </c>
      <c r="F473" s="28">
        <v>277.85000000000002</v>
      </c>
      <c r="G473" s="28">
        <v>162.19999999999999</v>
      </c>
      <c r="H473" s="28" t="s">
        <v>2826</v>
      </c>
      <c r="I473" s="28">
        <v>318.85000000000002</v>
      </c>
    </row>
    <row r="474" spans="2:9">
      <c r="B474" s="27">
        <v>45429</v>
      </c>
      <c r="C474" s="28" t="s">
        <v>461</v>
      </c>
      <c r="D474" s="28">
        <v>491.85</v>
      </c>
      <c r="E474" s="28" t="s">
        <v>1630</v>
      </c>
      <c r="F474" s="28">
        <v>275.58</v>
      </c>
      <c r="G474" s="28">
        <v>159.65</v>
      </c>
      <c r="H474" s="28" t="s">
        <v>2827</v>
      </c>
      <c r="I474" s="28">
        <v>323.35000000000002</v>
      </c>
    </row>
    <row r="475" spans="2:9">
      <c r="B475" s="27">
        <v>45428</v>
      </c>
      <c r="C475" s="28" t="s">
        <v>462</v>
      </c>
      <c r="D475" s="28">
        <v>490</v>
      </c>
      <c r="E475" s="28" t="s">
        <v>1657</v>
      </c>
      <c r="F475" s="28">
        <v>271.3</v>
      </c>
      <c r="G475" s="28">
        <v>158.55000000000001</v>
      </c>
      <c r="H475" s="28" t="s">
        <v>2828</v>
      </c>
      <c r="I475" s="28">
        <v>308.7</v>
      </c>
    </row>
    <row r="476" spans="2:9">
      <c r="B476" s="27">
        <v>45427</v>
      </c>
      <c r="C476" s="28" t="s">
        <v>463</v>
      </c>
      <c r="D476" s="28">
        <v>485.1</v>
      </c>
      <c r="E476" s="28" t="s">
        <v>1658</v>
      </c>
      <c r="F476" s="28">
        <v>272.54000000000002</v>
      </c>
      <c r="G476" s="28">
        <v>159.15</v>
      </c>
      <c r="H476" s="28" t="s">
        <v>2829</v>
      </c>
      <c r="I476" s="28">
        <v>312.75</v>
      </c>
    </row>
    <row r="477" spans="2:9">
      <c r="B477" s="27">
        <v>45426</v>
      </c>
      <c r="C477" s="28" t="s">
        <v>464</v>
      </c>
      <c r="D477" s="28">
        <v>494.55</v>
      </c>
      <c r="E477" s="28" t="s">
        <v>1659</v>
      </c>
      <c r="F477" s="28">
        <v>273.33999999999997</v>
      </c>
      <c r="G477" s="28">
        <v>159.9</v>
      </c>
      <c r="H477" s="28" t="s">
        <v>2830</v>
      </c>
      <c r="I477" s="28">
        <v>306.05</v>
      </c>
    </row>
    <row r="478" spans="2:9">
      <c r="B478" s="27">
        <v>45425</v>
      </c>
      <c r="C478" s="28" t="s">
        <v>465</v>
      </c>
      <c r="D478" s="28">
        <v>495.75</v>
      </c>
      <c r="E478" s="28" t="s">
        <v>1632</v>
      </c>
      <c r="F478" s="28">
        <v>269.06</v>
      </c>
      <c r="G478" s="28">
        <v>159.1</v>
      </c>
      <c r="H478" s="28" t="s">
        <v>2831</v>
      </c>
      <c r="I478" s="28">
        <v>309.25</v>
      </c>
    </row>
    <row r="479" spans="2:9">
      <c r="B479" s="27">
        <v>45422</v>
      </c>
      <c r="C479" s="28" t="s">
        <v>466</v>
      </c>
      <c r="D479" s="28">
        <v>490.25</v>
      </c>
      <c r="E479" s="28" t="s">
        <v>1660</v>
      </c>
      <c r="F479" s="28">
        <v>276.62</v>
      </c>
      <c r="G479" s="28">
        <v>159.85</v>
      </c>
      <c r="H479" s="28" t="s">
        <v>2832</v>
      </c>
      <c r="I479" s="28">
        <v>317.25</v>
      </c>
    </row>
    <row r="480" spans="2:9">
      <c r="B480" s="27">
        <v>45421</v>
      </c>
      <c r="C480" s="28" t="s">
        <v>467</v>
      </c>
      <c r="D480" s="28">
        <v>481.25</v>
      </c>
      <c r="E480" s="28" t="s">
        <v>1661</v>
      </c>
      <c r="F480" s="28">
        <v>275.63</v>
      </c>
      <c r="G480" s="28">
        <v>158.5</v>
      </c>
      <c r="H480" s="28" t="s">
        <v>2833</v>
      </c>
      <c r="I480" s="28">
        <v>308.39999999999998</v>
      </c>
    </row>
    <row r="481" spans="2:9">
      <c r="B481" s="27">
        <v>45420</v>
      </c>
      <c r="C481" s="28" t="s">
        <v>468</v>
      </c>
      <c r="D481" s="28">
        <v>501.3</v>
      </c>
      <c r="E481" s="28" t="s">
        <v>1662</v>
      </c>
      <c r="F481" s="28">
        <v>277.37</v>
      </c>
      <c r="G481" s="28">
        <v>167.05</v>
      </c>
      <c r="H481" s="28" t="s">
        <v>2834</v>
      </c>
      <c r="I481" s="28">
        <v>308.25</v>
      </c>
    </row>
    <row r="482" spans="2:9">
      <c r="B482" s="27">
        <v>45419</v>
      </c>
      <c r="C482" s="28" t="s">
        <v>469</v>
      </c>
      <c r="D482" s="28">
        <v>512.9</v>
      </c>
      <c r="E482" s="28" t="s">
        <v>1663</v>
      </c>
      <c r="F482" s="28">
        <v>282.35000000000002</v>
      </c>
      <c r="G482" s="28">
        <v>163.9</v>
      </c>
      <c r="H482" s="28" t="s">
        <v>2835</v>
      </c>
      <c r="I482" s="28">
        <v>309.25</v>
      </c>
    </row>
    <row r="483" spans="2:9">
      <c r="B483" s="27">
        <v>45418</v>
      </c>
      <c r="C483" s="28" t="s">
        <v>470</v>
      </c>
      <c r="D483" s="28">
        <v>511.35</v>
      </c>
      <c r="E483" s="28" t="s">
        <v>1664</v>
      </c>
      <c r="F483" s="28">
        <v>286.48</v>
      </c>
      <c r="G483" s="28">
        <v>167.05</v>
      </c>
      <c r="H483" s="28" t="s">
        <v>2836</v>
      </c>
      <c r="I483" s="28">
        <v>311.25</v>
      </c>
    </row>
    <row r="484" spans="2:9">
      <c r="B484" s="27">
        <v>45415</v>
      </c>
      <c r="C484" s="28" t="s">
        <v>471</v>
      </c>
      <c r="D484" s="28">
        <v>523.25</v>
      </c>
      <c r="E484" s="28" t="s">
        <v>1665</v>
      </c>
      <c r="F484" s="28">
        <v>286.27999999999997</v>
      </c>
      <c r="G484" s="28">
        <v>173.3</v>
      </c>
      <c r="H484" s="28" t="s">
        <v>2837</v>
      </c>
      <c r="I484" s="28">
        <v>316.25</v>
      </c>
    </row>
    <row r="485" spans="2:9">
      <c r="B485" s="27">
        <v>45414</v>
      </c>
      <c r="C485" s="28" t="s">
        <v>472</v>
      </c>
      <c r="D485" s="28">
        <v>522.45000000000005</v>
      </c>
      <c r="E485" s="28" t="s">
        <v>1666</v>
      </c>
      <c r="F485" s="28">
        <v>284.79000000000002</v>
      </c>
      <c r="G485" s="28">
        <v>172.75</v>
      </c>
      <c r="H485" s="28" t="s">
        <v>2838</v>
      </c>
      <c r="I485" s="28">
        <v>318.39999999999998</v>
      </c>
    </row>
    <row r="486" spans="2:9">
      <c r="B486" s="27">
        <v>45412</v>
      </c>
      <c r="C486" s="28" t="s">
        <v>473</v>
      </c>
      <c r="D486" s="28">
        <v>508.55</v>
      </c>
      <c r="E486" s="28" t="s">
        <v>1667</v>
      </c>
      <c r="F486" s="28">
        <v>278.51</v>
      </c>
      <c r="G486" s="28">
        <v>171</v>
      </c>
      <c r="H486" s="28" t="s">
        <v>2839</v>
      </c>
      <c r="I486" s="28">
        <v>316.5</v>
      </c>
    </row>
    <row r="487" spans="2:9">
      <c r="B487" s="27">
        <v>45411</v>
      </c>
      <c r="C487" s="28" t="s">
        <v>474</v>
      </c>
      <c r="D487" s="28">
        <v>504.35</v>
      </c>
      <c r="E487" s="28" t="s">
        <v>1668</v>
      </c>
      <c r="F487" s="28">
        <v>279.11</v>
      </c>
      <c r="G487" s="28">
        <v>170.75</v>
      </c>
      <c r="H487" s="28" t="s">
        <v>2840</v>
      </c>
      <c r="I487" s="28">
        <v>317.2</v>
      </c>
    </row>
    <row r="488" spans="2:9">
      <c r="B488" s="27">
        <v>45408</v>
      </c>
      <c r="C488" s="28" t="s">
        <v>475</v>
      </c>
      <c r="D488" s="28">
        <v>503.1</v>
      </c>
      <c r="E488" s="28" t="s">
        <v>1669</v>
      </c>
      <c r="F488" s="28">
        <v>278.66000000000003</v>
      </c>
      <c r="G488" s="28">
        <v>168.55</v>
      </c>
      <c r="H488" s="28" t="s">
        <v>2841</v>
      </c>
      <c r="I488" s="28">
        <v>318.55</v>
      </c>
    </row>
    <row r="489" spans="2:9">
      <c r="B489" s="27">
        <v>45407</v>
      </c>
      <c r="C489" s="28" t="s">
        <v>476</v>
      </c>
      <c r="D489" s="28">
        <v>505.7</v>
      </c>
      <c r="E489" s="28" t="s">
        <v>1670</v>
      </c>
      <c r="F489" s="28">
        <v>277.27</v>
      </c>
      <c r="G489" s="28">
        <v>167.6</v>
      </c>
      <c r="H489" s="28" t="s">
        <v>2842</v>
      </c>
      <c r="I489" s="28">
        <v>319</v>
      </c>
    </row>
    <row r="490" spans="2:9">
      <c r="B490" s="27">
        <v>45406</v>
      </c>
      <c r="C490" s="28" t="s">
        <v>477</v>
      </c>
      <c r="D490" s="28">
        <v>506.7</v>
      </c>
      <c r="E490" s="28" t="s">
        <v>1671</v>
      </c>
      <c r="F490" s="28">
        <v>277.67</v>
      </c>
      <c r="G490" s="28">
        <v>168.05</v>
      </c>
      <c r="H490" s="28" t="s">
        <v>2843</v>
      </c>
      <c r="I490" s="28">
        <v>320.05</v>
      </c>
    </row>
    <row r="491" spans="2:9">
      <c r="B491" s="27">
        <v>45405</v>
      </c>
      <c r="C491" s="28" t="s">
        <v>478</v>
      </c>
      <c r="D491" s="28">
        <v>506.35</v>
      </c>
      <c r="E491" s="28" t="s">
        <v>1672</v>
      </c>
      <c r="F491" s="28">
        <v>275.83</v>
      </c>
      <c r="G491" s="28">
        <v>169.1</v>
      </c>
      <c r="H491" s="28" t="s">
        <v>2844</v>
      </c>
      <c r="I491" s="28">
        <v>320.95</v>
      </c>
    </row>
    <row r="492" spans="2:9">
      <c r="B492" s="27">
        <v>45404</v>
      </c>
      <c r="C492" s="28" t="s">
        <v>479</v>
      </c>
      <c r="D492" s="28">
        <v>506.5</v>
      </c>
      <c r="E492" s="28" t="s">
        <v>1673</v>
      </c>
      <c r="F492" s="28">
        <v>271.55</v>
      </c>
      <c r="G492" s="28">
        <v>174.7</v>
      </c>
      <c r="H492" s="28" t="s">
        <v>2845</v>
      </c>
      <c r="I492" s="28">
        <v>318.55</v>
      </c>
    </row>
    <row r="493" spans="2:9">
      <c r="B493" s="27">
        <v>45401</v>
      </c>
      <c r="C493" s="28" t="s">
        <v>480</v>
      </c>
      <c r="D493" s="28">
        <v>504.55</v>
      </c>
      <c r="E493" s="28" t="s">
        <v>1674</v>
      </c>
      <c r="F493" s="28">
        <v>272.14</v>
      </c>
      <c r="G493" s="28">
        <v>172.1</v>
      </c>
      <c r="H493" s="28" t="s">
        <v>2846</v>
      </c>
      <c r="I493" s="28">
        <v>319.75</v>
      </c>
    </row>
    <row r="494" spans="2:9">
      <c r="B494" s="27">
        <v>45400</v>
      </c>
      <c r="C494" s="28" t="s">
        <v>481</v>
      </c>
      <c r="D494" s="28">
        <v>515.9</v>
      </c>
      <c r="E494" s="28" t="s">
        <v>1675</v>
      </c>
      <c r="F494" s="28">
        <v>272.24</v>
      </c>
      <c r="G494" s="28">
        <v>168.8</v>
      </c>
      <c r="H494" s="28" t="s">
        <v>2847</v>
      </c>
      <c r="I494" s="28">
        <v>323.10000000000002</v>
      </c>
    </row>
    <row r="495" spans="2:9">
      <c r="B495" s="27">
        <v>45398</v>
      </c>
      <c r="C495" s="28" t="s">
        <v>482</v>
      </c>
      <c r="D495" s="28">
        <v>531.20000000000005</v>
      </c>
      <c r="E495" s="28" t="s">
        <v>1676</v>
      </c>
      <c r="F495" s="28">
        <v>271.35000000000002</v>
      </c>
      <c r="G495" s="28">
        <v>164.9</v>
      </c>
      <c r="H495" s="28" t="s">
        <v>2848</v>
      </c>
      <c r="I495" s="28">
        <v>326.8</v>
      </c>
    </row>
    <row r="496" spans="2:9">
      <c r="B496" s="27">
        <v>45397</v>
      </c>
      <c r="C496" s="28" t="s">
        <v>483</v>
      </c>
      <c r="D496" s="28">
        <v>545.95000000000005</v>
      </c>
      <c r="E496" s="28" t="s">
        <v>1677</v>
      </c>
      <c r="F496" s="28">
        <v>271.94</v>
      </c>
      <c r="G496" s="28">
        <v>165.1</v>
      </c>
      <c r="H496" s="28" t="s">
        <v>2849</v>
      </c>
      <c r="I496" s="28">
        <v>320.5</v>
      </c>
    </row>
    <row r="497" spans="2:9">
      <c r="B497" s="27">
        <v>45394</v>
      </c>
      <c r="C497" s="28" t="s">
        <v>484</v>
      </c>
      <c r="D497" s="28">
        <v>556.75</v>
      </c>
      <c r="E497" s="28" t="s">
        <v>1678</v>
      </c>
      <c r="F497" s="28">
        <v>279.16000000000003</v>
      </c>
      <c r="G497" s="28">
        <v>168.9</v>
      </c>
      <c r="H497" s="28" t="s">
        <v>2850</v>
      </c>
      <c r="I497" s="28">
        <v>337.3</v>
      </c>
    </row>
    <row r="498" spans="2:9">
      <c r="B498" s="27">
        <v>45392</v>
      </c>
      <c r="C498" s="28" t="s">
        <v>485</v>
      </c>
      <c r="D498" s="28">
        <v>561.70000000000005</v>
      </c>
      <c r="E498" s="28" t="s">
        <v>1679</v>
      </c>
      <c r="F498" s="28">
        <v>279.41000000000003</v>
      </c>
      <c r="G498" s="28">
        <v>172.8</v>
      </c>
      <c r="H498" s="28" t="s">
        <v>2851</v>
      </c>
      <c r="I498" s="28">
        <v>340.95</v>
      </c>
    </row>
    <row r="499" spans="2:9">
      <c r="B499" s="27">
        <v>45391</v>
      </c>
      <c r="C499" s="28" t="s">
        <v>486</v>
      </c>
      <c r="D499" s="28">
        <v>555.75</v>
      </c>
      <c r="E499" s="28" t="s">
        <v>1680</v>
      </c>
      <c r="F499" s="28">
        <v>279.45999999999998</v>
      </c>
      <c r="G499" s="28">
        <v>170.7</v>
      </c>
      <c r="H499" s="28" t="s">
        <v>2852</v>
      </c>
      <c r="I499" s="28">
        <v>334.95</v>
      </c>
    </row>
    <row r="500" spans="2:9">
      <c r="B500" s="27">
        <v>45390</v>
      </c>
      <c r="C500" s="28" t="s">
        <v>487</v>
      </c>
      <c r="D500" s="28">
        <v>560</v>
      </c>
      <c r="E500" s="28" t="s">
        <v>1681</v>
      </c>
      <c r="F500" s="28">
        <v>281</v>
      </c>
      <c r="G500" s="28">
        <v>176.15</v>
      </c>
      <c r="H500" s="28" t="s">
        <v>2853</v>
      </c>
      <c r="I500" s="28">
        <v>345.5</v>
      </c>
    </row>
    <row r="501" spans="2:9">
      <c r="B501" s="27">
        <v>45387</v>
      </c>
      <c r="C501" s="28" t="s">
        <v>488</v>
      </c>
      <c r="D501" s="28">
        <v>562.15</v>
      </c>
      <c r="E501" s="28" t="s">
        <v>1682</v>
      </c>
      <c r="F501" s="28">
        <v>283.89</v>
      </c>
      <c r="G501" s="28">
        <v>176</v>
      </c>
      <c r="H501" s="28" t="s">
        <v>2854</v>
      </c>
      <c r="I501" s="28">
        <v>352.2</v>
      </c>
    </row>
    <row r="502" spans="2:9">
      <c r="B502" s="27">
        <v>45386</v>
      </c>
      <c r="C502" s="28" t="s">
        <v>489</v>
      </c>
      <c r="D502" s="28">
        <v>558.65</v>
      </c>
      <c r="E502" s="28" t="s">
        <v>1683</v>
      </c>
      <c r="F502" s="28">
        <v>283.83999999999997</v>
      </c>
      <c r="G502" s="28">
        <v>176.2</v>
      </c>
      <c r="H502" s="28" t="s">
        <v>2855</v>
      </c>
      <c r="I502" s="28">
        <v>349.35</v>
      </c>
    </row>
    <row r="503" spans="2:9">
      <c r="B503" s="27">
        <v>45385</v>
      </c>
      <c r="C503" s="28" t="s">
        <v>490</v>
      </c>
      <c r="D503" s="28">
        <v>561.04999999999995</v>
      </c>
      <c r="E503" s="28" t="s">
        <v>1684</v>
      </c>
      <c r="F503" s="28">
        <v>281.5</v>
      </c>
      <c r="G503" s="28">
        <v>173.75</v>
      </c>
      <c r="H503" s="28" t="s">
        <v>2856</v>
      </c>
      <c r="I503" s="28">
        <v>346.15</v>
      </c>
    </row>
    <row r="504" spans="2:9">
      <c r="B504" s="27">
        <v>45384</v>
      </c>
      <c r="C504" s="28" t="s">
        <v>491</v>
      </c>
      <c r="D504" s="28">
        <v>571.70000000000005</v>
      </c>
      <c r="E504" s="28" t="s">
        <v>1685</v>
      </c>
      <c r="F504" s="28">
        <v>277.22000000000003</v>
      </c>
      <c r="G504" s="28">
        <v>170.6</v>
      </c>
      <c r="H504" s="28" t="s">
        <v>2857</v>
      </c>
      <c r="I504" s="28">
        <v>335.8</v>
      </c>
    </row>
    <row r="505" spans="2:9">
      <c r="B505" s="27">
        <v>45383</v>
      </c>
      <c r="C505" s="28" t="s">
        <v>492</v>
      </c>
      <c r="D505" s="28">
        <v>566.45000000000005</v>
      </c>
      <c r="E505" s="28" t="s">
        <v>1686</v>
      </c>
      <c r="F505" s="28">
        <v>270.7</v>
      </c>
      <c r="G505" s="28">
        <v>170.8</v>
      </c>
      <c r="H505" s="28" t="s">
        <v>2300</v>
      </c>
      <c r="I505" s="28">
        <v>317</v>
      </c>
    </row>
    <row r="506" spans="2:9">
      <c r="B506" s="27">
        <v>45379</v>
      </c>
      <c r="C506" s="28" t="s">
        <v>493</v>
      </c>
      <c r="D506" s="28">
        <v>573.04999999999995</v>
      </c>
      <c r="E506" s="28" t="s">
        <v>1687</v>
      </c>
      <c r="F506" s="28">
        <v>261.08999999999997</v>
      </c>
      <c r="G506" s="28">
        <v>166.1</v>
      </c>
      <c r="H506" s="28" t="s">
        <v>2858</v>
      </c>
      <c r="I506" s="28">
        <v>284.64999999999998</v>
      </c>
    </row>
    <row r="507" spans="2:9">
      <c r="B507" s="27">
        <v>45378</v>
      </c>
      <c r="C507" s="28" t="s">
        <v>494</v>
      </c>
      <c r="D507" s="28">
        <v>567.20000000000005</v>
      </c>
      <c r="E507" s="28" t="s">
        <v>1688</v>
      </c>
      <c r="F507" s="28">
        <v>263.13</v>
      </c>
      <c r="G507" s="28">
        <v>160.4</v>
      </c>
      <c r="H507" s="28" t="s">
        <v>2859</v>
      </c>
      <c r="I507" s="28">
        <v>290.7</v>
      </c>
    </row>
    <row r="508" spans="2:9">
      <c r="B508" s="27">
        <v>45377</v>
      </c>
      <c r="C508" s="28" t="s">
        <v>495</v>
      </c>
      <c r="D508" s="28">
        <v>558.20000000000005</v>
      </c>
      <c r="E508" s="28" t="s">
        <v>1689</v>
      </c>
      <c r="F508" s="28">
        <v>267.76</v>
      </c>
      <c r="G508" s="28">
        <v>163.6</v>
      </c>
      <c r="H508" s="28" t="s">
        <v>2860</v>
      </c>
      <c r="I508" s="28">
        <v>299.39999999999998</v>
      </c>
    </row>
    <row r="509" spans="2:9">
      <c r="B509" s="27">
        <v>45373</v>
      </c>
      <c r="C509" s="28" t="s">
        <v>496</v>
      </c>
      <c r="D509" s="28">
        <v>558.35</v>
      </c>
      <c r="E509" s="28" t="s">
        <v>1676</v>
      </c>
      <c r="F509" s="28">
        <v>267.45999999999998</v>
      </c>
      <c r="G509" s="28">
        <v>165</v>
      </c>
      <c r="H509" s="28" t="s">
        <v>2861</v>
      </c>
      <c r="I509" s="28">
        <v>299.05</v>
      </c>
    </row>
    <row r="510" spans="2:9">
      <c r="B510" s="27">
        <v>45372</v>
      </c>
      <c r="C510" s="28" t="s">
        <v>497</v>
      </c>
      <c r="D510" s="28">
        <v>555.54999999999995</v>
      </c>
      <c r="E510" s="28" t="s">
        <v>1690</v>
      </c>
      <c r="F510" s="28">
        <v>266.67</v>
      </c>
      <c r="G510" s="28">
        <v>161.65</v>
      </c>
      <c r="H510" s="28" t="s">
        <v>2862</v>
      </c>
      <c r="I510" s="28">
        <v>298.39999999999998</v>
      </c>
    </row>
    <row r="511" spans="2:9">
      <c r="B511" s="27">
        <v>45371</v>
      </c>
      <c r="C511" s="28" t="s">
        <v>498</v>
      </c>
      <c r="D511" s="28">
        <v>548.70000000000005</v>
      </c>
      <c r="E511" s="28" t="s">
        <v>1691</v>
      </c>
      <c r="F511" s="28">
        <v>265.22000000000003</v>
      </c>
      <c r="G511" s="28">
        <v>162</v>
      </c>
      <c r="H511" s="28" t="s">
        <v>2863</v>
      </c>
      <c r="I511" s="28">
        <v>302.55</v>
      </c>
    </row>
    <row r="512" spans="2:9">
      <c r="B512" s="27">
        <v>45370</v>
      </c>
      <c r="C512" s="28" t="s">
        <v>499</v>
      </c>
      <c r="D512" s="28">
        <v>550</v>
      </c>
      <c r="E512" s="28" t="s">
        <v>1692</v>
      </c>
      <c r="F512" s="28">
        <v>268.31</v>
      </c>
      <c r="G512" s="28">
        <v>165.6</v>
      </c>
      <c r="H512" s="28" t="s">
        <v>2864</v>
      </c>
      <c r="I512" s="28">
        <v>301.14999999999998</v>
      </c>
    </row>
    <row r="513" spans="2:9">
      <c r="B513" s="27">
        <v>45369</v>
      </c>
      <c r="C513" s="28" t="s">
        <v>500</v>
      </c>
      <c r="D513" s="28">
        <v>555.25</v>
      </c>
      <c r="E513" s="28" t="s">
        <v>1693</v>
      </c>
      <c r="F513" s="28">
        <v>273.83</v>
      </c>
      <c r="G513" s="28">
        <v>173.75</v>
      </c>
      <c r="H513" s="28" t="s">
        <v>161</v>
      </c>
      <c r="I513" s="28">
        <v>304.8</v>
      </c>
    </row>
    <row r="514" spans="2:9">
      <c r="B514" s="27">
        <v>45366</v>
      </c>
      <c r="C514" s="28" t="s">
        <v>501</v>
      </c>
      <c r="D514" s="28">
        <v>557.79999999999995</v>
      </c>
      <c r="E514" s="28" t="s">
        <v>1694</v>
      </c>
      <c r="F514" s="28">
        <v>270.14999999999998</v>
      </c>
      <c r="G514" s="28">
        <v>166.4</v>
      </c>
      <c r="H514" s="28" t="s">
        <v>27</v>
      </c>
      <c r="I514" s="28">
        <v>302.5</v>
      </c>
    </row>
    <row r="515" spans="2:9">
      <c r="B515" s="27">
        <v>45365</v>
      </c>
      <c r="C515" s="28" t="s">
        <v>502</v>
      </c>
      <c r="D515" s="28">
        <v>565.25</v>
      </c>
      <c r="E515" s="28" t="s">
        <v>1680</v>
      </c>
      <c r="F515" s="28">
        <v>266.82</v>
      </c>
      <c r="G515" s="28">
        <v>168</v>
      </c>
      <c r="H515" s="28" t="s">
        <v>2865</v>
      </c>
      <c r="I515" s="28">
        <v>306.7</v>
      </c>
    </row>
    <row r="516" spans="2:9">
      <c r="B516" s="27">
        <v>45364</v>
      </c>
      <c r="C516" s="28" t="s">
        <v>503</v>
      </c>
      <c r="D516" s="28">
        <v>556.75</v>
      </c>
      <c r="E516" s="28" t="s">
        <v>1695</v>
      </c>
      <c r="F516" s="28">
        <v>257.51</v>
      </c>
      <c r="G516" s="28">
        <v>157</v>
      </c>
      <c r="H516" s="28" t="s">
        <v>2866</v>
      </c>
      <c r="I516" s="28">
        <v>301.85000000000002</v>
      </c>
    </row>
    <row r="517" spans="2:9">
      <c r="B517" s="27">
        <v>45363</v>
      </c>
      <c r="C517" s="28" t="s">
        <v>504</v>
      </c>
      <c r="D517" s="28">
        <v>563.85</v>
      </c>
      <c r="E517" s="28" t="s">
        <v>1693</v>
      </c>
      <c r="F517" s="28">
        <v>269.89999999999998</v>
      </c>
      <c r="G517" s="28">
        <v>166.9</v>
      </c>
      <c r="H517" s="28" t="s">
        <v>2867</v>
      </c>
      <c r="I517" s="28">
        <v>313.64999999999998</v>
      </c>
    </row>
    <row r="518" spans="2:9">
      <c r="B518" s="27">
        <v>45362</v>
      </c>
      <c r="C518" s="28" t="s">
        <v>505</v>
      </c>
      <c r="D518" s="28">
        <v>576.35</v>
      </c>
      <c r="E518" s="28" t="s">
        <v>1696</v>
      </c>
      <c r="F518" s="28">
        <v>277.62</v>
      </c>
      <c r="G518" s="28">
        <v>178.25</v>
      </c>
      <c r="H518" s="28" t="s">
        <v>2868</v>
      </c>
      <c r="I518" s="28">
        <v>324.89999999999998</v>
      </c>
    </row>
    <row r="519" spans="2:9">
      <c r="B519" s="27">
        <v>45358</v>
      </c>
      <c r="C519" s="28" t="s">
        <v>506</v>
      </c>
      <c r="D519" s="28">
        <v>573.4</v>
      </c>
      <c r="E519" s="28" t="s">
        <v>1697</v>
      </c>
      <c r="F519" s="28">
        <v>282.8</v>
      </c>
      <c r="G519" s="28">
        <v>180.4</v>
      </c>
      <c r="H519" s="28" t="s">
        <v>2869</v>
      </c>
      <c r="I519" s="28">
        <v>334.5</v>
      </c>
    </row>
    <row r="520" spans="2:9">
      <c r="B520" s="27">
        <v>45357</v>
      </c>
      <c r="C520" s="28" t="s">
        <v>507</v>
      </c>
      <c r="D520" s="28">
        <v>577.79999999999995</v>
      </c>
      <c r="E520" s="28" t="s">
        <v>1698</v>
      </c>
      <c r="F520" s="28">
        <v>284.19</v>
      </c>
      <c r="G520" s="28">
        <v>184.55</v>
      </c>
      <c r="H520" s="28" t="s">
        <v>2870</v>
      </c>
      <c r="I520" s="28">
        <v>337.95</v>
      </c>
    </row>
    <row r="521" spans="2:9">
      <c r="B521" s="27">
        <v>45356</v>
      </c>
      <c r="C521" s="28" t="s">
        <v>508</v>
      </c>
      <c r="D521" s="28">
        <v>576.29999999999995</v>
      </c>
      <c r="E521" s="28" t="s">
        <v>1622</v>
      </c>
      <c r="F521" s="28">
        <v>286.18</v>
      </c>
      <c r="G521" s="28">
        <v>194.85</v>
      </c>
      <c r="H521" s="28" t="s">
        <v>2871</v>
      </c>
      <c r="I521" s="28">
        <v>335.7</v>
      </c>
    </row>
    <row r="522" spans="2:9">
      <c r="B522" s="27">
        <v>45355</v>
      </c>
      <c r="C522" s="28" t="s">
        <v>509</v>
      </c>
      <c r="D522" s="28">
        <v>578.9</v>
      </c>
      <c r="E522" s="28" t="s">
        <v>1699</v>
      </c>
      <c r="F522" s="28">
        <v>288.12</v>
      </c>
      <c r="G522" s="28">
        <v>193.65</v>
      </c>
      <c r="H522" s="28" t="s">
        <v>2872</v>
      </c>
      <c r="I522" s="28">
        <v>340.25</v>
      </c>
    </row>
    <row r="523" spans="2:9">
      <c r="B523" s="27">
        <v>45353</v>
      </c>
      <c r="C523" s="28" t="s">
        <v>510</v>
      </c>
      <c r="D523" s="28">
        <v>593.15</v>
      </c>
      <c r="E523" s="28" t="s">
        <v>1700</v>
      </c>
      <c r="F523" s="28">
        <v>292.5</v>
      </c>
      <c r="G523" s="28">
        <v>176.2</v>
      </c>
      <c r="H523" s="28" t="s">
        <v>2873</v>
      </c>
      <c r="I523" s="28">
        <v>348.95</v>
      </c>
    </row>
    <row r="524" spans="2:9">
      <c r="B524" s="27">
        <v>45352</v>
      </c>
      <c r="C524" s="28" t="s">
        <v>509</v>
      </c>
      <c r="D524" s="28">
        <v>589.15</v>
      </c>
      <c r="E524" s="28" t="s">
        <v>1701</v>
      </c>
      <c r="F524" s="28">
        <v>288.77</v>
      </c>
      <c r="G524" s="28">
        <v>172.25</v>
      </c>
      <c r="H524" s="28" t="s">
        <v>2874</v>
      </c>
      <c r="I524" s="28">
        <v>347.65</v>
      </c>
    </row>
    <row r="525" spans="2:9">
      <c r="B525" s="27">
        <v>45351</v>
      </c>
      <c r="C525" s="28" t="s">
        <v>511</v>
      </c>
      <c r="D525" s="28">
        <v>606.70000000000005</v>
      </c>
      <c r="E525" s="28" t="s">
        <v>1702</v>
      </c>
      <c r="F525" s="28">
        <v>288.32</v>
      </c>
      <c r="G525" s="28">
        <v>173.45</v>
      </c>
      <c r="H525" s="28" t="s">
        <v>2875</v>
      </c>
      <c r="I525" s="28">
        <v>347</v>
      </c>
    </row>
    <row r="526" spans="2:9">
      <c r="B526" s="27">
        <v>45350</v>
      </c>
      <c r="C526" s="28" t="s">
        <v>512</v>
      </c>
      <c r="D526" s="28">
        <v>564.20000000000005</v>
      </c>
      <c r="E526" s="28" t="s">
        <v>1703</v>
      </c>
      <c r="F526" s="28">
        <v>290.70999999999998</v>
      </c>
      <c r="G526" s="28">
        <v>173</v>
      </c>
      <c r="H526" s="28" t="s">
        <v>2876</v>
      </c>
      <c r="I526" s="28">
        <v>344.75</v>
      </c>
    </row>
    <row r="527" spans="2:9">
      <c r="B527" s="27">
        <v>45349</v>
      </c>
      <c r="C527" s="28" t="s">
        <v>513</v>
      </c>
      <c r="D527" s="28">
        <v>562.9</v>
      </c>
      <c r="E527" s="28" t="s">
        <v>1704</v>
      </c>
      <c r="F527" s="28">
        <v>294.64</v>
      </c>
      <c r="G527" s="28">
        <v>180.35</v>
      </c>
      <c r="H527" s="28" t="s">
        <v>2877</v>
      </c>
      <c r="I527" s="28">
        <v>355</v>
      </c>
    </row>
    <row r="528" spans="2:9">
      <c r="B528" s="27">
        <v>45348</v>
      </c>
      <c r="C528" s="28" t="s">
        <v>514</v>
      </c>
      <c r="D528" s="28">
        <v>566.45000000000005</v>
      </c>
      <c r="E528" s="28" t="s">
        <v>1705</v>
      </c>
      <c r="F528" s="28">
        <v>297.93</v>
      </c>
      <c r="G528" s="28">
        <v>194.9</v>
      </c>
      <c r="H528" s="28" t="s">
        <v>2878</v>
      </c>
      <c r="I528" s="28">
        <v>357.1</v>
      </c>
    </row>
    <row r="529" spans="2:9">
      <c r="B529" s="27">
        <v>45345</v>
      </c>
      <c r="C529" s="28" t="s">
        <v>515</v>
      </c>
      <c r="D529" s="28">
        <v>571.9</v>
      </c>
      <c r="E529" s="28" t="s">
        <v>1706</v>
      </c>
      <c r="F529" s="28">
        <v>300.62</v>
      </c>
      <c r="G529" s="28">
        <v>195.6</v>
      </c>
      <c r="H529" s="28" t="s">
        <v>2879</v>
      </c>
      <c r="I529" s="28">
        <v>364.6</v>
      </c>
    </row>
    <row r="530" spans="2:9">
      <c r="B530" s="27">
        <v>45344</v>
      </c>
      <c r="C530" s="28" t="s">
        <v>516</v>
      </c>
      <c r="D530" s="28">
        <v>571.65</v>
      </c>
      <c r="E530" s="28" t="s">
        <v>1707</v>
      </c>
      <c r="F530" s="28">
        <v>306.54000000000002</v>
      </c>
      <c r="G530" s="28">
        <v>196.75</v>
      </c>
      <c r="H530" s="28" t="s">
        <v>775</v>
      </c>
      <c r="I530" s="28">
        <v>373.8</v>
      </c>
    </row>
    <row r="531" spans="2:9">
      <c r="B531" s="27">
        <v>45343</v>
      </c>
      <c r="C531" s="28" t="s">
        <v>517</v>
      </c>
      <c r="D531" s="28">
        <v>572.25</v>
      </c>
      <c r="E531" s="28" t="s">
        <v>1708</v>
      </c>
      <c r="F531" s="28">
        <v>306.44</v>
      </c>
      <c r="G531" s="28">
        <v>196.85</v>
      </c>
      <c r="H531" s="28" t="s">
        <v>2880</v>
      </c>
      <c r="I531" s="28">
        <v>371.25</v>
      </c>
    </row>
    <row r="532" spans="2:9">
      <c r="B532" s="27">
        <v>45342</v>
      </c>
      <c r="C532" s="28" t="s">
        <v>518</v>
      </c>
      <c r="D532" s="28">
        <v>563.35</v>
      </c>
      <c r="E532" s="28" t="s">
        <v>1709</v>
      </c>
      <c r="F532" s="28">
        <v>309.52999999999997</v>
      </c>
      <c r="G532" s="28">
        <v>196.25</v>
      </c>
      <c r="H532" s="28" t="s">
        <v>2881</v>
      </c>
      <c r="I532" s="28">
        <v>376.95</v>
      </c>
    </row>
    <row r="533" spans="2:9">
      <c r="B533" s="27">
        <v>45341</v>
      </c>
      <c r="C533" s="28" t="s">
        <v>519</v>
      </c>
      <c r="D533" s="28">
        <v>556.9</v>
      </c>
      <c r="E533" s="28" t="s">
        <v>1710</v>
      </c>
      <c r="F533" s="28">
        <v>307.14</v>
      </c>
      <c r="G533" s="28">
        <v>198.2</v>
      </c>
      <c r="H533" s="28" t="s">
        <v>2882</v>
      </c>
      <c r="I533" s="28">
        <v>377.95</v>
      </c>
    </row>
    <row r="534" spans="2:9">
      <c r="B534" s="27">
        <v>45338</v>
      </c>
      <c r="C534" s="28" t="s">
        <v>520</v>
      </c>
      <c r="D534" s="28">
        <v>562.9</v>
      </c>
      <c r="E534" s="28" t="s">
        <v>1711</v>
      </c>
      <c r="F534" s="28">
        <v>303.05</v>
      </c>
      <c r="G534" s="28">
        <v>196.5</v>
      </c>
      <c r="H534" s="28" t="s">
        <v>2883</v>
      </c>
      <c r="I534" s="28">
        <v>369.25</v>
      </c>
    </row>
    <row r="535" spans="2:9">
      <c r="B535" s="27">
        <v>45337</v>
      </c>
      <c r="C535" s="28" t="s">
        <v>521</v>
      </c>
      <c r="D535" s="28">
        <v>553.4</v>
      </c>
      <c r="E535" s="28" t="s">
        <v>1712</v>
      </c>
      <c r="F535" s="28">
        <v>304</v>
      </c>
      <c r="G535" s="28">
        <v>199.1</v>
      </c>
      <c r="H535" s="28" t="s">
        <v>2884</v>
      </c>
      <c r="I535" s="28">
        <v>369.15</v>
      </c>
    </row>
    <row r="536" spans="2:9">
      <c r="B536" s="27">
        <v>45336</v>
      </c>
      <c r="C536" s="28" t="s">
        <v>522</v>
      </c>
      <c r="D536" s="28">
        <v>560.85</v>
      </c>
      <c r="E536" s="28" t="s">
        <v>1713</v>
      </c>
      <c r="F536" s="28">
        <v>303.5</v>
      </c>
      <c r="G536" s="28">
        <v>196.05</v>
      </c>
      <c r="H536" s="28" t="s">
        <v>2885</v>
      </c>
      <c r="I536" s="28">
        <v>365.3</v>
      </c>
    </row>
    <row r="537" spans="2:9">
      <c r="B537" s="27">
        <v>45335</v>
      </c>
      <c r="C537" s="28" t="s">
        <v>523</v>
      </c>
      <c r="D537" s="28">
        <v>558.5</v>
      </c>
      <c r="E537" s="28" t="s">
        <v>1714</v>
      </c>
      <c r="F537" s="28">
        <v>313.11</v>
      </c>
      <c r="G537" s="28">
        <v>196.25</v>
      </c>
      <c r="H537" s="28" t="s">
        <v>2886</v>
      </c>
      <c r="I537" s="28">
        <v>362.15</v>
      </c>
    </row>
    <row r="538" spans="2:9">
      <c r="B538" s="27">
        <v>45334</v>
      </c>
      <c r="C538" s="28" t="s">
        <v>524</v>
      </c>
      <c r="D538" s="28">
        <v>551</v>
      </c>
      <c r="E538" s="28" t="s">
        <v>1591</v>
      </c>
      <c r="F538" s="28">
        <v>303.14999999999998</v>
      </c>
      <c r="G538" s="28">
        <v>195.3</v>
      </c>
      <c r="H538" s="28" t="s">
        <v>2887</v>
      </c>
      <c r="I538" s="28">
        <v>357.35</v>
      </c>
    </row>
    <row r="539" spans="2:9">
      <c r="B539" s="27">
        <v>45331</v>
      </c>
      <c r="C539" s="28" t="s">
        <v>525</v>
      </c>
      <c r="D539" s="28">
        <v>554</v>
      </c>
      <c r="E539" s="28" t="s">
        <v>1715</v>
      </c>
      <c r="F539" s="28">
        <v>315.35000000000002</v>
      </c>
      <c r="G539" s="28">
        <v>199.95</v>
      </c>
      <c r="H539" s="28" t="s">
        <v>473</v>
      </c>
      <c r="I539" s="28">
        <v>376.7</v>
      </c>
    </row>
    <row r="540" spans="2:9">
      <c r="B540" s="27">
        <v>45330</v>
      </c>
      <c r="C540" s="28" t="s">
        <v>526</v>
      </c>
      <c r="D540" s="28">
        <v>549</v>
      </c>
      <c r="E540" s="28" t="s">
        <v>1716</v>
      </c>
      <c r="F540" s="28">
        <v>315.14999999999998</v>
      </c>
      <c r="G540" s="28">
        <v>199.05</v>
      </c>
      <c r="H540" s="28" t="s">
        <v>2888</v>
      </c>
      <c r="I540" s="28">
        <v>375.15</v>
      </c>
    </row>
    <row r="541" spans="2:9">
      <c r="B541" s="27">
        <v>45329</v>
      </c>
      <c r="C541" s="28" t="s">
        <v>527</v>
      </c>
      <c r="D541" s="28">
        <v>555.79999999999995</v>
      </c>
      <c r="E541" s="28" t="s">
        <v>1717</v>
      </c>
      <c r="F541" s="28">
        <v>317.49</v>
      </c>
      <c r="G541" s="28">
        <v>205.75</v>
      </c>
      <c r="H541" s="28" t="s">
        <v>2889</v>
      </c>
      <c r="I541" s="28">
        <v>366.4</v>
      </c>
    </row>
    <row r="542" spans="2:9">
      <c r="B542" s="27">
        <v>45328</v>
      </c>
      <c r="C542" s="28" t="s">
        <v>528</v>
      </c>
      <c r="D542" s="28">
        <v>555.79999999999995</v>
      </c>
      <c r="E542" s="28" t="s">
        <v>1718</v>
      </c>
      <c r="F542" s="28">
        <v>332.33</v>
      </c>
      <c r="G542" s="28">
        <v>205.85</v>
      </c>
      <c r="H542" s="28" t="s">
        <v>2890</v>
      </c>
      <c r="I542" s="28">
        <v>364.75</v>
      </c>
    </row>
    <row r="543" spans="2:9">
      <c r="B543" s="27">
        <v>45327</v>
      </c>
      <c r="C543" s="28" t="s">
        <v>529</v>
      </c>
      <c r="D543" s="28">
        <v>567.1</v>
      </c>
      <c r="E543" s="28" t="s">
        <v>1719</v>
      </c>
      <c r="F543" s="28">
        <v>342.68</v>
      </c>
      <c r="G543" s="28">
        <v>201.5</v>
      </c>
      <c r="H543" s="28" t="s">
        <v>2891</v>
      </c>
      <c r="I543" s="28">
        <v>373.9</v>
      </c>
    </row>
    <row r="544" spans="2:9">
      <c r="B544" s="27">
        <v>45324</v>
      </c>
      <c r="C544" s="28" t="s">
        <v>530</v>
      </c>
      <c r="D544" s="28">
        <v>569.54999999999995</v>
      </c>
      <c r="E544" s="28" t="s">
        <v>1720</v>
      </c>
      <c r="F544" s="28">
        <v>339</v>
      </c>
      <c r="G544" s="28">
        <v>194</v>
      </c>
      <c r="H544" s="28" t="s">
        <v>2892</v>
      </c>
      <c r="I544" s="28">
        <v>377.85</v>
      </c>
    </row>
    <row r="545" spans="2:9">
      <c r="B545" s="27">
        <v>45323</v>
      </c>
      <c r="C545" s="28" t="s">
        <v>531</v>
      </c>
      <c r="D545" s="28">
        <v>565.5</v>
      </c>
      <c r="E545" s="28" t="s">
        <v>1721</v>
      </c>
      <c r="F545" s="28">
        <v>336.11</v>
      </c>
      <c r="G545" s="28">
        <v>195.75</v>
      </c>
      <c r="H545" s="28" t="s">
        <v>2893</v>
      </c>
      <c r="I545" s="28">
        <v>382.1</v>
      </c>
    </row>
    <row r="546" spans="2:9">
      <c r="B546" s="27">
        <v>45322</v>
      </c>
      <c r="C546" s="28" t="s">
        <v>532</v>
      </c>
      <c r="D546" s="28">
        <v>565.15</v>
      </c>
      <c r="E546" s="28" t="s">
        <v>1722</v>
      </c>
      <c r="F546" s="28">
        <v>340.24</v>
      </c>
      <c r="G546" s="28">
        <v>200.8</v>
      </c>
      <c r="H546" s="28" t="s">
        <v>2894</v>
      </c>
      <c r="I546" s="28">
        <v>381.7</v>
      </c>
    </row>
    <row r="547" spans="2:9">
      <c r="B547" s="27">
        <v>45321</v>
      </c>
      <c r="C547" s="28" t="s">
        <v>533</v>
      </c>
      <c r="D547" s="28">
        <v>561.79999999999995</v>
      </c>
      <c r="E547" s="28" t="s">
        <v>1723</v>
      </c>
      <c r="F547" s="28">
        <v>334.27</v>
      </c>
      <c r="G547" s="28">
        <v>202.8</v>
      </c>
      <c r="H547" s="28" t="s">
        <v>2895</v>
      </c>
      <c r="I547" s="28">
        <v>384.85</v>
      </c>
    </row>
    <row r="548" spans="2:9">
      <c r="B548" s="27">
        <v>45320</v>
      </c>
      <c r="C548" s="28" t="s">
        <v>534</v>
      </c>
      <c r="D548" s="28">
        <v>559.85</v>
      </c>
      <c r="E548" s="28" t="s">
        <v>1724</v>
      </c>
      <c r="F548" s="28">
        <v>337.8</v>
      </c>
      <c r="G548" s="28">
        <v>205</v>
      </c>
      <c r="H548" s="28" t="s">
        <v>2896</v>
      </c>
      <c r="I548" s="28">
        <v>386.65</v>
      </c>
    </row>
    <row r="549" spans="2:9">
      <c r="B549" s="27">
        <v>45316</v>
      </c>
      <c r="C549" s="28" t="s">
        <v>535</v>
      </c>
      <c r="D549" s="28">
        <v>554.70000000000005</v>
      </c>
      <c r="E549" s="28" t="s">
        <v>1725</v>
      </c>
      <c r="F549" s="28">
        <v>331.28</v>
      </c>
      <c r="G549" s="28">
        <v>202.35</v>
      </c>
      <c r="H549" s="28" t="s">
        <v>2897</v>
      </c>
      <c r="I549" s="28">
        <v>387.3</v>
      </c>
    </row>
    <row r="550" spans="2:9">
      <c r="B550" s="27">
        <v>45315</v>
      </c>
      <c r="C550" s="28" t="s">
        <v>536</v>
      </c>
      <c r="D550" s="28">
        <v>562.54999999999995</v>
      </c>
      <c r="E550" s="28" t="s">
        <v>1726</v>
      </c>
      <c r="F550" s="28">
        <v>338.65</v>
      </c>
      <c r="G550" s="28">
        <v>204.85</v>
      </c>
      <c r="H550" s="28" t="s">
        <v>2898</v>
      </c>
      <c r="I550" s="28">
        <v>390.05</v>
      </c>
    </row>
    <row r="551" spans="2:9">
      <c r="B551" s="27">
        <v>45314</v>
      </c>
      <c r="C551" s="28" t="s">
        <v>537</v>
      </c>
      <c r="D551" s="28">
        <v>547</v>
      </c>
      <c r="E551" s="28" t="s">
        <v>1727</v>
      </c>
      <c r="F551" s="28">
        <v>335.51</v>
      </c>
      <c r="G551" s="28">
        <v>201.5</v>
      </c>
      <c r="H551" s="28" t="s">
        <v>2899</v>
      </c>
      <c r="I551" s="28">
        <v>385.7</v>
      </c>
    </row>
    <row r="552" spans="2:9">
      <c r="B552" s="27">
        <v>45311</v>
      </c>
      <c r="C552" s="28" t="s">
        <v>538</v>
      </c>
      <c r="D552" s="28">
        <v>575.4</v>
      </c>
      <c r="E552" s="28" t="s">
        <v>1603</v>
      </c>
      <c r="F552" s="28">
        <v>341.55</v>
      </c>
      <c r="G552" s="28">
        <v>217</v>
      </c>
      <c r="H552" s="28" t="s">
        <v>2900</v>
      </c>
      <c r="I552" s="28">
        <v>404.2</v>
      </c>
    </row>
    <row r="553" spans="2:9">
      <c r="B553" s="27">
        <v>45310</v>
      </c>
      <c r="C553" s="28" t="s">
        <v>539</v>
      </c>
      <c r="D553" s="28">
        <v>579.35</v>
      </c>
      <c r="E553" s="28" t="s">
        <v>1728</v>
      </c>
      <c r="F553" s="28">
        <v>342.78</v>
      </c>
      <c r="G553" s="28">
        <v>217.75</v>
      </c>
      <c r="H553" s="28" t="s">
        <v>2901</v>
      </c>
      <c r="I553" s="28">
        <v>409</v>
      </c>
    </row>
    <row r="554" spans="2:9">
      <c r="B554" s="27">
        <v>45309</v>
      </c>
      <c r="C554" s="28" t="s">
        <v>540</v>
      </c>
      <c r="D554" s="28">
        <v>576.35</v>
      </c>
      <c r="E554" s="28" t="s">
        <v>1729</v>
      </c>
      <c r="F554" s="28">
        <v>339.59</v>
      </c>
      <c r="G554" s="28">
        <v>208.2</v>
      </c>
      <c r="H554" s="28" t="s">
        <v>2902</v>
      </c>
      <c r="I554" s="28">
        <v>405.65</v>
      </c>
    </row>
    <row r="555" spans="2:9">
      <c r="B555" s="27">
        <v>45308</v>
      </c>
      <c r="C555" s="28" t="s">
        <v>541</v>
      </c>
      <c r="D555" s="28">
        <v>595.15</v>
      </c>
      <c r="E555" s="28" t="s">
        <v>1730</v>
      </c>
      <c r="F555" s="28">
        <v>337.85</v>
      </c>
      <c r="G555" s="28">
        <v>208.9</v>
      </c>
      <c r="H555" s="28" t="s">
        <v>2903</v>
      </c>
      <c r="I555" s="28">
        <v>406.45</v>
      </c>
    </row>
    <row r="556" spans="2:9">
      <c r="B556" s="27">
        <v>45307</v>
      </c>
      <c r="C556" s="28" t="s">
        <v>542</v>
      </c>
      <c r="D556" s="28">
        <v>604.45000000000005</v>
      </c>
      <c r="E556" s="28" t="s">
        <v>1532</v>
      </c>
      <c r="F556" s="28">
        <v>342.73</v>
      </c>
      <c r="G556" s="28">
        <v>212.4</v>
      </c>
      <c r="H556" s="28" t="s">
        <v>2904</v>
      </c>
      <c r="I556" s="28">
        <v>412.75</v>
      </c>
    </row>
    <row r="557" spans="2:9">
      <c r="B557" s="27">
        <v>45306</v>
      </c>
      <c r="C557" s="28" t="s">
        <v>543</v>
      </c>
      <c r="D557" s="28">
        <v>602.75</v>
      </c>
      <c r="E557" s="28" t="s">
        <v>1731</v>
      </c>
      <c r="F557" s="28">
        <v>337.1</v>
      </c>
      <c r="G557" s="28">
        <v>208.4</v>
      </c>
      <c r="H557" s="28" t="s">
        <v>2905</v>
      </c>
      <c r="I557" s="28">
        <v>419.4</v>
      </c>
    </row>
    <row r="558" spans="2:9">
      <c r="B558" s="27">
        <v>45303</v>
      </c>
      <c r="C558" s="28" t="s">
        <v>544</v>
      </c>
      <c r="D558" s="28">
        <v>595.79999999999995</v>
      </c>
      <c r="E558" s="28" t="s">
        <v>1732</v>
      </c>
      <c r="F558" s="28">
        <v>338.8</v>
      </c>
      <c r="G558" s="28">
        <v>180.55</v>
      </c>
      <c r="H558" s="28" t="s">
        <v>2906</v>
      </c>
      <c r="I558" s="28">
        <v>424.9</v>
      </c>
    </row>
    <row r="559" spans="2:9">
      <c r="B559" s="27">
        <v>45302</v>
      </c>
      <c r="C559" s="28" t="s">
        <v>545</v>
      </c>
      <c r="D559" s="28">
        <v>593.65</v>
      </c>
      <c r="E559" s="28" t="s">
        <v>1567</v>
      </c>
      <c r="F559" s="28">
        <v>337.4</v>
      </c>
      <c r="G559" s="28">
        <v>180.9</v>
      </c>
      <c r="H559" s="28" t="s">
        <v>2907</v>
      </c>
      <c r="I559" s="28">
        <v>431.75</v>
      </c>
    </row>
    <row r="560" spans="2:9">
      <c r="B560" s="27">
        <v>45301</v>
      </c>
      <c r="C560" s="28" t="s">
        <v>546</v>
      </c>
      <c r="D560" s="28">
        <v>592.65</v>
      </c>
      <c r="E560" s="28" t="s">
        <v>1733</v>
      </c>
      <c r="F560" s="28">
        <v>336.21</v>
      </c>
      <c r="G560" s="28">
        <v>182.7</v>
      </c>
      <c r="H560" s="28" t="s">
        <v>2908</v>
      </c>
      <c r="I560" s="28">
        <v>416.3</v>
      </c>
    </row>
    <row r="561" spans="2:9">
      <c r="B561" s="27">
        <v>45300</v>
      </c>
      <c r="C561" s="28" t="s">
        <v>547</v>
      </c>
      <c r="D561" s="28">
        <v>587.9</v>
      </c>
      <c r="E561" s="28" t="s">
        <v>1734</v>
      </c>
      <c r="F561" s="28">
        <v>336.31</v>
      </c>
      <c r="G561" s="28">
        <v>182.9</v>
      </c>
      <c r="H561" s="28" t="s">
        <v>2909</v>
      </c>
      <c r="I561" s="28">
        <v>419</v>
      </c>
    </row>
    <row r="562" spans="2:9">
      <c r="B562" s="27">
        <v>45299</v>
      </c>
      <c r="C562" s="28" t="s">
        <v>548</v>
      </c>
      <c r="D562" s="28">
        <v>578.85</v>
      </c>
      <c r="E562" s="28" t="s">
        <v>1735</v>
      </c>
      <c r="F562" s="28">
        <v>335.41</v>
      </c>
      <c r="G562" s="28">
        <v>183.7</v>
      </c>
      <c r="H562" s="28" t="s">
        <v>2910</v>
      </c>
      <c r="I562" s="28">
        <v>419.55</v>
      </c>
    </row>
    <row r="563" spans="2:9">
      <c r="B563" s="27">
        <v>45296</v>
      </c>
      <c r="C563" s="28" t="s">
        <v>549</v>
      </c>
      <c r="D563" s="28">
        <v>596.35</v>
      </c>
      <c r="E563" s="28" t="s">
        <v>1736</v>
      </c>
      <c r="F563" s="28">
        <v>335.21</v>
      </c>
      <c r="G563" s="28">
        <v>184.2</v>
      </c>
      <c r="H563" s="28" t="s">
        <v>2911</v>
      </c>
      <c r="I563" s="28">
        <v>427.8</v>
      </c>
    </row>
    <row r="564" spans="2:9">
      <c r="B564" s="27">
        <v>45295</v>
      </c>
      <c r="C564" s="28" t="s">
        <v>550</v>
      </c>
      <c r="D564" s="28">
        <v>598.45000000000005</v>
      </c>
      <c r="E564" s="28" t="s">
        <v>1737</v>
      </c>
      <c r="F564" s="28">
        <v>332.08</v>
      </c>
      <c r="G564" s="28">
        <v>178.75</v>
      </c>
      <c r="H564" s="28" t="s">
        <v>2912</v>
      </c>
      <c r="I564" s="28">
        <v>412.55</v>
      </c>
    </row>
    <row r="565" spans="2:9">
      <c r="B565" s="27">
        <v>45294</v>
      </c>
      <c r="C565" s="28" t="s">
        <v>551</v>
      </c>
      <c r="D565" s="28">
        <v>598.15</v>
      </c>
      <c r="E565" s="28" t="s">
        <v>1738</v>
      </c>
      <c r="F565" s="28">
        <v>333.52</v>
      </c>
      <c r="G565" s="28">
        <v>179.65</v>
      </c>
      <c r="H565" s="28" t="s">
        <v>2913</v>
      </c>
      <c r="I565" s="28">
        <v>413.75</v>
      </c>
    </row>
    <row r="566" spans="2:9">
      <c r="B566" s="27">
        <v>45293</v>
      </c>
      <c r="C566" s="28" t="s">
        <v>552</v>
      </c>
      <c r="D566" s="28">
        <v>604.35</v>
      </c>
      <c r="E566" s="28" t="s">
        <v>1739</v>
      </c>
      <c r="F566" s="28">
        <v>335.61</v>
      </c>
      <c r="G566" s="28">
        <v>179.95</v>
      </c>
      <c r="H566" s="28" t="s">
        <v>2914</v>
      </c>
      <c r="I566" s="28">
        <v>410.25</v>
      </c>
    </row>
    <row r="567" spans="2:9">
      <c r="B567" s="27">
        <v>45292</v>
      </c>
      <c r="C567" s="28" t="s">
        <v>553</v>
      </c>
      <c r="D567" s="28">
        <v>603.85</v>
      </c>
      <c r="E567" s="28" t="s">
        <v>1740</v>
      </c>
      <c r="F567" s="28">
        <v>331.03</v>
      </c>
      <c r="G567" s="28">
        <v>178.8</v>
      </c>
      <c r="H567" s="28" t="s">
        <v>2915</v>
      </c>
      <c r="I567" s="28">
        <v>406.45</v>
      </c>
    </row>
    <row r="568" spans="2:9">
      <c r="B568" s="27">
        <v>45289</v>
      </c>
      <c r="C568" s="28" t="s">
        <v>554</v>
      </c>
      <c r="D568" s="28">
        <v>604.65</v>
      </c>
      <c r="E568" s="28" t="s">
        <v>1741</v>
      </c>
      <c r="F568" s="28">
        <v>331.78</v>
      </c>
      <c r="G568" s="28">
        <v>177.7</v>
      </c>
      <c r="H568" s="28" t="s">
        <v>2916</v>
      </c>
      <c r="I568" s="28">
        <v>409.85</v>
      </c>
    </row>
    <row r="569" spans="2:9">
      <c r="B569" s="27">
        <v>45288</v>
      </c>
      <c r="C569" s="28" t="s">
        <v>555</v>
      </c>
      <c r="D569" s="28">
        <v>596.1</v>
      </c>
      <c r="E569" s="28" t="s">
        <v>1742</v>
      </c>
      <c r="F569" s="28">
        <v>331.63</v>
      </c>
      <c r="G569" s="28">
        <v>178.8</v>
      </c>
      <c r="H569" s="28" t="s">
        <v>2292</v>
      </c>
      <c r="I569" s="28">
        <v>406.2</v>
      </c>
    </row>
    <row r="570" spans="2:9">
      <c r="B570" s="27">
        <v>45287</v>
      </c>
      <c r="C570" s="28" t="s">
        <v>556</v>
      </c>
      <c r="D570" s="28">
        <v>584.54999999999995</v>
      </c>
      <c r="E570" s="28" t="s">
        <v>1743</v>
      </c>
      <c r="F570" s="28">
        <v>336.06</v>
      </c>
      <c r="G570" s="28">
        <v>180.15</v>
      </c>
      <c r="H570" s="28" t="s">
        <v>2917</v>
      </c>
      <c r="I570" s="28">
        <v>411.85</v>
      </c>
    </row>
    <row r="571" spans="2:9">
      <c r="B571" s="27">
        <v>45286</v>
      </c>
      <c r="C571" s="28" t="s">
        <v>557</v>
      </c>
      <c r="D571" s="28">
        <v>587.79999999999995</v>
      </c>
      <c r="E571" s="28" t="s">
        <v>1559</v>
      </c>
      <c r="F571" s="28">
        <v>323.81</v>
      </c>
      <c r="G571" s="28">
        <v>180.5</v>
      </c>
      <c r="H571" s="28" t="s">
        <v>2918</v>
      </c>
      <c r="I571" s="28">
        <v>411.7</v>
      </c>
    </row>
    <row r="572" spans="2:9">
      <c r="B572" s="27">
        <v>45282</v>
      </c>
      <c r="C572" s="28" t="s">
        <v>558</v>
      </c>
      <c r="D572" s="28">
        <v>583.15</v>
      </c>
      <c r="E572" s="28" t="s">
        <v>1744</v>
      </c>
      <c r="F572" s="28">
        <v>321.02999999999997</v>
      </c>
      <c r="G572" s="28">
        <v>181.4</v>
      </c>
      <c r="H572" s="28" t="s">
        <v>2919</v>
      </c>
      <c r="I572" s="28">
        <v>399.35</v>
      </c>
    </row>
    <row r="573" spans="2:9">
      <c r="B573" s="27">
        <v>45281</v>
      </c>
      <c r="C573" s="28" t="s">
        <v>559</v>
      </c>
      <c r="D573" s="28">
        <v>574.15</v>
      </c>
      <c r="E573" s="28" t="s">
        <v>1745</v>
      </c>
      <c r="F573" s="28">
        <v>320.58</v>
      </c>
      <c r="G573" s="28">
        <v>181.2</v>
      </c>
      <c r="H573" s="28" t="s">
        <v>2920</v>
      </c>
      <c r="I573" s="28">
        <v>396.7</v>
      </c>
    </row>
    <row r="574" spans="2:9">
      <c r="B574" s="27">
        <v>45280</v>
      </c>
      <c r="C574" s="28" t="s">
        <v>560</v>
      </c>
      <c r="D574" s="28">
        <v>572.54999999999995</v>
      </c>
      <c r="E574" s="28" t="s">
        <v>1746</v>
      </c>
      <c r="F574" s="28">
        <v>320.48</v>
      </c>
      <c r="G574" s="28">
        <v>180.1</v>
      </c>
      <c r="H574" s="28" t="s">
        <v>2921</v>
      </c>
      <c r="I574" s="28">
        <v>400.7</v>
      </c>
    </row>
    <row r="575" spans="2:9">
      <c r="B575" s="27">
        <v>45279</v>
      </c>
      <c r="C575" s="28" t="s">
        <v>561</v>
      </c>
      <c r="D575" s="28">
        <v>593.25</v>
      </c>
      <c r="E575" s="28" t="s">
        <v>1747</v>
      </c>
      <c r="F575" s="28">
        <v>330.09</v>
      </c>
      <c r="G575" s="28">
        <v>182.35</v>
      </c>
      <c r="H575" s="28" t="s">
        <v>2922</v>
      </c>
      <c r="I575" s="28">
        <v>407.3</v>
      </c>
    </row>
    <row r="576" spans="2:9">
      <c r="B576" s="27">
        <v>45278</v>
      </c>
      <c r="C576" s="28" t="s">
        <v>562</v>
      </c>
      <c r="D576" s="28">
        <v>593.35</v>
      </c>
      <c r="E576" s="28" t="s">
        <v>1748</v>
      </c>
      <c r="F576" s="28">
        <v>330.73</v>
      </c>
      <c r="G576" s="28">
        <v>180.9</v>
      </c>
      <c r="H576" s="28" t="s">
        <v>2923</v>
      </c>
      <c r="I576" s="28">
        <v>405.25</v>
      </c>
    </row>
    <row r="577" spans="2:9">
      <c r="B577" s="27">
        <v>45275</v>
      </c>
      <c r="C577" s="28" t="s">
        <v>563</v>
      </c>
      <c r="D577" s="28">
        <v>585.79999999999995</v>
      </c>
      <c r="E577" s="28" t="s">
        <v>1749</v>
      </c>
      <c r="F577" s="28">
        <v>331.43</v>
      </c>
      <c r="G577" s="28">
        <v>181.9</v>
      </c>
      <c r="H577" s="28" t="s">
        <v>2924</v>
      </c>
      <c r="I577" s="28">
        <v>390.4</v>
      </c>
    </row>
    <row r="578" spans="2:9">
      <c r="B578" s="27">
        <v>45274</v>
      </c>
      <c r="C578" s="28" t="s">
        <v>564</v>
      </c>
      <c r="D578" s="28">
        <v>580.04999999999995</v>
      </c>
      <c r="E578" s="28" t="s">
        <v>1750</v>
      </c>
      <c r="F578" s="28">
        <v>326.39999999999998</v>
      </c>
      <c r="G578" s="28">
        <v>181.2</v>
      </c>
      <c r="H578" s="28" t="s">
        <v>2925</v>
      </c>
      <c r="I578" s="28">
        <v>391.45</v>
      </c>
    </row>
    <row r="579" spans="2:9">
      <c r="B579" s="27">
        <v>45273</v>
      </c>
      <c r="C579" s="28" t="s">
        <v>565</v>
      </c>
      <c r="D579" s="28">
        <v>571.1</v>
      </c>
      <c r="E579" s="28" t="s">
        <v>1751</v>
      </c>
      <c r="F579" s="28">
        <v>325.89999999999998</v>
      </c>
      <c r="G579" s="28">
        <v>180.9</v>
      </c>
      <c r="H579" s="28" t="s">
        <v>2926</v>
      </c>
      <c r="I579" s="28">
        <v>392.7</v>
      </c>
    </row>
    <row r="580" spans="2:9">
      <c r="B580" s="27">
        <v>45272</v>
      </c>
      <c r="C580" s="28" t="s">
        <v>566</v>
      </c>
      <c r="D580" s="28">
        <v>571.04999999999995</v>
      </c>
      <c r="E580" s="28" t="s">
        <v>1613</v>
      </c>
      <c r="F580" s="28">
        <v>325.31</v>
      </c>
      <c r="G580" s="28">
        <v>179.85</v>
      </c>
      <c r="H580" s="28" t="s">
        <v>2927</v>
      </c>
      <c r="I580" s="28">
        <v>397.4</v>
      </c>
    </row>
    <row r="581" spans="2:9">
      <c r="B581" s="27">
        <v>45271</v>
      </c>
      <c r="C581" s="28" t="s">
        <v>567</v>
      </c>
      <c r="D581" s="28">
        <v>576.5</v>
      </c>
      <c r="E581" s="28" t="s">
        <v>1752</v>
      </c>
      <c r="F581" s="28">
        <v>329.24</v>
      </c>
      <c r="G581" s="28">
        <v>180.75</v>
      </c>
      <c r="H581" s="28" t="s">
        <v>2928</v>
      </c>
      <c r="I581" s="28">
        <v>388.75</v>
      </c>
    </row>
    <row r="582" spans="2:9">
      <c r="B582" s="27">
        <v>45268</v>
      </c>
      <c r="C582" s="28" t="s">
        <v>568</v>
      </c>
      <c r="D582" s="28">
        <v>578.95000000000005</v>
      </c>
      <c r="E582" s="28" t="s">
        <v>1753</v>
      </c>
      <c r="F582" s="28">
        <v>328.89</v>
      </c>
      <c r="G582" s="28">
        <v>181.8</v>
      </c>
      <c r="H582" s="28" t="s">
        <v>2929</v>
      </c>
      <c r="I582" s="28">
        <v>392.2</v>
      </c>
    </row>
    <row r="583" spans="2:9">
      <c r="B583" s="27">
        <v>45267</v>
      </c>
      <c r="C583" s="28" t="s">
        <v>569</v>
      </c>
      <c r="D583" s="28">
        <v>588.54999999999995</v>
      </c>
      <c r="E583" s="28" t="s">
        <v>1754</v>
      </c>
      <c r="F583" s="28">
        <v>332.42</v>
      </c>
      <c r="G583" s="28">
        <v>180.5</v>
      </c>
      <c r="H583" s="28" t="s">
        <v>2930</v>
      </c>
      <c r="I583" s="28">
        <v>390.9</v>
      </c>
    </row>
    <row r="584" spans="2:9">
      <c r="B584" s="27">
        <v>45266</v>
      </c>
      <c r="C584" s="28" t="s">
        <v>570</v>
      </c>
      <c r="D584" s="28">
        <v>578.85</v>
      </c>
      <c r="E584" s="28" t="s">
        <v>1755</v>
      </c>
      <c r="F584" s="28">
        <v>327.2</v>
      </c>
      <c r="G584" s="28">
        <v>181.7</v>
      </c>
      <c r="H584" s="28" t="s">
        <v>2931</v>
      </c>
      <c r="I584" s="28">
        <v>388.05</v>
      </c>
    </row>
    <row r="585" spans="2:9">
      <c r="B585" s="27">
        <v>45265</v>
      </c>
      <c r="C585" s="28" t="s">
        <v>571</v>
      </c>
      <c r="D585" s="28">
        <v>588</v>
      </c>
      <c r="E585" s="28" t="s">
        <v>1756</v>
      </c>
      <c r="F585" s="28">
        <v>321.08</v>
      </c>
      <c r="G585" s="28">
        <v>188.9</v>
      </c>
      <c r="H585" s="28" t="s">
        <v>2932</v>
      </c>
      <c r="I585" s="28">
        <v>387.15</v>
      </c>
    </row>
    <row r="586" spans="2:9">
      <c r="B586" s="27">
        <v>45264</v>
      </c>
      <c r="C586" s="28" t="s">
        <v>572</v>
      </c>
      <c r="D586" s="28">
        <v>585.6</v>
      </c>
      <c r="E586" s="28" t="s">
        <v>1757</v>
      </c>
      <c r="F586" s="28">
        <v>318.04000000000002</v>
      </c>
      <c r="G586" s="28">
        <v>202.1</v>
      </c>
      <c r="H586" s="28" t="s">
        <v>2933</v>
      </c>
      <c r="I586" s="28">
        <v>387</v>
      </c>
    </row>
    <row r="587" spans="2:9">
      <c r="B587" s="27">
        <v>45261</v>
      </c>
      <c r="C587" s="28" t="s">
        <v>573</v>
      </c>
      <c r="D587" s="28">
        <v>586.15</v>
      </c>
      <c r="E587" s="28" t="s">
        <v>1758</v>
      </c>
      <c r="F587" s="28">
        <v>318.64</v>
      </c>
      <c r="G587" s="28">
        <v>198.7</v>
      </c>
      <c r="H587" s="28" t="s">
        <v>2934</v>
      </c>
      <c r="I587" s="28">
        <v>382.65</v>
      </c>
    </row>
    <row r="588" spans="2:9">
      <c r="B588" s="27">
        <v>45260</v>
      </c>
      <c r="C588" s="28" t="s">
        <v>574</v>
      </c>
      <c r="D588" s="28">
        <v>574.4</v>
      </c>
      <c r="E588" s="28" t="s">
        <v>1759</v>
      </c>
      <c r="F588" s="28">
        <v>318.83</v>
      </c>
      <c r="G588" s="28">
        <v>168.6</v>
      </c>
      <c r="H588" s="28" t="s">
        <v>2935</v>
      </c>
      <c r="I588" s="28">
        <v>364.9</v>
      </c>
    </row>
    <row r="589" spans="2:9">
      <c r="B589" s="27">
        <v>45259</v>
      </c>
      <c r="C589" s="28" t="s">
        <v>575</v>
      </c>
      <c r="D589" s="28">
        <v>574.04999999999995</v>
      </c>
      <c r="E589" s="28" t="s">
        <v>1760</v>
      </c>
      <c r="F589" s="28">
        <v>318.79000000000002</v>
      </c>
      <c r="G589" s="28">
        <v>167.9</v>
      </c>
      <c r="H589" s="28" t="s">
        <v>2936</v>
      </c>
      <c r="I589" s="28">
        <v>369.75</v>
      </c>
    </row>
    <row r="590" spans="2:9">
      <c r="B590" s="27">
        <v>45258</v>
      </c>
      <c r="C590" s="28" t="s">
        <v>575</v>
      </c>
      <c r="D590" s="28">
        <v>574.29999999999995</v>
      </c>
      <c r="E590" s="28" t="s">
        <v>1761</v>
      </c>
      <c r="F590" s="28">
        <v>321.37</v>
      </c>
      <c r="G590" s="28">
        <v>170.9</v>
      </c>
      <c r="H590" s="28" t="s">
        <v>2937</v>
      </c>
      <c r="I590" s="28">
        <v>364.4</v>
      </c>
    </row>
    <row r="591" spans="2:9">
      <c r="B591" s="27">
        <v>45254</v>
      </c>
      <c r="C591" s="28" t="s">
        <v>576</v>
      </c>
      <c r="D591" s="28">
        <v>573.54999999999995</v>
      </c>
      <c r="E591" s="28" t="s">
        <v>1762</v>
      </c>
      <c r="F591" s="28">
        <v>318.93</v>
      </c>
      <c r="G591" s="28">
        <v>170.25</v>
      </c>
      <c r="H591" s="28" t="s">
        <v>2938</v>
      </c>
      <c r="I591" s="28">
        <v>370.1</v>
      </c>
    </row>
    <row r="592" spans="2:9">
      <c r="B592" s="27">
        <v>45253</v>
      </c>
      <c r="C592" s="28" t="s">
        <v>577</v>
      </c>
      <c r="D592" s="28">
        <v>574.85</v>
      </c>
      <c r="E592" s="28" t="s">
        <v>1763</v>
      </c>
      <c r="F592" s="28">
        <v>318.98</v>
      </c>
      <c r="G592" s="28">
        <v>169.9</v>
      </c>
      <c r="H592" s="28" t="s">
        <v>2939</v>
      </c>
      <c r="I592" s="28">
        <v>372.3</v>
      </c>
    </row>
    <row r="593" spans="2:9">
      <c r="B593" s="27">
        <v>45252</v>
      </c>
      <c r="C593" s="28" t="s">
        <v>578</v>
      </c>
      <c r="D593" s="28">
        <v>569.65</v>
      </c>
      <c r="E593" s="28" t="s">
        <v>1714</v>
      </c>
      <c r="F593" s="28">
        <v>314.89999999999998</v>
      </c>
      <c r="G593" s="28">
        <v>171.2</v>
      </c>
      <c r="H593" s="28" t="s">
        <v>2940</v>
      </c>
      <c r="I593" s="28">
        <v>374.55</v>
      </c>
    </row>
    <row r="594" spans="2:9">
      <c r="B594" s="27">
        <v>45251</v>
      </c>
      <c r="C594" s="28" t="s">
        <v>579</v>
      </c>
      <c r="D594" s="28">
        <v>583.1</v>
      </c>
      <c r="E594" s="28" t="s">
        <v>1764</v>
      </c>
      <c r="F594" s="28">
        <v>320.58</v>
      </c>
      <c r="G594" s="28">
        <v>172.35</v>
      </c>
      <c r="H594" s="28" t="s">
        <v>2941</v>
      </c>
      <c r="I594" s="28">
        <v>372.9</v>
      </c>
    </row>
    <row r="595" spans="2:9">
      <c r="B595" s="27">
        <v>45250</v>
      </c>
      <c r="C595" s="28" t="s">
        <v>580</v>
      </c>
      <c r="D595" s="28">
        <v>582.70000000000005</v>
      </c>
      <c r="E595" s="28" t="s">
        <v>1765</v>
      </c>
      <c r="F595" s="28">
        <v>318.74</v>
      </c>
      <c r="G595" s="28">
        <v>173.55</v>
      </c>
      <c r="H595" s="28" t="s">
        <v>2942</v>
      </c>
      <c r="I595" s="28">
        <v>374</v>
      </c>
    </row>
    <row r="596" spans="2:9">
      <c r="B596" s="27">
        <v>45247</v>
      </c>
      <c r="C596" s="28" t="s">
        <v>581</v>
      </c>
      <c r="D596" s="28">
        <v>587.79999999999995</v>
      </c>
      <c r="E596" s="28" t="s">
        <v>1766</v>
      </c>
      <c r="F596" s="28">
        <v>323.95999999999998</v>
      </c>
      <c r="G596" s="28">
        <v>178.65</v>
      </c>
      <c r="H596" s="28" t="s">
        <v>2943</v>
      </c>
      <c r="I596" s="28">
        <v>380.8</v>
      </c>
    </row>
    <row r="597" spans="2:9">
      <c r="B597" s="27">
        <v>45246</v>
      </c>
      <c r="C597" s="28" t="s">
        <v>582</v>
      </c>
      <c r="D597" s="28">
        <v>578.25</v>
      </c>
      <c r="E597" s="28" t="s">
        <v>1767</v>
      </c>
      <c r="F597" s="28">
        <v>316.5</v>
      </c>
      <c r="G597" s="28">
        <v>177.15</v>
      </c>
      <c r="H597" s="28" t="s">
        <v>2944</v>
      </c>
      <c r="I597" s="28">
        <v>388.2</v>
      </c>
    </row>
    <row r="598" spans="2:9">
      <c r="B598" s="27">
        <v>45245</v>
      </c>
      <c r="C598" s="28" t="s">
        <v>583</v>
      </c>
      <c r="D598" s="28">
        <v>575.29999999999995</v>
      </c>
      <c r="E598" s="28" t="s">
        <v>1768</v>
      </c>
      <c r="F598" s="28">
        <v>313.16000000000003</v>
      </c>
      <c r="G598" s="28">
        <v>169.9</v>
      </c>
      <c r="H598" s="28" t="s">
        <v>2945</v>
      </c>
      <c r="I598" s="28">
        <v>391.4</v>
      </c>
    </row>
    <row r="599" spans="2:9">
      <c r="B599" s="27">
        <v>45243</v>
      </c>
      <c r="C599" s="28" t="s">
        <v>584</v>
      </c>
      <c r="D599" s="28">
        <v>575.9</v>
      </c>
      <c r="E599" s="28" t="s">
        <v>1769</v>
      </c>
      <c r="F599" s="28">
        <v>310.02</v>
      </c>
      <c r="G599" s="28">
        <v>174.2</v>
      </c>
      <c r="H599" s="28" t="s">
        <v>2946</v>
      </c>
      <c r="I599" s="28">
        <v>385.35</v>
      </c>
    </row>
    <row r="600" spans="2:9">
      <c r="B600" s="27">
        <v>45242</v>
      </c>
      <c r="C600" s="28" t="s">
        <v>585</v>
      </c>
      <c r="D600" s="28">
        <v>578.65</v>
      </c>
      <c r="E600" s="28" t="s">
        <v>1770</v>
      </c>
      <c r="F600" s="28">
        <v>308.55</v>
      </c>
      <c r="G600" s="28">
        <v>173.75</v>
      </c>
      <c r="H600" s="28" t="s">
        <v>2947</v>
      </c>
      <c r="I600" s="28">
        <v>387</v>
      </c>
    </row>
    <row r="601" spans="2:9">
      <c r="B601" s="27">
        <v>45240</v>
      </c>
      <c r="C601" s="28" t="s">
        <v>586</v>
      </c>
      <c r="D601" s="28">
        <v>578.4</v>
      </c>
      <c r="E601" s="28" t="s">
        <v>1771</v>
      </c>
      <c r="F601" s="28">
        <v>303.05</v>
      </c>
      <c r="G601" s="28">
        <v>173.4</v>
      </c>
      <c r="H601" s="28" t="s">
        <v>42</v>
      </c>
      <c r="I601" s="28">
        <v>375.55</v>
      </c>
    </row>
    <row r="602" spans="2:9">
      <c r="B602" s="27">
        <v>45239</v>
      </c>
      <c r="C602" s="28" t="s">
        <v>587</v>
      </c>
      <c r="D602" s="28">
        <v>578.95000000000005</v>
      </c>
      <c r="E602" s="28" t="s">
        <v>1772</v>
      </c>
      <c r="F602" s="28">
        <v>303.26</v>
      </c>
      <c r="G602" s="28">
        <v>175.15</v>
      </c>
      <c r="H602" s="28" t="s">
        <v>2948</v>
      </c>
      <c r="I602" s="28">
        <v>375.85</v>
      </c>
    </row>
    <row r="603" spans="2:9">
      <c r="B603" s="27">
        <v>45238</v>
      </c>
      <c r="C603" s="28" t="s">
        <v>588</v>
      </c>
      <c r="D603" s="28">
        <v>586.25</v>
      </c>
      <c r="E603" s="28" t="s">
        <v>1773</v>
      </c>
      <c r="F603" s="28">
        <v>306.24</v>
      </c>
      <c r="G603" s="28">
        <v>172.9</v>
      </c>
      <c r="H603" s="28" t="s">
        <v>2949</v>
      </c>
      <c r="I603" s="28">
        <v>377.05</v>
      </c>
    </row>
    <row r="604" spans="2:9">
      <c r="B604" s="27">
        <v>45237</v>
      </c>
      <c r="C604" s="28" t="s">
        <v>589</v>
      </c>
      <c r="D604" s="28">
        <v>571.45000000000005</v>
      </c>
      <c r="E604" s="28" t="s">
        <v>1774</v>
      </c>
      <c r="F604" s="28">
        <v>301.70999999999998</v>
      </c>
      <c r="G604" s="28">
        <v>173</v>
      </c>
      <c r="H604" s="28" t="s">
        <v>2950</v>
      </c>
      <c r="I604" s="28">
        <v>369</v>
      </c>
    </row>
    <row r="605" spans="2:9">
      <c r="B605" s="27">
        <v>45236</v>
      </c>
      <c r="C605" s="28" t="s">
        <v>590</v>
      </c>
      <c r="D605" s="28">
        <v>569.15</v>
      </c>
      <c r="E605" s="28" t="s">
        <v>1775</v>
      </c>
      <c r="F605" s="28">
        <v>304.45</v>
      </c>
      <c r="G605" s="28">
        <v>176.05</v>
      </c>
      <c r="H605" s="28" t="s">
        <v>2951</v>
      </c>
      <c r="I605" s="28">
        <v>364.65</v>
      </c>
    </row>
    <row r="606" spans="2:9">
      <c r="B606" s="27">
        <v>45233</v>
      </c>
      <c r="C606" s="28" t="s">
        <v>591</v>
      </c>
      <c r="D606" s="28">
        <v>553.15</v>
      </c>
      <c r="E606" s="28" t="s">
        <v>1776</v>
      </c>
      <c r="F606" s="28">
        <v>303.64999999999998</v>
      </c>
      <c r="G606" s="28">
        <v>180.45</v>
      </c>
      <c r="H606" s="28" t="s">
        <v>2952</v>
      </c>
      <c r="I606" s="28">
        <v>369</v>
      </c>
    </row>
    <row r="607" spans="2:9">
      <c r="B607" s="27">
        <v>45232</v>
      </c>
      <c r="C607" s="28" t="s">
        <v>592</v>
      </c>
      <c r="D607" s="28">
        <v>548.95000000000005</v>
      </c>
      <c r="E607" s="28" t="s">
        <v>1777</v>
      </c>
      <c r="F607" s="28">
        <v>309.52999999999997</v>
      </c>
      <c r="G607" s="28">
        <v>181.25</v>
      </c>
      <c r="H607" s="28" t="s">
        <v>2953</v>
      </c>
      <c r="I607" s="28">
        <v>358.7</v>
      </c>
    </row>
    <row r="608" spans="2:9">
      <c r="B608" s="27">
        <v>45231</v>
      </c>
      <c r="C608" s="28" t="s">
        <v>593</v>
      </c>
      <c r="D608" s="28">
        <v>550.04999999999995</v>
      </c>
      <c r="E608" s="28" t="s">
        <v>1778</v>
      </c>
      <c r="F608" s="28">
        <v>313.66000000000003</v>
      </c>
      <c r="G608" s="28">
        <v>180.35</v>
      </c>
      <c r="H608" s="28" t="s">
        <v>2954</v>
      </c>
      <c r="I608" s="28">
        <v>360.7</v>
      </c>
    </row>
    <row r="609" spans="2:9">
      <c r="B609" s="27">
        <v>45230</v>
      </c>
      <c r="C609" s="28" t="s">
        <v>594</v>
      </c>
      <c r="D609" s="28">
        <v>558.6</v>
      </c>
      <c r="E609" s="28" t="s">
        <v>1779</v>
      </c>
      <c r="F609" s="28">
        <v>313.70999999999998</v>
      </c>
      <c r="G609" s="28">
        <v>184.3</v>
      </c>
      <c r="H609" s="28" t="s">
        <v>2955</v>
      </c>
      <c r="I609" s="28">
        <v>363.95</v>
      </c>
    </row>
    <row r="610" spans="2:9">
      <c r="B610" s="27">
        <v>45229</v>
      </c>
      <c r="C610" s="28" t="s">
        <v>595</v>
      </c>
      <c r="D610" s="28">
        <v>545.75</v>
      </c>
      <c r="E610" s="28" t="s">
        <v>1663</v>
      </c>
      <c r="F610" s="28">
        <v>312.66000000000003</v>
      </c>
      <c r="G610" s="28">
        <v>181.75</v>
      </c>
      <c r="H610" s="28" t="s">
        <v>2956</v>
      </c>
      <c r="I610" s="28">
        <v>363.7</v>
      </c>
    </row>
    <row r="611" spans="2:9">
      <c r="B611" s="27">
        <v>45226</v>
      </c>
      <c r="C611" s="28" t="s">
        <v>596</v>
      </c>
      <c r="D611" s="28">
        <v>537.54999999999995</v>
      </c>
      <c r="E611" s="28" t="s">
        <v>1780</v>
      </c>
      <c r="F611" s="28">
        <v>312.17</v>
      </c>
      <c r="G611" s="28">
        <v>184.75</v>
      </c>
      <c r="H611" s="28" t="s">
        <v>2957</v>
      </c>
      <c r="I611" s="28">
        <v>368.3</v>
      </c>
    </row>
    <row r="612" spans="2:9">
      <c r="B612" s="27">
        <v>45225</v>
      </c>
      <c r="C612" s="28" t="s">
        <v>597</v>
      </c>
      <c r="D612" s="28">
        <v>537.75</v>
      </c>
      <c r="E612" s="28" t="s">
        <v>1781</v>
      </c>
      <c r="F612" s="28">
        <v>310.82</v>
      </c>
      <c r="G612" s="28">
        <v>178.95</v>
      </c>
      <c r="H612" s="28" t="s">
        <v>2958</v>
      </c>
      <c r="I612" s="28">
        <v>365.95</v>
      </c>
    </row>
    <row r="613" spans="2:9">
      <c r="B613" s="27">
        <v>45224</v>
      </c>
      <c r="C613" s="28" t="s">
        <v>598</v>
      </c>
      <c r="D613" s="28">
        <v>563.20000000000005</v>
      </c>
      <c r="E613" s="28" t="s">
        <v>1782</v>
      </c>
      <c r="F613" s="28">
        <v>316.7</v>
      </c>
      <c r="G613" s="28">
        <v>172.45</v>
      </c>
      <c r="H613" s="28" t="s">
        <v>2959</v>
      </c>
      <c r="I613" s="28">
        <v>358.15</v>
      </c>
    </row>
    <row r="614" spans="2:9">
      <c r="B614" s="27">
        <v>45222</v>
      </c>
      <c r="C614" s="28" t="s">
        <v>599</v>
      </c>
      <c r="D614" s="28">
        <v>570.5</v>
      </c>
      <c r="E614" s="28" t="s">
        <v>1654</v>
      </c>
      <c r="F614" s="28">
        <v>317.54000000000002</v>
      </c>
      <c r="G614" s="28">
        <v>175.25</v>
      </c>
      <c r="H614" s="28" t="s">
        <v>2960</v>
      </c>
      <c r="I614" s="28">
        <v>362.4</v>
      </c>
    </row>
    <row r="615" spans="2:9">
      <c r="B615" s="27">
        <v>45219</v>
      </c>
      <c r="C615" s="28" t="s">
        <v>600</v>
      </c>
      <c r="D615" s="28">
        <v>584.25</v>
      </c>
      <c r="E615" s="28" t="s">
        <v>1783</v>
      </c>
      <c r="F615" s="28">
        <v>319.83</v>
      </c>
      <c r="G615" s="28">
        <v>186.15</v>
      </c>
      <c r="H615" s="28" t="s">
        <v>2961</v>
      </c>
      <c r="I615" s="28">
        <v>371.15</v>
      </c>
    </row>
    <row r="616" spans="2:9">
      <c r="B616" s="27">
        <v>45218</v>
      </c>
      <c r="C616" s="28" t="s">
        <v>601</v>
      </c>
      <c r="D616" s="28">
        <v>576.29999999999995</v>
      </c>
      <c r="E616" s="28" t="s">
        <v>1784</v>
      </c>
      <c r="F616" s="28">
        <v>320.68</v>
      </c>
      <c r="G616" s="28">
        <v>190</v>
      </c>
      <c r="H616" s="28" t="s">
        <v>2946</v>
      </c>
      <c r="I616" s="28">
        <v>376.2</v>
      </c>
    </row>
    <row r="617" spans="2:9">
      <c r="B617" s="27">
        <v>45217</v>
      </c>
      <c r="C617" s="28" t="s">
        <v>602</v>
      </c>
      <c r="D617" s="28">
        <v>572.35</v>
      </c>
      <c r="E617" s="28" t="s">
        <v>1785</v>
      </c>
      <c r="F617" s="28">
        <v>321.87</v>
      </c>
      <c r="G617" s="28">
        <v>189.55</v>
      </c>
      <c r="H617" s="28" t="s">
        <v>2836</v>
      </c>
      <c r="I617" s="28">
        <v>378.1</v>
      </c>
    </row>
    <row r="618" spans="2:9">
      <c r="B618" s="27">
        <v>45216</v>
      </c>
      <c r="C618" s="28" t="s">
        <v>603</v>
      </c>
      <c r="D618" s="28">
        <v>573.95000000000005</v>
      </c>
      <c r="E618" s="28" t="s">
        <v>1786</v>
      </c>
      <c r="F618" s="28">
        <v>320.77999999999997</v>
      </c>
      <c r="G618" s="28">
        <v>189.95</v>
      </c>
      <c r="H618" s="28" t="s">
        <v>2962</v>
      </c>
      <c r="I618" s="28">
        <v>382.9</v>
      </c>
    </row>
    <row r="619" spans="2:9">
      <c r="B619" s="27">
        <v>45215</v>
      </c>
      <c r="C619" s="28" t="s">
        <v>604</v>
      </c>
      <c r="D619" s="28">
        <v>569.20000000000005</v>
      </c>
      <c r="E619" s="28" t="s">
        <v>1787</v>
      </c>
      <c r="F619" s="28">
        <v>319.13</v>
      </c>
      <c r="G619" s="28">
        <v>190.35</v>
      </c>
      <c r="H619" s="28" t="s">
        <v>2963</v>
      </c>
      <c r="I619" s="28">
        <v>381.25</v>
      </c>
    </row>
    <row r="620" spans="2:9">
      <c r="B620" s="27">
        <v>45212</v>
      </c>
      <c r="C620" s="28" t="s">
        <v>605</v>
      </c>
      <c r="D620" s="28">
        <v>568.25</v>
      </c>
      <c r="E620" s="28" t="s">
        <v>1788</v>
      </c>
      <c r="F620" s="28">
        <v>321.47000000000003</v>
      </c>
      <c r="G620" s="28">
        <v>192.45</v>
      </c>
      <c r="H620" s="28" t="s">
        <v>2964</v>
      </c>
      <c r="I620" s="28">
        <v>386.65</v>
      </c>
    </row>
    <row r="621" spans="2:9">
      <c r="B621" s="27">
        <v>45211</v>
      </c>
      <c r="C621" s="28" t="s">
        <v>606</v>
      </c>
      <c r="D621" s="28">
        <v>565.85</v>
      </c>
      <c r="E621" s="28" t="s">
        <v>1789</v>
      </c>
      <c r="F621" s="28">
        <v>320.68</v>
      </c>
      <c r="G621" s="28">
        <v>180.3</v>
      </c>
      <c r="H621" s="28" t="s">
        <v>2965</v>
      </c>
      <c r="I621" s="28">
        <v>386.05</v>
      </c>
    </row>
    <row r="622" spans="2:9">
      <c r="B622" s="27">
        <v>45210</v>
      </c>
      <c r="C622" s="28" t="s">
        <v>607</v>
      </c>
      <c r="D622" s="28">
        <v>560.85</v>
      </c>
      <c r="E622" s="28" t="s">
        <v>1790</v>
      </c>
      <c r="F622" s="28">
        <v>319.13</v>
      </c>
      <c r="G622" s="28">
        <v>166.85</v>
      </c>
      <c r="H622" s="28" t="s">
        <v>2966</v>
      </c>
      <c r="I622" s="28">
        <v>388.55</v>
      </c>
    </row>
    <row r="623" spans="2:9">
      <c r="B623" s="27">
        <v>45209</v>
      </c>
      <c r="C623" s="28" t="s">
        <v>608</v>
      </c>
      <c r="D623" s="28">
        <v>561.79999999999995</v>
      </c>
      <c r="E623" s="28" t="s">
        <v>1791</v>
      </c>
      <c r="F623" s="28">
        <v>317.24</v>
      </c>
      <c r="G623" s="28">
        <v>165.05</v>
      </c>
      <c r="H623" s="28" t="s">
        <v>2967</v>
      </c>
      <c r="I623" s="28">
        <v>381.6</v>
      </c>
    </row>
    <row r="624" spans="2:9">
      <c r="B624" s="27">
        <v>45208</v>
      </c>
      <c r="C624" s="28" t="s">
        <v>609</v>
      </c>
      <c r="D624" s="28">
        <v>562.79999999999995</v>
      </c>
      <c r="E624" s="28" t="s">
        <v>1792</v>
      </c>
      <c r="F624" s="28">
        <v>314.75</v>
      </c>
      <c r="G624" s="28">
        <v>164.9</v>
      </c>
      <c r="H624" s="28" t="s">
        <v>2968</v>
      </c>
      <c r="I624" s="28">
        <v>375.95</v>
      </c>
    </row>
    <row r="625" spans="2:9">
      <c r="B625" s="27">
        <v>45205</v>
      </c>
      <c r="C625" s="28" t="s">
        <v>610</v>
      </c>
      <c r="D625" s="28">
        <v>565.35</v>
      </c>
      <c r="E625" s="28" t="s">
        <v>1793</v>
      </c>
      <c r="F625" s="28">
        <v>322.37</v>
      </c>
      <c r="G625" s="28">
        <v>164</v>
      </c>
      <c r="H625" s="28" t="s">
        <v>2969</v>
      </c>
      <c r="I625" s="28">
        <v>387.3</v>
      </c>
    </row>
    <row r="626" spans="2:9">
      <c r="B626" s="27">
        <v>45204</v>
      </c>
      <c r="C626" s="28" t="s">
        <v>611</v>
      </c>
      <c r="D626" s="28">
        <v>563.20000000000005</v>
      </c>
      <c r="E626" s="28" t="s">
        <v>1794</v>
      </c>
      <c r="F626" s="28">
        <v>321.62</v>
      </c>
      <c r="G626" s="28">
        <v>162.80000000000001</v>
      </c>
      <c r="H626" s="28" t="s">
        <v>2834</v>
      </c>
      <c r="I626" s="28">
        <v>387.7</v>
      </c>
    </row>
    <row r="627" spans="2:9">
      <c r="B627" s="27">
        <v>45203</v>
      </c>
      <c r="C627" s="28" t="s">
        <v>612</v>
      </c>
      <c r="D627" s="28">
        <v>560.25</v>
      </c>
      <c r="E627" s="28" t="s">
        <v>1795</v>
      </c>
      <c r="F627" s="28">
        <v>321.32</v>
      </c>
      <c r="G627" s="28">
        <v>162.30000000000001</v>
      </c>
      <c r="H627" s="28" t="s">
        <v>2970</v>
      </c>
      <c r="I627" s="28">
        <v>384.3</v>
      </c>
    </row>
    <row r="628" spans="2:9">
      <c r="B628" s="27">
        <v>45202</v>
      </c>
      <c r="C628" s="28" t="s">
        <v>613</v>
      </c>
      <c r="D628" s="28">
        <v>561.5</v>
      </c>
      <c r="E628" s="28" t="s">
        <v>1796</v>
      </c>
      <c r="F628" s="28">
        <v>323.70999999999998</v>
      </c>
      <c r="G628" s="28">
        <v>164.1</v>
      </c>
      <c r="H628" s="28" t="s">
        <v>2971</v>
      </c>
      <c r="I628" s="28">
        <v>387.55</v>
      </c>
    </row>
    <row r="629" spans="2:9">
      <c r="B629" s="27">
        <v>45198</v>
      </c>
      <c r="C629" s="28" t="s">
        <v>614</v>
      </c>
      <c r="D629" s="28">
        <v>568.85</v>
      </c>
      <c r="E629" s="28" t="s">
        <v>1797</v>
      </c>
      <c r="F629" s="28">
        <v>316.05</v>
      </c>
      <c r="G629" s="28">
        <v>161.30000000000001</v>
      </c>
      <c r="H629" s="28" t="s">
        <v>2972</v>
      </c>
      <c r="I629" s="28">
        <v>388.65</v>
      </c>
    </row>
    <row r="630" spans="2:9">
      <c r="B630" s="27">
        <v>45197</v>
      </c>
      <c r="C630" s="28" t="s">
        <v>615</v>
      </c>
      <c r="D630" s="28">
        <v>569.54999999999995</v>
      </c>
      <c r="E630" s="28" t="s">
        <v>1798</v>
      </c>
      <c r="F630" s="28">
        <v>320.58</v>
      </c>
      <c r="G630" s="28">
        <v>161.19999999999999</v>
      </c>
      <c r="H630" s="28" t="s">
        <v>2973</v>
      </c>
      <c r="I630" s="28">
        <v>380.3</v>
      </c>
    </row>
    <row r="631" spans="2:9">
      <c r="B631" s="27">
        <v>45196</v>
      </c>
      <c r="C631" s="28" t="s">
        <v>616</v>
      </c>
      <c r="D631" s="28">
        <v>603.70000000000005</v>
      </c>
      <c r="E631" s="28" t="s">
        <v>1799</v>
      </c>
      <c r="F631" s="28">
        <v>325.95</v>
      </c>
      <c r="G631" s="28">
        <v>159</v>
      </c>
      <c r="H631" s="28" t="s">
        <v>2834</v>
      </c>
      <c r="I631" s="28">
        <v>379.65</v>
      </c>
    </row>
    <row r="632" spans="2:9">
      <c r="B632" s="27">
        <v>45195</v>
      </c>
      <c r="C632" s="28" t="s">
        <v>617</v>
      </c>
      <c r="D632" s="28">
        <v>599.5</v>
      </c>
      <c r="E632" s="28" t="s">
        <v>1800</v>
      </c>
      <c r="F632" s="28">
        <v>326.45</v>
      </c>
      <c r="G632" s="28">
        <v>156.25</v>
      </c>
      <c r="H632" s="28" t="s">
        <v>2974</v>
      </c>
      <c r="I632" s="28">
        <v>380.8</v>
      </c>
    </row>
    <row r="633" spans="2:9">
      <c r="B633" s="27">
        <v>45194</v>
      </c>
      <c r="C633" s="28" t="s">
        <v>618</v>
      </c>
      <c r="D633" s="28">
        <v>611.4</v>
      </c>
      <c r="E633" s="28" t="s">
        <v>1801</v>
      </c>
      <c r="F633" s="28">
        <v>323.56</v>
      </c>
      <c r="G633" s="28">
        <v>158.25</v>
      </c>
      <c r="H633" s="28" t="s">
        <v>2975</v>
      </c>
      <c r="I633" s="28">
        <v>382.35</v>
      </c>
    </row>
    <row r="634" spans="2:9">
      <c r="B634" s="27">
        <v>45191</v>
      </c>
      <c r="C634" s="28" t="s">
        <v>619</v>
      </c>
      <c r="D634" s="28">
        <v>669.3</v>
      </c>
      <c r="E634" s="28" t="s">
        <v>1802</v>
      </c>
      <c r="F634" s="28">
        <v>321.02999999999997</v>
      </c>
      <c r="G634" s="28">
        <v>153.25</v>
      </c>
      <c r="H634" s="28" t="s">
        <v>2976</v>
      </c>
      <c r="I634" s="28">
        <v>390.1</v>
      </c>
    </row>
    <row r="635" spans="2:9">
      <c r="B635" s="27">
        <v>45190</v>
      </c>
      <c r="C635" s="28" t="s">
        <v>620</v>
      </c>
      <c r="D635" s="28">
        <v>627.71</v>
      </c>
      <c r="E635" s="28" t="s">
        <v>1803</v>
      </c>
      <c r="F635" s="28">
        <v>324.61</v>
      </c>
      <c r="G635" s="28">
        <v>154.4</v>
      </c>
      <c r="H635" s="28" t="s">
        <v>2925</v>
      </c>
      <c r="I635" s="28">
        <v>393.4</v>
      </c>
    </row>
    <row r="636" spans="2:9">
      <c r="B636" s="27">
        <v>45189</v>
      </c>
      <c r="C636" s="28" t="s">
        <v>621</v>
      </c>
      <c r="D636" s="28">
        <v>622.58000000000004</v>
      </c>
      <c r="E636" s="28" t="s">
        <v>1804</v>
      </c>
      <c r="F636" s="28">
        <v>324.91000000000003</v>
      </c>
      <c r="G636" s="28">
        <v>156.9</v>
      </c>
      <c r="H636" s="28" t="s">
        <v>2977</v>
      </c>
      <c r="I636" s="28">
        <v>392.8</v>
      </c>
    </row>
    <row r="637" spans="2:9">
      <c r="B637" s="27">
        <v>45187</v>
      </c>
      <c r="C637" s="28" t="s">
        <v>622</v>
      </c>
      <c r="D637" s="28">
        <v>617.83000000000004</v>
      </c>
      <c r="E637" s="28" t="s">
        <v>1805</v>
      </c>
      <c r="F637" s="28">
        <v>326.45</v>
      </c>
      <c r="G637" s="28">
        <v>156.94999999999999</v>
      </c>
      <c r="H637" s="28" t="s">
        <v>2978</v>
      </c>
      <c r="I637" s="28">
        <v>394.6</v>
      </c>
    </row>
    <row r="638" spans="2:9">
      <c r="B638" s="27">
        <v>45184</v>
      </c>
      <c r="C638" s="28" t="s">
        <v>623</v>
      </c>
      <c r="D638" s="28">
        <v>599.75</v>
      </c>
      <c r="E638" s="28" t="s">
        <v>1806</v>
      </c>
      <c r="F638" s="28">
        <v>325.20999999999998</v>
      </c>
      <c r="G638" s="28">
        <v>157.9</v>
      </c>
      <c r="H638" s="28" t="s">
        <v>2979</v>
      </c>
      <c r="I638" s="28">
        <v>400.5</v>
      </c>
    </row>
    <row r="639" spans="2:9">
      <c r="B639" s="27">
        <v>45183</v>
      </c>
      <c r="C639" s="28" t="s">
        <v>624</v>
      </c>
      <c r="D639" s="28">
        <v>607.5</v>
      </c>
      <c r="E639" s="28" t="s">
        <v>1807</v>
      </c>
      <c r="F639" s="28">
        <v>329.29</v>
      </c>
      <c r="G639" s="28">
        <v>161.5</v>
      </c>
      <c r="H639" s="28" t="s">
        <v>2980</v>
      </c>
      <c r="I639" s="28">
        <v>401.35</v>
      </c>
    </row>
    <row r="640" spans="2:9">
      <c r="B640" s="27">
        <v>45182</v>
      </c>
      <c r="C640" s="28" t="s">
        <v>625</v>
      </c>
      <c r="D640" s="28">
        <v>603.33000000000004</v>
      </c>
      <c r="E640" s="28" t="s">
        <v>1808</v>
      </c>
      <c r="F640" s="28">
        <v>328.39</v>
      </c>
      <c r="G640" s="28">
        <v>160.30000000000001</v>
      </c>
      <c r="H640" s="28" t="s">
        <v>2981</v>
      </c>
      <c r="I640" s="28">
        <v>399.75</v>
      </c>
    </row>
    <row r="641" spans="2:9">
      <c r="B641" s="27">
        <v>45181</v>
      </c>
      <c r="C641" s="28" t="s">
        <v>626</v>
      </c>
      <c r="D641" s="28">
        <v>599.33000000000004</v>
      </c>
      <c r="E641" s="28" t="s">
        <v>1809</v>
      </c>
      <c r="F641" s="28">
        <v>328.94</v>
      </c>
      <c r="G641" s="28">
        <v>155.35</v>
      </c>
      <c r="H641" s="28" t="s">
        <v>2982</v>
      </c>
      <c r="I641" s="28">
        <v>398.25</v>
      </c>
    </row>
    <row r="642" spans="2:9">
      <c r="B642" s="27">
        <v>45180</v>
      </c>
      <c r="C642" s="28" t="s">
        <v>627</v>
      </c>
      <c r="D642" s="28">
        <v>601.46</v>
      </c>
      <c r="E642" s="28" t="s">
        <v>1810</v>
      </c>
      <c r="F642" s="28">
        <v>333.17</v>
      </c>
      <c r="G642" s="28">
        <v>159.94999999999999</v>
      </c>
      <c r="H642" s="28" t="s">
        <v>2983</v>
      </c>
      <c r="I642" s="28">
        <v>414.75</v>
      </c>
    </row>
    <row r="643" spans="2:9">
      <c r="B643" s="27">
        <v>45177</v>
      </c>
      <c r="C643" s="28" t="s">
        <v>628</v>
      </c>
      <c r="D643" s="28">
        <v>597.41999999999996</v>
      </c>
      <c r="E643" s="28" t="s">
        <v>1811</v>
      </c>
      <c r="F643" s="28">
        <v>335.76</v>
      </c>
      <c r="G643" s="28">
        <v>160.1</v>
      </c>
      <c r="H643" s="28" t="s">
        <v>2984</v>
      </c>
      <c r="I643" s="28">
        <v>415.15</v>
      </c>
    </row>
    <row r="644" spans="2:9">
      <c r="B644" s="27">
        <v>45176</v>
      </c>
      <c r="C644" s="28" t="s">
        <v>629</v>
      </c>
      <c r="D644" s="28">
        <v>592.83000000000004</v>
      </c>
      <c r="E644" s="28" t="s">
        <v>1812</v>
      </c>
      <c r="F644" s="28">
        <v>335.26</v>
      </c>
      <c r="G644" s="28">
        <v>160.15</v>
      </c>
      <c r="H644" s="28" t="s">
        <v>2985</v>
      </c>
      <c r="I644" s="28">
        <v>409.65</v>
      </c>
    </row>
    <row r="645" spans="2:9">
      <c r="B645" s="27">
        <v>45175</v>
      </c>
      <c r="C645" s="28" t="s">
        <v>630</v>
      </c>
      <c r="D645" s="28">
        <v>596.46</v>
      </c>
      <c r="E645" s="28" t="s">
        <v>1813</v>
      </c>
      <c r="F645" s="28">
        <v>333.62</v>
      </c>
      <c r="G645" s="28">
        <v>161.05000000000001</v>
      </c>
      <c r="H645" s="28" t="s">
        <v>2986</v>
      </c>
      <c r="I645" s="28">
        <v>413</v>
      </c>
    </row>
    <row r="646" spans="2:9">
      <c r="B646" s="27">
        <v>45174</v>
      </c>
      <c r="C646" s="28" t="s">
        <v>631</v>
      </c>
      <c r="D646" s="28">
        <v>591.21</v>
      </c>
      <c r="E646" s="28" t="s">
        <v>1814</v>
      </c>
      <c r="F646" s="28">
        <v>336.61</v>
      </c>
      <c r="G646" s="28">
        <v>161.1</v>
      </c>
      <c r="H646" s="28" t="s">
        <v>2987</v>
      </c>
      <c r="I646" s="28">
        <v>419.8</v>
      </c>
    </row>
    <row r="647" spans="2:9">
      <c r="B647" s="27">
        <v>45173</v>
      </c>
      <c r="C647" s="28" t="s">
        <v>632</v>
      </c>
      <c r="D647" s="28">
        <v>589.83000000000004</v>
      </c>
      <c r="E647" s="28" t="s">
        <v>1815</v>
      </c>
      <c r="F647" s="28">
        <v>338.75</v>
      </c>
      <c r="G647" s="28">
        <v>160.05000000000001</v>
      </c>
      <c r="H647" s="28" t="s">
        <v>2988</v>
      </c>
      <c r="I647" s="28">
        <v>422.4</v>
      </c>
    </row>
    <row r="648" spans="2:9">
      <c r="B648" s="27">
        <v>45170</v>
      </c>
      <c r="C648" s="28" t="s">
        <v>633</v>
      </c>
      <c r="D648" s="28">
        <v>599.88</v>
      </c>
      <c r="E648" s="28" t="s">
        <v>1816</v>
      </c>
      <c r="F648" s="28">
        <v>338.5</v>
      </c>
      <c r="G648" s="28">
        <v>160.35</v>
      </c>
      <c r="H648" s="28" t="s">
        <v>2989</v>
      </c>
      <c r="I648" s="28">
        <v>418.25</v>
      </c>
    </row>
    <row r="649" spans="2:9">
      <c r="B649" s="27">
        <v>45169</v>
      </c>
      <c r="C649" s="28" t="s">
        <v>634</v>
      </c>
      <c r="D649" s="28">
        <v>598.83000000000004</v>
      </c>
      <c r="E649" s="28" t="s">
        <v>1817</v>
      </c>
      <c r="F649" s="28">
        <v>331.18</v>
      </c>
      <c r="G649" s="28">
        <v>161.44999999999999</v>
      </c>
      <c r="H649" s="28" t="s">
        <v>2990</v>
      </c>
      <c r="I649" s="28">
        <v>409.8</v>
      </c>
    </row>
    <row r="650" spans="2:9">
      <c r="B650" s="27">
        <v>45168</v>
      </c>
      <c r="C650" s="28" t="s">
        <v>635</v>
      </c>
      <c r="D650" s="28">
        <v>596.38</v>
      </c>
      <c r="E650" s="28" t="s">
        <v>1818</v>
      </c>
      <c r="F650" s="28">
        <v>333.42</v>
      </c>
      <c r="G650" s="28">
        <v>163</v>
      </c>
      <c r="H650" s="28" t="s">
        <v>2991</v>
      </c>
      <c r="I650" s="28">
        <v>408.35</v>
      </c>
    </row>
    <row r="651" spans="2:9">
      <c r="B651" s="27">
        <v>45167</v>
      </c>
      <c r="C651" s="28" t="s">
        <v>636</v>
      </c>
      <c r="D651" s="28">
        <v>600.38</v>
      </c>
      <c r="E651" s="28" t="s">
        <v>1819</v>
      </c>
      <c r="F651" s="28">
        <v>328.19</v>
      </c>
      <c r="G651" s="28">
        <v>164.3</v>
      </c>
      <c r="H651" s="28" t="s">
        <v>2992</v>
      </c>
      <c r="I651" s="28">
        <v>407.3</v>
      </c>
    </row>
    <row r="652" spans="2:9">
      <c r="B652" s="27">
        <v>45166</v>
      </c>
      <c r="C652" s="28" t="s">
        <v>637</v>
      </c>
      <c r="D652" s="28">
        <v>590.83000000000004</v>
      </c>
      <c r="E652" s="28" t="s">
        <v>1820</v>
      </c>
      <c r="F652" s="28">
        <v>325.56</v>
      </c>
      <c r="G652" s="28">
        <v>163.4</v>
      </c>
      <c r="H652" s="28" t="s">
        <v>2993</v>
      </c>
      <c r="I652" s="28">
        <v>409.6</v>
      </c>
    </row>
    <row r="653" spans="2:9">
      <c r="B653" s="27">
        <v>45163</v>
      </c>
      <c r="C653" s="28" t="s">
        <v>638</v>
      </c>
      <c r="D653" s="28">
        <v>586.96</v>
      </c>
      <c r="E653" s="28" t="s">
        <v>1821</v>
      </c>
      <c r="F653" s="28">
        <v>320.77999999999997</v>
      </c>
      <c r="G653" s="28">
        <v>157</v>
      </c>
      <c r="H653" s="28" t="s">
        <v>2994</v>
      </c>
      <c r="I653" s="28">
        <v>404.6</v>
      </c>
    </row>
    <row r="654" spans="2:9">
      <c r="B654" s="27">
        <v>45162</v>
      </c>
      <c r="C654" s="28" t="s">
        <v>639</v>
      </c>
      <c r="D654" s="28">
        <v>594.46</v>
      </c>
      <c r="E654" s="28" t="s">
        <v>1822</v>
      </c>
      <c r="F654" s="28">
        <v>322.52</v>
      </c>
      <c r="G654" s="28">
        <v>160.1</v>
      </c>
      <c r="H654" s="28" t="s">
        <v>2995</v>
      </c>
      <c r="I654" s="28">
        <v>416.15</v>
      </c>
    </row>
    <row r="655" spans="2:9">
      <c r="B655" s="27">
        <v>45161</v>
      </c>
      <c r="C655" s="28" t="s">
        <v>640</v>
      </c>
      <c r="D655" s="28">
        <v>585.66999999999996</v>
      </c>
      <c r="E655" s="28" t="s">
        <v>1823</v>
      </c>
      <c r="F655" s="28">
        <v>319.77999999999997</v>
      </c>
      <c r="G655" s="28">
        <v>160.55000000000001</v>
      </c>
      <c r="H655" s="28" t="s">
        <v>2996</v>
      </c>
      <c r="I655" s="28">
        <v>417.5</v>
      </c>
    </row>
    <row r="656" spans="2:9">
      <c r="B656" s="27">
        <v>45160</v>
      </c>
      <c r="C656" s="28" t="s">
        <v>641</v>
      </c>
      <c r="D656" s="28">
        <v>588.04</v>
      </c>
      <c r="E656" s="28" t="s">
        <v>1824</v>
      </c>
      <c r="F656" s="28">
        <v>324.41000000000003</v>
      </c>
      <c r="G656" s="28">
        <v>162.35</v>
      </c>
      <c r="H656" s="28" t="s">
        <v>2997</v>
      </c>
      <c r="I656" s="28">
        <v>426.8</v>
      </c>
    </row>
    <row r="657" spans="2:9">
      <c r="B657" s="27">
        <v>45159</v>
      </c>
      <c r="C657" s="28" t="s">
        <v>642</v>
      </c>
      <c r="D657" s="28">
        <v>588.16999999999996</v>
      </c>
      <c r="E657" s="28" t="s">
        <v>1825</v>
      </c>
      <c r="F657" s="28">
        <v>324.51</v>
      </c>
      <c r="G657" s="28">
        <v>161</v>
      </c>
      <c r="H657" s="28" t="s">
        <v>2998</v>
      </c>
      <c r="I657" s="28">
        <v>424.4</v>
      </c>
    </row>
    <row r="658" spans="2:9">
      <c r="B658" s="27">
        <v>45156</v>
      </c>
      <c r="C658" s="28" t="s">
        <v>643</v>
      </c>
      <c r="D658" s="28">
        <v>587.71</v>
      </c>
      <c r="E658" s="28" t="s">
        <v>1826</v>
      </c>
      <c r="F658" s="28">
        <v>326.64999999999998</v>
      </c>
      <c r="G658" s="28">
        <v>156.6</v>
      </c>
      <c r="H658" s="28" t="s">
        <v>2999</v>
      </c>
      <c r="I658" s="28">
        <v>418.2</v>
      </c>
    </row>
    <row r="659" spans="2:9">
      <c r="B659" s="27">
        <v>45155</v>
      </c>
      <c r="C659" s="28" t="s">
        <v>644</v>
      </c>
      <c r="D659" s="28">
        <v>587.54</v>
      </c>
      <c r="E659" s="28" t="s">
        <v>1827</v>
      </c>
      <c r="F659" s="28">
        <v>320.58</v>
      </c>
      <c r="G659" s="28">
        <v>155.55000000000001</v>
      </c>
      <c r="H659" s="28" t="s">
        <v>3000</v>
      </c>
      <c r="I659" s="28">
        <v>398.55</v>
      </c>
    </row>
    <row r="660" spans="2:9">
      <c r="B660" s="27">
        <v>45154</v>
      </c>
      <c r="C660" s="28" t="s">
        <v>645</v>
      </c>
      <c r="D660" s="28">
        <v>581.79</v>
      </c>
      <c r="E660" s="28" t="s">
        <v>1828</v>
      </c>
      <c r="F660" s="28">
        <v>323.91000000000003</v>
      </c>
      <c r="G660" s="28">
        <v>158</v>
      </c>
      <c r="H660" s="28" t="s">
        <v>3001</v>
      </c>
      <c r="I660" s="28">
        <v>398.6</v>
      </c>
    </row>
    <row r="661" spans="2:9">
      <c r="B661" s="27">
        <v>45152</v>
      </c>
      <c r="C661" s="28" t="s">
        <v>646</v>
      </c>
      <c r="D661" s="28">
        <v>582.79</v>
      </c>
      <c r="E661" s="28" t="s">
        <v>1829</v>
      </c>
      <c r="F661" s="28">
        <v>320.18</v>
      </c>
      <c r="G661" s="28">
        <v>153.25</v>
      </c>
      <c r="H661" s="28" t="s">
        <v>3002</v>
      </c>
      <c r="I661" s="28">
        <v>391.95</v>
      </c>
    </row>
    <row r="662" spans="2:9">
      <c r="B662" s="27">
        <v>45149</v>
      </c>
      <c r="C662" s="28" t="s">
        <v>647</v>
      </c>
      <c r="D662" s="28">
        <v>583.91999999999996</v>
      </c>
      <c r="E662" s="28" t="s">
        <v>1830</v>
      </c>
      <c r="F662" s="28">
        <v>327.55</v>
      </c>
      <c r="G662" s="28">
        <v>156.55000000000001</v>
      </c>
      <c r="H662" s="28" t="s">
        <v>3003</v>
      </c>
      <c r="I662" s="28">
        <v>387.5</v>
      </c>
    </row>
    <row r="663" spans="2:9">
      <c r="B663" s="27">
        <v>45148</v>
      </c>
      <c r="C663" s="28" t="s">
        <v>648</v>
      </c>
      <c r="D663" s="28">
        <v>577.63</v>
      </c>
      <c r="E663" s="28" t="s">
        <v>1831</v>
      </c>
      <c r="F663" s="28">
        <v>328.94</v>
      </c>
      <c r="G663" s="28">
        <v>156.75</v>
      </c>
      <c r="H663" s="28" t="s">
        <v>3004</v>
      </c>
      <c r="I663" s="28">
        <v>393.15</v>
      </c>
    </row>
    <row r="664" spans="2:9">
      <c r="B664" s="27">
        <v>45147</v>
      </c>
      <c r="C664" s="28" t="s">
        <v>649</v>
      </c>
      <c r="D664" s="28">
        <v>582.16999999999996</v>
      </c>
      <c r="E664" s="28" t="s">
        <v>1832</v>
      </c>
      <c r="F664" s="28">
        <v>328.54</v>
      </c>
      <c r="G664" s="28">
        <v>157.19999999999999</v>
      </c>
      <c r="H664" s="28" t="s">
        <v>3005</v>
      </c>
      <c r="I664" s="28">
        <v>393.2</v>
      </c>
    </row>
    <row r="665" spans="2:9">
      <c r="B665" s="27">
        <v>45146</v>
      </c>
      <c r="C665" s="28" t="s">
        <v>650</v>
      </c>
      <c r="D665" s="28">
        <v>591.08000000000004</v>
      </c>
      <c r="E665" s="28" t="s">
        <v>1833</v>
      </c>
      <c r="F665" s="28">
        <v>327.99</v>
      </c>
      <c r="G665" s="28">
        <v>156.05000000000001</v>
      </c>
      <c r="H665" s="28" t="s">
        <v>3006</v>
      </c>
      <c r="I665" s="28">
        <v>387.65</v>
      </c>
    </row>
    <row r="666" spans="2:9">
      <c r="B666" s="27">
        <v>45145</v>
      </c>
      <c r="C666" s="28" t="s">
        <v>651</v>
      </c>
      <c r="D666" s="28">
        <v>589.04</v>
      </c>
      <c r="E666" s="28" t="s">
        <v>1834</v>
      </c>
      <c r="F666" s="28">
        <v>327</v>
      </c>
      <c r="G666" s="28">
        <v>156.4</v>
      </c>
      <c r="H666" s="28" t="s">
        <v>3007</v>
      </c>
      <c r="I666" s="28">
        <v>382.55</v>
      </c>
    </row>
    <row r="667" spans="2:9">
      <c r="B667" s="27">
        <v>45142</v>
      </c>
      <c r="C667" s="28" t="s">
        <v>652</v>
      </c>
      <c r="D667" s="28">
        <v>587.21</v>
      </c>
      <c r="E667" s="28" t="s">
        <v>1835</v>
      </c>
      <c r="F667" s="28">
        <v>325.64999999999998</v>
      </c>
      <c r="G667" s="28">
        <v>155</v>
      </c>
      <c r="H667" s="28" t="s">
        <v>3008</v>
      </c>
      <c r="I667" s="28">
        <v>395.7</v>
      </c>
    </row>
    <row r="668" spans="2:9">
      <c r="B668" s="27">
        <v>45141</v>
      </c>
      <c r="C668" s="28" t="s">
        <v>653</v>
      </c>
      <c r="D668" s="28">
        <v>582.08000000000004</v>
      </c>
      <c r="E668" s="28" t="s">
        <v>1836</v>
      </c>
      <c r="F668" s="28">
        <v>319.08</v>
      </c>
      <c r="G668" s="28">
        <v>154.44999999999999</v>
      </c>
      <c r="H668" s="28" t="s">
        <v>3009</v>
      </c>
      <c r="I668" s="28">
        <v>365.55</v>
      </c>
    </row>
    <row r="669" spans="2:9">
      <c r="B669" s="27">
        <v>45140</v>
      </c>
      <c r="C669" s="28" t="s">
        <v>654</v>
      </c>
      <c r="D669" s="28">
        <v>593.04</v>
      </c>
      <c r="E669" s="28" t="s">
        <v>1837</v>
      </c>
      <c r="F669" s="28">
        <v>335.51</v>
      </c>
      <c r="G669" s="28">
        <v>153.9</v>
      </c>
      <c r="H669" s="28" t="s">
        <v>3010</v>
      </c>
      <c r="I669" s="28">
        <v>370.8</v>
      </c>
    </row>
    <row r="670" spans="2:9">
      <c r="B670" s="27">
        <v>45139</v>
      </c>
      <c r="C670" s="28" t="s">
        <v>655</v>
      </c>
      <c r="D670" s="28">
        <v>585.33000000000004</v>
      </c>
      <c r="E670" s="28" t="s">
        <v>1838</v>
      </c>
      <c r="F670" s="28">
        <v>337.4</v>
      </c>
      <c r="G670" s="28">
        <v>154.80000000000001</v>
      </c>
      <c r="H670" s="28" t="s">
        <v>3011</v>
      </c>
      <c r="I670" s="28">
        <v>381.25</v>
      </c>
    </row>
    <row r="671" spans="2:9">
      <c r="B671" s="27">
        <v>45138</v>
      </c>
      <c r="C671" s="28" t="s">
        <v>656</v>
      </c>
      <c r="D671" s="28">
        <v>568.66999999999996</v>
      </c>
      <c r="E671" s="28" t="s">
        <v>1839</v>
      </c>
      <c r="F671" s="28">
        <v>333.92</v>
      </c>
      <c r="G671" s="28">
        <v>154.1</v>
      </c>
      <c r="H671" s="28" t="s">
        <v>3012</v>
      </c>
      <c r="I671" s="28">
        <v>373.25</v>
      </c>
    </row>
    <row r="672" spans="2:9">
      <c r="B672" s="27">
        <v>45135</v>
      </c>
      <c r="C672" s="28" t="s">
        <v>657</v>
      </c>
      <c r="D672" s="28">
        <v>566.38</v>
      </c>
      <c r="E672" s="28" t="s">
        <v>1840</v>
      </c>
      <c r="F672" s="28">
        <v>326.14999999999998</v>
      </c>
      <c r="G672" s="28">
        <v>154.80000000000001</v>
      </c>
      <c r="H672" s="28" t="s">
        <v>3013</v>
      </c>
      <c r="I672" s="28">
        <v>372.8</v>
      </c>
    </row>
    <row r="673" spans="2:9">
      <c r="B673" s="27">
        <v>45134</v>
      </c>
      <c r="C673" s="28" t="s">
        <v>658</v>
      </c>
      <c r="D673" s="28">
        <v>561.71</v>
      </c>
      <c r="E673" s="28" t="s">
        <v>1841</v>
      </c>
      <c r="F673" s="28">
        <v>324.06</v>
      </c>
      <c r="G673" s="28">
        <v>154.85</v>
      </c>
      <c r="H673" s="28" t="s">
        <v>3014</v>
      </c>
      <c r="I673" s="28">
        <v>362.1</v>
      </c>
    </row>
    <row r="674" spans="2:9">
      <c r="B674" s="27">
        <v>45133</v>
      </c>
      <c r="C674" s="28" t="s">
        <v>659</v>
      </c>
      <c r="D674" s="28">
        <v>561.25</v>
      </c>
      <c r="E674" s="28" t="s">
        <v>1842</v>
      </c>
      <c r="F674" s="28">
        <v>322.27</v>
      </c>
      <c r="G674" s="28">
        <v>152.4</v>
      </c>
      <c r="H674" s="28" t="s">
        <v>3015</v>
      </c>
      <c r="I674" s="28">
        <v>369.7</v>
      </c>
    </row>
    <row r="675" spans="2:9">
      <c r="B675" s="27">
        <v>45132</v>
      </c>
      <c r="C675" s="28" t="s">
        <v>660</v>
      </c>
      <c r="D675" s="28">
        <v>562.96</v>
      </c>
      <c r="E675" s="28" t="s">
        <v>1843</v>
      </c>
      <c r="F675" s="28">
        <v>320.18</v>
      </c>
      <c r="G675" s="28">
        <v>153.4</v>
      </c>
      <c r="H675" s="28" t="s">
        <v>3016</v>
      </c>
      <c r="I675" s="28">
        <v>368.65</v>
      </c>
    </row>
    <row r="676" spans="2:9">
      <c r="B676" s="27">
        <v>45131</v>
      </c>
      <c r="C676" s="28" t="s">
        <v>661</v>
      </c>
      <c r="D676" s="28">
        <v>571.54</v>
      </c>
      <c r="E676" s="28" t="s">
        <v>1844</v>
      </c>
      <c r="F676" s="28">
        <v>321.52</v>
      </c>
      <c r="G676" s="28">
        <v>154.05000000000001</v>
      </c>
      <c r="H676" s="28" t="s">
        <v>3017</v>
      </c>
      <c r="I676" s="28">
        <v>365.05</v>
      </c>
    </row>
    <row r="677" spans="2:9">
      <c r="B677" s="27">
        <v>45128</v>
      </c>
      <c r="C677" s="28" t="s">
        <v>662</v>
      </c>
      <c r="D677" s="28">
        <v>575.96</v>
      </c>
      <c r="E677" s="28" t="s">
        <v>1845</v>
      </c>
      <c r="F677" s="28">
        <v>321.37</v>
      </c>
      <c r="G677" s="28">
        <v>154.05000000000001</v>
      </c>
      <c r="H677" s="28" t="s">
        <v>3018</v>
      </c>
      <c r="I677" s="28">
        <v>353.65</v>
      </c>
    </row>
    <row r="678" spans="2:9">
      <c r="B678" s="27">
        <v>45127</v>
      </c>
      <c r="C678" s="28" t="s">
        <v>663</v>
      </c>
      <c r="D678" s="28">
        <v>570.41999999999996</v>
      </c>
      <c r="E678" s="28" t="s">
        <v>1846</v>
      </c>
      <c r="F678" s="28">
        <v>316.99</v>
      </c>
      <c r="G678" s="28">
        <v>154</v>
      </c>
      <c r="H678" s="28" t="s">
        <v>3019</v>
      </c>
      <c r="I678" s="28">
        <v>347.85</v>
      </c>
    </row>
    <row r="679" spans="2:9">
      <c r="B679" s="27">
        <v>45126</v>
      </c>
      <c r="C679" s="28" t="s">
        <v>664</v>
      </c>
      <c r="D679" s="28">
        <v>569.63</v>
      </c>
      <c r="E679" s="28" t="s">
        <v>1847</v>
      </c>
      <c r="F679" s="28">
        <v>314.01</v>
      </c>
      <c r="G679" s="28">
        <v>153.30000000000001</v>
      </c>
      <c r="H679" s="28" t="s">
        <v>3020</v>
      </c>
      <c r="I679" s="28">
        <v>345.75</v>
      </c>
    </row>
    <row r="680" spans="2:9">
      <c r="B680" s="27">
        <v>45125</v>
      </c>
      <c r="C680" s="28" t="s">
        <v>665</v>
      </c>
      <c r="D680" s="28">
        <v>565.88</v>
      </c>
      <c r="E680" s="28" t="s">
        <v>1848</v>
      </c>
      <c r="F680" s="28">
        <v>313.56</v>
      </c>
      <c r="G680" s="28">
        <v>154.80000000000001</v>
      </c>
      <c r="H680" s="28" t="s">
        <v>3021</v>
      </c>
      <c r="I680" s="28">
        <v>343.9</v>
      </c>
    </row>
    <row r="681" spans="2:9">
      <c r="B681" s="27">
        <v>45124</v>
      </c>
      <c r="C681" s="28" t="s">
        <v>666</v>
      </c>
      <c r="D681" s="28">
        <v>560.88</v>
      </c>
      <c r="E681" s="28" t="s">
        <v>1849</v>
      </c>
      <c r="F681" s="28">
        <v>310.52</v>
      </c>
      <c r="G681" s="28">
        <v>154.65</v>
      </c>
      <c r="H681" s="28" t="s">
        <v>3022</v>
      </c>
      <c r="I681" s="28">
        <v>345.85</v>
      </c>
    </row>
    <row r="682" spans="2:9">
      <c r="B682" s="27">
        <v>45121</v>
      </c>
      <c r="C682" s="28" t="s">
        <v>667</v>
      </c>
      <c r="D682" s="28">
        <v>556.75</v>
      </c>
      <c r="E682" s="28" t="s">
        <v>1850</v>
      </c>
      <c r="F682" s="28">
        <v>306.54000000000002</v>
      </c>
      <c r="G682" s="28">
        <v>155.85</v>
      </c>
      <c r="H682" s="28" t="s">
        <v>3023</v>
      </c>
      <c r="I682" s="28">
        <v>349.15</v>
      </c>
    </row>
    <row r="683" spans="2:9">
      <c r="B683" s="27">
        <v>45120</v>
      </c>
      <c r="C683" s="28" t="s">
        <v>668</v>
      </c>
      <c r="D683" s="28">
        <v>551.25</v>
      </c>
      <c r="E683" s="28" t="s">
        <v>1851</v>
      </c>
      <c r="F683" s="28">
        <v>303.64999999999998</v>
      </c>
      <c r="G683" s="28">
        <v>152.1</v>
      </c>
      <c r="H683" s="28" t="s">
        <v>3024</v>
      </c>
      <c r="I683" s="28">
        <v>350.55</v>
      </c>
    </row>
    <row r="684" spans="2:9">
      <c r="B684" s="27">
        <v>45119</v>
      </c>
      <c r="C684" s="28" t="s">
        <v>669</v>
      </c>
      <c r="D684" s="28">
        <v>557.66999999999996</v>
      </c>
      <c r="E684" s="28" t="s">
        <v>1852</v>
      </c>
      <c r="F684" s="28">
        <v>301.36</v>
      </c>
      <c r="G684" s="28">
        <v>154.15</v>
      </c>
      <c r="H684" s="28" t="s">
        <v>3025</v>
      </c>
      <c r="I684" s="28">
        <v>356.5</v>
      </c>
    </row>
    <row r="685" spans="2:9">
      <c r="B685" s="27">
        <v>45118</v>
      </c>
      <c r="C685" s="28" t="s">
        <v>670</v>
      </c>
      <c r="D685" s="28">
        <v>558.46</v>
      </c>
      <c r="E685" s="28" t="s">
        <v>1853</v>
      </c>
      <c r="F685" s="28">
        <v>303.89999999999998</v>
      </c>
      <c r="G685" s="28">
        <v>153.69999999999999</v>
      </c>
      <c r="H685" s="28" t="s">
        <v>3026</v>
      </c>
      <c r="I685" s="28">
        <v>358.9</v>
      </c>
    </row>
    <row r="686" spans="2:9">
      <c r="B686" s="27">
        <v>45117</v>
      </c>
      <c r="C686" s="28" t="s">
        <v>671</v>
      </c>
      <c r="D686" s="28">
        <v>555.54</v>
      </c>
      <c r="E686" s="28" t="s">
        <v>1854</v>
      </c>
      <c r="F686" s="28">
        <v>306.99</v>
      </c>
      <c r="G686" s="28">
        <v>152.80000000000001</v>
      </c>
      <c r="H686" s="28" t="s">
        <v>3027</v>
      </c>
      <c r="I686" s="28">
        <v>356.8</v>
      </c>
    </row>
    <row r="687" spans="2:9">
      <c r="B687" s="27">
        <v>45114</v>
      </c>
      <c r="C687" s="28" t="s">
        <v>672</v>
      </c>
      <c r="D687" s="28">
        <v>560.71</v>
      </c>
      <c r="E687" s="28" t="s">
        <v>1855</v>
      </c>
      <c r="F687" s="28">
        <v>312.41000000000003</v>
      </c>
      <c r="G687" s="28">
        <v>153.35</v>
      </c>
      <c r="H687" s="28" t="s">
        <v>2927</v>
      </c>
      <c r="I687" s="28">
        <v>358.2</v>
      </c>
    </row>
    <row r="688" spans="2:9">
      <c r="B688" s="27">
        <v>45113</v>
      </c>
      <c r="C688" s="28" t="s">
        <v>673</v>
      </c>
      <c r="D688" s="28">
        <v>567.16999999999996</v>
      </c>
      <c r="E688" s="28" t="s">
        <v>1856</v>
      </c>
      <c r="F688" s="28">
        <v>318.39</v>
      </c>
      <c r="G688" s="28">
        <v>154.19999999999999</v>
      </c>
      <c r="H688" s="28" t="s">
        <v>3028</v>
      </c>
      <c r="I688" s="28">
        <v>360.4</v>
      </c>
    </row>
    <row r="689" spans="2:9">
      <c r="B689" s="27">
        <v>45112</v>
      </c>
      <c r="C689" s="28" t="s">
        <v>674</v>
      </c>
      <c r="D689" s="28">
        <v>564.16999999999996</v>
      </c>
      <c r="E689" s="28" t="s">
        <v>1857</v>
      </c>
      <c r="F689" s="28">
        <v>321.87</v>
      </c>
      <c r="G689" s="28">
        <v>153.94999999999999</v>
      </c>
      <c r="H689" s="28" t="s">
        <v>3029</v>
      </c>
      <c r="I689" s="28">
        <v>356.95</v>
      </c>
    </row>
    <row r="690" spans="2:9">
      <c r="B690" s="27">
        <v>45111</v>
      </c>
      <c r="C690" s="28" t="s">
        <v>675</v>
      </c>
      <c r="D690" s="28">
        <v>558.71</v>
      </c>
      <c r="E690" s="28" t="s">
        <v>1858</v>
      </c>
      <c r="F690" s="28">
        <v>317.69</v>
      </c>
      <c r="G690" s="28">
        <v>150.69999999999999</v>
      </c>
      <c r="H690" s="28" t="s">
        <v>3030</v>
      </c>
      <c r="I690" s="28">
        <v>353.65</v>
      </c>
    </row>
    <row r="691" spans="2:9">
      <c r="B691" s="27">
        <v>45110</v>
      </c>
      <c r="C691" s="28" t="s">
        <v>676</v>
      </c>
      <c r="D691" s="28">
        <v>562.5</v>
      </c>
      <c r="E691" s="28" t="s">
        <v>1859</v>
      </c>
      <c r="F691" s="28">
        <v>306.33999999999997</v>
      </c>
      <c r="G691" s="28">
        <v>150.69999999999999</v>
      </c>
      <c r="H691" s="28" t="s">
        <v>3031</v>
      </c>
      <c r="I691" s="28">
        <v>356.05</v>
      </c>
    </row>
    <row r="692" spans="2:9">
      <c r="B692" s="27">
        <v>45107</v>
      </c>
      <c r="C692" s="28" t="s">
        <v>677</v>
      </c>
      <c r="D692" s="28">
        <v>565.08000000000004</v>
      </c>
      <c r="E692" s="28" t="s">
        <v>1860</v>
      </c>
      <c r="F692" s="28">
        <v>298.97000000000003</v>
      </c>
      <c r="G692" s="28">
        <v>152.4</v>
      </c>
      <c r="H692" s="28" t="s">
        <v>3032</v>
      </c>
      <c r="I692" s="28">
        <v>345.7</v>
      </c>
    </row>
    <row r="693" spans="2:9">
      <c r="B693" s="27">
        <v>45105</v>
      </c>
      <c r="C693" s="28" t="s">
        <v>678</v>
      </c>
      <c r="D693" s="28">
        <v>562.63</v>
      </c>
      <c r="E693" s="28" t="s">
        <v>1861</v>
      </c>
      <c r="F693" s="28">
        <v>303.29000000000002</v>
      </c>
      <c r="G693" s="28">
        <v>149.15</v>
      </c>
      <c r="H693" s="28" t="s">
        <v>3033</v>
      </c>
      <c r="I693" s="28">
        <v>347.2</v>
      </c>
    </row>
    <row r="694" spans="2:9">
      <c r="B694" s="27">
        <v>45104</v>
      </c>
      <c r="C694" s="28" t="s">
        <v>679</v>
      </c>
      <c r="D694" s="28">
        <v>565.46</v>
      </c>
      <c r="E694" s="28" t="s">
        <v>1715</v>
      </c>
      <c r="F694" s="28">
        <v>302.45999999999998</v>
      </c>
      <c r="G694" s="28">
        <v>148.65</v>
      </c>
      <c r="H694" s="28" t="s">
        <v>3034</v>
      </c>
      <c r="I694" s="28">
        <v>345.05</v>
      </c>
    </row>
    <row r="695" spans="2:9">
      <c r="B695" s="27">
        <v>45103</v>
      </c>
      <c r="C695" s="28" t="s">
        <v>680</v>
      </c>
      <c r="D695" s="28">
        <v>564.16999999999996</v>
      </c>
      <c r="E695" s="28" t="s">
        <v>1862</v>
      </c>
      <c r="F695" s="28">
        <v>305.20999999999998</v>
      </c>
      <c r="G695" s="28">
        <v>150</v>
      </c>
      <c r="H695" s="28" t="s">
        <v>3035</v>
      </c>
      <c r="I695" s="28">
        <v>351.7</v>
      </c>
    </row>
    <row r="696" spans="2:9">
      <c r="B696" s="27">
        <v>45100</v>
      </c>
      <c r="C696" s="28" t="s">
        <v>681</v>
      </c>
      <c r="D696" s="28">
        <v>563.04</v>
      </c>
      <c r="E696" s="28" t="s">
        <v>1863</v>
      </c>
      <c r="F696" s="28">
        <v>304.25</v>
      </c>
      <c r="G696" s="28">
        <v>150.35</v>
      </c>
      <c r="H696" s="28" t="s">
        <v>3036</v>
      </c>
      <c r="I696" s="28">
        <v>345.65</v>
      </c>
    </row>
    <row r="697" spans="2:9">
      <c r="B697" s="27">
        <v>45099</v>
      </c>
      <c r="C697" s="28" t="s">
        <v>682</v>
      </c>
      <c r="D697" s="28">
        <v>558.38</v>
      </c>
      <c r="E697" s="28" t="s">
        <v>1864</v>
      </c>
      <c r="F697" s="28">
        <v>307.67</v>
      </c>
      <c r="G697" s="28">
        <v>152.25</v>
      </c>
      <c r="H697" s="28" t="s">
        <v>3037</v>
      </c>
      <c r="I697" s="28">
        <v>350.6</v>
      </c>
    </row>
    <row r="698" spans="2:9">
      <c r="B698" s="27">
        <v>45098</v>
      </c>
      <c r="C698" s="28" t="s">
        <v>683</v>
      </c>
      <c r="D698" s="28">
        <v>569.58000000000004</v>
      </c>
      <c r="E698" s="28" t="s">
        <v>1791</v>
      </c>
      <c r="F698" s="28">
        <v>306.24</v>
      </c>
      <c r="G698" s="28">
        <v>151.9</v>
      </c>
      <c r="H698" s="28" t="s">
        <v>3038</v>
      </c>
      <c r="I698" s="28">
        <v>355.75</v>
      </c>
    </row>
    <row r="699" spans="2:9">
      <c r="B699" s="27">
        <v>45097</v>
      </c>
      <c r="C699" s="28" t="s">
        <v>684</v>
      </c>
      <c r="D699" s="28">
        <v>562.33000000000004</v>
      </c>
      <c r="E699" s="28" t="s">
        <v>1865</v>
      </c>
      <c r="F699" s="28">
        <v>301.5</v>
      </c>
      <c r="G699" s="28">
        <v>149.65</v>
      </c>
      <c r="H699" s="28" t="s">
        <v>3039</v>
      </c>
      <c r="I699" s="28">
        <v>360.25</v>
      </c>
    </row>
    <row r="700" spans="2:9">
      <c r="B700" s="27">
        <v>45096</v>
      </c>
      <c r="C700" s="28" t="s">
        <v>685</v>
      </c>
      <c r="D700" s="28">
        <v>563</v>
      </c>
      <c r="E700" s="28" t="s">
        <v>1866</v>
      </c>
      <c r="F700" s="28">
        <v>305.45</v>
      </c>
      <c r="G700" s="28">
        <v>150.19999999999999</v>
      </c>
      <c r="H700" s="28" t="s">
        <v>2945</v>
      </c>
      <c r="I700" s="28">
        <v>359.5</v>
      </c>
    </row>
    <row r="701" spans="2:9">
      <c r="B701" s="27">
        <v>45093</v>
      </c>
      <c r="C701" s="28" t="s">
        <v>686</v>
      </c>
      <c r="D701" s="28">
        <v>561.29</v>
      </c>
      <c r="E701" s="28" t="s">
        <v>1867</v>
      </c>
      <c r="F701" s="28">
        <v>300.5</v>
      </c>
      <c r="G701" s="28">
        <v>149.19999999999999</v>
      </c>
      <c r="H701" s="28" t="s">
        <v>3040</v>
      </c>
      <c r="I701" s="28">
        <v>352.5</v>
      </c>
    </row>
    <row r="702" spans="2:9">
      <c r="B702" s="27">
        <v>45092</v>
      </c>
      <c r="C702" s="28" t="s">
        <v>687</v>
      </c>
      <c r="D702" s="28">
        <v>563.96</v>
      </c>
      <c r="E702" s="28" t="s">
        <v>1868</v>
      </c>
      <c r="F702" s="28">
        <v>305.18</v>
      </c>
      <c r="G702" s="28">
        <v>151.1</v>
      </c>
      <c r="H702" s="28" t="s">
        <v>3041</v>
      </c>
      <c r="I702" s="28">
        <v>350.45</v>
      </c>
    </row>
    <row r="703" spans="2:9">
      <c r="B703" s="27">
        <v>45091</v>
      </c>
      <c r="C703" s="28" t="s">
        <v>688</v>
      </c>
      <c r="D703" s="28">
        <v>558.58000000000004</v>
      </c>
      <c r="E703" s="28" t="s">
        <v>1869</v>
      </c>
      <c r="F703" s="28">
        <v>298.74</v>
      </c>
      <c r="G703" s="28">
        <v>149.80000000000001</v>
      </c>
      <c r="H703" s="28" t="s">
        <v>3042</v>
      </c>
      <c r="I703" s="28">
        <v>353.15</v>
      </c>
    </row>
    <row r="704" spans="2:9">
      <c r="B704" s="27">
        <v>45090</v>
      </c>
      <c r="C704" s="28" t="s">
        <v>689</v>
      </c>
      <c r="D704" s="28">
        <v>557.63</v>
      </c>
      <c r="E704" s="28" t="s">
        <v>1870</v>
      </c>
      <c r="F704" s="28">
        <v>293.07</v>
      </c>
      <c r="G704" s="28">
        <v>148.9</v>
      </c>
      <c r="H704" s="28" t="s">
        <v>3043</v>
      </c>
      <c r="I704" s="28">
        <v>343.9</v>
      </c>
    </row>
    <row r="705" spans="2:9">
      <c r="B705" s="27">
        <v>45089</v>
      </c>
      <c r="C705" s="28" t="s">
        <v>690</v>
      </c>
      <c r="D705" s="28">
        <v>540.25</v>
      </c>
      <c r="E705" s="28" t="s">
        <v>1871</v>
      </c>
      <c r="F705" s="28">
        <v>286.2</v>
      </c>
      <c r="G705" s="28">
        <v>149.19999999999999</v>
      </c>
      <c r="H705" s="28" t="s">
        <v>3044</v>
      </c>
      <c r="I705" s="28">
        <v>339.55</v>
      </c>
    </row>
    <row r="706" spans="2:9">
      <c r="B706" s="27">
        <v>45086</v>
      </c>
      <c r="C706" s="28" t="s">
        <v>691</v>
      </c>
      <c r="D706" s="28">
        <v>539.75</v>
      </c>
      <c r="E706" s="28" t="s">
        <v>1872</v>
      </c>
      <c r="F706" s="28">
        <v>287.79000000000002</v>
      </c>
      <c r="G706" s="28">
        <v>148</v>
      </c>
      <c r="H706" s="28" t="s">
        <v>3045</v>
      </c>
      <c r="I706" s="28">
        <v>343.75</v>
      </c>
    </row>
    <row r="707" spans="2:9">
      <c r="B707" s="27">
        <v>45085</v>
      </c>
      <c r="C707" s="28" t="s">
        <v>692</v>
      </c>
      <c r="D707" s="28">
        <v>541.91999999999996</v>
      </c>
      <c r="E707" s="28" t="s">
        <v>1873</v>
      </c>
      <c r="F707" s="28">
        <v>285.52999999999997</v>
      </c>
      <c r="G707" s="28">
        <v>147.85</v>
      </c>
      <c r="H707" s="28" t="s">
        <v>3046</v>
      </c>
      <c r="I707" s="28">
        <v>345.1</v>
      </c>
    </row>
    <row r="708" spans="2:9">
      <c r="B708" s="27">
        <v>45084</v>
      </c>
      <c r="C708" s="28" t="s">
        <v>693</v>
      </c>
      <c r="D708" s="28">
        <v>543.79</v>
      </c>
      <c r="E708" s="28" t="s">
        <v>1874</v>
      </c>
      <c r="F708" s="28">
        <v>288.69</v>
      </c>
      <c r="G708" s="28">
        <v>150.15</v>
      </c>
      <c r="H708" s="28" t="s">
        <v>3047</v>
      </c>
      <c r="I708" s="28">
        <v>318.25</v>
      </c>
    </row>
    <row r="709" spans="2:9">
      <c r="B709" s="27">
        <v>45083</v>
      </c>
      <c r="C709" s="28" t="s">
        <v>694</v>
      </c>
      <c r="D709" s="28">
        <v>543.58000000000004</v>
      </c>
      <c r="E709" s="28" t="s">
        <v>1875</v>
      </c>
      <c r="F709" s="28">
        <v>283.67</v>
      </c>
      <c r="G709" s="28">
        <v>150.65</v>
      </c>
      <c r="H709" s="28" t="s">
        <v>27</v>
      </c>
      <c r="I709" s="28">
        <v>316.64999999999998</v>
      </c>
    </row>
    <row r="710" spans="2:9">
      <c r="B710" s="27">
        <v>45082</v>
      </c>
      <c r="C710" s="28" t="s">
        <v>695</v>
      </c>
      <c r="D710" s="28">
        <v>541.75</v>
      </c>
      <c r="E710" s="28" t="s">
        <v>1876</v>
      </c>
      <c r="F710" s="28">
        <v>283.97000000000003</v>
      </c>
      <c r="G710" s="28">
        <v>151.1</v>
      </c>
      <c r="H710" s="28" t="s">
        <v>3048</v>
      </c>
      <c r="I710" s="28">
        <v>307.25</v>
      </c>
    </row>
    <row r="711" spans="2:9">
      <c r="B711" s="27">
        <v>45079</v>
      </c>
      <c r="C711" s="28" t="s">
        <v>696</v>
      </c>
      <c r="D711" s="28">
        <v>543.71</v>
      </c>
      <c r="E711" s="28" t="s">
        <v>1563</v>
      </c>
      <c r="F711" s="28">
        <v>282.81</v>
      </c>
      <c r="G711" s="28">
        <v>152.30000000000001</v>
      </c>
      <c r="H711" s="28" t="s">
        <v>237</v>
      </c>
      <c r="I711" s="28">
        <v>305.45</v>
      </c>
    </row>
    <row r="712" spans="2:9">
      <c r="B712" s="27">
        <v>45078</v>
      </c>
      <c r="C712" s="28" t="s">
        <v>697</v>
      </c>
      <c r="D712" s="28">
        <v>542.08000000000004</v>
      </c>
      <c r="E712" s="28" t="s">
        <v>1877</v>
      </c>
      <c r="F712" s="28">
        <v>285.86</v>
      </c>
      <c r="G712" s="28">
        <v>154</v>
      </c>
      <c r="H712" s="28" t="s">
        <v>3049</v>
      </c>
      <c r="I712" s="28">
        <v>304.95</v>
      </c>
    </row>
    <row r="713" spans="2:9">
      <c r="B713" s="27">
        <v>45077</v>
      </c>
      <c r="C713" s="28" t="s">
        <v>698</v>
      </c>
      <c r="D713" s="28">
        <v>542.04</v>
      </c>
      <c r="E713" s="28" t="s">
        <v>1878</v>
      </c>
      <c r="F713" s="28">
        <v>292.60000000000002</v>
      </c>
      <c r="G713" s="28">
        <v>155.30000000000001</v>
      </c>
      <c r="H713" s="28" t="s">
        <v>3050</v>
      </c>
      <c r="I713" s="28">
        <v>301.05</v>
      </c>
    </row>
    <row r="714" spans="2:9">
      <c r="B714" s="27">
        <v>45076</v>
      </c>
      <c r="C714" s="28" t="s">
        <v>699</v>
      </c>
      <c r="D714" s="28">
        <v>540.71</v>
      </c>
      <c r="E714" s="28" t="s">
        <v>1879</v>
      </c>
      <c r="F714" s="28">
        <v>282.25</v>
      </c>
      <c r="G714" s="28">
        <v>152.6</v>
      </c>
      <c r="H714" s="28" t="s">
        <v>3051</v>
      </c>
      <c r="I714" s="28">
        <v>299.55</v>
      </c>
    </row>
    <row r="715" spans="2:9">
      <c r="B715" s="27">
        <v>45075</v>
      </c>
      <c r="C715" s="28" t="s">
        <v>700</v>
      </c>
      <c r="D715" s="28">
        <v>534.13</v>
      </c>
      <c r="E715" s="28" t="s">
        <v>1880</v>
      </c>
      <c r="F715" s="28">
        <v>274.55</v>
      </c>
      <c r="G715" s="28">
        <v>151.4</v>
      </c>
      <c r="H715" s="28" t="s">
        <v>3052</v>
      </c>
      <c r="I715" s="28">
        <v>299.75</v>
      </c>
    </row>
    <row r="716" spans="2:9">
      <c r="B716" s="27">
        <v>45072</v>
      </c>
      <c r="C716" s="28" t="s">
        <v>701</v>
      </c>
      <c r="D716" s="28">
        <v>539.25</v>
      </c>
      <c r="E716" s="28" t="s">
        <v>1881</v>
      </c>
      <c r="F716" s="28">
        <v>272.33</v>
      </c>
      <c r="G716" s="28">
        <v>154</v>
      </c>
      <c r="H716" s="28" t="s">
        <v>3053</v>
      </c>
      <c r="I716" s="28">
        <v>298.95</v>
      </c>
    </row>
    <row r="717" spans="2:9">
      <c r="B717" s="27">
        <v>45071</v>
      </c>
      <c r="C717" s="28" t="s">
        <v>702</v>
      </c>
      <c r="D717" s="28">
        <v>534.66999999999996</v>
      </c>
      <c r="E717" s="28" t="s">
        <v>1882</v>
      </c>
      <c r="F717" s="28">
        <v>272.23</v>
      </c>
      <c r="G717" s="28">
        <v>153.9</v>
      </c>
      <c r="H717" s="28" t="s">
        <v>3054</v>
      </c>
      <c r="I717" s="28">
        <v>302.10000000000002</v>
      </c>
    </row>
    <row r="718" spans="2:9">
      <c r="B718" s="27">
        <v>45070</v>
      </c>
      <c r="C718" s="28" t="s">
        <v>703</v>
      </c>
      <c r="D718" s="28">
        <v>528.75</v>
      </c>
      <c r="E718" s="28" t="s">
        <v>1883</v>
      </c>
      <c r="F718" s="28">
        <v>272.92</v>
      </c>
      <c r="G718" s="28">
        <v>159.4</v>
      </c>
      <c r="H718" s="28" t="s">
        <v>3055</v>
      </c>
      <c r="I718" s="28">
        <v>304.64999999999998</v>
      </c>
    </row>
    <row r="719" spans="2:9">
      <c r="B719" s="27">
        <v>45069</v>
      </c>
      <c r="C719" s="28" t="s">
        <v>704</v>
      </c>
      <c r="D719" s="28">
        <v>525.16999999999996</v>
      </c>
      <c r="E719" s="28" t="s">
        <v>1884</v>
      </c>
      <c r="F719" s="28">
        <v>272.06</v>
      </c>
      <c r="G719" s="28">
        <v>154.44999999999999</v>
      </c>
      <c r="H719" s="28" t="s">
        <v>2969</v>
      </c>
      <c r="I719" s="28">
        <v>315.8</v>
      </c>
    </row>
    <row r="720" spans="2:9">
      <c r="B720" s="27">
        <v>45068</v>
      </c>
      <c r="C720" s="28" t="s">
        <v>705</v>
      </c>
      <c r="D720" s="28">
        <v>521.83000000000004</v>
      </c>
      <c r="E720" s="28" t="s">
        <v>1885</v>
      </c>
      <c r="F720" s="28">
        <v>270.86</v>
      </c>
      <c r="G720" s="28">
        <v>154.35</v>
      </c>
      <c r="H720" s="28" t="s">
        <v>2362</v>
      </c>
      <c r="I720" s="28">
        <v>311.14999999999998</v>
      </c>
    </row>
    <row r="721" spans="2:9">
      <c r="B721" s="27">
        <v>45065</v>
      </c>
      <c r="C721" s="28" t="s">
        <v>410</v>
      </c>
      <c r="D721" s="28">
        <v>521.04</v>
      </c>
      <c r="E721" s="28" t="s">
        <v>1886</v>
      </c>
      <c r="F721" s="28">
        <v>271.06</v>
      </c>
      <c r="G721" s="28">
        <v>150.9</v>
      </c>
      <c r="H721" s="28" t="s">
        <v>3056</v>
      </c>
      <c r="I721" s="28">
        <v>311.10000000000002</v>
      </c>
    </row>
    <row r="722" spans="2:9">
      <c r="B722" s="27">
        <v>45064</v>
      </c>
      <c r="C722" s="28" t="s">
        <v>706</v>
      </c>
      <c r="D722" s="28">
        <v>518.96</v>
      </c>
      <c r="E722" s="28" t="s">
        <v>1887</v>
      </c>
      <c r="F722" s="28">
        <v>275.70999999999998</v>
      </c>
      <c r="G722" s="28">
        <v>150.6</v>
      </c>
      <c r="H722" s="28" t="s">
        <v>3057</v>
      </c>
      <c r="I722" s="28">
        <v>315.85000000000002</v>
      </c>
    </row>
    <row r="723" spans="2:9">
      <c r="B723" s="27">
        <v>45063</v>
      </c>
      <c r="C723" s="28" t="s">
        <v>707</v>
      </c>
      <c r="D723" s="28">
        <v>516.75</v>
      </c>
      <c r="E723" s="28" t="s">
        <v>1888</v>
      </c>
      <c r="F723" s="28">
        <v>271.26</v>
      </c>
      <c r="G723" s="28">
        <v>153.55000000000001</v>
      </c>
      <c r="H723" s="28" t="s">
        <v>3058</v>
      </c>
      <c r="I723" s="28">
        <v>324.45</v>
      </c>
    </row>
    <row r="724" spans="2:9">
      <c r="B724" s="27">
        <v>45062</v>
      </c>
      <c r="C724" s="28" t="s">
        <v>708</v>
      </c>
      <c r="D724" s="28">
        <v>510.08</v>
      </c>
      <c r="E724" s="28" t="s">
        <v>1889</v>
      </c>
      <c r="F724" s="28">
        <v>272.58999999999997</v>
      </c>
      <c r="G724" s="28">
        <v>153.94999999999999</v>
      </c>
      <c r="H724" s="28" t="s">
        <v>2962</v>
      </c>
      <c r="I724" s="28">
        <v>332.95</v>
      </c>
    </row>
    <row r="725" spans="2:9">
      <c r="B725" s="27">
        <v>45061</v>
      </c>
      <c r="C725" s="28" t="s">
        <v>709</v>
      </c>
      <c r="D725" s="28">
        <v>524.33000000000004</v>
      </c>
      <c r="E725" s="28" t="s">
        <v>1890</v>
      </c>
      <c r="F725" s="28">
        <v>272.56</v>
      </c>
      <c r="G725" s="28">
        <v>153.5</v>
      </c>
      <c r="H725" s="28" t="s">
        <v>3059</v>
      </c>
      <c r="I725" s="28">
        <v>325.85000000000002</v>
      </c>
    </row>
    <row r="726" spans="2:9">
      <c r="B726" s="27">
        <v>45058</v>
      </c>
      <c r="C726" s="28" t="s">
        <v>710</v>
      </c>
      <c r="D726" s="28">
        <v>528.04</v>
      </c>
      <c r="E726" s="28" t="s">
        <v>1891</v>
      </c>
      <c r="F726" s="28">
        <v>277.67</v>
      </c>
      <c r="G726" s="28">
        <v>146.05000000000001</v>
      </c>
      <c r="H726" s="28" t="s">
        <v>3060</v>
      </c>
      <c r="I726" s="28">
        <v>328.65</v>
      </c>
    </row>
    <row r="727" spans="2:9">
      <c r="B727" s="27">
        <v>45057</v>
      </c>
      <c r="C727" s="28" t="s">
        <v>711</v>
      </c>
      <c r="D727" s="28">
        <v>530.63</v>
      </c>
      <c r="E727" s="28" t="s">
        <v>1892</v>
      </c>
      <c r="F727" s="28">
        <v>272.33</v>
      </c>
      <c r="G727" s="28">
        <v>145.6</v>
      </c>
      <c r="H727" s="28" t="s">
        <v>3061</v>
      </c>
      <c r="I727" s="28">
        <v>336.75</v>
      </c>
    </row>
    <row r="728" spans="2:9">
      <c r="B728" s="27">
        <v>45056</v>
      </c>
      <c r="C728" s="28" t="s">
        <v>712</v>
      </c>
      <c r="D728" s="28">
        <v>523.54</v>
      </c>
      <c r="E728" s="28" t="s">
        <v>1893</v>
      </c>
      <c r="F728" s="28">
        <v>268.77</v>
      </c>
      <c r="G728" s="28">
        <v>144.30000000000001</v>
      </c>
      <c r="H728" s="28" t="s">
        <v>322</v>
      </c>
      <c r="I728" s="28">
        <v>307.77</v>
      </c>
    </row>
    <row r="729" spans="2:9">
      <c r="B729" s="27">
        <v>45055</v>
      </c>
      <c r="C729" s="28" t="s">
        <v>713</v>
      </c>
      <c r="D729" s="28">
        <v>522.08000000000004</v>
      </c>
      <c r="E729" s="28" t="s">
        <v>1894</v>
      </c>
      <c r="F729" s="28">
        <v>263.43</v>
      </c>
      <c r="G729" s="28">
        <v>145.9</v>
      </c>
      <c r="H729" s="28" t="s">
        <v>3062</v>
      </c>
      <c r="I729" s="28">
        <v>309.8</v>
      </c>
    </row>
    <row r="730" spans="2:9">
      <c r="B730" s="27">
        <v>45054</v>
      </c>
      <c r="C730" s="28" t="s">
        <v>714</v>
      </c>
      <c r="D730" s="28">
        <v>516.46</v>
      </c>
      <c r="E730" s="28" t="s">
        <v>1895</v>
      </c>
      <c r="F730" s="28">
        <v>267.25</v>
      </c>
      <c r="G730" s="28">
        <v>145.05000000000001</v>
      </c>
      <c r="H730" s="28" t="s">
        <v>3063</v>
      </c>
      <c r="I730" s="28">
        <v>310.10000000000002</v>
      </c>
    </row>
    <row r="731" spans="2:9">
      <c r="B731" s="27">
        <v>45051</v>
      </c>
      <c r="C731" s="28" t="s">
        <v>715</v>
      </c>
      <c r="D731" s="28">
        <v>514.38</v>
      </c>
      <c r="E731" s="28" t="s">
        <v>1896</v>
      </c>
      <c r="F731" s="28">
        <v>261.61</v>
      </c>
      <c r="G731" s="28">
        <v>143</v>
      </c>
      <c r="H731" s="28" t="s">
        <v>3064</v>
      </c>
      <c r="I731" s="28">
        <v>307.8</v>
      </c>
    </row>
    <row r="732" spans="2:9">
      <c r="B732" s="27">
        <v>45050</v>
      </c>
      <c r="C732" s="28" t="s">
        <v>716</v>
      </c>
      <c r="D732" s="28">
        <v>517.13</v>
      </c>
      <c r="E732" s="28" t="s">
        <v>1897</v>
      </c>
      <c r="F732" s="28">
        <v>261.70999999999998</v>
      </c>
      <c r="G732" s="28">
        <v>143.1</v>
      </c>
      <c r="H732" s="28" t="s">
        <v>334</v>
      </c>
      <c r="I732" s="28">
        <v>304.64999999999998</v>
      </c>
    </row>
    <row r="733" spans="2:9">
      <c r="B733" s="27">
        <v>45049</v>
      </c>
      <c r="C733" s="28" t="s">
        <v>717</v>
      </c>
      <c r="D733" s="28">
        <v>511.75</v>
      </c>
      <c r="E733" s="28" t="s">
        <v>1898</v>
      </c>
      <c r="F733" s="28">
        <v>258.98</v>
      </c>
      <c r="G733" s="28">
        <v>145.30000000000001</v>
      </c>
      <c r="H733" s="28" t="s">
        <v>3065</v>
      </c>
      <c r="I733" s="28">
        <v>304.5</v>
      </c>
    </row>
    <row r="734" spans="2:9">
      <c r="B734" s="27">
        <v>45048</v>
      </c>
      <c r="C734" s="28" t="s">
        <v>718</v>
      </c>
      <c r="D734" s="28">
        <v>512.41999999999996</v>
      </c>
      <c r="E734" s="28" t="s">
        <v>1899</v>
      </c>
      <c r="F734" s="28">
        <v>252.58</v>
      </c>
      <c r="G734" s="28">
        <v>146.19999999999999</v>
      </c>
      <c r="H734" s="28" t="s">
        <v>117</v>
      </c>
      <c r="I734" s="28">
        <v>304.52</v>
      </c>
    </row>
    <row r="735" spans="2:9">
      <c r="B735" s="27">
        <v>45044</v>
      </c>
      <c r="C735" s="28" t="s">
        <v>719</v>
      </c>
      <c r="D735" s="28">
        <v>508.63</v>
      </c>
      <c r="E735" s="28" t="s">
        <v>1900</v>
      </c>
      <c r="F735" s="28">
        <v>252.31</v>
      </c>
      <c r="G735" s="28">
        <v>147.30000000000001</v>
      </c>
      <c r="H735" s="28" t="s">
        <v>3066</v>
      </c>
      <c r="I735" s="28">
        <v>303.73</v>
      </c>
    </row>
    <row r="736" spans="2:9">
      <c r="B736" s="27">
        <v>45043</v>
      </c>
      <c r="C736" s="28" t="s">
        <v>720</v>
      </c>
      <c r="D736" s="28">
        <v>502.17</v>
      </c>
      <c r="E736" s="28" t="s">
        <v>1901</v>
      </c>
      <c r="F736" s="28">
        <v>252.18</v>
      </c>
      <c r="G736" s="28">
        <v>147.55000000000001</v>
      </c>
      <c r="H736" s="28" t="s">
        <v>3067</v>
      </c>
      <c r="I736" s="28">
        <v>300.3</v>
      </c>
    </row>
    <row r="737" spans="2:9">
      <c r="B737" s="27">
        <v>45042</v>
      </c>
      <c r="C737" s="28" t="s">
        <v>442</v>
      </c>
      <c r="D737" s="28">
        <v>503.96</v>
      </c>
      <c r="E737" s="28" t="s">
        <v>1902</v>
      </c>
      <c r="F737" s="28">
        <v>248.86</v>
      </c>
      <c r="G737" s="28">
        <v>147.5</v>
      </c>
      <c r="H737" s="28" t="s">
        <v>3068</v>
      </c>
      <c r="I737" s="28">
        <v>298.64999999999998</v>
      </c>
    </row>
    <row r="738" spans="2:9">
      <c r="B738" s="27">
        <v>45041</v>
      </c>
      <c r="C738" s="28" t="s">
        <v>721</v>
      </c>
      <c r="D738" s="28">
        <v>495.04</v>
      </c>
      <c r="E738" s="28" t="s">
        <v>1903</v>
      </c>
      <c r="F738" s="28">
        <v>249.39</v>
      </c>
      <c r="G738" s="28">
        <v>148.4</v>
      </c>
      <c r="H738" s="28" t="s">
        <v>3069</v>
      </c>
      <c r="I738" s="28">
        <v>289.10000000000002</v>
      </c>
    </row>
    <row r="739" spans="2:9">
      <c r="B739" s="27">
        <v>45040</v>
      </c>
      <c r="C739" s="28" t="s">
        <v>722</v>
      </c>
      <c r="D739" s="28">
        <v>494.04</v>
      </c>
      <c r="E739" s="28" t="s">
        <v>1272</v>
      </c>
      <c r="F739" s="28">
        <v>253.51</v>
      </c>
      <c r="G739" s="28">
        <v>149.35</v>
      </c>
      <c r="H739" s="28" t="s">
        <v>3070</v>
      </c>
      <c r="I739" s="28">
        <v>291.17</v>
      </c>
    </row>
    <row r="740" spans="2:9">
      <c r="B740" s="27">
        <v>45037</v>
      </c>
      <c r="C740" s="28" t="s">
        <v>723</v>
      </c>
      <c r="D740" s="28">
        <v>487.17</v>
      </c>
      <c r="E740" s="28" t="s">
        <v>1904</v>
      </c>
      <c r="F740" s="28">
        <v>253.71</v>
      </c>
      <c r="G740" s="28">
        <v>148.65</v>
      </c>
      <c r="H740" s="28" t="s">
        <v>3071</v>
      </c>
      <c r="I740" s="28">
        <v>292.88</v>
      </c>
    </row>
    <row r="741" spans="2:9">
      <c r="B741" s="27">
        <v>45036</v>
      </c>
      <c r="C741" s="28" t="s">
        <v>724</v>
      </c>
      <c r="D741" s="28">
        <v>480.67</v>
      </c>
      <c r="E741" s="28" t="s">
        <v>1474</v>
      </c>
      <c r="F741" s="28">
        <v>252.95</v>
      </c>
      <c r="G741" s="28">
        <v>149.30000000000001</v>
      </c>
      <c r="H741" s="28" t="s">
        <v>3072</v>
      </c>
      <c r="I741" s="28">
        <v>293.8</v>
      </c>
    </row>
    <row r="742" spans="2:9">
      <c r="B742" s="27">
        <v>45035</v>
      </c>
      <c r="C742" s="28" t="s">
        <v>725</v>
      </c>
      <c r="D742" s="28">
        <v>479.71</v>
      </c>
      <c r="E742" s="28" t="s">
        <v>1905</v>
      </c>
      <c r="F742" s="28">
        <v>254.24</v>
      </c>
      <c r="G742" s="28">
        <v>148.69999999999999</v>
      </c>
      <c r="H742" s="28" t="s">
        <v>3073</v>
      </c>
      <c r="I742" s="28">
        <v>299.58</v>
      </c>
    </row>
    <row r="743" spans="2:9">
      <c r="B743" s="27">
        <v>45034</v>
      </c>
      <c r="C743" s="28" t="s">
        <v>726</v>
      </c>
      <c r="D743" s="28">
        <v>483.08</v>
      </c>
      <c r="E743" s="28" t="s">
        <v>1906</v>
      </c>
      <c r="F743" s="28">
        <v>252.21</v>
      </c>
      <c r="G743" s="28">
        <v>148.4</v>
      </c>
      <c r="H743" s="28" t="s">
        <v>3074</v>
      </c>
      <c r="I743" s="28">
        <v>302.7</v>
      </c>
    </row>
    <row r="744" spans="2:9">
      <c r="B744" s="27">
        <v>45033</v>
      </c>
      <c r="C744" s="28" t="s">
        <v>727</v>
      </c>
      <c r="D744" s="28">
        <v>483.96</v>
      </c>
      <c r="E744" s="28" t="s">
        <v>1907</v>
      </c>
      <c r="F744" s="28">
        <v>252.28</v>
      </c>
      <c r="G744" s="28">
        <v>150</v>
      </c>
      <c r="H744" s="28" t="s">
        <v>3075</v>
      </c>
      <c r="I744" s="28">
        <v>303.13</v>
      </c>
    </row>
    <row r="745" spans="2:9">
      <c r="B745" s="27">
        <v>45029</v>
      </c>
      <c r="C745" s="28" t="s">
        <v>728</v>
      </c>
      <c r="D745" s="28">
        <v>482.17</v>
      </c>
      <c r="E745" s="28" t="s">
        <v>1908</v>
      </c>
      <c r="F745" s="28">
        <v>253.01</v>
      </c>
      <c r="G745" s="28">
        <v>148.69999999999999</v>
      </c>
      <c r="H745" s="28" t="s">
        <v>3076</v>
      </c>
      <c r="I745" s="28">
        <v>303.08</v>
      </c>
    </row>
    <row r="746" spans="2:9">
      <c r="B746" s="27">
        <v>45028</v>
      </c>
      <c r="C746" s="28" t="s">
        <v>729</v>
      </c>
      <c r="D746" s="28">
        <v>486.58</v>
      </c>
      <c r="E746" s="28" t="s">
        <v>1909</v>
      </c>
      <c r="F746" s="28">
        <v>255.8</v>
      </c>
      <c r="G746" s="28">
        <v>147.15</v>
      </c>
      <c r="H746" s="28" t="s">
        <v>3077</v>
      </c>
      <c r="I746" s="28">
        <v>302.98</v>
      </c>
    </row>
    <row r="747" spans="2:9">
      <c r="B747" s="27">
        <v>45027</v>
      </c>
      <c r="C747" s="28" t="s">
        <v>730</v>
      </c>
      <c r="D747" s="28">
        <v>478.33</v>
      </c>
      <c r="E747" s="28" t="s">
        <v>1910</v>
      </c>
      <c r="F747" s="28">
        <v>256.06</v>
      </c>
      <c r="G747" s="28">
        <v>149.19999999999999</v>
      </c>
      <c r="H747" s="28" t="s">
        <v>3078</v>
      </c>
      <c r="I747" s="28">
        <v>301.7</v>
      </c>
    </row>
    <row r="748" spans="2:9">
      <c r="B748" s="27">
        <v>45026</v>
      </c>
      <c r="C748" s="28" t="s">
        <v>731</v>
      </c>
      <c r="D748" s="28">
        <v>496.04</v>
      </c>
      <c r="E748" s="28" t="s">
        <v>1911</v>
      </c>
      <c r="F748" s="28">
        <v>256.79000000000002</v>
      </c>
      <c r="G748" s="28">
        <v>148.9</v>
      </c>
      <c r="H748" s="28" t="s">
        <v>3079</v>
      </c>
      <c r="I748" s="28">
        <v>313.27</v>
      </c>
    </row>
    <row r="749" spans="2:9">
      <c r="B749" s="27">
        <v>45022</v>
      </c>
      <c r="C749" s="28" t="s">
        <v>732</v>
      </c>
      <c r="D749" s="28">
        <v>497.67</v>
      </c>
      <c r="E749" s="28" t="s">
        <v>1912</v>
      </c>
      <c r="F749" s="28">
        <v>260.11</v>
      </c>
      <c r="G749" s="28">
        <v>147.5</v>
      </c>
      <c r="H749" s="28" t="s">
        <v>3080</v>
      </c>
      <c r="I749" s="28">
        <v>311.05</v>
      </c>
    </row>
    <row r="750" spans="2:9">
      <c r="B750" s="27">
        <v>45021</v>
      </c>
      <c r="C750" s="28" t="s">
        <v>733</v>
      </c>
      <c r="D750" s="28">
        <v>493.33</v>
      </c>
      <c r="E750" s="28" t="s">
        <v>1913</v>
      </c>
      <c r="F750" s="28">
        <v>258.79000000000002</v>
      </c>
      <c r="G750" s="28">
        <v>139.19999999999999</v>
      </c>
      <c r="H750" s="28" t="s">
        <v>3081</v>
      </c>
      <c r="I750" s="28">
        <v>322.48</v>
      </c>
    </row>
    <row r="751" spans="2:9">
      <c r="B751" s="27">
        <v>45019</v>
      </c>
      <c r="C751" s="28" t="s">
        <v>734</v>
      </c>
      <c r="D751" s="28">
        <v>483</v>
      </c>
      <c r="E751" s="28" t="s">
        <v>1914</v>
      </c>
      <c r="F751" s="28">
        <v>257.66000000000003</v>
      </c>
      <c r="G751" s="28">
        <v>135.05000000000001</v>
      </c>
      <c r="H751" s="28" t="s">
        <v>3082</v>
      </c>
      <c r="I751" s="28">
        <v>324.64999999999998</v>
      </c>
    </row>
    <row r="752" spans="2:9">
      <c r="B752" s="27">
        <v>45016</v>
      </c>
      <c r="C752" s="28" t="s">
        <v>735</v>
      </c>
      <c r="D752" s="28">
        <v>484.75</v>
      </c>
      <c r="E752" s="28" t="s">
        <v>1915</v>
      </c>
      <c r="F752" s="28">
        <v>256.73</v>
      </c>
      <c r="G752" s="28">
        <v>136.05000000000001</v>
      </c>
      <c r="H752" s="28" t="s">
        <v>3083</v>
      </c>
      <c r="I752" s="28">
        <v>322.27</v>
      </c>
    </row>
    <row r="753" spans="2:9">
      <c r="B753" s="27">
        <v>45014</v>
      </c>
      <c r="C753" s="28" t="s">
        <v>736</v>
      </c>
      <c r="D753" s="28">
        <v>477.71</v>
      </c>
      <c r="E753" s="28" t="s">
        <v>1916</v>
      </c>
      <c r="F753" s="28">
        <v>254.01</v>
      </c>
      <c r="G753" s="28">
        <v>135.25</v>
      </c>
      <c r="H753" s="28" t="s">
        <v>3084</v>
      </c>
      <c r="I753" s="28">
        <v>321.89999999999998</v>
      </c>
    </row>
    <row r="754" spans="2:9">
      <c r="B754" s="27">
        <v>45013</v>
      </c>
      <c r="C754" s="28" t="s">
        <v>737</v>
      </c>
      <c r="D754" s="28">
        <v>478.33</v>
      </c>
      <c r="E754" s="28" t="s">
        <v>1917</v>
      </c>
      <c r="F754" s="28">
        <v>256.02999999999997</v>
      </c>
      <c r="G754" s="28">
        <v>136.69999999999999</v>
      </c>
      <c r="H754" s="28" t="s">
        <v>3085</v>
      </c>
      <c r="I754" s="28">
        <v>320.75</v>
      </c>
    </row>
    <row r="755" spans="2:9">
      <c r="B755" s="27">
        <v>45012</v>
      </c>
      <c r="C755" s="28" t="s">
        <v>738</v>
      </c>
      <c r="D755" s="28">
        <v>480.67</v>
      </c>
      <c r="E755" s="28" t="s">
        <v>1918</v>
      </c>
      <c r="F755" s="28">
        <v>256.06</v>
      </c>
      <c r="G755" s="28">
        <v>139.9</v>
      </c>
      <c r="H755" s="28" t="s">
        <v>3086</v>
      </c>
      <c r="I755" s="28">
        <v>323.3</v>
      </c>
    </row>
    <row r="756" spans="2:9">
      <c r="B756" s="27">
        <v>45009</v>
      </c>
      <c r="C756" s="28" t="s">
        <v>739</v>
      </c>
      <c r="D756" s="28">
        <v>478.08</v>
      </c>
      <c r="E756" s="28" t="s">
        <v>1919</v>
      </c>
      <c r="F756" s="28">
        <v>255.13</v>
      </c>
      <c r="G756" s="28">
        <v>143.44999999999999</v>
      </c>
      <c r="H756" s="28" t="s">
        <v>3087</v>
      </c>
      <c r="I756" s="28">
        <v>321.33</v>
      </c>
    </row>
    <row r="757" spans="2:9">
      <c r="B757" s="27">
        <v>45008</v>
      </c>
      <c r="C757" s="28" t="s">
        <v>740</v>
      </c>
      <c r="D757" s="28">
        <v>479.96</v>
      </c>
      <c r="E757" s="28" t="s">
        <v>1432</v>
      </c>
      <c r="F757" s="28">
        <v>255.33</v>
      </c>
      <c r="G757" s="28">
        <v>145.4</v>
      </c>
      <c r="H757" s="28" t="s">
        <v>3088</v>
      </c>
      <c r="I757" s="28">
        <v>326.02</v>
      </c>
    </row>
    <row r="758" spans="2:9">
      <c r="B758" s="27">
        <v>45007</v>
      </c>
      <c r="C758" s="28" t="s">
        <v>741</v>
      </c>
      <c r="D758" s="28">
        <v>495.21</v>
      </c>
      <c r="E758" s="28" t="s">
        <v>1920</v>
      </c>
      <c r="F758" s="28">
        <v>255.23</v>
      </c>
      <c r="G758" s="28">
        <v>144.1</v>
      </c>
      <c r="H758" s="28" t="s">
        <v>3089</v>
      </c>
      <c r="I758" s="28">
        <v>316.95</v>
      </c>
    </row>
    <row r="759" spans="2:9">
      <c r="B759" s="27">
        <v>45006</v>
      </c>
      <c r="C759" s="28" t="s">
        <v>742</v>
      </c>
      <c r="D759" s="28">
        <v>495.58</v>
      </c>
      <c r="E759" s="28" t="s">
        <v>1921</v>
      </c>
      <c r="F759" s="28">
        <v>257.19</v>
      </c>
      <c r="G759" s="28">
        <v>145.15</v>
      </c>
      <c r="H759" s="28" t="s">
        <v>3090</v>
      </c>
      <c r="I759" s="28">
        <v>316.10000000000002</v>
      </c>
    </row>
    <row r="760" spans="2:9">
      <c r="B760" s="27">
        <v>45005</v>
      </c>
      <c r="C760" s="28" t="s">
        <v>743</v>
      </c>
      <c r="D760" s="28">
        <v>496.92</v>
      </c>
      <c r="E760" s="28" t="s">
        <v>1922</v>
      </c>
      <c r="F760" s="28">
        <v>262.47000000000003</v>
      </c>
      <c r="G760" s="28">
        <v>144.35</v>
      </c>
      <c r="H760" s="28" t="s">
        <v>3091</v>
      </c>
      <c r="I760" s="28">
        <v>313.88</v>
      </c>
    </row>
    <row r="761" spans="2:9">
      <c r="B761" s="27">
        <v>45002</v>
      </c>
      <c r="C761" s="28" t="s">
        <v>744</v>
      </c>
      <c r="D761" s="28">
        <v>494.54</v>
      </c>
      <c r="E761" s="28" t="s">
        <v>1923</v>
      </c>
      <c r="F761" s="28">
        <v>264.95999999999998</v>
      </c>
      <c r="G761" s="28">
        <v>147.35</v>
      </c>
      <c r="H761" s="28" t="s">
        <v>3092</v>
      </c>
      <c r="I761" s="28">
        <v>304.77</v>
      </c>
    </row>
    <row r="762" spans="2:9">
      <c r="B762" s="27">
        <v>45001</v>
      </c>
      <c r="C762" s="28" t="s">
        <v>745</v>
      </c>
      <c r="D762" s="28">
        <v>503.08</v>
      </c>
      <c r="E762" s="28" t="s">
        <v>1251</v>
      </c>
      <c r="F762" s="28">
        <v>263.39999999999998</v>
      </c>
      <c r="G762" s="28">
        <v>148.69999999999999</v>
      </c>
      <c r="H762" s="28" t="s">
        <v>3093</v>
      </c>
      <c r="I762" s="28">
        <v>306.35000000000002</v>
      </c>
    </row>
    <row r="763" spans="2:9">
      <c r="B763" s="27">
        <v>45000</v>
      </c>
      <c r="C763" s="28" t="s">
        <v>746</v>
      </c>
      <c r="D763" s="28">
        <v>492.63</v>
      </c>
      <c r="E763" s="28" t="s">
        <v>1924</v>
      </c>
      <c r="F763" s="28">
        <v>261.27</v>
      </c>
      <c r="G763" s="28">
        <v>146.65</v>
      </c>
      <c r="H763" s="28" t="s">
        <v>3094</v>
      </c>
      <c r="I763" s="28">
        <v>304.60000000000002</v>
      </c>
    </row>
    <row r="764" spans="2:9">
      <c r="B764" s="27">
        <v>44999</v>
      </c>
      <c r="C764" s="28" t="s">
        <v>747</v>
      </c>
      <c r="D764" s="28">
        <v>484.67</v>
      </c>
      <c r="E764" s="28" t="s">
        <v>1925</v>
      </c>
      <c r="F764" s="28">
        <v>262.57</v>
      </c>
      <c r="G764" s="28">
        <v>149.69999999999999</v>
      </c>
      <c r="H764" s="28" t="s">
        <v>219</v>
      </c>
      <c r="I764" s="28">
        <v>304.45</v>
      </c>
    </row>
    <row r="765" spans="2:9">
      <c r="B765" s="27">
        <v>44998</v>
      </c>
      <c r="C765" s="28" t="s">
        <v>748</v>
      </c>
      <c r="D765" s="28">
        <v>483.38</v>
      </c>
      <c r="E765" s="28" t="s">
        <v>1926</v>
      </c>
      <c r="F765" s="28">
        <v>267.41000000000003</v>
      </c>
      <c r="G765" s="28">
        <v>150.15</v>
      </c>
      <c r="H765" s="28" t="s">
        <v>3068</v>
      </c>
      <c r="I765" s="28">
        <v>304.10000000000002</v>
      </c>
    </row>
    <row r="766" spans="2:9">
      <c r="B766" s="27">
        <v>44995</v>
      </c>
      <c r="C766" s="28" t="s">
        <v>749</v>
      </c>
      <c r="D766" s="28">
        <v>490.92</v>
      </c>
      <c r="E766" s="28" t="s">
        <v>1927</v>
      </c>
      <c r="F766" s="28">
        <v>270.95999999999998</v>
      </c>
      <c r="G766" s="28">
        <v>152</v>
      </c>
      <c r="H766" s="28" t="s">
        <v>3095</v>
      </c>
      <c r="I766" s="28">
        <v>311.48</v>
      </c>
    </row>
    <row r="767" spans="2:9">
      <c r="B767" s="27">
        <v>44994</v>
      </c>
      <c r="C767" s="28" t="s">
        <v>750</v>
      </c>
      <c r="D767" s="28">
        <v>491.75</v>
      </c>
      <c r="E767" s="28" t="s">
        <v>1928</v>
      </c>
      <c r="F767" s="28">
        <v>271.52999999999997</v>
      </c>
      <c r="G767" s="28">
        <v>153.4</v>
      </c>
      <c r="H767" s="28" t="s">
        <v>3096</v>
      </c>
      <c r="I767" s="28">
        <v>314.38</v>
      </c>
    </row>
    <row r="768" spans="2:9">
      <c r="B768" s="27">
        <v>44993</v>
      </c>
      <c r="C768" s="28" t="s">
        <v>513</v>
      </c>
      <c r="D768" s="28">
        <v>489.54</v>
      </c>
      <c r="E768" s="28" t="s">
        <v>1929</v>
      </c>
      <c r="F768" s="28">
        <v>271.26</v>
      </c>
      <c r="G768" s="28">
        <v>154.6</v>
      </c>
      <c r="H768" s="28" t="s">
        <v>3097</v>
      </c>
      <c r="I768" s="28">
        <v>317.39999999999998</v>
      </c>
    </row>
    <row r="769" spans="2:9">
      <c r="B769" s="27">
        <v>44991</v>
      </c>
      <c r="C769" s="28" t="s">
        <v>751</v>
      </c>
      <c r="D769" s="28">
        <v>488.58</v>
      </c>
      <c r="E769" s="28" t="s">
        <v>1930</v>
      </c>
      <c r="F769" s="28">
        <v>275.83999999999997</v>
      </c>
      <c r="G769" s="28">
        <v>148.19999999999999</v>
      </c>
      <c r="H769" s="28" t="s">
        <v>3098</v>
      </c>
      <c r="I769" s="28">
        <v>311.75</v>
      </c>
    </row>
    <row r="770" spans="2:9">
      <c r="B770" s="27">
        <v>44988</v>
      </c>
      <c r="C770" s="28" t="s">
        <v>752</v>
      </c>
      <c r="D770" s="28">
        <v>483.96</v>
      </c>
      <c r="E770" s="28" t="s">
        <v>1931</v>
      </c>
      <c r="F770" s="28">
        <v>272.52</v>
      </c>
      <c r="G770" s="28">
        <v>149.05000000000001</v>
      </c>
      <c r="H770" s="28" t="s">
        <v>3099</v>
      </c>
      <c r="I770" s="28">
        <v>306.75</v>
      </c>
    </row>
    <row r="771" spans="2:9">
      <c r="B771" s="27">
        <v>44987</v>
      </c>
      <c r="C771" s="28" t="s">
        <v>753</v>
      </c>
      <c r="D771" s="28">
        <v>485.63</v>
      </c>
      <c r="E771" s="28" t="s">
        <v>1932</v>
      </c>
      <c r="F771" s="28">
        <v>271.06</v>
      </c>
      <c r="G771" s="28">
        <v>145.85</v>
      </c>
      <c r="H771" s="28" t="s">
        <v>3100</v>
      </c>
      <c r="I771" s="28">
        <v>305</v>
      </c>
    </row>
    <row r="772" spans="2:9">
      <c r="B772" s="27">
        <v>44986</v>
      </c>
      <c r="C772" s="28" t="s">
        <v>754</v>
      </c>
      <c r="D772" s="28">
        <v>483.92</v>
      </c>
      <c r="E772" s="28" t="s">
        <v>1933</v>
      </c>
      <c r="F772" s="28">
        <v>271.16000000000003</v>
      </c>
      <c r="G772" s="28">
        <v>148</v>
      </c>
      <c r="H772" s="28" t="s">
        <v>3101</v>
      </c>
      <c r="I772" s="28">
        <v>304.5</v>
      </c>
    </row>
    <row r="773" spans="2:9">
      <c r="B773" s="27">
        <v>44985</v>
      </c>
      <c r="C773" s="28" t="s">
        <v>755</v>
      </c>
      <c r="D773" s="28">
        <v>483</v>
      </c>
      <c r="E773" s="28" t="s">
        <v>1934</v>
      </c>
      <c r="F773" s="28">
        <v>267.27999999999997</v>
      </c>
      <c r="G773" s="28">
        <v>148.15</v>
      </c>
      <c r="H773" s="28" t="s">
        <v>3102</v>
      </c>
      <c r="I773" s="28">
        <v>310.60000000000002</v>
      </c>
    </row>
    <row r="774" spans="2:9">
      <c r="B774" s="27">
        <v>44984</v>
      </c>
      <c r="C774" s="28" t="s">
        <v>756</v>
      </c>
      <c r="D774" s="28">
        <v>464.13</v>
      </c>
      <c r="E774" s="28" t="s">
        <v>1935</v>
      </c>
      <c r="F774" s="28">
        <v>274.42</v>
      </c>
      <c r="G774" s="28">
        <v>147.30000000000001</v>
      </c>
      <c r="H774" s="28" t="s">
        <v>3103</v>
      </c>
      <c r="I774" s="28">
        <v>304.3</v>
      </c>
    </row>
    <row r="775" spans="2:9">
      <c r="B775" s="27">
        <v>44981</v>
      </c>
      <c r="C775" s="28" t="s">
        <v>757</v>
      </c>
      <c r="D775" s="28">
        <v>465.04</v>
      </c>
      <c r="E775" s="28" t="s">
        <v>1919</v>
      </c>
      <c r="F775" s="28">
        <v>278.23</v>
      </c>
      <c r="G775" s="28">
        <v>152.25</v>
      </c>
      <c r="H775" s="28" t="s">
        <v>3104</v>
      </c>
      <c r="I775" s="28">
        <v>313.95</v>
      </c>
    </row>
    <row r="776" spans="2:9">
      <c r="B776" s="27">
        <v>44980</v>
      </c>
      <c r="C776" s="28" t="s">
        <v>758</v>
      </c>
      <c r="D776" s="28">
        <v>467.21</v>
      </c>
      <c r="E776" s="28" t="s">
        <v>1936</v>
      </c>
      <c r="F776" s="28">
        <v>274.85000000000002</v>
      </c>
      <c r="G776" s="28">
        <v>149.15</v>
      </c>
      <c r="H776" s="28" t="s">
        <v>3105</v>
      </c>
      <c r="I776" s="28">
        <v>309.55</v>
      </c>
    </row>
    <row r="777" spans="2:9">
      <c r="B777" s="27">
        <v>44979</v>
      </c>
      <c r="C777" s="28" t="s">
        <v>759</v>
      </c>
      <c r="D777" s="28">
        <v>472.13</v>
      </c>
      <c r="E777" s="28" t="s">
        <v>1937</v>
      </c>
      <c r="F777" s="28">
        <v>276.54000000000002</v>
      </c>
      <c r="G777" s="28">
        <v>149.55000000000001</v>
      </c>
      <c r="H777" s="28" t="s">
        <v>3106</v>
      </c>
      <c r="I777" s="28">
        <v>312.73</v>
      </c>
    </row>
    <row r="778" spans="2:9">
      <c r="B778" s="27">
        <v>44978</v>
      </c>
      <c r="C778" s="28" t="s">
        <v>760</v>
      </c>
      <c r="D778" s="28">
        <v>475.5</v>
      </c>
      <c r="E778" s="28" t="s">
        <v>1406</v>
      </c>
      <c r="F778" s="28">
        <v>274.35000000000002</v>
      </c>
      <c r="G778" s="28">
        <v>149.65</v>
      </c>
      <c r="H778" s="28" t="s">
        <v>3107</v>
      </c>
      <c r="I778" s="28">
        <v>313.7</v>
      </c>
    </row>
    <row r="779" spans="2:9">
      <c r="B779" s="27">
        <v>44977</v>
      </c>
      <c r="C779" s="28" t="s">
        <v>761</v>
      </c>
      <c r="D779" s="28">
        <v>475.33</v>
      </c>
      <c r="E779" s="28" t="s">
        <v>1938</v>
      </c>
      <c r="F779" s="28">
        <v>272.86</v>
      </c>
      <c r="G779" s="28">
        <v>149.69999999999999</v>
      </c>
      <c r="H779" s="28" t="s">
        <v>3108</v>
      </c>
      <c r="I779" s="28">
        <v>319.67</v>
      </c>
    </row>
    <row r="780" spans="2:9">
      <c r="B780" s="27">
        <v>44974</v>
      </c>
      <c r="C780" s="28" t="s">
        <v>762</v>
      </c>
      <c r="D780" s="28">
        <v>474.13</v>
      </c>
      <c r="E780" s="28" t="s">
        <v>1939</v>
      </c>
      <c r="F780" s="28">
        <v>275.20999999999998</v>
      </c>
      <c r="G780" s="28">
        <v>148.5</v>
      </c>
      <c r="H780" s="28" t="s">
        <v>3109</v>
      </c>
      <c r="I780" s="28">
        <v>323.45</v>
      </c>
    </row>
    <row r="781" spans="2:9">
      <c r="B781" s="27">
        <v>44973</v>
      </c>
      <c r="C781" s="28" t="s">
        <v>763</v>
      </c>
      <c r="D781" s="28">
        <v>468.58</v>
      </c>
      <c r="E781" s="28" t="s">
        <v>1940</v>
      </c>
      <c r="F781" s="28">
        <v>274.27999999999997</v>
      </c>
      <c r="G781" s="28">
        <v>149</v>
      </c>
      <c r="H781" s="28" t="s">
        <v>3110</v>
      </c>
      <c r="I781" s="28">
        <v>320.77</v>
      </c>
    </row>
    <row r="782" spans="2:9">
      <c r="B782" s="27">
        <v>44972</v>
      </c>
      <c r="C782" s="28" t="s">
        <v>764</v>
      </c>
      <c r="D782" s="28">
        <v>465.54</v>
      </c>
      <c r="E782" s="28" t="s">
        <v>1941</v>
      </c>
      <c r="F782" s="28">
        <v>275.38</v>
      </c>
      <c r="G782" s="28">
        <v>151.15</v>
      </c>
      <c r="H782" s="28" t="s">
        <v>3111</v>
      </c>
      <c r="I782" s="28">
        <v>320.60000000000002</v>
      </c>
    </row>
    <row r="783" spans="2:9">
      <c r="B783" s="27">
        <v>44971</v>
      </c>
      <c r="C783" s="28" t="s">
        <v>734</v>
      </c>
      <c r="D783" s="28">
        <v>461.83</v>
      </c>
      <c r="E783" s="28" t="s">
        <v>1942</v>
      </c>
      <c r="F783" s="28">
        <v>274.61</v>
      </c>
      <c r="G783" s="28">
        <v>149.9</v>
      </c>
      <c r="H783" s="28" t="s">
        <v>3112</v>
      </c>
      <c r="I783" s="28">
        <v>320.98</v>
      </c>
    </row>
    <row r="784" spans="2:9">
      <c r="B784" s="27">
        <v>44970</v>
      </c>
      <c r="C784" s="28" t="s">
        <v>765</v>
      </c>
      <c r="D784" s="28">
        <v>465.54</v>
      </c>
      <c r="E784" s="28" t="s">
        <v>1943</v>
      </c>
      <c r="F784" s="28">
        <v>275.08</v>
      </c>
      <c r="G784" s="28">
        <v>146.65</v>
      </c>
      <c r="H784" s="28" t="s">
        <v>3113</v>
      </c>
      <c r="I784" s="28">
        <v>320.42</v>
      </c>
    </row>
    <row r="785" spans="2:9">
      <c r="B785" s="27">
        <v>44967</v>
      </c>
      <c r="C785" s="28" t="s">
        <v>766</v>
      </c>
      <c r="D785" s="28">
        <v>476.33</v>
      </c>
      <c r="E785" s="28" t="s">
        <v>1944</v>
      </c>
      <c r="F785" s="28">
        <v>278.5</v>
      </c>
      <c r="G785" s="28">
        <v>145.25</v>
      </c>
      <c r="H785" s="28" t="s">
        <v>3114</v>
      </c>
      <c r="I785" s="28">
        <v>323.67</v>
      </c>
    </row>
    <row r="786" spans="2:9">
      <c r="B786" s="27">
        <v>44966</v>
      </c>
      <c r="C786" s="28" t="s">
        <v>767</v>
      </c>
      <c r="D786" s="28">
        <v>473.79</v>
      </c>
      <c r="E786" s="28" t="s">
        <v>1945</v>
      </c>
      <c r="F786" s="28">
        <v>277.37</v>
      </c>
      <c r="G786" s="28">
        <v>145.80000000000001</v>
      </c>
      <c r="H786" s="28" t="s">
        <v>3115</v>
      </c>
      <c r="I786" s="28">
        <v>328.42</v>
      </c>
    </row>
    <row r="787" spans="2:9">
      <c r="B787" s="27">
        <v>44965</v>
      </c>
      <c r="C787" s="28" t="s">
        <v>768</v>
      </c>
      <c r="D787" s="28">
        <v>469.38</v>
      </c>
      <c r="E787" s="28" t="s">
        <v>1946</v>
      </c>
      <c r="F787" s="28">
        <v>275.05</v>
      </c>
      <c r="G787" s="28">
        <v>140.75</v>
      </c>
      <c r="H787" s="28" t="s">
        <v>3116</v>
      </c>
      <c r="I787" s="28">
        <v>321.63</v>
      </c>
    </row>
    <row r="788" spans="2:9">
      <c r="B788" s="27">
        <v>44964</v>
      </c>
      <c r="C788" s="28" t="s">
        <v>769</v>
      </c>
      <c r="D788" s="28">
        <v>468.71</v>
      </c>
      <c r="E788" s="28" t="s">
        <v>1947</v>
      </c>
      <c r="F788" s="28">
        <v>275.48</v>
      </c>
      <c r="G788" s="28">
        <v>141.35</v>
      </c>
      <c r="H788" s="28" t="s">
        <v>3117</v>
      </c>
      <c r="I788" s="28">
        <v>320</v>
      </c>
    </row>
    <row r="789" spans="2:9">
      <c r="B789" s="27">
        <v>44963</v>
      </c>
      <c r="C789" s="28" t="s">
        <v>770</v>
      </c>
      <c r="D789" s="28">
        <v>469.71</v>
      </c>
      <c r="E789" s="28" t="s">
        <v>1948</v>
      </c>
      <c r="F789" s="28">
        <v>275.18</v>
      </c>
      <c r="G789" s="28">
        <v>139.69999999999999</v>
      </c>
      <c r="H789" s="28" t="s">
        <v>3118</v>
      </c>
      <c r="I789" s="28">
        <v>319.2</v>
      </c>
    </row>
    <row r="790" spans="2:9">
      <c r="B790" s="27">
        <v>44960</v>
      </c>
      <c r="C790" s="28" t="s">
        <v>771</v>
      </c>
      <c r="D790" s="28">
        <v>465.25</v>
      </c>
      <c r="E790" s="28" t="s">
        <v>1949</v>
      </c>
      <c r="F790" s="28">
        <v>277.2</v>
      </c>
      <c r="G790" s="28">
        <v>141.6</v>
      </c>
      <c r="H790" s="28" t="s">
        <v>3119</v>
      </c>
      <c r="I790" s="28">
        <v>318.88</v>
      </c>
    </row>
    <row r="791" spans="2:9">
      <c r="B791" s="27">
        <v>44959</v>
      </c>
      <c r="C791" s="28" t="s">
        <v>772</v>
      </c>
      <c r="D791" s="28">
        <v>450.5</v>
      </c>
      <c r="E791" s="28" t="s">
        <v>1950</v>
      </c>
      <c r="F791" s="28">
        <v>274.64999999999998</v>
      </c>
      <c r="G791" s="28">
        <v>140.5</v>
      </c>
      <c r="H791" s="28" t="s">
        <v>3120</v>
      </c>
      <c r="I791" s="28">
        <v>319.60000000000002</v>
      </c>
    </row>
    <row r="792" spans="2:9">
      <c r="B792" s="27">
        <v>44958</v>
      </c>
      <c r="C792" s="28" t="s">
        <v>773</v>
      </c>
      <c r="D792" s="28">
        <v>458.13</v>
      </c>
      <c r="E792" s="28" t="s">
        <v>1951</v>
      </c>
      <c r="F792" s="28">
        <v>275.81</v>
      </c>
      <c r="G792" s="28">
        <v>140.69999999999999</v>
      </c>
      <c r="H792" s="28" t="s">
        <v>3121</v>
      </c>
      <c r="I792" s="28">
        <v>312.67</v>
      </c>
    </row>
    <row r="793" spans="2:9">
      <c r="B793" s="27">
        <v>44957</v>
      </c>
      <c r="C793" s="28" t="s">
        <v>774</v>
      </c>
      <c r="D793" s="28">
        <v>457.63</v>
      </c>
      <c r="E793" s="28" t="s">
        <v>1952</v>
      </c>
      <c r="F793" s="28">
        <v>280.85000000000002</v>
      </c>
      <c r="G793" s="28">
        <v>141.1</v>
      </c>
      <c r="H793" s="28" t="s">
        <v>3122</v>
      </c>
      <c r="I793" s="28">
        <v>314.39999999999998</v>
      </c>
    </row>
    <row r="794" spans="2:9">
      <c r="B794" s="27">
        <v>44956</v>
      </c>
      <c r="C794" s="28" t="s">
        <v>775</v>
      </c>
      <c r="D794" s="28">
        <v>461.75</v>
      </c>
      <c r="E794" s="28" t="s">
        <v>1377</v>
      </c>
      <c r="F794" s="28">
        <v>270.8</v>
      </c>
      <c r="G794" s="28">
        <v>140.4</v>
      </c>
      <c r="H794" s="28" t="s">
        <v>3123</v>
      </c>
      <c r="I794" s="28">
        <v>314.85000000000002</v>
      </c>
    </row>
    <row r="795" spans="2:9">
      <c r="B795" s="27">
        <v>44953</v>
      </c>
      <c r="C795" s="28" t="s">
        <v>776</v>
      </c>
      <c r="D795" s="28">
        <v>449.58</v>
      </c>
      <c r="E795" s="28" t="s">
        <v>1953</v>
      </c>
      <c r="F795" s="28">
        <v>272.36</v>
      </c>
      <c r="G795" s="28">
        <v>149.1</v>
      </c>
      <c r="H795" s="28" t="s">
        <v>3124</v>
      </c>
      <c r="I795" s="28">
        <v>313.85000000000002</v>
      </c>
    </row>
    <row r="796" spans="2:9">
      <c r="B796" s="27">
        <v>44951</v>
      </c>
      <c r="C796" s="28" t="s">
        <v>777</v>
      </c>
      <c r="D796" s="28">
        <v>457.29</v>
      </c>
      <c r="E796" s="28" t="s">
        <v>1954</v>
      </c>
      <c r="F796" s="28">
        <v>273.45</v>
      </c>
      <c r="G796" s="28">
        <v>143.5</v>
      </c>
      <c r="H796" s="28" t="s">
        <v>3125</v>
      </c>
      <c r="I796" s="28">
        <v>317.42</v>
      </c>
    </row>
    <row r="797" spans="2:9">
      <c r="B797" s="27">
        <v>44950</v>
      </c>
      <c r="C797" s="28" t="s">
        <v>778</v>
      </c>
      <c r="D797" s="28">
        <v>468.33</v>
      </c>
      <c r="E797" s="28" t="s">
        <v>1955</v>
      </c>
      <c r="F797" s="28">
        <v>272.29000000000002</v>
      </c>
      <c r="G797" s="28">
        <v>133.85</v>
      </c>
      <c r="H797" s="28" t="s">
        <v>15</v>
      </c>
      <c r="I797" s="28">
        <v>318.17</v>
      </c>
    </row>
    <row r="798" spans="2:9">
      <c r="B798" s="27">
        <v>44949</v>
      </c>
      <c r="C798" s="28" t="s">
        <v>737</v>
      </c>
      <c r="D798" s="28">
        <v>470.54</v>
      </c>
      <c r="E798" s="28" t="s">
        <v>1956</v>
      </c>
      <c r="F798" s="28">
        <v>273.98</v>
      </c>
      <c r="G798" s="28">
        <v>134.5</v>
      </c>
      <c r="H798" s="28" t="s">
        <v>3126</v>
      </c>
      <c r="I798" s="28">
        <v>325.63</v>
      </c>
    </row>
    <row r="799" spans="2:9">
      <c r="B799" s="27">
        <v>44946</v>
      </c>
      <c r="C799" s="28" t="s">
        <v>779</v>
      </c>
      <c r="D799" s="28">
        <v>464.29</v>
      </c>
      <c r="E799" s="28" t="s">
        <v>1957</v>
      </c>
      <c r="F799" s="28">
        <v>277.8</v>
      </c>
      <c r="G799" s="28">
        <v>136.75</v>
      </c>
      <c r="H799" s="28" t="s">
        <v>211</v>
      </c>
      <c r="I799" s="28">
        <v>309.83</v>
      </c>
    </row>
    <row r="800" spans="2:9">
      <c r="B800" s="27">
        <v>44945</v>
      </c>
      <c r="C800" s="28" t="s">
        <v>464</v>
      </c>
      <c r="D800" s="28">
        <v>469.71</v>
      </c>
      <c r="E800" s="28" t="s">
        <v>1958</v>
      </c>
      <c r="F800" s="28">
        <v>276.54000000000002</v>
      </c>
      <c r="G800" s="28">
        <v>139.6</v>
      </c>
      <c r="H800" s="28" t="s">
        <v>2235</v>
      </c>
      <c r="I800" s="28">
        <v>312.60000000000002</v>
      </c>
    </row>
    <row r="801" spans="2:9">
      <c r="B801" s="27">
        <v>44944</v>
      </c>
      <c r="C801" s="28" t="s">
        <v>780</v>
      </c>
      <c r="D801" s="28">
        <v>479</v>
      </c>
      <c r="E801" s="28" t="s">
        <v>1959</v>
      </c>
      <c r="F801" s="28">
        <v>276.37</v>
      </c>
      <c r="G801" s="28">
        <v>140.5</v>
      </c>
      <c r="H801" s="28" t="s">
        <v>3127</v>
      </c>
      <c r="I801" s="28">
        <v>315.45</v>
      </c>
    </row>
    <row r="802" spans="2:9">
      <c r="B802" s="27">
        <v>44943</v>
      </c>
      <c r="C802" s="28" t="s">
        <v>781</v>
      </c>
      <c r="D802" s="28">
        <v>473.08</v>
      </c>
      <c r="E802" s="28" t="s">
        <v>1960</v>
      </c>
      <c r="F802" s="28">
        <v>272.66000000000003</v>
      </c>
      <c r="G802" s="28">
        <v>140.15</v>
      </c>
      <c r="H802" s="28" t="s">
        <v>209</v>
      </c>
      <c r="I802" s="28">
        <v>318.52</v>
      </c>
    </row>
    <row r="803" spans="2:9">
      <c r="B803" s="27">
        <v>44942</v>
      </c>
      <c r="C803" s="28" t="s">
        <v>782</v>
      </c>
      <c r="D803" s="28">
        <v>466.67</v>
      </c>
      <c r="E803" s="28" t="s">
        <v>1961</v>
      </c>
      <c r="F803" s="28">
        <v>273.32</v>
      </c>
      <c r="G803" s="28">
        <v>142.1</v>
      </c>
      <c r="H803" s="28" t="s">
        <v>3128</v>
      </c>
      <c r="I803" s="28">
        <v>319.35000000000002</v>
      </c>
    </row>
    <row r="804" spans="2:9">
      <c r="B804" s="27">
        <v>44939</v>
      </c>
      <c r="C804" s="28" t="s">
        <v>783</v>
      </c>
      <c r="D804" s="28">
        <v>468.46</v>
      </c>
      <c r="E804" s="28" t="s">
        <v>1479</v>
      </c>
      <c r="F804" s="28">
        <v>274.38</v>
      </c>
      <c r="G804" s="28">
        <v>140.80000000000001</v>
      </c>
      <c r="H804" s="28" t="s">
        <v>3129</v>
      </c>
      <c r="I804" s="28">
        <v>323.5</v>
      </c>
    </row>
    <row r="805" spans="2:9">
      <c r="B805" s="27">
        <v>44938</v>
      </c>
      <c r="C805" s="28" t="s">
        <v>784</v>
      </c>
      <c r="D805" s="28">
        <v>468.29</v>
      </c>
      <c r="E805" s="28" t="s">
        <v>1962</v>
      </c>
      <c r="F805" s="28">
        <v>274.14999999999998</v>
      </c>
      <c r="G805" s="28">
        <v>140.9</v>
      </c>
      <c r="H805" s="28" t="s">
        <v>3130</v>
      </c>
      <c r="I805" s="28">
        <v>316.7</v>
      </c>
    </row>
    <row r="806" spans="2:9">
      <c r="B806" s="27">
        <v>44937</v>
      </c>
      <c r="C806" s="28" t="s">
        <v>785</v>
      </c>
      <c r="D806" s="28">
        <v>467.75</v>
      </c>
      <c r="E806" s="28" t="s">
        <v>1963</v>
      </c>
      <c r="F806" s="28">
        <v>271.76</v>
      </c>
      <c r="G806" s="28">
        <v>141.44999999999999</v>
      </c>
      <c r="H806" s="28" t="s">
        <v>3131</v>
      </c>
      <c r="I806" s="28">
        <v>323.85000000000002</v>
      </c>
    </row>
    <row r="807" spans="2:9">
      <c r="B807" s="27">
        <v>44936</v>
      </c>
      <c r="C807" s="28" t="s">
        <v>786</v>
      </c>
      <c r="D807" s="28">
        <v>472.38</v>
      </c>
      <c r="E807" s="28" t="s">
        <v>1964</v>
      </c>
      <c r="F807" s="28">
        <v>275.70999999999998</v>
      </c>
      <c r="G807" s="28">
        <v>140.4</v>
      </c>
      <c r="H807" s="28" t="s">
        <v>3132</v>
      </c>
      <c r="I807" s="28">
        <v>331.13</v>
      </c>
    </row>
    <row r="808" spans="2:9">
      <c r="B808" s="27">
        <v>44935</v>
      </c>
      <c r="C808" s="28" t="s">
        <v>787</v>
      </c>
      <c r="D808" s="28">
        <v>473.88</v>
      </c>
      <c r="E808" s="28" t="s">
        <v>1689</v>
      </c>
      <c r="F808" s="28">
        <v>267.70999999999998</v>
      </c>
      <c r="G808" s="28">
        <v>140.05000000000001</v>
      </c>
      <c r="H808" s="28" t="s">
        <v>3133</v>
      </c>
      <c r="I808" s="28">
        <v>333.88</v>
      </c>
    </row>
    <row r="809" spans="2:9">
      <c r="B809" s="27">
        <v>44932</v>
      </c>
      <c r="C809" s="28" t="s">
        <v>788</v>
      </c>
      <c r="D809" s="28">
        <v>473.67</v>
      </c>
      <c r="E809" s="28" t="s">
        <v>1965</v>
      </c>
      <c r="F809" s="28">
        <v>278.36</v>
      </c>
      <c r="G809" s="28">
        <v>138.44999999999999</v>
      </c>
      <c r="H809" s="28" t="s">
        <v>3134</v>
      </c>
      <c r="I809" s="28">
        <v>324.8</v>
      </c>
    </row>
    <row r="810" spans="2:9">
      <c r="B810" s="27">
        <v>44931</v>
      </c>
      <c r="C810" s="28" t="s">
        <v>789</v>
      </c>
      <c r="D810" s="28">
        <v>477.5</v>
      </c>
      <c r="E810" s="28" t="s">
        <v>1966</v>
      </c>
      <c r="F810" s="28">
        <v>282.38</v>
      </c>
      <c r="G810" s="28">
        <v>140.69999999999999</v>
      </c>
      <c r="H810" s="28" t="s">
        <v>3135</v>
      </c>
      <c r="I810" s="28">
        <v>333.58</v>
      </c>
    </row>
    <row r="811" spans="2:9">
      <c r="B811" s="27">
        <v>44930</v>
      </c>
      <c r="C811" s="28" t="s">
        <v>790</v>
      </c>
      <c r="D811" s="28">
        <v>478.04</v>
      </c>
      <c r="E811" s="28" t="s">
        <v>1967</v>
      </c>
      <c r="F811" s="28">
        <v>284.87</v>
      </c>
      <c r="G811" s="28">
        <v>133.80000000000001</v>
      </c>
      <c r="H811" s="28" t="s">
        <v>3136</v>
      </c>
      <c r="I811" s="28">
        <v>333</v>
      </c>
    </row>
    <row r="812" spans="2:9">
      <c r="B812" s="27">
        <v>44929</v>
      </c>
      <c r="C812" s="28" t="s">
        <v>791</v>
      </c>
      <c r="D812" s="28">
        <v>482.54</v>
      </c>
      <c r="E812" s="28" t="s">
        <v>1968</v>
      </c>
      <c r="F812" s="28">
        <v>284.17</v>
      </c>
      <c r="G812" s="28">
        <v>132.30000000000001</v>
      </c>
      <c r="H812" s="28" t="s">
        <v>3137</v>
      </c>
      <c r="I812" s="28">
        <v>336.4</v>
      </c>
    </row>
    <row r="813" spans="2:9">
      <c r="B813" s="27">
        <v>44928</v>
      </c>
      <c r="C813" s="28" t="s">
        <v>792</v>
      </c>
      <c r="D813" s="28">
        <v>481.08</v>
      </c>
      <c r="E813" s="28" t="s">
        <v>1969</v>
      </c>
      <c r="F813" s="28">
        <v>289.95</v>
      </c>
      <c r="G813" s="28">
        <v>132.5</v>
      </c>
      <c r="H813" s="28" t="s">
        <v>18</v>
      </c>
      <c r="I813" s="28">
        <v>338.63</v>
      </c>
    </row>
    <row r="814" spans="2:9">
      <c r="B814" s="27">
        <v>44925</v>
      </c>
      <c r="C814" s="28" t="s">
        <v>793</v>
      </c>
      <c r="D814" s="28">
        <v>484.46</v>
      </c>
      <c r="E814" s="28" t="s">
        <v>1970</v>
      </c>
      <c r="F814" s="28">
        <v>291.54000000000002</v>
      </c>
      <c r="G814" s="28">
        <v>130.6</v>
      </c>
      <c r="H814" s="28" t="s">
        <v>259</v>
      </c>
      <c r="I814" s="28">
        <v>336</v>
      </c>
    </row>
    <row r="815" spans="2:9">
      <c r="B815" s="27">
        <v>44924</v>
      </c>
      <c r="C815" s="28" t="s">
        <v>794</v>
      </c>
      <c r="D815" s="28">
        <v>486.79</v>
      </c>
      <c r="E815" s="28" t="s">
        <v>1971</v>
      </c>
      <c r="F815" s="28">
        <v>288.98</v>
      </c>
      <c r="G815" s="28">
        <v>131.5</v>
      </c>
      <c r="H815" s="28" t="s">
        <v>3138</v>
      </c>
      <c r="I815" s="28">
        <v>335.1</v>
      </c>
    </row>
    <row r="816" spans="2:9">
      <c r="B816" s="27">
        <v>44923</v>
      </c>
      <c r="C816" s="28" t="s">
        <v>795</v>
      </c>
      <c r="D816" s="28">
        <v>492.54</v>
      </c>
      <c r="E816" s="28" t="s">
        <v>1972</v>
      </c>
      <c r="F816" s="28">
        <v>291.01</v>
      </c>
      <c r="G816" s="28">
        <v>133.75</v>
      </c>
      <c r="H816" s="28" t="s">
        <v>3139</v>
      </c>
      <c r="I816" s="28">
        <v>337.55</v>
      </c>
    </row>
    <row r="817" spans="2:9">
      <c r="B817" s="27">
        <v>44922</v>
      </c>
      <c r="C817" s="28" t="s">
        <v>796</v>
      </c>
      <c r="D817" s="28">
        <v>492.46</v>
      </c>
      <c r="E817" s="28" t="s">
        <v>1973</v>
      </c>
      <c r="F817" s="28">
        <v>288.02</v>
      </c>
      <c r="G817" s="28">
        <v>138.1</v>
      </c>
      <c r="H817" s="28" t="s">
        <v>3140</v>
      </c>
      <c r="I817" s="28">
        <v>318.2</v>
      </c>
    </row>
    <row r="818" spans="2:9">
      <c r="B818" s="27">
        <v>44921</v>
      </c>
      <c r="C818" s="28" t="s">
        <v>797</v>
      </c>
      <c r="D818" s="28">
        <v>487.83</v>
      </c>
      <c r="E818" s="28" t="s">
        <v>1974</v>
      </c>
      <c r="F818" s="28">
        <v>285.73</v>
      </c>
      <c r="G818" s="28">
        <v>128.9</v>
      </c>
      <c r="H818" s="28" t="s">
        <v>3141</v>
      </c>
      <c r="I818" s="28">
        <v>317.8</v>
      </c>
    </row>
    <row r="819" spans="2:9">
      <c r="B819" s="27">
        <v>44918</v>
      </c>
      <c r="C819" s="28" t="s">
        <v>798</v>
      </c>
      <c r="D819" s="28">
        <v>479.63</v>
      </c>
      <c r="E819" s="28" t="s">
        <v>1975</v>
      </c>
      <c r="F819" s="28">
        <v>280.72000000000003</v>
      </c>
      <c r="G819" s="28">
        <v>124</v>
      </c>
      <c r="H819" s="28" t="s">
        <v>3142</v>
      </c>
      <c r="I819" s="28">
        <v>315.08</v>
      </c>
    </row>
    <row r="820" spans="2:9">
      <c r="B820" s="27">
        <v>44917</v>
      </c>
      <c r="C820" s="28" t="s">
        <v>799</v>
      </c>
      <c r="D820" s="28">
        <v>493.54</v>
      </c>
      <c r="E820" s="28" t="s">
        <v>1976</v>
      </c>
      <c r="F820" s="28">
        <v>282.48</v>
      </c>
      <c r="G820" s="28">
        <v>129.80000000000001</v>
      </c>
      <c r="H820" s="28" t="s">
        <v>3143</v>
      </c>
      <c r="I820" s="28">
        <v>335.7</v>
      </c>
    </row>
    <row r="821" spans="2:9">
      <c r="B821" s="27">
        <v>44916</v>
      </c>
      <c r="C821" s="28" t="s">
        <v>800</v>
      </c>
      <c r="D821" s="28">
        <v>491.96</v>
      </c>
      <c r="E821" s="28" t="s">
        <v>1977</v>
      </c>
      <c r="F821" s="28">
        <v>290.70999999999998</v>
      </c>
      <c r="G821" s="28">
        <v>137</v>
      </c>
      <c r="H821" s="28" t="s">
        <v>3144</v>
      </c>
      <c r="I821" s="28">
        <v>351.08</v>
      </c>
    </row>
    <row r="822" spans="2:9">
      <c r="B822" s="27">
        <v>44915</v>
      </c>
      <c r="C822" s="28" t="s">
        <v>801</v>
      </c>
      <c r="D822" s="28">
        <v>493.21</v>
      </c>
      <c r="E822" s="28" t="s">
        <v>1978</v>
      </c>
      <c r="F822" s="28">
        <v>281.42</v>
      </c>
      <c r="G822" s="28">
        <v>143.80000000000001</v>
      </c>
      <c r="H822" s="28" t="s">
        <v>3145</v>
      </c>
      <c r="I822" s="28">
        <v>371.75</v>
      </c>
    </row>
    <row r="823" spans="2:9">
      <c r="B823" s="27">
        <v>44914</v>
      </c>
      <c r="C823" s="28" t="s">
        <v>802</v>
      </c>
      <c r="D823" s="28">
        <v>493.42</v>
      </c>
      <c r="E823" s="28" t="s">
        <v>1979</v>
      </c>
      <c r="F823" s="28">
        <v>285.37</v>
      </c>
      <c r="G823" s="28">
        <v>147.55000000000001</v>
      </c>
      <c r="H823" s="28" t="s">
        <v>3146</v>
      </c>
      <c r="I823" s="28">
        <v>366.6</v>
      </c>
    </row>
    <row r="824" spans="2:9">
      <c r="B824" s="27">
        <v>44911</v>
      </c>
      <c r="C824" s="28" t="s">
        <v>803</v>
      </c>
      <c r="D824" s="28">
        <v>495.71</v>
      </c>
      <c r="E824" s="28" t="s">
        <v>1980</v>
      </c>
      <c r="F824" s="28">
        <v>285.2</v>
      </c>
      <c r="G824" s="28">
        <v>145.75</v>
      </c>
      <c r="H824" s="28" t="s">
        <v>3147</v>
      </c>
      <c r="I824" s="28">
        <v>370.1</v>
      </c>
    </row>
    <row r="825" spans="2:9">
      <c r="B825" s="27">
        <v>44910</v>
      </c>
      <c r="C825" s="28" t="s">
        <v>804</v>
      </c>
      <c r="D825" s="28">
        <v>504.54</v>
      </c>
      <c r="E825" s="28" t="s">
        <v>1981</v>
      </c>
      <c r="F825" s="28">
        <v>290.83999999999997</v>
      </c>
      <c r="G825" s="28">
        <v>149.80000000000001</v>
      </c>
      <c r="H825" s="28" t="s">
        <v>3148</v>
      </c>
      <c r="I825" s="28">
        <v>380.77</v>
      </c>
    </row>
    <row r="826" spans="2:9">
      <c r="B826" s="27">
        <v>44909</v>
      </c>
      <c r="C826" s="28" t="s">
        <v>805</v>
      </c>
      <c r="D826" s="28">
        <v>507.04</v>
      </c>
      <c r="E826" s="28" t="s">
        <v>1982</v>
      </c>
      <c r="F826" s="28">
        <v>292.67</v>
      </c>
      <c r="G826" s="28">
        <v>150.75</v>
      </c>
      <c r="H826" s="28" t="s">
        <v>2377</v>
      </c>
      <c r="I826" s="28">
        <v>379.38</v>
      </c>
    </row>
    <row r="827" spans="2:9">
      <c r="B827" s="27">
        <v>44908</v>
      </c>
      <c r="C827" s="28" t="s">
        <v>806</v>
      </c>
      <c r="D827" s="28">
        <v>509.42</v>
      </c>
      <c r="E827" s="28" t="s">
        <v>1983</v>
      </c>
      <c r="F827" s="28">
        <v>291.74</v>
      </c>
      <c r="G827" s="28">
        <v>145.15</v>
      </c>
      <c r="H827" s="28" t="s">
        <v>3149</v>
      </c>
      <c r="I827" s="28">
        <v>364.55</v>
      </c>
    </row>
    <row r="828" spans="2:9">
      <c r="B828" s="27">
        <v>44907</v>
      </c>
      <c r="C828" s="28" t="s">
        <v>807</v>
      </c>
      <c r="D828" s="28">
        <v>518.66999999999996</v>
      </c>
      <c r="E828" s="28" t="s">
        <v>1984</v>
      </c>
      <c r="F828" s="28">
        <v>293.36</v>
      </c>
      <c r="G828" s="28">
        <v>146.25</v>
      </c>
      <c r="H828" s="28" t="s">
        <v>3150</v>
      </c>
      <c r="I828" s="28">
        <v>356.05</v>
      </c>
    </row>
    <row r="829" spans="2:9">
      <c r="B829" s="27">
        <v>44904</v>
      </c>
      <c r="C829" s="28" t="s">
        <v>808</v>
      </c>
      <c r="D829" s="28">
        <v>512.63</v>
      </c>
      <c r="E829" s="28" t="s">
        <v>1985</v>
      </c>
      <c r="F829" s="28">
        <v>296.45</v>
      </c>
      <c r="G829" s="28">
        <v>147.5</v>
      </c>
      <c r="H829" s="28" t="s">
        <v>3151</v>
      </c>
      <c r="I829" s="28">
        <v>344.77</v>
      </c>
    </row>
    <row r="830" spans="2:9">
      <c r="B830" s="27">
        <v>44903</v>
      </c>
      <c r="C830" s="28" t="s">
        <v>809</v>
      </c>
      <c r="D830" s="28">
        <v>516.08000000000004</v>
      </c>
      <c r="E830" s="28" t="s">
        <v>1986</v>
      </c>
      <c r="F830" s="28">
        <v>296.02</v>
      </c>
      <c r="G830" s="28">
        <v>147.5</v>
      </c>
      <c r="H830" s="28" t="s">
        <v>3152</v>
      </c>
      <c r="I830" s="28">
        <v>337.3</v>
      </c>
    </row>
    <row r="831" spans="2:9">
      <c r="B831" s="27">
        <v>44902</v>
      </c>
      <c r="C831" s="28" t="s">
        <v>810</v>
      </c>
      <c r="D831" s="28">
        <v>517.79</v>
      </c>
      <c r="E831" s="28" t="s">
        <v>1987</v>
      </c>
      <c r="F831" s="28">
        <v>295.39</v>
      </c>
      <c r="G831" s="28">
        <v>147.44999999999999</v>
      </c>
      <c r="H831" s="28" t="s">
        <v>3153</v>
      </c>
      <c r="I831" s="28">
        <v>331.77</v>
      </c>
    </row>
    <row r="832" spans="2:9">
      <c r="B832" s="27">
        <v>44901</v>
      </c>
      <c r="C832" s="28" t="s">
        <v>811</v>
      </c>
      <c r="D832" s="28">
        <v>515.41999999999996</v>
      </c>
      <c r="E832" s="28" t="s">
        <v>1988</v>
      </c>
      <c r="F832" s="28">
        <v>295.16000000000003</v>
      </c>
      <c r="G832" s="28">
        <v>144.25</v>
      </c>
      <c r="H832" s="28" t="s">
        <v>3154</v>
      </c>
      <c r="I832" s="28">
        <v>334.65</v>
      </c>
    </row>
    <row r="833" spans="2:9">
      <c r="B833" s="27">
        <v>44900</v>
      </c>
      <c r="C833" s="28" t="s">
        <v>812</v>
      </c>
      <c r="D833" s="28">
        <v>518.5</v>
      </c>
      <c r="E833" s="28" t="s">
        <v>1989</v>
      </c>
      <c r="F833" s="28">
        <v>296.92</v>
      </c>
      <c r="G833" s="28">
        <v>145</v>
      </c>
      <c r="H833" s="28" t="s">
        <v>3155</v>
      </c>
      <c r="I833" s="28">
        <v>337.52</v>
      </c>
    </row>
    <row r="834" spans="2:9">
      <c r="B834" s="27">
        <v>44897</v>
      </c>
      <c r="C834" s="28" t="s">
        <v>813</v>
      </c>
      <c r="D834" s="28">
        <v>513.66999999999996</v>
      </c>
      <c r="E834" s="28" t="s">
        <v>1990</v>
      </c>
      <c r="F834" s="28">
        <v>292.5</v>
      </c>
      <c r="G834" s="28">
        <v>145.30000000000001</v>
      </c>
      <c r="H834" s="28" t="s">
        <v>3156</v>
      </c>
      <c r="I834" s="28">
        <v>347.67</v>
      </c>
    </row>
    <row r="835" spans="2:9">
      <c r="B835" s="27">
        <v>44896</v>
      </c>
      <c r="C835" s="28" t="s">
        <v>814</v>
      </c>
      <c r="D835" s="28">
        <v>517.04</v>
      </c>
      <c r="E835" s="28" t="s">
        <v>1991</v>
      </c>
      <c r="F835" s="28">
        <v>293.02999999999997</v>
      </c>
      <c r="G835" s="28">
        <v>146.25</v>
      </c>
      <c r="H835" s="28" t="s">
        <v>3157</v>
      </c>
      <c r="I835" s="28">
        <v>347.4</v>
      </c>
    </row>
    <row r="836" spans="2:9">
      <c r="B836" s="27">
        <v>44895</v>
      </c>
      <c r="C836" s="28" t="s">
        <v>815</v>
      </c>
      <c r="D836" s="28">
        <v>518.66999999999996</v>
      </c>
      <c r="E836" s="28" t="s">
        <v>1992</v>
      </c>
      <c r="F836" s="28">
        <v>297.61</v>
      </c>
      <c r="G836" s="28">
        <v>147.19999999999999</v>
      </c>
      <c r="H836" s="28" t="s">
        <v>3158</v>
      </c>
      <c r="I836" s="28">
        <v>348.63</v>
      </c>
    </row>
    <row r="837" spans="2:9">
      <c r="B837" s="27">
        <v>44894</v>
      </c>
      <c r="C837" s="28" t="s">
        <v>816</v>
      </c>
      <c r="D837" s="28">
        <v>510.17</v>
      </c>
      <c r="E837" s="28" t="s">
        <v>1993</v>
      </c>
      <c r="F837" s="28">
        <v>297.20999999999998</v>
      </c>
      <c r="G837" s="28">
        <v>147</v>
      </c>
      <c r="H837" s="28" t="s">
        <v>3159</v>
      </c>
      <c r="I837" s="28">
        <v>346.5</v>
      </c>
    </row>
    <row r="838" spans="2:9">
      <c r="B838" s="27">
        <v>44893</v>
      </c>
      <c r="C838" s="28" t="s">
        <v>817</v>
      </c>
      <c r="D838" s="28">
        <v>516.16999999999996</v>
      </c>
      <c r="E838" s="28" t="s">
        <v>1994</v>
      </c>
      <c r="F838" s="28">
        <v>294.95999999999998</v>
      </c>
      <c r="G838" s="28">
        <v>147.9</v>
      </c>
      <c r="H838" s="28" t="s">
        <v>3160</v>
      </c>
      <c r="I838" s="28">
        <v>346.67</v>
      </c>
    </row>
    <row r="839" spans="2:9">
      <c r="B839" s="27">
        <v>44890</v>
      </c>
      <c r="C839" s="28" t="s">
        <v>818</v>
      </c>
      <c r="D839" s="28">
        <v>513.91999999999996</v>
      </c>
      <c r="E839" s="28" t="s">
        <v>1995</v>
      </c>
      <c r="F839" s="28">
        <v>288.92</v>
      </c>
      <c r="G839" s="28">
        <v>149.6</v>
      </c>
      <c r="H839" s="28" t="s">
        <v>3161</v>
      </c>
      <c r="I839" s="28">
        <v>343.65</v>
      </c>
    </row>
    <row r="840" spans="2:9">
      <c r="B840" s="27">
        <v>44889</v>
      </c>
      <c r="C840" s="28" t="s">
        <v>819</v>
      </c>
      <c r="D840" s="28">
        <v>512.38</v>
      </c>
      <c r="E840" s="28" t="s">
        <v>1980</v>
      </c>
      <c r="F840" s="28">
        <v>287.39</v>
      </c>
      <c r="G840" s="28">
        <v>146.9</v>
      </c>
      <c r="H840" s="28" t="s">
        <v>3162</v>
      </c>
      <c r="I840" s="28">
        <v>352.88</v>
      </c>
    </row>
    <row r="841" spans="2:9">
      <c r="B841" s="27">
        <v>44888</v>
      </c>
      <c r="C841" s="28" t="s">
        <v>820</v>
      </c>
      <c r="D841" s="28">
        <v>511.63</v>
      </c>
      <c r="E841" s="28" t="s">
        <v>1996</v>
      </c>
      <c r="F841" s="28">
        <v>286.76</v>
      </c>
      <c r="G841" s="28">
        <v>150.75</v>
      </c>
      <c r="H841" s="28" t="s">
        <v>3163</v>
      </c>
      <c r="I841" s="28">
        <v>334.5</v>
      </c>
    </row>
    <row r="842" spans="2:9">
      <c r="B842" s="27">
        <v>44887</v>
      </c>
      <c r="C842" s="28" t="s">
        <v>821</v>
      </c>
      <c r="D842" s="28">
        <v>508.04</v>
      </c>
      <c r="E842" s="28" t="s">
        <v>1997</v>
      </c>
      <c r="F842" s="28">
        <v>288.29000000000002</v>
      </c>
      <c r="G842" s="28">
        <v>150.94999999999999</v>
      </c>
      <c r="H842" s="28" t="s">
        <v>3164</v>
      </c>
      <c r="I842" s="28">
        <v>335.75</v>
      </c>
    </row>
    <row r="843" spans="2:9">
      <c r="B843" s="27">
        <v>44886</v>
      </c>
      <c r="C843" s="28" t="s">
        <v>822</v>
      </c>
      <c r="D843" s="28">
        <v>504.25</v>
      </c>
      <c r="E843" s="28" t="s">
        <v>1998</v>
      </c>
      <c r="F843" s="28">
        <v>288.55</v>
      </c>
      <c r="G843" s="28">
        <v>152.94999999999999</v>
      </c>
      <c r="H843" s="28" t="s">
        <v>3164</v>
      </c>
      <c r="I843" s="28">
        <v>330.75</v>
      </c>
    </row>
    <row r="844" spans="2:9">
      <c r="B844" s="27">
        <v>44883</v>
      </c>
      <c r="C844" s="28" t="s">
        <v>823</v>
      </c>
      <c r="D844" s="28">
        <v>502.96</v>
      </c>
      <c r="E844" s="28" t="s">
        <v>1999</v>
      </c>
      <c r="F844" s="28">
        <v>288.12</v>
      </c>
      <c r="G844" s="28">
        <v>152.69999999999999</v>
      </c>
      <c r="H844" s="28" t="s">
        <v>3165</v>
      </c>
      <c r="I844" s="28">
        <v>342.2</v>
      </c>
    </row>
    <row r="845" spans="2:9">
      <c r="B845" s="27">
        <v>44882</v>
      </c>
      <c r="C845" s="28" t="s">
        <v>824</v>
      </c>
      <c r="D845" s="28">
        <v>508.17</v>
      </c>
      <c r="E845" s="28" t="s">
        <v>2000</v>
      </c>
      <c r="F845" s="28">
        <v>294.16000000000003</v>
      </c>
      <c r="G845" s="28">
        <v>150.25</v>
      </c>
      <c r="H845" s="28" t="s">
        <v>3166</v>
      </c>
      <c r="I845" s="28">
        <v>315.95</v>
      </c>
    </row>
    <row r="846" spans="2:9">
      <c r="B846" s="27">
        <v>44881</v>
      </c>
      <c r="C846" s="28" t="s">
        <v>825</v>
      </c>
      <c r="D846" s="28">
        <v>507.13</v>
      </c>
      <c r="E846" s="28" t="s">
        <v>2001</v>
      </c>
      <c r="F846" s="28">
        <v>295.58999999999997</v>
      </c>
      <c r="G846" s="28">
        <v>149.85</v>
      </c>
      <c r="H846" s="28" t="s">
        <v>3167</v>
      </c>
      <c r="I846" s="28">
        <v>321.35000000000002</v>
      </c>
    </row>
    <row r="847" spans="2:9">
      <c r="B847" s="27">
        <v>44880</v>
      </c>
      <c r="C847" s="28" t="s">
        <v>826</v>
      </c>
      <c r="D847" s="28">
        <v>507.75</v>
      </c>
      <c r="E847" s="28" t="s">
        <v>2002</v>
      </c>
      <c r="F847" s="28">
        <v>294.56</v>
      </c>
      <c r="G847" s="28">
        <v>148.6</v>
      </c>
      <c r="H847" s="28" t="s">
        <v>3168</v>
      </c>
      <c r="I847" s="28">
        <v>324.85000000000002</v>
      </c>
    </row>
    <row r="848" spans="2:9">
      <c r="B848" s="27">
        <v>44879</v>
      </c>
      <c r="C848" s="28" t="s">
        <v>402</v>
      </c>
      <c r="D848" s="28">
        <v>501.17</v>
      </c>
      <c r="E848" s="28" t="s">
        <v>2003</v>
      </c>
      <c r="F848" s="28">
        <v>292.7</v>
      </c>
      <c r="G848" s="28">
        <v>154.4</v>
      </c>
      <c r="H848" s="28" t="s">
        <v>120</v>
      </c>
      <c r="I848" s="28">
        <v>334.08</v>
      </c>
    </row>
    <row r="849" spans="2:9">
      <c r="B849" s="27">
        <v>44876</v>
      </c>
      <c r="C849" s="28" t="s">
        <v>827</v>
      </c>
      <c r="D849" s="28">
        <v>498.42</v>
      </c>
      <c r="E849" s="28" t="s">
        <v>2004</v>
      </c>
      <c r="F849" s="28">
        <v>297.02</v>
      </c>
      <c r="G849" s="28">
        <v>154.15</v>
      </c>
      <c r="H849" s="28" t="s">
        <v>3169</v>
      </c>
      <c r="I849" s="28">
        <v>325.85000000000002</v>
      </c>
    </row>
    <row r="850" spans="2:9">
      <c r="B850" s="27">
        <v>44875</v>
      </c>
      <c r="C850" s="28" t="s">
        <v>828</v>
      </c>
      <c r="D850" s="28">
        <v>485.96</v>
      </c>
      <c r="E850" s="28" t="s">
        <v>2005</v>
      </c>
      <c r="F850" s="28">
        <v>294.29000000000002</v>
      </c>
      <c r="G850" s="28">
        <v>155.19999999999999</v>
      </c>
      <c r="H850" s="28" t="s">
        <v>3170</v>
      </c>
      <c r="I850" s="28">
        <v>319.85000000000002</v>
      </c>
    </row>
    <row r="851" spans="2:9">
      <c r="B851" s="27">
        <v>44874</v>
      </c>
      <c r="C851" s="28" t="s">
        <v>829</v>
      </c>
      <c r="D851" s="28">
        <v>490.58</v>
      </c>
      <c r="E851" s="28" t="s">
        <v>2006</v>
      </c>
      <c r="F851" s="28">
        <v>295.12</v>
      </c>
      <c r="G851" s="28">
        <v>157.85</v>
      </c>
      <c r="H851" s="28" t="s">
        <v>3171</v>
      </c>
      <c r="I851" s="28">
        <v>315.60000000000002</v>
      </c>
    </row>
    <row r="852" spans="2:9">
      <c r="B852" s="27">
        <v>44872</v>
      </c>
      <c r="C852" s="28" t="s">
        <v>830</v>
      </c>
      <c r="D852" s="28">
        <v>512.04</v>
      </c>
      <c r="E852" s="28" t="s">
        <v>2007</v>
      </c>
      <c r="F852" s="28">
        <v>300.73</v>
      </c>
      <c r="G852" s="28">
        <v>157.80000000000001</v>
      </c>
      <c r="H852" s="28" t="s">
        <v>3172</v>
      </c>
      <c r="I852" s="28">
        <v>324.08</v>
      </c>
    </row>
    <row r="853" spans="2:9">
      <c r="B853" s="27">
        <v>44869</v>
      </c>
      <c r="C853" s="28" t="s">
        <v>831</v>
      </c>
      <c r="D853" s="28">
        <v>503.54</v>
      </c>
      <c r="E853" s="28" t="s">
        <v>2008</v>
      </c>
      <c r="F853" s="28">
        <v>297.35000000000002</v>
      </c>
      <c r="G853" s="28">
        <v>157.44999999999999</v>
      </c>
      <c r="H853" s="28" t="s">
        <v>3173</v>
      </c>
      <c r="I853" s="28">
        <v>325.23</v>
      </c>
    </row>
    <row r="854" spans="2:9">
      <c r="B854" s="27">
        <v>44868</v>
      </c>
      <c r="C854" s="28" t="s">
        <v>832</v>
      </c>
      <c r="D854" s="28">
        <v>505.58</v>
      </c>
      <c r="E854" s="28" t="s">
        <v>2009</v>
      </c>
      <c r="F854" s="28">
        <v>308.2</v>
      </c>
      <c r="G854" s="28">
        <v>157.6</v>
      </c>
      <c r="H854" s="28" t="s">
        <v>3174</v>
      </c>
      <c r="I854" s="28">
        <v>314.23</v>
      </c>
    </row>
    <row r="855" spans="2:9">
      <c r="B855" s="27">
        <v>44867</v>
      </c>
      <c r="C855" s="28" t="s">
        <v>833</v>
      </c>
      <c r="D855" s="28">
        <v>496.33</v>
      </c>
      <c r="E855" s="28" t="s">
        <v>1878</v>
      </c>
      <c r="F855" s="28">
        <v>310.02</v>
      </c>
      <c r="G855" s="28">
        <v>159.55000000000001</v>
      </c>
      <c r="H855" s="28" t="s">
        <v>3175</v>
      </c>
      <c r="I855" s="28">
        <v>312.39999999999998</v>
      </c>
    </row>
    <row r="856" spans="2:9">
      <c r="B856" s="27">
        <v>44866</v>
      </c>
      <c r="C856" s="28" t="s">
        <v>834</v>
      </c>
      <c r="D856" s="28">
        <v>498.75</v>
      </c>
      <c r="E856" s="28" t="s">
        <v>2010</v>
      </c>
      <c r="F856" s="28">
        <v>321.51</v>
      </c>
      <c r="G856" s="28">
        <v>159</v>
      </c>
      <c r="H856" s="28" t="s">
        <v>3176</v>
      </c>
      <c r="I856" s="28">
        <v>300.02</v>
      </c>
    </row>
    <row r="857" spans="2:9">
      <c r="B857" s="27">
        <v>44865</v>
      </c>
      <c r="C857" s="28" t="s">
        <v>835</v>
      </c>
      <c r="D857" s="28">
        <v>488.17</v>
      </c>
      <c r="E857" s="28" t="s">
        <v>2011</v>
      </c>
      <c r="F857" s="28">
        <v>322.57</v>
      </c>
      <c r="G857" s="28">
        <v>162.05000000000001</v>
      </c>
      <c r="H857" s="28" t="s">
        <v>3177</v>
      </c>
      <c r="I857" s="28">
        <v>292.92</v>
      </c>
    </row>
    <row r="858" spans="2:9">
      <c r="B858" s="27">
        <v>44862</v>
      </c>
      <c r="C858" s="28" t="s">
        <v>836</v>
      </c>
      <c r="D858" s="28">
        <v>479.04</v>
      </c>
      <c r="E858" s="28" t="s">
        <v>2012</v>
      </c>
      <c r="F858" s="28">
        <v>316.07</v>
      </c>
      <c r="G858" s="28">
        <v>159.4</v>
      </c>
      <c r="H858" s="28" t="s">
        <v>3178</v>
      </c>
      <c r="I858" s="28">
        <v>292.75</v>
      </c>
    </row>
    <row r="859" spans="2:9">
      <c r="B859" s="27">
        <v>44861</v>
      </c>
      <c r="C859" s="28" t="s">
        <v>837</v>
      </c>
      <c r="D859" s="28">
        <v>478.29</v>
      </c>
      <c r="E859" s="28" t="s">
        <v>2013</v>
      </c>
      <c r="F859" s="28">
        <v>316.7</v>
      </c>
      <c r="G859" s="28">
        <v>162.55000000000001</v>
      </c>
      <c r="H859" s="28" t="s">
        <v>3179</v>
      </c>
      <c r="I859" s="28">
        <v>297.52</v>
      </c>
    </row>
    <row r="860" spans="2:9">
      <c r="B860" s="27">
        <v>44859</v>
      </c>
      <c r="C860" s="28" t="s">
        <v>705</v>
      </c>
      <c r="D860" s="28">
        <v>486.13</v>
      </c>
      <c r="E860" s="28" t="s">
        <v>2014</v>
      </c>
      <c r="F860" s="28">
        <v>315.57</v>
      </c>
      <c r="G860" s="28">
        <v>164.75</v>
      </c>
      <c r="H860" s="28" t="s">
        <v>3180</v>
      </c>
      <c r="I860" s="28">
        <v>301.10000000000002</v>
      </c>
    </row>
    <row r="861" spans="2:9">
      <c r="B861" s="27">
        <v>44858</v>
      </c>
      <c r="C861" s="28" t="s">
        <v>838</v>
      </c>
      <c r="D861" s="28">
        <v>491.67</v>
      </c>
      <c r="E861" s="28" t="s">
        <v>2015</v>
      </c>
      <c r="F861" s="28">
        <v>319.77</v>
      </c>
      <c r="G861" s="28">
        <v>163.1</v>
      </c>
      <c r="H861" s="28" t="s">
        <v>3181</v>
      </c>
      <c r="I861" s="28">
        <v>307.17</v>
      </c>
    </row>
    <row r="862" spans="2:9">
      <c r="B862" s="27">
        <v>44855</v>
      </c>
      <c r="C862" s="28" t="s">
        <v>839</v>
      </c>
      <c r="D862" s="28">
        <v>487.79</v>
      </c>
      <c r="E862" s="28" t="s">
        <v>2016</v>
      </c>
      <c r="F862" s="28">
        <v>319.47000000000003</v>
      </c>
      <c r="G862" s="28">
        <v>160.15</v>
      </c>
      <c r="H862" s="28" t="s">
        <v>3182</v>
      </c>
      <c r="I862" s="28">
        <v>306.60000000000002</v>
      </c>
    </row>
    <row r="863" spans="2:9">
      <c r="B863" s="27">
        <v>44854</v>
      </c>
      <c r="C863" s="28" t="s">
        <v>840</v>
      </c>
      <c r="D863" s="28">
        <v>515.71</v>
      </c>
      <c r="E863" s="28" t="s">
        <v>2017</v>
      </c>
      <c r="F863" s="28">
        <v>320.89999999999998</v>
      </c>
      <c r="G863" s="28">
        <v>161.55000000000001</v>
      </c>
      <c r="H863" s="28" t="s">
        <v>3183</v>
      </c>
      <c r="I863" s="28">
        <v>321.64999999999998</v>
      </c>
    </row>
    <row r="864" spans="2:9">
      <c r="B864" s="27">
        <v>44853</v>
      </c>
      <c r="C864" s="28" t="s">
        <v>694</v>
      </c>
      <c r="D864" s="28">
        <v>515.63</v>
      </c>
      <c r="E864" s="28" t="s">
        <v>1792</v>
      </c>
      <c r="F864" s="28">
        <v>318.37</v>
      </c>
      <c r="G864" s="28">
        <v>162.94999999999999</v>
      </c>
      <c r="H864" s="28" t="s">
        <v>3184</v>
      </c>
      <c r="I864" s="28">
        <v>309.89999999999998</v>
      </c>
    </row>
    <row r="865" spans="2:9">
      <c r="B865" s="27">
        <v>44852</v>
      </c>
      <c r="C865" s="28" t="s">
        <v>841</v>
      </c>
      <c r="D865" s="28">
        <v>516.16999999999996</v>
      </c>
      <c r="E865" s="28" t="s">
        <v>2018</v>
      </c>
      <c r="F865" s="28">
        <v>323.47000000000003</v>
      </c>
      <c r="G865" s="28">
        <v>162.55000000000001</v>
      </c>
      <c r="H865" s="28" t="s">
        <v>3185</v>
      </c>
      <c r="I865" s="28">
        <v>302.5</v>
      </c>
    </row>
    <row r="866" spans="2:9">
      <c r="B866" s="27">
        <v>44851</v>
      </c>
      <c r="C866" s="28" t="s">
        <v>842</v>
      </c>
      <c r="D866" s="28">
        <v>511.46</v>
      </c>
      <c r="E866" s="28" t="s">
        <v>2019</v>
      </c>
      <c r="F866" s="28">
        <v>320.07</v>
      </c>
      <c r="G866" s="28">
        <v>163.85</v>
      </c>
      <c r="H866" s="28" t="s">
        <v>3186</v>
      </c>
      <c r="I866" s="28">
        <v>301.52</v>
      </c>
    </row>
    <row r="867" spans="2:9">
      <c r="B867" s="27">
        <v>44848</v>
      </c>
      <c r="C867" s="28" t="s">
        <v>843</v>
      </c>
      <c r="D867" s="28">
        <v>510.33</v>
      </c>
      <c r="E867" s="28" t="s">
        <v>2020</v>
      </c>
      <c r="F867" s="28">
        <v>320.89999999999998</v>
      </c>
      <c r="G867" s="28">
        <v>165.05</v>
      </c>
      <c r="H867" s="28" t="s">
        <v>3187</v>
      </c>
      <c r="I867" s="28">
        <v>299.05</v>
      </c>
    </row>
    <row r="868" spans="2:9">
      <c r="B868" s="27">
        <v>44847</v>
      </c>
      <c r="C868" s="28" t="s">
        <v>844</v>
      </c>
      <c r="D868" s="28">
        <v>512.66999999999996</v>
      </c>
      <c r="E868" s="28" t="s">
        <v>2021</v>
      </c>
      <c r="F868" s="28">
        <v>316.07</v>
      </c>
      <c r="G868" s="28">
        <v>167.5</v>
      </c>
      <c r="H868" s="28" t="s">
        <v>3188</v>
      </c>
      <c r="I868" s="28">
        <v>292.63</v>
      </c>
    </row>
    <row r="869" spans="2:9">
      <c r="B869" s="27">
        <v>44846</v>
      </c>
      <c r="C869" s="28" t="s">
        <v>845</v>
      </c>
      <c r="D869" s="28">
        <v>521.41999999999996</v>
      </c>
      <c r="E869" s="28" t="s">
        <v>2022</v>
      </c>
      <c r="F869" s="28">
        <v>314.63</v>
      </c>
      <c r="G869" s="28">
        <v>167</v>
      </c>
      <c r="H869" s="28" t="s">
        <v>3189</v>
      </c>
      <c r="I869" s="28">
        <v>304.52</v>
      </c>
    </row>
    <row r="870" spans="2:9">
      <c r="B870" s="27">
        <v>44845</v>
      </c>
      <c r="C870" s="28" t="s">
        <v>846</v>
      </c>
      <c r="D870" s="28">
        <v>514.71</v>
      </c>
      <c r="E870" s="28" t="s">
        <v>2023</v>
      </c>
      <c r="F870" s="28">
        <v>312.93</v>
      </c>
      <c r="G870" s="28">
        <v>167.95</v>
      </c>
      <c r="H870" s="28" t="s">
        <v>3190</v>
      </c>
      <c r="I870" s="28">
        <v>302.35000000000002</v>
      </c>
    </row>
    <row r="871" spans="2:9">
      <c r="B871" s="27">
        <v>44844</v>
      </c>
      <c r="C871" s="28" t="s">
        <v>847</v>
      </c>
      <c r="D871" s="28">
        <v>518.96</v>
      </c>
      <c r="E871" s="28" t="s">
        <v>2024</v>
      </c>
      <c r="F871" s="28">
        <v>317.8</v>
      </c>
      <c r="G871" s="28">
        <v>168.5</v>
      </c>
      <c r="H871" s="28" t="s">
        <v>3191</v>
      </c>
      <c r="I871" s="28">
        <v>313.75</v>
      </c>
    </row>
    <row r="872" spans="2:9">
      <c r="B872" s="27">
        <v>44841</v>
      </c>
      <c r="C872" s="28" t="s">
        <v>672</v>
      </c>
      <c r="D872" s="28">
        <v>521.58000000000004</v>
      </c>
      <c r="E872" s="28" t="s">
        <v>2025</v>
      </c>
      <c r="F872" s="28">
        <v>317.07</v>
      </c>
      <c r="G872" s="28">
        <v>168.85</v>
      </c>
      <c r="H872" s="28" t="s">
        <v>3192</v>
      </c>
      <c r="I872" s="28">
        <v>305.58</v>
      </c>
    </row>
    <row r="873" spans="2:9">
      <c r="B873" s="27">
        <v>44840</v>
      </c>
      <c r="C873" s="28" t="s">
        <v>848</v>
      </c>
      <c r="D873" s="28">
        <v>512.88</v>
      </c>
      <c r="E873" s="28" t="s">
        <v>2026</v>
      </c>
      <c r="F873" s="28">
        <v>320.2</v>
      </c>
      <c r="G873" s="28">
        <v>171.2</v>
      </c>
      <c r="H873" s="28" t="s">
        <v>3193</v>
      </c>
      <c r="I873" s="28">
        <v>299.2</v>
      </c>
    </row>
    <row r="874" spans="2:9">
      <c r="B874" s="27">
        <v>44838</v>
      </c>
      <c r="C874" s="28" t="s">
        <v>849</v>
      </c>
      <c r="D874" s="28">
        <v>512.63</v>
      </c>
      <c r="E874" s="28" t="s">
        <v>2027</v>
      </c>
      <c r="F874" s="28">
        <v>322.77</v>
      </c>
      <c r="G874" s="28">
        <v>169.3</v>
      </c>
      <c r="H874" s="28" t="s">
        <v>3194</v>
      </c>
      <c r="I874" s="28">
        <v>304.75</v>
      </c>
    </row>
    <row r="875" spans="2:9">
      <c r="B875" s="27">
        <v>44837</v>
      </c>
      <c r="C875" s="28" t="s">
        <v>850</v>
      </c>
      <c r="D875" s="28">
        <v>504.54</v>
      </c>
      <c r="E875" s="28" t="s">
        <v>2028</v>
      </c>
      <c r="F875" s="28">
        <v>329.03</v>
      </c>
      <c r="G875" s="28">
        <v>168</v>
      </c>
      <c r="H875" s="28" t="s">
        <v>3195</v>
      </c>
      <c r="I875" s="28">
        <v>301.35000000000002</v>
      </c>
    </row>
    <row r="876" spans="2:9">
      <c r="B876" s="27">
        <v>44834</v>
      </c>
      <c r="C876" s="28" t="s">
        <v>851</v>
      </c>
      <c r="D876" s="28">
        <v>514.16999999999996</v>
      </c>
      <c r="E876" s="28" t="s">
        <v>1761</v>
      </c>
      <c r="F876" s="28">
        <v>326.43</v>
      </c>
      <c r="G876" s="28">
        <v>168.65</v>
      </c>
      <c r="H876" s="28" t="s">
        <v>3196</v>
      </c>
      <c r="I876" s="28">
        <v>297.7</v>
      </c>
    </row>
    <row r="877" spans="2:9">
      <c r="B877" s="27">
        <v>44833</v>
      </c>
      <c r="C877" s="28" t="s">
        <v>852</v>
      </c>
      <c r="D877" s="28">
        <v>516.91999999999996</v>
      </c>
      <c r="E877" s="28" t="s">
        <v>2029</v>
      </c>
      <c r="F877" s="28">
        <v>328.83</v>
      </c>
      <c r="G877" s="28">
        <v>164.8</v>
      </c>
      <c r="H877" s="28" t="s">
        <v>3197</v>
      </c>
      <c r="I877" s="28">
        <v>293.55</v>
      </c>
    </row>
    <row r="878" spans="2:9">
      <c r="B878" s="27">
        <v>44832</v>
      </c>
      <c r="C878" s="28" t="s">
        <v>853</v>
      </c>
      <c r="D878" s="28">
        <v>523.91999999999996</v>
      </c>
      <c r="E878" s="28" t="s">
        <v>2030</v>
      </c>
      <c r="F878" s="28">
        <v>326.73</v>
      </c>
      <c r="G878" s="28">
        <v>163.9</v>
      </c>
      <c r="H878" s="28" t="s">
        <v>3198</v>
      </c>
      <c r="I878" s="28">
        <v>291.52</v>
      </c>
    </row>
    <row r="879" spans="2:9">
      <c r="B879" s="27">
        <v>44831</v>
      </c>
      <c r="C879" s="28" t="s">
        <v>854</v>
      </c>
      <c r="D879" s="28">
        <v>523.75</v>
      </c>
      <c r="E879" s="28" t="s">
        <v>2031</v>
      </c>
      <c r="F879" s="28">
        <v>323.8</v>
      </c>
      <c r="G879" s="28">
        <v>162.15</v>
      </c>
      <c r="H879" s="28" t="s">
        <v>3199</v>
      </c>
      <c r="I879" s="28">
        <v>289.89999999999998</v>
      </c>
    </row>
    <row r="880" spans="2:9">
      <c r="B880" s="27">
        <v>44830</v>
      </c>
      <c r="C880" s="28" t="s">
        <v>855</v>
      </c>
      <c r="D880" s="28">
        <v>522.29</v>
      </c>
      <c r="E880" s="28" t="s">
        <v>2032</v>
      </c>
      <c r="F880" s="28">
        <v>315.97000000000003</v>
      </c>
      <c r="G880" s="28">
        <v>165</v>
      </c>
      <c r="H880" s="28" t="s">
        <v>3200</v>
      </c>
      <c r="I880" s="28">
        <v>292.85000000000002</v>
      </c>
    </row>
    <row r="881" spans="2:9">
      <c r="B881" s="27">
        <v>44827</v>
      </c>
      <c r="C881" s="28" t="s">
        <v>856</v>
      </c>
      <c r="D881" s="28">
        <v>528.08000000000004</v>
      </c>
      <c r="E881" s="28" t="s">
        <v>1825</v>
      </c>
      <c r="F881" s="28">
        <v>319.39999999999998</v>
      </c>
      <c r="G881" s="28">
        <v>166.65</v>
      </c>
      <c r="H881" s="28" t="s">
        <v>3201</v>
      </c>
      <c r="I881" s="28">
        <v>298.92</v>
      </c>
    </row>
    <row r="882" spans="2:9">
      <c r="B882" s="27">
        <v>44826</v>
      </c>
      <c r="C882" s="28" t="s">
        <v>857</v>
      </c>
      <c r="D882" s="28">
        <v>529.41999999999996</v>
      </c>
      <c r="E882" s="28" t="s">
        <v>2033</v>
      </c>
      <c r="F882" s="28">
        <v>320.73</v>
      </c>
      <c r="G882" s="28">
        <v>165.85</v>
      </c>
      <c r="H882" s="28" t="s">
        <v>3202</v>
      </c>
      <c r="I882" s="28">
        <v>301.75</v>
      </c>
    </row>
    <row r="883" spans="2:9">
      <c r="B883" s="27">
        <v>44825</v>
      </c>
      <c r="C883" s="28" t="s">
        <v>858</v>
      </c>
      <c r="D883" s="28">
        <v>519.16999999999996</v>
      </c>
      <c r="E883" s="28" t="s">
        <v>2034</v>
      </c>
      <c r="F883" s="28">
        <v>319.52999999999997</v>
      </c>
      <c r="G883" s="28">
        <v>168.45</v>
      </c>
      <c r="H883" s="28" t="s">
        <v>3203</v>
      </c>
      <c r="I883" s="28">
        <v>301.63</v>
      </c>
    </row>
    <row r="884" spans="2:9">
      <c r="B884" s="27">
        <v>44824</v>
      </c>
      <c r="C884" s="28" t="s">
        <v>859</v>
      </c>
      <c r="D884" s="28">
        <v>528.25</v>
      </c>
      <c r="E884" s="28" t="s">
        <v>2035</v>
      </c>
      <c r="F884" s="28">
        <v>324.8</v>
      </c>
      <c r="G884" s="28">
        <v>167.5</v>
      </c>
      <c r="H884" s="28" t="s">
        <v>3204</v>
      </c>
      <c r="I884" s="28">
        <v>305.98</v>
      </c>
    </row>
    <row r="885" spans="2:9">
      <c r="B885" s="27">
        <v>44823</v>
      </c>
      <c r="C885" s="28" t="s">
        <v>860</v>
      </c>
      <c r="D885" s="28">
        <v>526.33000000000004</v>
      </c>
      <c r="E885" s="28" t="s">
        <v>2036</v>
      </c>
      <c r="F885" s="28">
        <v>324.17</v>
      </c>
      <c r="G885" s="28">
        <v>165.85</v>
      </c>
      <c r="H885" s="28" t="s">
        <v>3205</v>
      </c>
      <c r="I885" s="28">
        <v>298</v>
      </c>
    </row>
    <row r="886" spans="2:9">
      <c r="B886" s="27">
        <v>44820</v>
      </c>
      <c r="C886" s="28" t="s">
        <v>861</v>
      </c>
      <c r="D886" s="28">
        <v>532.5</v>
      </c>
      <c r="E886" s="28" t="s">
        <v>2037</v>
      </c>
      <c r="F886" s="28">
        <v>319.93</v>
      </c>
      <c r="G886" s="28">
        <v>166.3</v>
      </c>
      <c r="H886" s="28" t="s">
        <v>3206</v>
      </c>
      <c r="I886" s="28">
        <v>299.14999999999998</v>
      </c>
    </row>
    <row r="887" spans="2:9">
      <c r="B887" s="27">
        <v>44819</v>
      </c>
      <c r="C887" s="28" t="s">
        <v>862</v>
      </c>
      <c r="D887" s="28">
        <v>545.71</v>
      </c>
      <c r="E887" s="28" t="s">
        <v>1811</v>
      </c>
      <c r="F887" s="28">
        <v>336.7</v>
      </c>
      <c r="G887" s="28">
        <v>170.05</v>
      </c>
      <c r="H887" s="28" t="s">
        <v>3207</v>
      </c>
      <c r="I887" s="28">
        <v>304.3</v>
      </c>
    </row>
    <row r="888" spans="2:9">
      <c r="B888" s="27">
        <v>44818</v>
      </c>
      <c r="C888" s="28" t="s">
        <v>863</v>
      </c>
      <c r="D888" s="28">
        <v>548.21</v>
      </c>
      <c r="E888" s="28" t="s">
        <v>2038</v>
      </c>
      <c r="F888" s="28">
        <v>338.03</v>
      </c>
      <c r="G888" s="28">
        <v>170.05</v>
      </c>
      <c r="H888" s="28" t="s">
        <v>3208</v>
      </c>
      <c r="I888" s="28">
        <v>306.25</v>
      </c>
    </row>
    <row r="889" spans="2:9">
      <c r="B889" s="27">
        <v>44817</v>
      </c>
      <c r="C889" s="28" t="s">
        <v>864</v>
      </c>
      <c r="D889" s="28">
        <v>553.96</v>
      </c>
      <c r="E889" s="28" t="s">
        <v>2039</v>
      </c>
      <c r="F889" s="28">
        <v>339.03</v>
      </c>
      <c r="G889" s="28">
        <v>168.15</v>
      </c>
      <c r="H889" s="28" t="s">
        <v>3209</v>
      </c>
      <c r="I889" s="28">
        <v>320.58</v>
      </c>
    </row>
    <row r="890" spans="2:9">
      <c r="B890" s="27">
        <v>44816</v>
      </c>
      <c r="C890" s="28" t="s">
        <v>865</v>
      </c>
      <c r="D890" s="28">
        <v>553.75</v>
      </c>
      <c r="E890" s="28" t="s">
        <v>2040</v>
      </c>
      <c r="F890" s="28">
        <v>339.7</v>
      </c>
      <c r="G890" s="28">
        <v>169.35</v>
      </c>
      <c r="H890" s="28" t="s">
        <v>3210</v>
      </c>
      <c r="I890" s="28">
        <v>320.60000000000002</v>
      </c>
    </row>
    <row r="891" spans="2:9">
      <c r="B891" s="27">
        <v>44813</v>
      </c>
      <c r="C891" s="28" t="s">
        <v>866</v>
      </c>
      <c r="D891" s="28">
        <v>553.33000000000004</v>
      </c>
      <c r="E891" s="28" t="s">
        <v>2041</v>
      </c>
      <c r="F891" s="28">
        <v>342.27</v>
      </c>
      <c r="G891" s="28">
        <v>171.15</v>
      </c>
      <c r="H891" s="28" t="s">
        <v>3211</v>
      </c>
      <c r="I891" s="28">
        <v>306.85000000000002</v>
      </c>
    </row>
    <row r="892" spans="2:9">
      <c r="B892" s="27">
        <v>44812</v>
      </c>
      <c r="C892" s="28" t="s">
        <v>867</v>
      </c>
      <c r="D892" s="28">
        <v>554.33000000000004</v>
      </c>
      <c r="E892" s="28" t="s">
        <v>2042</v>
      </c>
      <c r="F892" s="28">
        <v>343.07</v>
      </c>
      <c r="G892" s="28">
        <v>173.9</v>
      </c>
      <c r="H892" s="28" t="s">
        <v>3212</v>
      </c>
      <c r="I892" s="28">
        <v>321.17</v>
      </c>
    </row>
    <row r="893" spans="2:9">
      <c r="B893" s="27">
        <v>44811</v>
      </c>
      <c r="C893" s="28" t="s">
        <v>868</v>
      </c>
      <c r="D893" s="28">
        <v>549.75</v>
      </c>
      <c r="E893" s="28" t="s">
        <v>2043</v>
      </c>
      <c r="F893" s="28">
        <v>333.27</v>
      </c>
      <c r="G893" s="28">
        <v>172.6</v>
      </c>
      <c r="H893" s="28" t="s">
        <v>3213</v>
      </c>
      <c r="I893" s="28">
        <v>285.5</v>
      </c>
    </row>
    <row r="894" spans="2:9">
      <c r="B894" s="27">
        <v>44810</v>
      </c>
      <c r="C894" s="28" t="s">
        <v>856</v>
      </c>
      <c r="D894" s="28">
        <v>548.21</v>
      </c>
      <c r="E894" s="28" t="s">
        <v>2044</v>
      </c>
      <c r="F894" s="28">
        <v>334.73</v>
      </c>
      <c r="G894" s="28">
        <v>172.7</v>
      </c>
      <c r="H894" s="28" t="s">
        <v>3214</v>
      </c>
      <c r="I894" s="28">
        <v>269.48</v>
      </c>
    </row>
    <row r="895" spans="2:9">
      <c r="B895" s="27">
        <v>44809</v>
      </c>
      <c r="C895" s="28" t="s">
        <v>869</v>
      </c>
      <c r="D895" s="28">
        <v>550.41999999999996</v>
      </c>
      <c r="E895" s="28" t="s">
        <v>2045</v>
      </c>
      <c r="F895" s="28">
        <v>331.4</v>
      </c>
      <c r="G895" s="28">
        <v>175.8</v>
      </c>
      <c r="H895" s="28" t="s">
        <v>3215</v>
      </c>
      <c r="I895" s="28">
        <v>270.85000000000002</v>
      </c>
    </row>
    <row r="896" spans="2:9">
      <c r="B896" s="27">
        <v>44806</v>
      </c>
      <c r="C896" s="28" t="s">
        <v>870</v>
      </c>
      <c r="D896" s="28">
        <v>556.79</v>
      </c>
      <c r="E896" s="28" t="s">
        <v>2046</v>
      </c>
      <c r="F896" s="28">
        <v>333.13</v>
      </c>
      <c r="G896" s="28">
        <v>168.75</v>
      </c>
      <c r="H896" s="28" t="s">
        <v>3216</v>
      </c>
      <c r="I896" s="28">
        <v>270.52</v>
      </c>
    </row>
    <row r="897" spans="2:9">
      <c r="B897" s="27">
        <v>44805</v>
      </c>
      <c r="C897" s="28" t="s">
        <v>871</v>
      </c>
      <c r="D897" s="28">
        <v>562.21</v>
      </c>
      <c r="E897" s="28" t="s">
        <v>2047</v>
      </c>
      <c r="F897" s="28">
        <v>336.07</v>
      </c>
      <c r="G897" s="28">
        <v>167.05</v>
      </c>
      <c r="H897" s="28" t="s">
        <v>3217</v>
      </c>
      <c r="I897" s="28">
        <v>271.10000000000002</v>
      </c>
    </row>
    <row r="898" spans="2:9">
      <c r="B898" s="27">
        <v>44803</v>
      </c>
      <c r="C898" s="28" t="s">
        <v>872</v>
      </c>
      <c r="D898" s="28">
        <v>561.41999999999996</v>
      </c>
      <c r="E898" s="28" t="s">
        <v>2048</v>
      </c>
      <c r="F898" s="28">
        <v>336.87</v>
      </c>
      <c r="G898" s="28">
        <v>166.1</v>
      </c>
      <c r="H898" s="28" t="s">
        <v>3218</v>
      </c>
      <c r="I898" s="28">
        <v>266.60000000000002</v>
      </c>
    </row>
    <row r="899" spans="2:9">
      <c r="B899" s="27">
        <v>44802</v>
      </c>
      <c r="C899" s="28" t="s">
        <v>873</v>
      </c>
      <c r="D899" s="28">
        <v>551.79</v>
      </c>
      <c r="E899" s="28" t="s">
        <v>2049</v>
      </c>
      <c r="F899" s="28">
        <v>323.39999999999998</v>
      </c>
      <c r="G899" s="28">
        <v>160.9</v>
      </c>
      <c r="H899" s="28" t="s">
        <v>3219</v>
      </c>
      <c r="I899" s="28">
        <v>260.45</v>
      </c>
    </row>
    <row r="900" spans="2:9">
      <c r="B900" s="27">
        <v>44799</v>
      </c>
      <c r="C900" s="28" t="s">
        <v>874</v>
      </c>
      <c r="D900" s="28">
        <v>550.13</v>
      </c>
      <c r="E900" s="28" t="s">
        <v>2050</v>
      </c>
      <c r="F900" s="28">
        <v>328.6</v>
      </c>
      <c r="G900" s="28">
        <v>168.4</v>
      </c>
      <c r="H900" s="28" t="s">
        <v>3220</v>
      </c>
      <c r="I900" s="28">
        <v>260.64999999999998</v>
      </c>
    </row>
    <row r="901" spans="2:9">
      <c r="B901" s="27">
        <v>44798</v>
      </c>
      <c r="C901" s="28" t="s">
        <v>875</v>
      </c>
      <c r="D901" s="28">
        <v>546.5</v>
      </c>
      <c r="E901" s="28" t="s">
        <v>2051</v>
      </c>
      <c r="F901" s="28">
        <v>324.60000000000002</v>
      </c>
      <c r="G901" s="28">
        <v>167.6</v>
      </c>
      <c r="H901" s="28" t="s">
        <v>3221</v>
      </c>
      <c r="I901" s="28">
        <v>259.5</v>
      </c>
    </row>
    <row r="902" spans="2:9">
      <c r="B902" s="27">
        <v>44797</v>
      </c>
      <c r="C902" s="28" t="s">
        <v>876</v>
      </c>
      <c r="D902" s="28">
        <v>549.75</v>
      </c>
      <c r="E902" s="28" t="s">
        <v>2052</v>
      </c>
      <c r="F902" s="28">
        <v>329.83</v>
      </c>
      <c r="G902" s="28">
        <v>167.55</v>
      </c>
      <c r="H902" s="28" t="s">
        <v>3222</v>
      </c>
      <c r="I902" s="28">
        <v>260.5</v>
      </c>
    </row>
    <row r="903" spans="2:9">
      <c r="B903" s="27">
        <v>44796</v>
      </c>
      <c r="C903" s="28" t="s">
        <v>877</v>
      </c>
      <c r="D903" s="28">
        <v>551.08000000000004</v>
      </c>
      <c r="E903" s="28" t="s">
        <v>2053</v>
      </c>
      <c r="F903" s="28">
        <v>332.5</v>
      </c>
      <c r="G903" s="28">
        <v>166.75</v>
      </c>
      <c r="H903" s="28" t="s">
        <v>3223</v>
      </c>
      <c r="I903" s="28">
        <v>261.64999999999998</v>
      </c>
    </row>
    <row r="904" spans="2:9">
      <c r="B904" s="27">
        <v>44795</v>
      </c>
      <c r="C904" s="28" t="s">
        <v>878</v>
      </c>
      <c r="D904" s="28">
        <v>557.08000000000004</v>
      </c>
      <c r="E904" s="28" t="s">
        <v>2054</v>
      </c>
      <c r="F904" s="28">
        <v>332.8</v>
      </c>
      <c r="G904" s="28">
        <v>169.45</v>
      </c>
      <c r="H904" s="28" t="s">
        <v>3224</v>
      </c>
      <c r="I904" s="28">
        <v>261.92</v>
      </c>
    </row>
    <row r="905" spans="2:9">
      <c r="B905" s="27">
        <v>44792</v>
      </c>
      <c r="C905" s="28" t="s">
        <v>879</v>
      </c>
      <c r="D905" s="28">
        <v>580.91999999999996</v>
      </c>
      <c r="E905" s="28" t="s">
        <v>2055</v>
      </c>
      <c r="F905" s="28">
        <v>337.13</v>
      </c>
      <c r="G905" s="28">
        <v>167.9</v>
      </c>
      <c r="H905" s="28" t="s">
        <v>3225</v>
      </c>
      <c r="I905" s="28">
        <v>267.67</v>
      </c>
    </row>
    <row r="906" spans="2:9">
      <c r="B906" s="27">
        <v>44791</v>
      </c>
      <c r="C906" s="28" t="s">
        <v>880</v>
      </c>
      <c r="D906" s="28">
        <v>589.29</v>
      </c>
      <c r="E906" s="28" t="s">
        <v>2056</v>
      </c>
      <c r="F906" s="28">
        <v>337.97</v>
      </c>
      <c r="G906" s="28">
        <v>168.9</v>
      </c>
      <c r="H906" s="28" t="s">
        <v>3226</v>
      </c>
      <c r="I906" s="28">
        <v>260.88</v>
      </c>
    </row>
    <row r="907" spans="2:9">
      <c r="B907" s="27">
        <v>44790</v>
      </c>
      <c r="C907" s="28" t="s">
        <v>881</v>
      </c>
      <c r="D907" s="28">
        <v>587.5</v>
      </c>
      <c r="E907" s="28" t="s">
        <v>2057</v>
      </c>
      <c r="F907" s="28">
        <v>339.1</v>
      </c>
      <c r="G907" s="28">
        <v>165.3</v>
      </c>
      <c r="H907" s="28" t="s">
        <v>3227</v>
      </c>
      <c r="I907" s="28">
        <v>263.67</v>
      </c>
    </row>
    <row r="908" spans="2:9">
      <c r="B908" s="27">
        <v>44789</v>
      </c>
      <c r="C908" s="28" t="s">
        <v>882</v>
      </c>
      <c r="D908" s="28">
        <v>566.79</v>
      </c>
      <c r="E908" s="28" t="s">
        <v>2058</v>
      </c>
      <c r="F908" s="28">
        <v>333.07</v>
      </c>
      <c r="G908" s="28">
        <v>162.80000000000001</v>
      </c>
      <c r="H908" s="28" t="s">
        <v>3228</v>
      </c>
      <c r="I908" s="28">
        <v>265.45</v>
      </c>
    </row>
    <row r="909" spans="2:9">
      <c r="B909" s="27">
        <v>44785</v>
      </c>
      <c r="C909" s="28" t="s">
        <v>883</v>
      </c>
      <c r="D909" s="28">
        <v>563.66999999999996</v>
      </c>
      <c r="E909" s="28" t="s">
        <v>2059</v>
      </c>
      <c r="F909" s="28">
        <v>329.5</v>
      </c>
      <c r="G909" s="28">
        <v>165.55</v>
      </c>
      <c r="H909" s="28" t="s">
        <v>3229</v>
      </c>
      <c r="I909" s="28">
        <v>270.2</v>
      </c>
    </row>
    <row r="910" spans="2:9">
      <c r="B910" s="27">
        <v>44784</v>
      </c>
      <c r="C910" s="28" t="s">
        <v>884</v>
      </c>
      <c r="D910" s="28">
        <v>564.08000000000004</v>
      </c>
      <c r="E910" s="28" t="s">
        <v>2060</v>
      </c>
      <c r="F910" s="28">
        <v>333.57</v>
      </c>
      <c r="G910" s="28">
        <v>163.1</v>
      </c>
      <c r="H910" s="28" t="s">
        <v>3230</v>
      </c>
      <c r="I910" s="28">
        <v>275.17</v>
      </c>
    </row>
    <row r="911" spans="2:9">
      <c r="B911" s="27">
        <v>44783</v>
      </c>
      <c r="C911" s="28" t="s">
        <v>885</v>
      </c>
      <c r="D911" s="28">
        <v>555.33000000000004</v>
      </c>
      <c r="E911" s="28" t="s">
        <v>2061</v>
      </c>
      <c r="F911" s="28">
        <v>332.3</v>
      </c>
      <c r="G911" s="28">
        <v>163.15</v>
      </c>
      <c r="H911" s="28" t="s">
        <v>3231</v>
      </c>
      <c r="I911" s="28">
        <v>269.38</v>
      </c>
    </row>
    <row r="912" spans="2:9">
      <c r="B912" s="27">
        <v>44781</v>
      </c>
      <c r="C912" s="28" t="s">
        <v>886</v>
      </c>
      <c r="D912" s="28">
        <v>562.21</v>
      </c>
      <c r="E912" s="28" t="s">
        <v>2062</v>
      </c>
      <c r="F912" s="28">
        <v>330.87</v>
      </c>
      <c r="G912" s="28">
        <v>164.95</v>
      </c>
      <c r="H912" s="28" t="s">
        <v>3232</v>
      </c>
      <c r="I912" s="28">
        <v>276.60000000000002</v>
      </c>
    </row>
    <row r="913" spans="2:9">
      <c r="B913" s="27">
        <v>44778</v>
      </c>
      <c r="C913" s="28" t="s">
        <v>887</v>
      </c>
      <c r="D913" s="28">
        <v>561.46</v>
      </c>
      <c r="E913" s="28" t="s">
        <v>2063</v>
      </c>
      <c r="F913" s="28">
        <v>334.3</v>
      </c>
      <c r="G913" s="28">
        <v>166.85</v>
      </c>
      <c r="H913" s="28" t="s">
        <v>3233</v>
      </c>
      <c r="I913" s="28">
        <v>272.02</v>
      </c>
    </row>
    <row r="914" spans="2:9">
      <c r="B914" s="27">
        <v>44777</v>
      </c>
      <c r="C914" s="28" t="s">
        <v>888</v>
      </c>
      <c r="D914" s="28">
        <v>555.83000000000004</v>
      </c>
      <c r="E914" s="28" t="s">
        <v>2064</v>
      </c>
      <c r="F914" s="28">
        <v>333.33</v>
      </c>
      <c r="G914" s="28">
        <v>163.6</v>
      </c>
      <c r="H914" s="28" t="s">
        <v>3234</v>
      </c>
      <c r="I914" s="28">
        <v>267.48</v>
      </c>
    </row>
    <row r="915" spans="2:9">
      <c r="B915" s="27">
        <v>44776</v>
      </c>
      <c r="C915" s="28" t="s">
        <v>889</v>
      </c>
      <c r="D915" s="28">
        <v>547.79</v>
      </c>
      <c r="E915" s="28" t="s">
        <v>2065</v>
      </c>
      <c r="F915" s="28">
        <v>334.23</v>
      </c>
      <c r="G915" s="28">
        <v>170.6</v>
      </c>
      <c r="H915" s="28" t="s">
        <v>3235</v>
      </c>
      <c r="I915" s="28">
        <v>268.95</v>
      </c>
    </row>
    <row r="916" spans="2:9">
      <c r="B916" s="27">
        <v>44775</v>
      </c>
      <c r="C916" s="28" t="s">
        <v>890</v>
      </c>
      <c r="D916" s="28">
        <v>543.71</v>
      </c>
      <c r="E916" s="28" t="s">
        <v>2066</v>
      </c>
      <c r="F916" s="28">
        <v>338.87</v>
      </c>
      <c r="G916" s="28">
        <v>176.85</v>
      </c>
      <c r="H916" s="28" t="s">
        <v>3236</v>
      </c>
      <c r="I916" s="28">
        <v>274.42</v>
      </c>
    </row>
    <row r="917" spans="2:9">
      <c r="B917" s="27">
        <v>44774</v>
      </c>
      <c r="C917" s="28" t="s">
        <v>891</v>
      </c>
      <c r="D917" s="28">
        <v>524.08000000000004</v>
      </c>
      <c r="E917" s="28" t="s">
        <v>2067</v>
      </c>
      <c r="F917" s="28">
        <v>287.7</v>
      </c>
      <c r="G917" s="28">
        <v>168.4</v>
      </c>
      <c r="H917" s="28" t="s">
        <v>3237</v>
      </c>
      <c r="I917" s="28">
        <v>256.77</v>
      </c>
    </row>
    <row r="918" spans="2:9">
      <c r="B918" s="27">
        <v>44771</v>
      </c>
      <c r="C918" s="28" t="s">
        <v>892</v>
      </c>
      <c r="D918" s="28">
        <v>520.58000000000004</v>
      </c>
      <c r="E918" s="28" t="s">
        <v>2068</v>
      </c>
      <c r="F918" s="28">
        <v>266.67</v>
      </c>
      <c r="G918" s="28">
        <v>169.3</v>
      </c>
      <c r="H918" s="28" t="s">
        <v>3238</v>
      </c>
      <c r="I918" s="28">
        <v>255.25</v>
      </c>
    </row>
    <row r="919" spans="2:9">
      <c r="B919" s="27">
        <v>44770</v>
      </c>
      <c r="C919" s="28" t="s">
        <v>893</v>
      </c>
      <c r="D919" s="28">
        <v>514.33000000000004</v>
      </c>
      <c r="E919" s="28" t="s">
        <v>2069</v>
      </c>
      <c r="F919" s="28">
        <v>269.93</v>
      </c>
      <c r="G919" s="28">
        <v>168.6</v>
      </c>
      <c r="H919" s="28" t="s">
        <v>3239</v>
      </c>
      <c r="I919" s="28">
        <v>251.88</v>
      </c>
    </row>
    <row r="920" spans="2:9">
      <c r="B920" s="27">
        <v>44769</v>
      </c>
      <c r="C920" s="28" t="s">
        <v>894</v>
      </c>
      <c r="D920" s="28">
        <v>497.38</v>
      </c>
      <c r="E920" s="28" t="s">
        <v>2070</v>
      </c>
      <c r="F920" s="28">
        <v>266.43</v>
      </c>
      <c r="G920" s="28">
        <v>166.15</v>
      </c>
      <c r="H920" s="28" t="s">
        <v>3240</v>
      </c>
      <c r="I920" s="28">
        <v>250.3</v>
      </c>
    </row>
    <row r="921" spans="2:9">
      <c r="B921" s="27">
        <v>44768</v>
      </c>
      <c r="C921" s="28" t="s">
        <v>895</v>
      </c>
      <c r="D921" s="28">
        <v>488.38</v>
      </c>
      <c r="E921" s="28" t="s">
        <v>2071</v>
      </c>
      <c r="F921" s="28">
        <v>266.47000000000003</v>
      </c>
      <c r="G921" s="28">
        <v>163.55000000000001</v>
      </c>
      <c r="H921" s="28" t="s">
        <v>3241</v>
      </c>
      <c r="I921" s="28">
        <v>248.98</v>
      </c>
    </row>
    <row r="922" spans="2:9">
      <c r="B922" s="27">
        <v>44767</v>
      </c>
      <c r="C922" s="28" t="s">
        <v>896</v>
      </c>
      <c r="D922" s="28">
        <v>495.46</v>
      </c>
      <c r="E922" s="28" t="s">
        <v>2072</v>
      </c>
      <c r="F922" s="28">
        <v>268.52999999999997</v>
      </c>
      <c r="G922" s="28">
        <v>163.9</v>
      </c>
      <c r="H922" s="28" t="s">
        <v>3242</v>
      </c>
      <c r="I922" s="28">
        <v>250.6</v>
      </c>
    </row>
    <row r="923" spans="2:9">
      <c r="B923" s="27">
        <v>44764</v>
      </c>
      <c r="C923" s="28" t="s">
        <v>897</v>
      </c>
      <c r="D923" s="28">
        <v>491.17</v>
      </c>
      <c r="E923" s="28" t="s">
        <v>2073</v>
      </c>
      <c r="F923" s="28">
        <v>268.10000000000002</v>
      </c>
      <c r="G923" s="28">
        <v>163.9</v>
      </c>
      <c r="H923" s="28" t="s">
        <v>3243</v>
      </c>
      <c r="I923" s="28">
        <v>254.5</v>
      </c>
    </row>
    <row r="924" spans="2:9">
      <c r="B924" s="27">
        <v>44763</v>
      </c>
      <c r="C924" s="28" t="s">
        <v>898</v>
      </c>
      <c r="D924" s="28">
        <v>495.13</v>
      </c>
      <c r="E924" s="28" t="s">
        <v>2074</v>
      </c>
      <c r="F924" s="28">
        <v>263.23</v>
      </c>
      <c r="G924" s="28">
        <v>162.85</v>
      </c>
      <c r="H924" s="28" t="s">
        <v>3244</v>
      </c>
      <c r="I924" s="28">
        <v>249.18</v>
      </c>
    </row>
    <row r="925" spans="2:9">
      <c r="B925" s="27">
        <v>44762</v>
      </c>
      <c r="C925" s="28" t="s">
        <v>899</v>
      </c>
      <c r="D925" s="28">
        <v>481.88</v>
      </c>
      <c r="E925" s="28" t="s">
        <v>2075</v>
      </c>
      <c r="F925" s="28">
        <v>264.13</v>
      </c>
      <c r="G925" s="28">
        <v>163.69999999999999</v>
      </c>
      <c r="H925" s="28" t="s">
        <v>3245</v>
      </c>
      <c r="I925" s="28">
        <v>255.23</v>
      </c>
    </row>
    <row r="926" spans="2:9">
      <c r="B926" s="27">
        <v>44761</v>
      </c>
      <c r="C926" s="28" t="s">
        <v>900</v>
      </c>
      <c r="D926" s="28">
        <v>482.5</v>
      </c>
      <c r="E926" s="28" t="s">
        <v>2076</v>
      </c>
      <c r="F926" s="28">
        <v>263.23</v>
      </c>
      <c r="G926" s="28">
        <v>163.65</v>
      </c>
      <c r="H926" s="28" t="s">
        <v>3246</v>
      </c>
      <c r="I926" s="28">
        <v>247.65</v>
      </c>
    </row>
    <row r="927" spans="2:9">
      <c r="B927" s="27">
        <v>44760</v>
      </c>
      <c r="C927" s="28" t="s">
        <v>901</v>
      </c>
      <c r="D927" s="28">
        <v>479.79</v>
      </c>
      <c r="E927" s="28" t="s">
        <v>2077</v>
      </c>
      <c r="F927" s="28">
        <v>262.52999999999997</v>
      </c>
      <c r="G927" s="28">
        <v>166</v>
      </c>
      <c r="H927" s="28" t="s">
        <v>3219</v>
      </c>
      <c r="I927" s="28">
        <v>246.98</v>
      </c>
    </row>
    <row r="928" spans="2:9">
      <c r="B928" s="27">
        <v>44757</v>
      </c>
      <c r="C928" s="28" t="s">
        <v>902</v>
      </c>
      <c r="D928" s="28">
        <v>478.04</v>
      </c>
      <c r="E928" s="28" t="s">
        <v>2078</v>
      </c>
      <c r="F928" s="28">
        <v>261</v>
      </c>
      <c r="G928" s="28">
        <v>169.55</v>
      </c>
      <c r="H928" s="28" t="s">
        <v>3247</v>
      </c>
      <c r="I928" s="28">
        <v>242.7</v>
      </c>
    </row>
    <row r="929" spans="2:9">
      <c r="B929" s="27">
        <v>44756</v>
      </c>
      <c r="C929" s="28" t="s">
        <v>903</v>
      </c>
      <c r="D929" s="28">
        <v>483.29</v>
      </c>
      <c r="E929" s="28" t="s">
        <v>2079</v>
      </c>
      <c r="F929" s="28">
        <v>258.57</v>
      </c>
      <c r="G929" s="28">
        <v>168.35</v>
      </c>
      <c r="H929" s="28" t="s">
        <v>3248</v>
      </c>
      <c r="I929" s="28">
        <v>235.1</v>
      </c>
    </row>
    <row r="930" spans="2:9">
      <c r="B930" s="27">
        <v>44755</v>
      </c>
      <c r="C930" s="28" t="s">
        <v>904</v>
      </c>
      <c r="D930" s="28">
        <v>488.88</v>
      </c>
      <c r="E930" s="28" t="s">
        <v>2080</v>
      </c>
      <c r="F930" s="28">
        <v>255.77</v>
      </c>
      <c r="G930" s="28">
        <v>169.45</v>
      </c>
      <c r="H930" s="28" t="s">
        <v>3249</v>
      </c>
      <c r="I930" s="28">
        <v>234.57</v>
      </c>
    </row>
    <row r="931" spans="2:9">
      <c r="B931" s="27">
        <v>44754</v>
      </c>
      <c r="C931" s="28" t="s">
        <v>905</v>
      </c>
      <c r="D931" s="28">
        <v>483.58</v>
      </c>
      <c r="E931" s="28" t="s">
        <v>2081</v>
      </c>
      <c r="F931" s="28">
        <v>262.39999999999998</v>
      </c>
      <c r="G931" s="28">
        <v>175.15</v>
      </c>
      <c r="H931" s="28" t="s">
        <v>3250</v>
      </c>
      <c r="I931" s="28">
        <v>235.35</v>
      </c>
    </row>
    <row r="932" spans="2:9">
      <c r="B932" s="27">
        <v>44753</v>
      </c>
      <c r="C932" s="28" t="s">
        <v>906</v>
      </c>
      <c r="D932" s="28">
        <v>493.83</v>
      </c>
      <c r="E932" s="28" t="s">
        <v>2082</v>
      </c>
      <c r="F932" s="28">
        <v>265.43</v>
      </c>
      <c r="G932" s="28">
        <v>181.2</v>
      </c>
      <c r="H932" s="28" t="s">
        <v>3251</v>
      </c>
      <c r="I932" s="28">
        <v>238.32</v>
      </c>
    </row>
    <row r="933" spans="2:9">
      <c r="B933" s="27">
        <v>44750</v>
      </c>
      <c r="C933" s="28" t="s">
        <v>907</v>
      </c>
      <c r="D933" s="28">
        <v>487.71</v>
      </c>
      <c r="E933" s="28" t="s">
        <v>2083</v>
      </c>
      <c r="F933" s="28">
        <v>260.57</v>
      </c>
      <c r="G933" s="28">
        <v>168.2</v>
      </c>
      <c r="H933" s="28" t="s">
        <v>3252</v>
      </c>
      <c r="I933" s="28">
        <v>240.05</v>
      </c>
    </row>
    <row r="934" spans="2:9">
      <c r="B934" s="27">
        <v>44749</v>
      </c>
      <c r="C934" s="28" t="s">
        <v>908</v>
      </c>
      <c r="D934" s="28">
        <v>494.38</v>
      </c>
      <c r="E934" s="28" t="s">
        <v>2084</v>
      </c>
      <c r="F934" s="28">
        <v>263.8</v>
      </c>
      <c r="G934" s="28">
        <v>171.7</v>
      </c>
      <c r="H934" s="28" t="s">
        <v>3253</v>
      </c>
      <c r="I934" s="28">
        <v>240.02</v>
      </c>
    </row>
    <row r="935" spans="2:9">
      <c r="B935" s="27">
        <v>44748</v>
      </c>
      <c r="C935" s="28" t="s">
        <v>909</v>
      </c>
      <c r="D935" s="28">
        <v>493.42</v>
      </c>
      <c r="E935" s="28" t="s">
        <v>1717</v>
      </c>
      <c r="F935" s="28">
        <v>266.43</v>
      </c>
      <c r="G935" s="28">
        <v>167.95</v>
      </c>
      <c r="H935" s="28" t="s">
        <v>3254</v>
      </c>
      <c r="I935" s="28">
        <v>235.1</v>
      </c>
    </row>
    <row r="936" spans="2:9">
      <c r="B936" s="27">
        <v>44747</v>
      </c>
      <c r="C936" s="28" t="s">
        <v>910</v>
      </c>
      <c r="D936" s="28">
        <v>479.21</v>
      </c>
      <c r="E936" s="28" t="s">
        <v>2085</v>
      </c>
      <c r="F936" s="28">
        <v>245.03</v>
      </c>
      <c r="G936" s="28">
        <v>167.35</v>
      </c>
      <c r="H936" s="28" t="s">
        <v>3255</v>
      </c>
      <c r="I936" s="28">
        <v>229.6</v>
      </c>
    </row>
    <row r="937" spans="2:9">
      <c r="B937" s="27">
        <v>44746</v>
      </c>
      <c r="C937" s="28" t="s">
        <v>911</v>
      </c>
      <c r="D937" s="28">
        <v>486.42</v>
      </c>
      <c r="E937" s="28" t="s">
        <v>2086</v>
      </c>
      <c r="F937" s="28">
        <v>246.9</v>
      </c>
      <c r="G937" s="28">
        <v>168.65</v>
      </c>
      <c r="H937" s="28" t="s">
        <v>3256</v>
      </c>
      <c r="I937" s="28">
        <v>227.57</v>
      </c>
    </row>
    <row r="938" spans="2:9">
      <c r="B938" s="27">
        <v>44743</v>
      </c>
      <c r="C938" s="28" t="s">
        <v>912</v>
      </c>
      <c r="D938" s="28">
        <v>485.21</v>
      </c>
      <c r="E938" s="28" t="s">
        <v>2087</v>
      </c>
      <c r="F938" s="28">
        <v>248.3</v>
      </c>
      <c r="G938" s="28">
        <v>165.45</v>
      </c>
      <c r="H938" s="28" t="s">
        <v>3257</v>
      </c>
      <c r="I938" s="28">
        <v>213.55</v>
      </c>
    </row>
    <row r="939" spans="2:9">
      <c r="B939" s="27">
        <v>44742</v>
      </c>
      <c r="C939" s="28" t="s">
        <v>913</v>
      </c>
      <c r="D939" s="28">
        <v>473.58</v>
      </c>
      <c r="E939" s="28" t="s">
        <v>2088</v>
      </c>
      <c r="F939" s="28">
        <v>247</v>
      </c>
      <c r="G939" s="28">
        <v>170.1</v>
      </c>
      <c r="H939" s="28" t="s">
        <v>3258</v>
      </c>
      <c r="I939" s="28">
        <v>214.63</v>
      </c>
    </row>
    <row r="940" spans="2:9">
      <c r="B940" s="27">
        <v>44741</v>
      </c>
      <c r="C940" s="28" t="s">
        <v>914</v>
      </c>
      <c r="D940" s="28">
        <v>474.04</v>
      </c>
      <c r="E940" s="28" t="s">
        <v>2089</v>
      </c>
      <c r="F940" s="28">
        <v>247.47</v>
      </c>
      <c r="G940" s="28">
        <v>160</v>
      </c>
      <c r="H940" s="28" t="s">
        <v>3259</v>
      </c>
      <c r="I940" s="28">
        <v>218.88</v>
      </c>
    </row>
    <row r="941" spans="2:9">
      <c r="B941" s="27">
        <v>44740</v>
      </c>
      <c r="C941" s="28" t="s">
        <v>915</v>
      </c>
      <c r="D941" s="28">
        <v>485.21</v>
      </c>
      <c r="E941" s="28" t="s">
        <v>2073</v>
      </c>
      <c r="F941" s="28">
        <v>250.8</v>
      </c>
      <c r="G941" s="28">
        <v>148.25</v>
      </c>
      <c r="H941" s="28" t="s">
        <v>3260</v>
      </c>
      <c r="I941" s="28">
        <v>220.93</v>
      </c>
    </row>
    <row r="942" spans="2:9">
      <c r="B942" s="27">
        <v>44739</v>
      </c>
      <c r="C942" s="28" t="s">
        <v>916</v>
      </c>
      <c r="D942" s="28">
        <v>500</v>
      </c>
      <c r="E942" s="28" t="s">
        <v>2090</v>
      </c>
      <c r="F942" s="28">
        <v>251.93</v>
      </c>
      <c r="G942" s="28">
        <v>133.4</v>
      </c>
      <c r="H942" s="28" t="s">
        <v>3261</v>
      </c>
      <c r="I942" s="28">
        <v>220.85</v>
      </c>
    </row>
    <row r="943" spans="2:9">
      <c r="B943" s="27">
        <v>44736</v>
      </c>
      <c r="C943" s="28" t="s">
        <v>917</v>
      </c>
      <c r="D943" s="28">
        <v>495.08</v>
      </c>
      <c r="E943" s="28" t="s">
        <v>2091</v>
      </c>
      <c r="F943" s="28">
        <v>248.8</v>
      </c>
      <c r="G943" s="28">
        <v>127.2</v>
      </c>
      <c r="H943" s="28" t="s">
        <v>3262</v>
      </c>
      <c r="I943" s="28">
        <v>219.57</v>
      </c>
    </row>
    <row r="944" spans="2:9">
      <c r="B944" s="27">
        <v>44735</v>
      </c>
      <c r="C944" s="28" t="s">
        <v>918</v>
      </c>
      <c r="D944" s="28">
        <v>495.33</v>
      </c>
      <c r="E944" s="28" t="s">
        <v>2092</v>
      </c>
      <c r="F944" s="28">
        <v>246.2</v>
      </c>
      <c r="G944" s="28">
        <v>124.65</v>
      </c>
      <c r="H944" s="28" t="s">
        <v>3263</v>
      </c>
      <c r="I944" s="28">
        <v>220.77</v>
      </c>
    </row>
    <row r="945" spans="2:9">
      <c r="B945" s="27">
        <v>44734</v>
      </c>
      <c r="C945" s="28" t="s">
        <v>919</v>
      </c>
      <c r="D945" s="28">
        <v>487.38</v>
      </c>
      <c r="E945" s="28" t="s">
        <v>2093</v>
      </c>
      <c r="F945" s="28">
        <v>240.57</v>
      </c>
      <c r="G945" s="28">
        <v>120.8</v>
      </c>
      <c r="H945" s="28" t="s">
        <v>3264</v>
      </c>
      <c r="I945" s="28">
        <v>209.25</v>
      </c>
    </row>
    <row r="946" spans="2:9">
      <c r="B946" s="27">
        <v>44733</v>
      </c>
      <c r="C946" s="28" t="s">
        <v>920</v>
      </c>
      <c r="D946" s="28">
        <v>487.87</v>
      </c>
      <c r="E946" s="28" t="s">
        <v>2094</v>
      </c>
      <c r="F946" s="28">
        <v>249.7</v>
      </c>
      <c r="G946" s="28">
        <v>121.4</v>
      </c>
      <c r="H946" s="28" t="s">
        <v>3265</v>
      </c>
      <c r="I946" s="28">
        <v>206.32</v>
      </c>
    </row>
    <row r="947" spans="2:9">
      <c r="B947" s="27">
        <v>44732</v>
      </c>
      <c r="C947" s="28" t="s">
        <v>921</v>
      </c>
      <c r="D947" s="28">
        <v>482.25</v>
      </c>
      <c r="E947" s="28" t="s">
        <v>2095</v>
      </c>
      <c r="F947" s="28">
        <v>254.7</v>
      </c>
      <c r="G947" s="28">
        <v>115.7</v>
      </c>
      <c r="H947" s="28" t="s">
        <v>3266</v>
      </c>
      <c r="I947" s="28">
        <v>207.88</v>
      </c>
    </row>
    <row r="948" spans="2:9">
      <c r="B948" s="27">
        <v>44729</v>
      </c>
      <c r="C948" s="28" t="s">
        <v>922</v>
      </c>
      <c r="D948" s="28">
        <v>467.29</v>
      </c>
      <c r="E948" s="28" t="s">
        <v>2096</v>
      </c>
      <c r="F948" s="28">
        <v>247.23</v>
      </c>
      <c r="G948" s="28">
        <v>118.9</v>
      </c>
      <c r="H948" s="28" t="s">
        <v>3267</v>
      </c>
      <c r="I948" s="28">
        <v>211.1</v>
      </c>
    </row>
    <row r="949" spans="2:9">
      <c r="B949" s="27">
        <v>44728</v>
      </c>
      <c r="C949" s="28" t="s">
        <v>923</v>
      </c>
      <c r="D949" s="28">
        <v>473.83</v>
      </c>
      <c r="E949" s="28" t="s">
        <v>2097</v>
      </c>
      <c r="F949" s="28">
        <v>257.97000000000003</v>
      </c>
      <c r="G949" s="28">
        <v>121.75</v>
      </c>
      <c r="H949" s="28" t="s">
        <v>3268</v>
      </c>
      <c r="I949" s="28">
        <v>214.38</v>
      </c>
    </row>
    <row r="950" spans="2:9">
      <c r="B950" s="27">
        <v>44727</v>
      </c>
      <c r="C950" s="28" t="s">
        <v>924</v>
      </c>
      <c r="D950" s="28">
        <v>479.62</v>
      </c>
      <c r="E950" s="28" t="s">
        <v>2098</v>
      </c>
      <c r="F950" s="28">
        <v>266.33</v>
      </c>
      <c r="G950" s="28">
        <v>130.44999999999999</v>
      </c>
      <c r="H950" s="28" t="s">
        <v>3269</v>
      </c>
      <c r="I950" s="28">
        <v>221.32</v>
      </c>
    </row>
    <row r="951" spans="2:9">
      <c r="B951" s="27">
        <v>44726</v>
      </c>
      <c r="C951" s="28" t="s">
        <v>925</v>
      </c>
      <c r="D951" s="28">
        <v>475.25</v>
      </c>
      <c r="E951" s="28" t="s">
        <v>2099</v>
      </c>
      <c r="F951" s="28">
        <v>264.17</v>
      </c>
      <c r="G951" s="28">
        <v>129.85</v>
      </c>
      <c r="H951" s="28" t="s">
        <v>3270</v>
      </c>
      <c r="I951" s="28">
        <v>217.4</v>
      </c>
    </row>
    <row r="952" spans="2:9">
      <c r="B952" s="27">
        <v>44725</v>
      </c>
      <c r="C952" s="28" t="s">
        <v>926</v>
      </c>
      <c r="D952" s="28">
        <v>476.75</v>
      </c>
      <c r="E952" s="28" t="s">
        <v>2100</v>
      </c>
      <c r="F952" s="28">
        <v>260.2</v>
      </c>
      <c r="G952" s="28">
        <v>129.4</v>
      </c>
      <c r="H952" s="28" t="s">
        <v>3271</v>
      </c>
      <c r="I952" s="28">
        <v>216.13</v>
      </c>
    </row>
    <row r="953" spans="2:9">
      <c r="B953" s="27">
        <v>44722</v>
      </c>
      <c r="C953" s="28" t="s">
        <v>927</v>
      </c>
      <c r="D953" s="28">
        <v>483.96</v>
      </c>
      <c r="E953" s="28" t="s">
        <v>2101</v>
      </c>
      <c r="F953" s="28">
        <v>266.07</v>
      </c>
      <c r="G953" s="28">
        <v>132.5</v>
      </c>
      <c r="H953" s="28" t="s">
        <v>3272</v>
      </c>
      <c r="I953" s="28">
        <v>224.23</v>
      </c>
    </row>
    <row r="954" spans="2:9">
      <c r="B954" s="27">
        <v>44721</v>
      </c>
      <c r="C954" s="28" t="s">
        <v>928</v>
      </c>
      <c r="D954" s="28">
        <v>484.25</v>
      </c>
      <c r="E954" s="28" t="s">
        <v>2102</v>
      </c>
      <c r="F954" s="28">
        <v>266.63</v>
      </c>
      <c r="G954" s="28">
        <v>132.19999999999999</v>
      </c>
      <c r="H954" s="28" t="s">
        <v>3273</v>
      </c>
      <c r="I954" s="28">
        <v>224</v>
      </c>
    </row>
    <row r="955" spans="2:9">
      <c r="B955" s="27">
        <v>44720</v>
      </c>
      <c r="C955" s="28" t="s">
        <v>929</v>
      </c>
      <c r="D955" s="28">
        <v>484.08</v>
      </c>
      <c r="E955" s="28" t="s">
        <v>2103</v>
      </c>
      <c r="F955" s="28">
        <v>267.83</v>
      </c>
      <c r="G955" s="28">
        <v>135.6</v>
      </c>
      <c r="H955" s="28" t="s">
        <v>3274</v>
      </c>
      <c r="I955" s="28">
        <v>222.63</v>
      </c>
    </row>
    <row r="956" spans="2:9">
      <c r="B956" s="27">
        <v>44719</v>
      </c>
      <c r="C956" s="28" t="s">
        <v>930</v>
      </c>
      <c r="D956" s="28">
        <v>484.12</v>
      </c>
      <c r="E956" s="28" t="s">
        <v>2104</v>
      </c>
      <c r="F956" s="28">
        <v>272.2</v>
      </c>
      <c r="G956" s="28">
        <v>135.85</v>
      </c>
      <c r="H956" s="28" t="s">
        <v>3275</v>
      </c>
      <c r="I956" s="28">
        <v>223.27</v>
      </c>
    </row>
    <row r="957" spans="2:9">
      <c r="B957" s="27">
        <v>44718</v>
      </c>
      <c r="C957" s="28" t="s">
        <v>931</v>
      </c>
      <c r="D957" s="28">
        <v>491.58</v>
      </c>
      <c r="E957" s="28" t="s">
        <v>2105</v>
      </c>
      <c r="F957" s="28">
        <v>275.52999999999997</v>
      </c>
      <c r="G957" s="28">
        <v>138</v>
      </c>
      <c r="H957" s="28" t="s">
        <v>3276</v>
      </c>
      <c r="I957" s="28">
        <v>226.98</v>
      </c>
    </row>
    <row r="958" spans="2:9">
      <c r="B958" s="27">
        <v>44715</v>
      </c>
      <c r="C958" s="28" t="s">
        <v>932</v>
      </c>
      <c r="D958" s="28">
        <v>507.42</v>
      </c>
      <c r="E958" s="28" t="s">
        <v>2106</v>
      </c>
      <c r="F958" s="28">
        <v>275.23</v>
      </c>
      <c r="G958" s="28">
        <v>139.9</v>
      </c>
      <c r="H958" s="28" t="s">
        <v>3277</v>
      </c>
      <c r="I958" s="28">
        <v>225.65</v>
      </c>
    </row>
    <row r="959" spans="2:9">
      <c r="B959" s="27">
        <v>44714</v>
      </c>
      <c r="C959" s="28" t="s">
        <v>933</v>
      </c>
      <c r="D959" s="28">
        <v>518.71</v>
      </c>
      <c r="E959" s="28" t="s">
        <v>2107</v>
      </c>
      <c r="F959" s="28">
        <v>274.8</v>
      </c>
      <c r="G959" s="28">
        <v>143.85</v>
      </c>
      <c r="H959" s="28" t="s">
        <v>3278</v>
      </c>
      <c r="I959" s="28">
        <v>229.6</v>
      </c>
    </row>
    <row r="960" spans="2:9">
      <c r="B960" s="27">
        <v>44713</v>
      </c>
      <c r="C960" s="28" t="s">
        <v>934</v>
      </c>
      <c r="D960" s="28">
        <v>500.83</v>
      </c>
      <c r="E960" s="28" t="s">
        <v>2108</v>
      </c>
      <c r="F960" s="28">
        <v>268.63</v>
      </c>
      <c r="G960" s="28">
        <v>141.65</v>
      </c>
      <c r="H960" s="28" t="s">
        <v>3279</v>
      </c>
      <c r="I960" s="28">
        <v>223.2</v>
      </c>
    </row>
    <row r="961" spans="2:9">
      <c r="B961" s="27">
        <v>44712</v>
      </c>
      <c r="C961" s="28" t="s">
        <v>935</v>
      </c>
      <c r="D961" s="28">
        <v>512.41999999999996</v>
      </c>
      <c r="E961" s="28" t="s">
        <v>2109</v>
      </c>
      <c r="F961" s="28">
        <v>266.8</v>
      </c>
      <c r="G961" s="28">
        <v>142.75</v>
      </c>
      <c r="H961" s="28" t="s">
        <v>3280</v>
      </c>
      <c r="I961" s="28">
        <v>224.48</v>
      </c>
    </row>
    <row r="962" spans="2:9">
      <c r="B962" s="27">
        <v>44711</v>
      </c>
      <c r="C962" s="28" t="s">
        <v>936</v>
      </c>
      <c r="D962" s="28">
        <v>504.33</v>
      </c>
      <c r="E962" s="28" t="s">
        <v>2110</v>
      </c>
      <c r="F962" s="28">
        <v>269.5</v>
      </c>
      <c r="G962" s="28">
        <v>144.75</v>
      </c>
      <c r="H962" s="28" t="s">
        <v>3281</v>
      </c>
      <c r="I962" s="28">
        <v>226.43</v>
      </c>
    </row>
    <row r="963" spans="2:9">
      <c r="B963" s="27">
        <v>44708</v>
      </c>
      <c r="C963" s="28" t="s">
        <v>937</v>
      </c>
      <c r="D963" s="28">
        <v>479.37</v>
      </c>
      <c r="E963" s="28" t="s">
        <v>2111</v>
      </c>
      <c r="F963" s="28">
        <v>269.89999999999998</v>
      </c>
      <c r="G963" s="28">
        <v>142.5</v>
      </c>
      <c r="H963" s="28" t="s">
        <v>3282</v>
      </c>
      <c r="I963" s="28">
        <v>224.13</v>
      </c>
    </row>
    <row r="964" spans="2:9">
      <c r="B964" s="27">
        <v>44707</v>
      </c>
      <c r="C964" s="28" t="s">
        <v>938</v>
      </c>
      <c r="D964" s="28">
        <v>473.37</v>
      </c>
      <c r="E964" s="28" t="s">
        <v>2112</v>
      </c>
      <c r="F964" s="28">
        <v>269.83</v>
      </c>
      <c r="G964" s="28">
        <v>134.5</v>
      </c>
      <c r="H964" s="28" t="s">
        <v>3283</v>
      </c>
      <c r="I964" s="28">
        <v>211.6</v>
      </c>
    </row>
    <row r="965" spans="2:9">
      <c r="B965" s="27">
        <v>44706</v>
      </c>
      <c r="C965" s="28" t="s">
        <v>939</v>
      </c>
      <c r="D965" s="28">
        <v>471.79</v>
      </c>
      <c r="E965" s="28" t="s">
        <v>2113</v>
      </c>
      <c r="F965" s="28">
        <v>272.2</v>
      </c>
      <c r="G965" s="28">
        <v>131.4</v>
      </c>
      <c r="H965" s="28" t="s">
        <v>3284</v>
      </c>
      <c r="I965" s="28">
        <v>208.3</v>
      </c>
    </row>
    <row r="966" spans="2:9">
      <c r="B966" s="27">
        <v>44705</v>
      </c>
      <c r="C966" s="28" t="s">
        <v>940</v>
      </c>
      <c r="D966" s="28">
        <v>508.46</v>
      </c>
      <c r="E966" s="28" t="s">
        <v>2114</v>
      </c>
      <c r="F966" s="28">
        <v>273.89999999999998</v>
      </c>
      <c r="G966" s="28">
        <v>136.55000000000001</v>
      </c>
      <c r="H966" s="28" t="s">
        <v>3285</v>
      </c>
      <c r="I966" s="28">
        <v>216.45</v>
      </c>
    </row>
    <row r="967" spans="2:9">
      <c r="B967" s="27">
        <v>44704</v>
      </c>
      <c r="C967" s="28" t="s">
        <v>941</v>
      </c>
      <c r="D967" s="28">
        <v>521.75</v>
      </c>
      <c r="E967" s="28" t="s">
        <v>2115</v>
      </c>
      <c r="F967" s="28">
        <v>269.27</v>
      </c>
      <c r="G967" s="28">
        <v>140.5</v>
      </c>
      <c r="H967" s="28" t="s">
        <v>3286</v>
      </c>
      <c r="I967" s="28">
        <v>225.02</v>
      </c>
    </row>
    <row r="968" spans="2:9">
      <c r="B968" s="27">
        <v>44701</v>
      </c>
      <c r="C968" s="28" t="s">
        <v>942</v>
      </c>
      <c r="D968" s="28">
        <v>525.29</v>
      </c>
      <c r="E968" s="28" t="s">
        <v>2116</v>
      </c>
      <c r="F968" s="28">
        <v>265.8</v>
      </c>
      <c r="G968" s="28">
        <v>137.19999999999999</v>
      </c>
      <c r="H968" s="28" t="s">
        <v>3287</v>
      </c>
      <c r="I968" s="28">
        <v>219.9</v>
      </c>
    </row>
    <row r="969" spans="2:9">
      <c r="B969" s="27">
        <v>44700</v>
      </c>
      <c r="C969" s="28" t="s">
        <v>943</v>
      </c>
      <c r="D969" s="28">
        <v>522.46</v>
      </c>
      <c r="E969" s="28" t="s">
        <v>2117</v>
      </c>
      <c r="F969" s="28">
        <v>267.07</v>
      </c>
      <c r="G969" s="28">
        <v>136.15</v>
      </c>
      <c r="H969" s="28" t="s">
        <v>3288</v>
      </c>
      <c r="I969" s="28">
        <v>216.52</v>
      </c>
    </row>
    <row r="970" spans="2:9">
      <c r="B970" s="27">
        <v>44699</v>
      </c>
      <c r="C970" s="28" t="s">
        <v>944</v>
      </c>
      <c r="D970" s="28">
        <v>533.96</v>
      </c>
      <c r="E970" s="28" t="s">
        <v>2118</v>
      </c>
      <c r="F970" s="28">
        <v>266.10000000000002</v>
      </c>
      <c r="G970" s="28">
        <v>141.6</v>
      </c>
      <c r="H970" s="28" t="s">
        <v>3289</v>
      </c>
      <c r="I970" s="28">
        <v>221.48</v>
      </c>
    </row>
    <row r="971" spans="2:9">
      <c r="B971" s="27">
        <v>44698</v>
      </c>
      <c r="C971" s="28" t="s">
        <v>945</v>
      </c>
      <c r="D971" s="28">
        <v>534.5</v>
      </c>
      <c r="E971" s="28" t="s">
        <v>2119</v>
      </c>
      <c r="F971" s="28">
        <v>269.27</v>
      </c>
      <c r="G971" s="28">
        <v>141.94999999999999</v>
      </c>
      <c r="H971" s="28" t="s">
        <v>3290</v>
      </c>
      <c r="I971" s="28">
        <v>216.93</v>
      </c>
    </row>
    <row r="972" spans="2:9">
      <c r="B972" s="27">
        <v>44697</v>
      </c>
      <c r="C972" s="28" t="s">
        <v>946</v>
      </c>
      <c r="D972" s="28">
        <v>528.08000000000004</v>
      </c>
      <c r="E972" s="28" t="s">
        <v>2120</v>
      </c>
      <c r="F972" s="28">
        <v>269.89999999999998</v>
      </c>
      <c r="G972" s="28">
        <v>135.55000000000001</v>
      </c>
      <c r="H972" s="28" t="s">
        <v>3291</v>
      </c>
      <c r="I972" s="28">
        <v>215.77</v>
      </c>
    </row>
    <row r="973" spans="2:9">
      <c r="B973" s="27">
        <v>44694</v>
      </c>
      <c r="C973" s="28" t="s">
        <v>947</v>
      </c>
      <c r="D973" s="28">
        <v>547.08000000000004</v>
      </c>
      <c r="E973" s="28" t="s">
        <v>2121</v>
      </c>
      <c r="F973" s="28">
        <v>265.39999999999998</v>
      </c>
      <c r="G973" s="28">
        <v>131</v>
      </c>
      <c r="H973" s="28" t="s">
        <v>3292</v>
      </c>
      <c r="I973" s="28">
        <v>216.5</v>
      </c>
    </row>
    <row r="974" spans="2:9">
      <c r="B974" s="27">
        <v>44693</v>
      </c>
      <c r="C974" s="28" t="s">
        <v>948</v>
      </c>
      <c r="D974" s="28">
        <v>550.16999999999996</v>
      </c>
      <c r="E974" s="28" t="s">
        <v>2122</v>
      </c>
      <c r="F974" s="28">
        <v>265.37</v>
      </c>
      <c r="G974" s="28">
        <v>124.85</v>
      </c>
      <c r="H974" s="28" t="s">
        <v>3293</v>
      </c>
      <c r="I974" s="28">
        <v>212.05</v>
      </c>
    </row>
    <row r="975" spans="2:9">
      <c r="B975" s="27">
        <v>44692</v>
      </c>
      <c r="C975" s="28" t="s">
        <v>949</v>
      </c>
      <c r="D975" s="28">
        <v>552.83000000000004</v>
      </c>
      <c r="E975" s="28" t="s">
        <v>2123</v>
      </c>
      <c r="F975" s="28">
        <v>274.52999999999997</v>
      </c>
      <c r="G975" s="28">
        <v>128.4</v>
      </c>
      <c r="H975" s="28" t="s">
        <v>3271</v>
      </c>
      <c r="I975" s="28">
        <v>220.52</v>
      </c>
    </row>
    <row r="976" spans="2:9">
      <c r="B976" s="27">
        <v>44691</v>
      </c>
      <c r="C976" s="28" t="s">
        <v>950</v>
      </c>
      <c r="D976" s="28">
        <v>563.83000000000004</v>
      </c>
      <c r="E976" s="28" t="s">
        <v>1875</v>
      </c>
      <c r="F976" s="28">
        <v>287.39999999999998</v>
      </c>
      <c r="G976" s="28">
        <v>137.25</v>
      </c>
      <c r="H976" s="28" t="s">
        <v>3294</v>
      </c>
      <c r="I976" s="28">
        <v>233.95</v>
      </c>
    </row>
    <row r="977" spans="2:9">
      <c r="B977" s="27">
        <v>44690</v>
      </c>
      <c r="C977" s="28" t="s">
        <v>951</v>
      </c>
      <c r="D977" s="28">
        <v>553.58000000000004</v>
      </c>
      <c r="E977" s="28" t="s">
        <v>2124</v>
      </c>
      <c r="F977" s="28">
        <v>292.3</v>
      </c>
      <c r="G977" s="28">
        <v>137.55000000000001</v>
      </c>
      <c r="H977" s="28" t="s">
        <v>3295</v>
      </c>
      <c r="I977" s="28">
        <v>234.9</v>
      </c>
    </row>
    <row r="978" spans="2:9">
      <c r="B978" s="27">
        <v>44687</v>
      </c>
      <c r="C978" s="28" t="s">
        <v>952</v>
      </c>
      <c r="D978" s="28">
        <v>555.58000000000004</v>
      </c>
      <c r="E978" s="28" t="s">
        <v>2028</v>
      </c>
      <c r="F978" s="28">
        <v>300.87</v>
      </c>
      <c r="G978" s="28">
        <v>138.9</v>
      </c>
      <c r="H978" s="28" t="s">
        <v>3296</v>
      </c>
      <c r="I978" s="28">
        <v>238.07</v>
      </c>
    </row>
    <row r="979" spans="2:9">
      <c r="B979" s="27">
        <v>44686</v>
      </c>
      <c r="C979" s="28" t="s">
        <v>953</v>
      </c>
      <c r="D979" s="28">
        <v>572.62</v>
      </c>
      <c r="E979" s="28" t="s">
        <v>2125</v>
      </c>
      <c r="F979" s="28">
        <v>300.63</v>
      </c>
      <c r="G979" s="28">
        <v>138.55000000000001</v>
      </c>
      <c r="H979" s="28" t="s">
        <v>3297</v>
      </c>
      <c r="I979" s="28">
        <v>240.93</v>
      </c>
    </row>
    <row r="980" spans="2:9">
      <c r="B980" s="27">
        <v>44685</v>
      </c>
      <c r="C980" s="28" t="s">
        <v>954</v>
      </c>
      <c r="D980" s="28">
        <v>572.62</v>
      </c>
      <c r="E980" s="28" t="s">
        <v>2126</v>
      </c>
      <c r="F980" s="28">
        <v>305.3</v>
      </c>
      <c r="G980" s="28">
        <v>135.9</v>
      </c>
      <c r="H980" s="28" t="s">
        <v>3298</v>
      </c>
      <c r="I980" s="28">
        <v>241.27</v>
      </c>
    </row>
    <row r="981" spans="2:9">
      <c r="B981" s="27">
        <v>44683</v>
      </c>
      <c r="C981" s="28" t="s">
        <v>955</v>
      </c>
      <c r="D981" s="28">
        <v>594.46</v>
      </c>
      <c r="E981" s="28" t="s">
        <v>2127</v>
      </c>
      <c r="F981" s="28">
        <v>309.83</v>
      </c>
      <c r="G981" s="28">
        <v>140.69999999999999</v>
      </c>
      <c r="H981" s="28" t="s">
        <v>3299</v>
      </c>
      <c r="I981" s="28">
        <v>245.3</v>
      </c>
    </row>
    <row r="982" spans="2:9">
      <c r="B982" s="27">
        <v>44680</v>
      </c>
      <c r="C982" s="28" t="s">
        <v>956</v>
      </c>
      <c r="D982" s="28">
        <v>598.29</v>
      </c>
      <c r="E982" s="28" t="s">
        <v>2128</v>
      </c>
      <c r="F982" s="28">
        <v>313.02999999999997</v>
      </c>
      <c r="G982" s="28">
        <v>142.75</v>
      </c>
      <c r="H982" s="28" t="s">
        <v>3300</v>
      </c>
      <c r="I982" s="28">
        <v>249.18</v>
      </c>
    </row>
    <row r="983" spans="2:9">
      <c r="B983" s="27">
        <v>44679</v>
      </c>
      <c r="C983" s="28" t="s">
        <v>957</v>
      </c>
      <c r="D983" s="28">
        <v>607.96</v>
      </c>
      <c r="E983" s="28" t="s">
        <v>2129</v>
      </c>
      <c r="F983" s="28">
        <v>311.89999999999998</v>
      </c>
      <c r="G983" s="28">
        <v>144.44999999999999</v>
      </c>
      <c r="H983" s="28" t="s">
        <v>3301</v>
      </c>
      <c r="I983" s="28">
        <v>254.02</v>
      </c>
    </row>
    <row r="984" spans="2:9">
      <c r="B984" s="27">
        <v>44678</v>
      </c>
      <c r="C984" s="28" t="s">
        <v>575</v>
      </c>
      <c r="D984" s="28">
        <v>598.21</v>
      </c>
      <c r="E984" s="28" t="s">
        <v>2130</v>
      </c>
      <c r="F984" s="28">
        <v>314.33</v>
      </c>
      <c r="G984" s="28">
        <v>143.65</v>
      </c>
      <c r="H984" s="28" t="s">
        <v>3302</v>
      </c>
      <c r="I984" s="28">
        <v>262.2</v>
      </c>
    </row>
    <row r="985" spans="2:9">
      <c r="B985" s="27">
        <v>44677</v>
      </c>
      <c r="C985" s="28" t="s">
        <v>958</v>
      </c>
      <c r="D985" s="28">
        <v>599.75</v>
      </c>
      <c r="E985" s="28" t="s">
        <v>2110</v>
      </c>
      <c r="F985" s="28">
        <v>312.73</v>
      </c>
      <c r="G985" s="28">
        <v>147.05000000000001</v>
      </c>
      <c r="H985" s="28" t="s">
        <v>3303</v>
      </c>
      <c r="I985" s="28">
        <v>268.64999999999998</v>
      </c>
    </row>
    <row r="986" spans="2:9">
      <c r="B986" s="27">
        <v>44676</v>
      </c>
      <c r="C986" s="28" t="s">
        <v>804</v>
      </c>
      <c r="D986" s="28">
        <v>596.46</v>
      </c>
      <c r="E986" s="28" t="s">
        <v>2131</v>
      </c>
      <c r="F986" s="28">
        <v>312.7</v>
      </c>
      <c r="G986" s="28">
        <v>148.75</v>
      </c>
      <c r="H986" s="28" t="s">
        <v>3304</v>
      </c>
      <c r="I986" s="28">
        <v>262.3</v>
      </c>
    </row>
    <row r="987" spans="2:9">
      <c r="B987" s="27">
        <v>44673</v>
      </c>
      <c r="C987" s="28" t="s">
        <v>959</v>
      </c>
      <c r="D987" s="28">
        <v>597.21</v>
      </c>
      <c r="E987" s="28" t="s">
        <v>2132</v>
      </c>
      <c r="F987" s="28">
        <v>313.2</v>
      </c>
      <c r="G987" s="28">
        <v>155.1</v>
      </c>
      <c r="H987" s="28" t="s">
        <v>3305</v>
      </c>
      <c r="I987" s="28">
        <v>269.85000000000002</v>
      </c>
    </row>
    <row r="988" spans="2:9">
      <c r="B988" s="27">
        <v>44672</v>
      </c>
      <c r="C988" s="28" t="s">
        <v>960</v>
      </c>
      <c r="D988" s="28">
        <v>595.87</v>
      </c>
      <c r="E988" s="28" t="s">
        <v>2133</v>
      </c>
      <c r="F988" s="28">
        <v>315.77</v>
      </c>
      <c r="G988" s="28">
        <v>156.25</v>
      </c>
      <c r="H988" s="28" t="s">
        <v>3306</v>
      </c>
      <c r="I988" s="28">
        <v>266.89999999999998</v>
      </c>
    </row>
    <row r="989" spans="2:9">
      <c r="B989" s="27">
        <v>44671</v>
      </c>
      <c r="C989" s="28" t="s">
        <v>961</v>
      </c>
      <c r="D989" s="28">
        <v>594.04</v>
      </c>
      <c r="E989" s="28" t="s">
        <v>2134</v>
      </c>
      <c r="F989" s="28">
        <v>314.39999999999998</v>
      </c>
      <c r="G989" s="28">
        <v>150.30000000000001</v>
      </c>
      <c r="H989" s="28" t="s">
        <v>3307</v>
      </c>
      <c r="I989" s="28">
        <v>257.39999999999998</v>
      </c>
    </row>
    <row r="990" spans="2:9">
      <c r="B990" s="27">
        <v>44670</v>
      </c>
      <c r="C990" s="28" t="s">
        <v>962</v>
      </c>
      <c r="D990" s="28">
        <v>585.58000000000004</v>
      </c>
      <c r="E990" s="28" t="s">
        <v>2135</v>
      </c>
      <c r="F990" s="28">
        <v>315.37</v>
      </c>
      <c r="G990" s="28">
        <v>148.5</v>
      </c>
      <c r="H990" s="28" t="s">
        <v>3308</v>
      </c>
      <c r="I990" s="28">
        <v>253.05</v>
      </c>
    </row>
    <row r="991" spans="2:9">
      <c r="B991" s="27">
        <v>44669</v>
      </c>
      <c r="C991" s="28" t="s">
        <v>963</v>
      </c>
      <c r="D991" s="28">
        <v>599.12</v>
      </c>
      <c r="E991" s="28" t="s">
        <v>2136</v>
      </c>
      <c r="F991" s="28">
        <v>312.47000000000003</v>
      </c>
      <c r="G991" s="28">
        <v>155.6</v>
      </c>
      <c r="H991" s="28" t="s">
        <v>3309</v>
      </c>
      <c r="I991" s="28">
        <v>255.23</v>
      </c>
    </row>
    <row r="992" spans="2:9">
      <c r="B992" s="27">
        <v>44664</v>
      </c>
      <c r="C992" s="28" t="s">
        <v>964</v>
      </c>
      <c r="D992" s="28">
        <v>603.46</v>
      </c>
      <c r="E992" s="28" t="s">
        <v>2137</v>
      </c>
      <c r="F992" s="28">
        <v>310.02999999999997</v>
      </c>
      <c r="G992" s="28">
        <v>143.4</v>
      </c>
      <c r="H992" s="28" t="s">
        <v>3310</v>
      </c>
      <c r="I992" s="28">
        <v>252.82</v>
      </c>
    </row>
    <row r="993" spans="2:9">
      <c r="B993" s="27">
        <v>44663</v>
      </c>
      <c r="C993" s="28" t="s">
        <v>965</v>
      </c>
      <c r="D993" s="28">
        <v>601.91999999999996</v>
      </c>
      <c r="E993" s="28" t="s">
        <v>2138</v>
      </c>
      <c r="F993" s="28">
        <v>311.97000000000003</v>
      </c>
      <c r="G993" s="28">
        <v>145.1</v>
      </c>
      <c r="H993" s="28" t="s">
        <v>2209</v>
      </c>
      <c r="I993" s="28">
        <v>253.85</v>
      </c>
    </row>
    <row r="994" spans="2:9">
      <c r="B994" s="27">
        <v>44662</v>
      </c>
      <c r="C994" s="28" t="s">
        <v>966</v>
      </c>
      <c r="D994" s="28">
        <v>610.08000000000004</v>
      </c>
      <c r="E994" s="28" t="s">
        <v>2139</v>
      </c>
      <c r="F994" s="28">
        <v>312.2</v>
      </c>
      <c r="G994" s="28">
        <v>139.4</v>
      </c>
      <c r="H994" s="28" t="s">
        <v>3311</v>
      </c>
      <c r="I994" s="28">
        <v>253.75</v>
      </c>
    </row>
    <row r="995" spans="2:9">
      <c r="B995" s="27">
        <v>44659</v>
      </c>
      <c r="C995" s="28" t="s">
        <v>611</v>
      </c>
      <c r="D995" s="28">
        <v>612.16999999999996</v>
      </c>
      <c r="E995" s="28" t="s">
        <v>2140</v>
      </c>
      <c r="F995" s="28">
        <v>309.47000000000003</v>
      </c>
      <c r="G995" s="28">
        <v>138.35</v>
      </c>
      <c r="H995" s="28" t="s">
        <v>3312</v>
      </c>
      <c r="I995" s="28">
        <v>256.63</v>
      </c>
    </row>
    <row r="996" spans="2:9">
      <c r="B996" s="27">
        <v>44658</v>
      </c>
      <c r="C996" s="28" t="s">
        <v>967</v>
      </c>
      <c r="D996" s="28">
        <v>603.21</v>
      </c>
      <c r="E996" s="28" t="s">
        <v>2137</v>
      </c>
      <c r="F996" s="28">
        <v>308.23</v>
      </c>
      <c r="G996" s="28">
        <v>134</v>
      </c>
      <c r="H996" s="28" t="s">
        <v>3313</v>
      </c>
      <c r="I996" s="28">
        <v>253.35</v>
      </c>
    </row>
    <row r="997" spans="2:9">
      <c r="B997" s="27">
        <v>44657</v>
      </c>
      <c r="C997" s="28" t="s">
        <v>968</v>
      </c>
      <c r="D997" s="28">
        <v>605.71</v>
      </c>
      <c r="E997" s="28" t="s">
        <v>2141</v>
      </c>
      <c r="F997" s="28">
        <v>305.89999999999998</v>
      </c>
      <c r="G997" s="28">
        <v>133.15</v>
      </c>
      <c r="H997" s="28" t="s">
        <v>3314</v>
      </c>
      <c r="I997" s="28">
        <v>253.3</v>
      </c>
    </row>
    <row r="998" spans="2:9">
      <c r="B998" s="27">
        <v>44656</v>
      </c>
      <c r="C998" s="28" t="s">
        <v>969</v>
      </c>
      <c r="D998" s="28">
        <v>603.29</v>
      </c>
      <c r="E998" s="28" t="s">
        <v>2142</v>
      </c>
      <c r="F998" s="28">
        <v>312.02999999999997</v>
      </c>
      <c r="G998" s="28">
        <v>134.25</v>
      </c>
      <c r="H998" s="28" t="s">
        <v>3315</v>
      </c>
      <c r="I998" s="28">
        <v>247.1</v>
      </c>
    </row>
    <row r="999" spans="2:9">
      <c r="B999" s="27">
        <v>44655</v>
      </c>
      <c r="C999" s="28" t="s">
        <v>970</v>
      </c>
      <c r="D999" s="28">
        <v>601.96</v>
      </c>
      <c r="E999" s="28" t="s">
        <v>2143</v>
      </c>
      <c r="F999" s="28">
        <v>308.13</v>
      </c>
      <c r="G999" s="28">
        <v>131.5</v>
      </c>
      <c r="H999" s="28" t="s">
        <v>3246</v>
      </c>
      <c r="I999" s="28">
        <v>246.43</v>
      </c>
    </row>
    <row r="1000" spans="2:9">
      <c r="B1000" s="27">
        <v>44652</v>
      </c>
      <c r="C1000" s="28" t="s">
        <v>971</v>
      </c>
      <c r="D1000" s="28">
        <v>593</v>
      </c>
      <c r="E1000" s="28" t="s">
        <v>2144</v>
      </c>
      <c r="F1000" s="28">
        <v>313.2</v>
      </c>
      <c r="G1000" s="28">
        <v>129.05000000000001</v>
      </c>
      <c r="H1000" s="28" t="s">
        <v>3316</v>
      </c>
      <c r="I1000" s="28">
        <v>242.38</v>
      </c>
    </row>
    <row r="1001" spans="2:9">
      <c r="B1001" s="27">
        <v>44651</v>
      </c>
      <c r="C1001" s="28" t="s">
        <v>972</v>
      </c>
      <c r="D1001" s="28">
        <v>583.08000000000004</v>
      </c>
      <c r="E1001" s="28" t="s">
        <v>2145</v>
      </c>
      <c r="F1001" s="28">
        <v>311.83</v>
      </c>
      <c r="G1001" s="28">
        <v>117.2</v>
      </c>
      <c r="H1001" s="28" t="s">
        <v>3317</v>
      </c>
      <c r="I1001" s="28">
        <v>232.43</v>
      </c>
    </row>
    <row r="1002" spans="2:9">
      <c r="B1002" s="27">
        <v>44650</v>
      </c>
      <c r="C1002" s="28" t="s">
        <v>973</v>
      </c>
      <c r="D1002" s="28">
        <v>577.96</v>
      </c>
      <c r="E1002" s="28" t="s">
        <v>1819</v>
      </c>
      <c r="F1002" s="28">
        <v>299.97000000000003</v>
      </c>
      <c r="G1002" s="28">
        <v>116.75</v>
      </c>
      <c r="H1002" s="28" t="s">
        <v>3318</v>
      </c>
      <c r="I1002" s="28">
        <v>225.98</v>
      </c>
    </row>
    <row r="1003" spans="2:9">
      <c r="B1003" s="27">
        <v>44649</v>
      </c>
      <c r="C1003" s="28" t="s">
        <v>974</v>
      </c>
      <c r="D1003" s="28">
        <v>572.79</v>
      </c>
      <c r="E1003" s="28" t="s">
        <v>2146</v>
      </c>
      <c r="F1003" s="28">
        <v>298.52999999999997</v>
      </c>
      <c r="G1003" s="28">
        <v>115.5</v>
      </c>
      <c r="H1003" s="28" t="s">
        <v>3319</v>
      </c>
      <c r="I1003" s="28">
        <v>228.05</v>
      </c>
    </row>
    <row r="1004" spans="2:9">
      <c r="B1004" s="27">
        <v>44648</v>
      </c>
      <c r="C1004" s="28" t="s">
        <v>975</v>
      </c>
      <c r="D1004" s="28">
        <v>566.62</v>
      </c>
      <c r="E1004" s="28" t="s">
        <v>2147</v>
      </c>
      <c r="F1004" s="28">
        <v>296.89999999999998</v>
      </c>
      <c r="G1004" s="28">
        <v>117.6</v>
      </c>
      <c r="H1004" s="28" t="s">
        <v>3320</v>
      </c>
      <c r="I1004" s="28">
        <v>229.52</v>
      </c>
    </row>
    <row r="1005" spans="2:9">
      <c r="B1005" s="27">
        <v>44645</v>
      </c>
      <c r="C1005" s="28" t="s">
        <v>976</v>
      </c>
      <c r="D1005" s="28">
        <v>573.83000000000004</v>
      </c>
      <c r="E1005" s="28" t="s">
        <v>2148</v>
      </c>
      <c r="F1005" s="28">
        <v>302.83</v>
      </c>
      <c r="G1005" s="28">
        <v>122.4</v>
      </c>
      <c r="H1005" s="28" t="s">
        <v>3321</v>
      </c>
      <c r="I1005" s="28">
        <v>232.82</v>
      </c>
    </row>
    <row r="1006" spans="2:9">
      <c r="B1006" s="27">
        <v>44644</v>
      </c>
      <c r="C1006" s="28" t="s">
        <v>977</v>
      </c>
      <c r="D1006" s="28">
        <v>570.04</v>
      </c>
      <c r="E1006" s="28" t="s">
        <v>2149</v>
      </c>
      <c r="F1006" s="28">
        <v>304.89999999999998</v>
      </c>
      <c r="G1006" s="28">
        <v>123.35</v>
      </c>
      <c r="H1006" s="28" t="s">
        <v>3322</v>
      </c>
      <c r="I1006" s="28">
        <v>230.73</v>
      </c>
    </row>
    <row r="1007" spans="2:9">
      <c r="B1007" s="27">
        <v>44643</v>
      </c>
      <c r="C1007" s="28" t="s">
        <v>978</v>
      </c>
      <c r="D1007" s="28">
        <v>569.16999999999996</v>
      </c>
      <c r="E1007" s="28" t="s">
        <v>2150</v>
      </c>
      <c r="F1007" s="28">
        <v>306.37</v>
      </c>
      <c r="G1007" s="28">
        <v>123.35</v>
      </c>
      <c r="H1007" s="28" t="s">
        <v>3323</v>
      </c>
      <c r="I1007" s="28">
        <v>229.35</v>
      </c>
    </row>
    <row r="1008" spans="2:9">
      <c r="B1008" s="27">
        <v>44642</v>
      </c>
      <c r="C1008" s="28" t="s">
        <v>979</v>
      </c>
      <c r="D1008" s="28">
        <v>581.37</v>
      </c>
      <c r="E1008" s="28" t="s">
        <v>2151</v>
      </c>
      <c r="F1008" s="28">
        <v>305.39999999999998</v>
      </c>
      <c r="G1008" s="28">
        <v>124.65</v>
      </c>
      <c r="H1008" s="28" t="s">
        <v>3323</v>
      </c>
      <c r="I1008" s="28">
        <v>231.2</v>
      </c>
    </row>
    <row r="1009" spans="2:9">
      <c r="B1009" s="27">
        <v>44641</v>
      </c>
      <c r="C1009" s="28" t="s">
        <v>980</v>
      </c>
      <c r="D1009" s="28">
        <v>577.96</v>
      </c>
      <c r="E1009" s="28" t="s">
        <v>2152</v>
      </c>
      <c r="F1009" s="28">
        <v>314.77</v>
      </c>
      <c r="G1009" s="28">
        <v>127.1</v>
      </c>
      <c r="H1009" s="28" t="s">
        <v>3324</v>
      </c>
      <c r="I1009" s="28">
        <v>229.75</v>
      </c>
    </row>
    <row r="1010" spans="2:9">
      <c r="B1010" s="27">
        <v>44637</v>
      </c>
      <c r="C1010" s="28" t="s">
        <v>981</v>
      </c>
      <c r="D1010" s="28">
        <v>598.29</v>
      </c>
      <c r="E1010" s="28" t="s">
        <v>2153</v>
      </c>
      <c r="F1010" s="28">
        <v>317.23</v>
      </c>
      <c r="G1010" s="28">
        <v>131.75</v>
      </c>
      <c r="H1010" s="28" t="s">
        <v>3230</v>
      </c>
      <c r="I1010" s="28">
        <v>232.35</v>
      </c>
    </row>
    <row r="1011" spans="2:9">
      <c r="B1011" s="27">
        <v>44636</v>
      </c>
      <c r="C1011" s="28" t="s">
        <v>982</v>
      </c>
      <c r="D1011" s="28">
        <v>588.16999999999996</v>
      </c>
      <c r="E1011" s="28" t="s">
        <v>2154</v>
      </c>
      <c r="F1011" s="28">
        <v>299.07</v>
      </c>
      <c r="G1011" s="28">
        <v>135.5</v>
      </c>
      <c r="H1011" s="28" t="s">
        <v>3325</v>
      </c>
      <c r="I1011" s="28">
        <v>230.95</v>
      </c>
    </row>
    <row r="1012" spans="2:9">
      <c r="B1012" s="27">
        <v>44635</v>
      </c>
      <c r="C1012" s="28" t="s">
        <v>983</v>
      </c>
      <c r="D1012" s="28">
        <v>579.54</v>
      </c>
      <c r="E1012" s="28" t="s">
        <v>2155</v>
      </c>
      <c r="F1012" s="28">
        <v>305.37</v>
      </c>
      <c r="G1012" s="28">
        <v>133.55000000000001</v>
      </c>
      <c r="H1012" s="28" t="s">
        <v>3326</v>
      </c>
      <c r="I1012" s="28">
        <v>227.25</v>
      </c>
    </row>
    <row r="1013" spans="2:9">
      <c r="B1013" s="27">
        <v>44634</v>
      </c>
      <c r="C1013" s="28" t="s">
        <v>984</v>
      </c>
      <c r="D1013" s="28">
        <v>564.46</v>
      </c>
      <c r="E1013" s="28" t="s">
        <v>2156</v>
      </c>
      <c r="F1013" s="28">
        <v>299.10000000000002</v>
      </c>
      <c r="G1013" s="28">
        <v>135.75</v>
      </c>
      <c r="H1013" s="28" t="s">
        <v>3327</v>
      </c>
      <c r="I1013" s="28">
        <v>226.35</v>
      </c>
    </row>
    <row r="1014" spans="2:9">
      <c r="B1014" s="27">
        <v>44631</v>
      </c>
      <c r="C1014" s="28" t="s">
        <v>985</v>
      </c>
      <c r="D1014" s="28">
        <v>566.04</v>
      </c>
      <c r="E1014" s="28" t="s">
        <v>2157</v>
      </c>
      <c r="F1014" s="28">
        <v>300.07</v>
      </c>
      <c r="G1014" s="28">
        <v>138.44999999999999</v>
      </c>
      <c r="H1014" s="28" t="s">
        <v>3328</v>
      </c>
      <c r="I1014" s="28">
        <v>226.35</v>
      </c>
    </row>
    <row r="1015" spans="2:9">
      <c r="B1015" s="27">
        <v>44630</v>
      </c>
      <c r="C1015" s="28" t="s">
        <v>415</v>
      </c>
      <c r="D1015" s="28">
        <v>564.29</v>
      </c>
      <c r="E1015" s="28" t="s">
        <v>2158</v>
      </c>
      <c r="F1015" s="28">
        <v>301.10000000000002</v>
      </c>
      <c r="G1015" s="28">
        <v>137.35</v>
      </c>
      <c r="H1015" s="28" t="s">
        <v>3329</v>
      </c>
      <c r="I1015" s="28">
        <v>231.45</v>
      </c>
    </row>
    <row r="1016" spans="2:9">
      <c r="B1016" s="27">
        <v>44629</v>
      </c>
      <c r="C1016" s="28" t="s">
        <v>986</v>
      </c>
      <c r="D1016" s="28">
        <v>548.25</v>
      </c>
      <c r="E1016" s="28" t="s">
        <v>2159</v>
      </c>
      <c r="F1016" s="28">
        <v>296.37</v>
      </c>
      <c r="G1016" s="28">
        <v>137.15</v>
      </c>
      <c r="H1016" s="28" t="s">
        <v>3330</v>
      </c>
      <c r="I1016" s="28">
        <v>212.75</v>
      </c>
    </row>
    <row r="1017" spans="2:9">
      <c r="B1017" s="27">
        <v>44628</v>
      </c>
      <c r="C1017" s="28" t="s">
        <v>987</v>
      </c>
      <c r="D1017" s="28">
        <v>532.96</v>
      </c>
      <c r="E1017" s="28" t="s">
        <v>2160</v>
      </c>
      <c r="F1017" s="28">
        <v>288.2</v>
      </c>
      <c r="G1017" s="28">
        <v>137.25</v>
      </c>
      <c r="H1017" s="28" t="s">
        <v>3331</v>
      </c>
      <c r="I1017" s="28">
        <v>199.62</v>
      </c>
    </row>
    <row r="1018" spans="2:9">
      <c r="B1018" s="27">
        <v>44627</v>
      </c>
      <c r="C1018" s="28" t="s">
        <v>988</v>
      </c>
      <c r="D1018" s="28">
        <v>523.96</v>
      </c>
      <c r="E1018" s="28" t="s">
        <v>2161</v>
      </c>
      <c r="F1018" s="28">
        <v>287.2</v>
      </c>
      <c r="G1018" s="28">
        <v>134.44999999999999</v>
      </c>
      <c r="H1018" s="28" t="s">
        <v>3332</v>
      </c>
      <c r="I1018" s="28">
        <v>198.6</v>
      </c>
    </row>
    <row r="1019" spans="2:9">
      <c r="B1019" s="27">
        <v>44624</v>
      </c>
      <c r="C1019" s="28" t="s">
        <v>989</v>
      </c>
      <c r="D1019" s="28">
        <v>544.21</v>
      </c>
      <c r="E1019" s="28" t="s">
        <v>2162</v>
      </c>
      <c r="F1019" s="28">
        <v>296.67</v>
      </c>
      <c r="G1019" s="28">
        <v>135.80000000000001</v>
      </c>
      <c r="H1019" s="28" t="s">
        <v>3333</v>
      </c>
      <c r="I1019" s="28">
        <v>204.07</v>
      </c>
    </row>
    <row r="1020" spans="2:9">
      <c r="B1020" s="27">
        <v>44623</v>
      </c>
      <c r="C1020" s="28" t="s">
        <v>990</v>
      </c>
      <c r="D1020" s="28">
        <v>552.71</v>
      </c>
      <c r="E1020" s="28" t="s">
        <v>2163</v>
      </c>
      <c r="F1020" s="28">
        <v>297.93</v>
      </c>
      <c r="G1020" s="28">
        <v>137.65</v>
      </c>
      <c r="H1020" s="28" t="s">
        <v>3334</v>
      </c>
      <c r="I1020" s="28">
        <v>216.95</v>
      </c>
    </row>
    <row r="1021" spans="2:9">
      <c r="B1021" s="27">
        <v>44622</v>
      </c>
      <c r="C1021" s="28" t="s">
        <v>991</v>
      </c>
      <c r="D1021" s="28">
        <v>564.37</v>
      </c>
      <c r="E1021" s="28" t="s">
        <v>2164</v>
      </c>
      <c r="F1021" s="28">
        <v>292.07</v>
      </c>
      <c r="G1021" s="28">
        <v>141.94999999999999</v>
      </c>
      <c r="H1021" s="28" t="s">
        <v>3335</v>
      </c>
      <c r="I1021" s="28">
        <v>215.03</v>
      </c>
    </row>
    <row r="1022" spans="2:9">
      <c r="B1022" s="27">
        <v>44620</v>
      </c>
      <c r="C1022" s="28" t="s">
        <v>992</v>
      </c>
      <c r="D1022" s="28">
        <v>575.37</v>
      </c>
      <c r="E1022" s="28" t="s">
        <v>2165</v>
      </c>
      <c r="F1022" s="28">
        <v>303.10000000000002</v>
      </c>
      <c r="G1022" s="28">
        <v>125.2</v>
      </c>
      <c r="H1022" s="28" t="s">
        <v>3336</v>
      </c>
      <c r="I1022" s="28">
        <v>221.72</v>
      </c>
    </row>
    <row r="1023" spans="2:9">
      <c r="B1023" s="27">
        <v>44617</v>
      </c>
      <c r="C1023" s="28" t="s">
        <v>993</v>
      </c>
      <c r="D1023" s="28">
        <v>571.41999999999996</v>
      </c>
      <c r="E1023" s="28" t="s">
        <v>2166</v>
      </c>
      <c r="F1023" s="28">
        <v>300.57</v>
      </c>
      <c r="G1023" s="28">
        <v>125.35</v>
      </c>
      <c r="H1023" s="28" t="s">
        <v>3337</v>
      </c>
      <c r="I1023" s="28">
        <v>211.28</v>
      </c>
    </row>
    <row r="1024" spans="2:9">
      <c r="B1024" s="27">
        <v>44616</v>
      </c>
      <c r="C1024" s="28" t="s">
        <v>994</v>
      </c>
      <c r="D1024" s="28">
        <v>566.21</v>
      </c>
      <c r="E1024" s="28" t="s">
        <v>2167</v>
      </c>
      <c r="F1024" s="28">
        <v>302.27</v>
      </c>
      <c r="G1024" s="28">
        <v>119.4</v>
      </c>
      <c r="H1024" s="28" t="s">
        <v>3338</v>
      </c>
      <c r="I1024" s="28">
        <v>201.57</v>
      </c>
    </row>
    <row r="1025" spans="2:9">
      <c r="B1025" s="27">
        <v>44615</v>
      </c>
      <c r="C1025" s="28" t="s">
        <v>956</v>
      </c>
      <c r="D1025" s="28">
        <v>608.54</v>
      </c>
      <c r="E1025" s="28" t="s">
        <v>2168</v>
      </c>
      <c r="F1025" s="28">
        <v>309.39999999999998</v>
      </c>
      <c r="G1025" s="28">
        <v>130.1</v>
      </c>
      <c r="H1025" s="28" t="s">
        <v>3339</v>
      </c>
      <c r="I1025" s="28">
        <v>225.93</v>
      </c>
    </row>
    <row r="1026" spans="2:9">
      <c r="B1026" s="27">
        <v>44614</v>
      </c>
      <c r="C1026" s="28" t="s">
        <v>995</v>
      </c>
      <c r="D1026" s="28">
        <v>605.87</v>
      </c>
      <c r="E1026" s="28" t="s">
        <v>2169</v>
      </c>
      <c r="F1026" s="28">
        <v>319.8</v>
      </c>
      <c r="G1026" s="28">
        <v>131.69999999999999</v>
      </c>
      <c r="H1026" s="28" t="s">
        <v>3340</v>
      </c>
      <c r="I1026" s="28">
        <v>223.95</v>
      </c>
    </row>
    <row r="1027" spans="2:9">
      <c r="B1027" s="27">
        <v>44613</v>
      </c>
      <c r="C1027" s="28" t="s">
        <v>996</v>
      </c>
      <c r="D1027" s="28">
        <v>605.54</v>
      </c>
      <c r="E1027" s="28" t="s">
        <v>2170</v>
      </c>
      <c r="F1027" s="28">
        <v>327.83</v>
      </c>
      <c r="G1027" s="28">
        <v>135.94999999999999</v>
      </c>
      <c r="H1027" s="28" t="s">
        <v>3341</v>
      </c>
      <c r="I1027" s="28">
        <v>230.05</v>
      </c>
    </row>
    <row r="1028" spans="2:9">
      <c r="B1028" s="27">
        <v>44610</v>
      </c>
      <c r="C1028" s="28" t="s">
        <v>997</v>
      </c>
      <c r="D1028" s="28">
        <v>614.83000000000004</v>
      </c>
      <c r="E1028" s="28" t="s">
        <v>2171</v>
      </c>
      <c r="F1028" s="28">
        <v>329.77</v>
      </c>
      <c r="G1028" s="28">
        <v>136.15</v>
      </c>
      <c r="H1028" s="28" t="s">
        <v>3342</v>
      </c>
      <c r="I1028" s="28">
        <v>235.7</v>
      </c>
    </row>
    <row r="1029" spans="2:9">
      <c r="B1029" s="27">
        <v>44609</v>
      </c>
      <c r="C1029" s="28" t="s">
        <v>998</v>
      </c>
      <c r="D1029" s="28">
        <v>604.66999999999996</v>
      </c>
      <c r="E1029" s="28" t="s">
        <v>2172</v>
      </c>
      <c r="F1029" s="28">
        <v>329.83</v>
      </c>
      <c r="G1029" s="28">
        <v>135</v>
      </c>
      <c r="H1029" s="28" t="s">
        <v>3343</v>
      </c>
      <c r="I1029" s="28">
        <v>243.97</v>
      </c>
    </row>
    <row r="1030" spans="2:9">
      <c r="B1030" s="27">
        <v>44608</v>
      </c>
      <c r="C1030" s="28" t="s">
        <v>999</v>
      </c>
      <c r="D1030" s="28">
        <v>603.16999999999996</v>
      </c>
      <c r="E1030" s="28" t="s">
        <v>2173</v>
      </c>
      <c r="F1030" s="28">
        <v>328.53</v>
      </c>
      <c r="G1030" s="28">
        <v>135.69999999999999</v>
      </c>
      <c r="H1030" s="28" t="s">
        <v>3344</v>
      </c>
      <c r="I1030" s="28">
        <v>239.95</v>
      </c>
    </row>
    <row r="1031" spans="2:9">
      <c r="B1031" s="27">
        <v>44607</v>
      </c>
      <c r="C1031" s="28" t="s">
        <v>1000</v>
      </c>
      <c r="D1031" s="28">
        <v>602.25</v>
      </c>
      <c r="E1031" s="28" t="s">
        <v>2174</v>
      </c>
      <c r="F1031" s="28">
        <v>328.97</v>
      </c>
      <c r="G1031" s="28">
        <v>127.4</v>
      </c>
      <c r="H1031" s="28" t="s">
        <v>3345</v>
      </c>
      <c r="I1031" s="28">
        <v>239.72</v>
      </c>
    </row>
    <row r="1032" spans="2:9">
      <c r="B1032" s="27">
        <v>44606</v>
      </c>
      <c r="C1032" s="28" t="s">
        <v>813</v>
      </c>
      <c r="D1032" s="28">
        <v>583.16999999999996</v>
      </c>
      <c r="E1032" s="28" t="s">
        <v>2175</v>
      </c>
      <c r="F1032" s="28">
        <v>324.63</v>
      </c>
      <c r="G1032" s="28">
        <v>121.25</v>
      </c>
      <c r="H1032" s="28" t="s">
        <v>3346</v>
      </c>
      <c r="I1032" s="28">
        <v>234.03</v>
      </c>
    </row>
    <row r="1033" spans="2:9">
      <c r="B1033" s="27">
        <v>44603</v>
      </c>
      <c r="C1033" s="28" t="s">
        <v>1001</v>
      </c>
      <c r="D1033" s="28">
        <v>598.29</v>
      </c>
      <c r="E1033" s="28" t="s">
        <v>2176</v>
      </c>
      <c r="F1033" s="28">
        <v>331.67</v>
      </c>
      <c r="G1033" s="28">
        <v>134.94999999999999</v>
      </c>
      <c r="H1033" s="28" t="s">
        <v>3347</v>
      </c>
      <c r="I1033" s="28">
        <v>241.55</v>
      </c>
    </row>
    <row r="1034" spans="2:9">
      <c r="B1034" s="27">
        <v>44602</v>
      </c>
      <c r="C1034" s="28" t="s">
        <v>1002</v>
      </c>
      <c r="D1034" s="28">
        <v>605.62</v>
      </c>
      <c r="E1034" s="28" t="s">
        <v>2177</v>
      </c>
      <c r="F1034" s="28">
        <v>339.37</v>
      </c>
      <c r="G1034" s="28">
        <v>138.30000000000001</v>
      </c>
      <c r="H1034" s="28" t="s">
        <v>3348</v>
      </c>
      <c r="I1034" s="28">
        <v>253.6</v>
      </c>
    </row>
    <row r="1035" spans="2:9">
      <c r="B1035" s="27">
        <v>44601</v>
      </c>
      <c r="C1035" s="28" t="s">
        <v>1003</v>
      </c>
      <c r="D1035" s="28">
        <v>601.21</v>
      </c>
      <c r="E1035" s="28" t="s">
        <v>2176</v>
      </c>
      <c r="F1035" s="28">
        <v>340.07</v>
      </c>
      <c r="G1035" s="28">
        <v>139.5</v>
      </c>
      <c r="H1035" s="28" t="s">
        <v>3349</v>
      </c>
      <c r="I1035" s="28">
        <v>252.97</v>
      </c>
    </row>
    <row r="1036" spans="2:9">
      <c r="B1036" s="27">
        <v>44600</v>
      </c>
      <c r="C1036" s="28" t="s">
        <v>1004</v>
      </c>
      <c r="D1036" s="28">
        <v>598.66999999999996</v>
      </c>
      <c r="E1036" s="28" t="s">
        <v>2178</v>
      </c>
      <c r="F1036" s="28">
        <v>345.8</v>
      </c>
      <c r="G1036" s="28">
        <v>137</v>
      </c>
      <c r="H1036" s="28" t="s">
        <v>3350</v>
      </c>
      <c r="I1036" s="28">
        <v>254.3</v>
      </c>
    </row>
    <row r="1037" spans="2:9">
      <c r="B1037" s="27">
        <v>44599</v>
      </c>
      <c r="C1037" s="28" t="s">
        <v>1005</v>
      </c>
      <c r="D1037" s="28">
        <v>599.25</v>
      </c>
      <c r="E1037" s="28" t="s">
        <v>2179</v>
      </c>
      <c r="F1037" s="28">
        <v>356.23</v>
      </c>
      <c r="G1037" s="28">
        <v>138.9</v>
      </c>
      <c r="H1037" s="28" t="s">
        <v>3351</v>
      </c>
      <c r="I1037" s="28">
        <v>256.64999999999998</v>
      </c>
    </row>
    <row r="1038" spans="2:9">
      <c r="B1038" s="27">
        <v>44596</v>
      </c>
      <c r="C1038" s="28" t="s">
        <v>1006</v>
      </c>
      <c r="D1038" s="28">
        <v>612.66999999999996</v>
      </c>
      <c r="E1038" s="28" t="s">
        <v>2180</v>
      </c>
      <c r="F1038" s="28">
        <v>360.47</v>
      </c>
      <c r="G1038" s="28">
        <v>138.35</v>
      </c>
      <c r="H1038" s="28" t="s">
        <v>3352</v>
      </c>
      <c r="I1038" s="28">
        <v>255.25</v>
      </c>
    </row>
    <row r="1039" spans="2:9">
      <c r="B1039" s="27">
        <v>44595</v>
      </c>
      <c r="C1039" s="28" t="s">
        <v>1007</v>
      </c>
      <c r="D1039" s="28">
        <v>614</v>
      </c>
      <c r="E1039" s="28" t="s">
        <v>2181</v>
      </c>
      <c r="F1039" s="28">
        <v>370.2</v>
      </c>
      <c r="G1039" s="28">
        <v>139.5</v>
      </c>
      <c r="H1039" s="28" t="s">
        <v>3353</v>
      </c>
      <c r="I1039" s="28">
        <v>257</v>
      </c>
    </row>
    <row r="1040" spans="2:9">
      <c r="B1040" s="27">
        <v>44594</v>
      </c>
      <c r="C1040" s="28" t="s">
        <v>1008</v>
      </c>
      <c r="D1040" s="28">
        <v>618.87</v>
      </c>
      <c r="E1040" s="28" t="s">
        <v>2182</v>
      </c>
      <c r="F1040" s="28">
        <v>370.37</v>
      </c>
      <c r="G1040" s="28">
        <v>139</v>
      </c>
      <c r="H1040" s="28" t="s">
        <v>3354</v>
      </c>
      <c r="I1040" s="28">
        <v>260.88</v>
      </c>
    </row>
    <row r="1041" spans="2:9">
      <c r="B1041" s="27">
        <v>44593</v>
      </c>
      <c r="C1041" s="28" t="s">
        <v>1009</v>
      </c>
      <c r="D1041" s="28">
        <v>609.79</v>
      </c>
      <c r="E1041" s="28" t="s">
        <v>2183</v>
      </c>
      <c r="F1041" s="28">
        <v>372.9</v>
      </c>
      <c r="G1041" s="28">
        <v>136.94999999999999</v>
      </c>
      <c r="H1041" s="28" t="s">
        <v>3355</v>
      </c>
      <c r="I1041" s="28">
        <v>257.55</v>
      </c>
    </row>
    <row r="1042" spans="2:9">
      <c r="B1042" s="27">
        <v>44592</v>
      </c>
      <c r="C1042" s="28" t="s">
        <v>1010</v>
      </c>
      <c r="D1042" s="28">
        <v>602</v>
      </c>
      <c r="E1042" s="28" t="s">
        <v>2184</v>
      </c>
      <c r="F1042" s="28">
        <v>378</v>
      </c>
      <c r="G1042" s="28">
        <v>138.55000000000001</v>
      </c>
      <c r="H1042" s="28" t="s">
        <v>3356</v>
      </c>
      <c r="I1042" s="28">
        <v>257.14999999999998</v>
      </c>
    </row>
    <row r="1043" spans="2:9">
      <c r="B1043" s="27">
        <v>44589</v>
      </c>
      <c r="C1043" s="28" t="s">
        <v>1011</v>
      </c>
      <c r="D1043" s="28">
        <v>605.33000000000004</v>
      </c>
      <c r="E1043" s="28" t="s">
        <v>2185</v>
      </c>
      <c r="F1043" s="28">
        <v>380.27</v>
      </c>
      <c r="G1043" s="28">
        <v>139.55000000000001</v>
      </c>
      <c r="H1043" s="28" t="s">
        <v>3357</v>
      </c>
      <c r="I1043" s="28">
        <v>260.12</v>
      </c>
    </row>
    <row r="1044" spans="2:9">
      <c r="B1044" s="27">
        <v>44588</v>
      </c>
      <c r="C1044" s="28" t="s">
        <v>1012</v>
      </c>
      <c r="D1044" s="28">
        <v>595.16999999999996</v>
      </c>
      <c r="E1044" s="28" t="s">
        <v>2186</v>
      </c>
      <c r="F1044" s="28">
        <v>379.77</v>
      </c>
      <c r="G1044" s="28">
        <v>136.55000000000001</v>
      </c>
      <c r="H1044" s="28" t="s">
        <v>3358</v>
      </c>
      <c r="I1044" s="28">
        <v>259.39999999999998</v>
      </c>
    </row>
    <row r="1045" spans="2:9">
      <c r="B1045" s="27">
        <v>44586</v>
      </c>
      <c r="C1045" s="28" t="s">
        <v>1013</v>
      </c>
      <c r="D1045" s="28">
        <v>605.87</v>
      </c>
      <c r="E1045" s="28" t="s">
        <v>2187</v>
      </c>
      <c r="F1045" s="28">
        <v>383.47</v>
      </c>
      <c r="G1045" s="28">
        <v>133.9</v>
      </c>
      <c r="H1045" s="28" t="s">
        <v>3359</v>
      </c>
      <c r="I1045" s="28">
        <v>258.57</v>
      </c>
    </row>
    <row r="1046" spans="2:9">
      <c r="B1046" s="27">
        <v>44585</v>
      </c>
      <c r="C1046" s="28" t="s">
        <v>1014</v>
      </c>
      <c r="D1046" s="28">
        <v>594.54</v>
      </c>
      <c r="E1046" s="28" t="s">
        <v>2188</v>
      </c>
      <c r="F1046" s="28">
        <v>382.03</v>
      </c>
      <c r="G1046" s="28">
        <v>131.94999999999999</v>
      </c>
      <c r="H1046" s="28" t="s">
        <v>3360</v>
      </c>
      <c r="I1046" s="28">
        <v>252.53</v>
      </c>
    </row>
    <row r="1047" spans="2:9">
      <c r="B1047" s="27">
        <v>44582</v>
      </c>
      <c r="C1047" s="28" t="s">
        <v>619</v>
      </c>
      <c r="D1047" s="28">
        <v>620.62</v>
      </c>
      <c r="E1047" s="28" t="s">
        <v>2189</v>
      </c>
      <c r="F1047" s="28">
        <v>383.8</v>
      </c>
      <c r="G1047" s="28">
        <v>135.30000000000001</v>
      </c>
      <c r="H1047" s="28" t="s">
        <v>3361</v>
      </c>
      <c r="I1047" s="28">
        <v>277.14999999999998</v>
      </c>
    </row>
    <row r="1048" spans="2:9">
      <c r="B1048" s="27">
        <v>44581</v>
      </c>
      <c r="C1048" s="28" t="s">
        <v>1015</v>
      </c>
      <c r="D1048" s="28">
        <v>620.58000000000004</v>
      </c>
      <c r="E1048" s="28" t="s">
        <v>2190</v>
      </c>
      <c r="F1048" s="28">
        <v>394.77</v>
      </c>
      <c r="G1048" s="28">
        <v>137.30000000000001</v>
      </c>
      <c r="H1048" s="28" t="s">
        <v>3362</v>
      </c>
      <c r="I1048" s="28">
        <v>274.27</v>
      </c>
    </row>
    <row r="1049" spans="2:9">
      <c r="B1049" s="27">
        <v>44580</v>
      </c>
      <c r="C1049" s="28" t="s">
        <v>1016</v>
      </c>
      <c r="D1049" s="28">
        <v>623.71</v>
      </c>
      <c r="E1049" s="28" t="s">
        <v>2191</v>
      </c>
      <c r="F1049" s="28">
        <v>397</v>
      </c>
      <c r="G1049" s="28">
        <v>140.75</v>
      </c>
      <c r="H1049" s="28" t="s">
        <v>3363</v>
      </c>
      <c r="I1049" s="28">
        <v>268.38</v>
      </c>
    </row>
    <row r="1050" spans="2:9">
      <c r="B1050" s="27">
        <v>44579</v>
      </c>
      <c r="C1050" s="28" t="s">
        <v>1017</v>
      </c>
      <c r="D1050" s="28">
        <v>634.29</v>
      </c>
      <c r="E1050" s="28" t="s">
        <v>2192</v>
      </c>
      <c r="F1050" s="28">
        <v>401.47</v>
      </c>
      <c r="G1050" s="28">
        <v>134.69999999999999</v>
      </c>
      <c r="H1050" s="28" t="s">
        <v>3364</v>
      </c>
      <c r="I1050" s="28">
        <v>271.07</v>
      </c>
    </row>
    <row r="1051" spans="2:9">
      <c r="B1051" s="27">
        <v>44578</v>
      </c>
      <c r="C1051" s="28" t="s">
        <v>1018</v>
      </c>
      <c r="D1051" s="28">
        <v>646.58000000000004</v>
      </c>
      <c r="E1051" s="28" t="s">
        <v>2193</v>
      </c>
      <c r="F1051" s="28">
        <v>404.23</v>
      </c>
      <c r="G1051" s="28">
        <v>135.35</v>
      </c>
      <c r="H1051" s="28" t="s">
        <v>3365</v>
      </c>
      <c r="I1051" s="28">
        <v>276.8</v>
      </c>
    </row>
    <row r="1052" spans="2:9">
      <c r="B1052" s="27">
        <v>44575</v>
      </c>
      <c r="C1052" s="28" t="s">
        <v>1019</v>
      </c>
      <c r="D1052" s="28">
        <v>642.79</v>
      </c>
      <c r="E1052" s="28" t="s">
        <v>2194</v>
      </c>
      <c r="F1052" s="28">
        <v>406.93</v>
      </c>
      <c r="G1052" s="28">
        <v>132.65</v>
      </c>
      <c r="H1052" s="28" t="s">
        <v>3366</v>
      </c>
      <c r="I1052" s="28">
        <v>288.39999999999998</v>
      </c>
    </row>
    <row r="1053" spans="2:9">
      <c r="B1053" s="27">
        <v>44574</v>
      </c>
      <c r="C1053" s="28" t="s">
        <v>1020</v>
      </c>
      <c r="D1053" s="28">
        <v>651.62</v>
      </c>
      <c r="E1053" s="28" t="s">
        <v>2195</v>
      </c>
      <c r="F1053" s="28">
        <v>411.17</v>
      </c>
      <c r="G1053" s="28">
        <v>128.85</v>
      </c>
      <c r="H1053" s="28" t="s">
        <v>3367</v>
      </c>
      <c r="I1053" s="28">
        <v>255.72</v>
      </c>
    </row>
    <row r="1054" spans="2:9">
      <c r="B1054" s="27">
        <v>44573</v>
      </c>
      <c r="C1054" s="28" t="s">
        <v>1021</v>
      </c>
      <c r="D1054" s="28">
        <v>657.42</v>
      </c>
      <c r="E1054" s="28" t="s">
        <v>2196</v>
      </c>
      <c r="F1054" s="28">
        <v>408.87</v>
      </c>
      <c r="G1054" s="28">
        <v>119.75</v>
      </c>
      <c r="H1054" s="28" t="s">
        <v>3368</v>
      </c>
      <c r="I1054" s="28">
        <v>257.45</v>
      </c>
    </row>
    <row r="1055" spans="2:9">
      <c r="B1055" s="27">
        <v>44572</v>
      </c>
      <c r="C1055" s="28" t="s">
        <v>1022</v>
      </c>
      <c r="D1055" s="28">
        <v>655.16999999999996</v>
      </c>
      <c r="E1055" s="28" t="s">
        <v>2197</v>
      </c>
      <c r="F1055" s="28">
        <v>400.43</v>
      </c>
      <c r="G1055" s="28">
        <v>115.95</v>
      </c>
      <c r="H1055" s="28" t="s">
        <v>3369</v>
      </c>
      <c r="I1055" s="28">
        <v>257.27</v>
      </c>
    </row>
    <row r="1056" spans="2:9">
      <c r="B1056" s="27">
        <v>44571</v>
      </c>
      <c r="C1056" s="28" t="s">
        <v>1023</v>
      </c>
      <c r="D1056" s="28">
        <v>653.29</v>
      </c>
      <c r="E1056" s="28" t="s">
        <v>2198</v>
      </c>
      <c r="F1056" s="28">
        <v>396.83</v>
      </c>
      <c r="G1056" s="28">
        <v>115.3</v>
      </c>
      <c r="H1056" s="28" t="s">
        <v>2181</v>
      </c>
      <c r="I1056" s="28">
        <v>258.12</v>
      </c>
    </row>
    <row r="1057" spans="2:9">
      <c r="B1057" s="27">
        <v>44568</v>
      </c>
      <c r="C1057" s="28" t="s">
        <v>1024</v>
      </c>
      <c r="D1057" s="28">
        <v>658.96</v>
      </c>
      <c r="E1057" s="28" t="s">
        <v>2199</v>
      </c>
      <c r="F1057" s="28">
        <v>398.6</v>
      </c>
      <c r="G1057" s="28">
        <v>114.55</v>
      </c>
      <c r="H1057" s="28" t="s">
        <v>2191</v>
      </c>
      <c r="I1057" s="28">
        <v>259.23</v>
      </c>
    </row>
    <row r="1058" spans="2:9">
      <c r="B1058" s="27">
        <v>44567</v>
      </c>
      <c r="C1058" s="28" t="s">
        <v>664</v>
      </c>
      <c r="D1058" s="28">
        <v>650.5</v>
      </c>
      <c r="E1058" s="28" t="s">
        <v>2200</v>
      </c>
      <c r="F1058" s="28">
        <v>394.7</v>
      </c>
      <c r="G1058" s="28">
        <v>114</v>
      </c>
      <c r="H1058" s="28" t="s">
        <v>3370</v>
      </c>
      <c r="I1058" s="28">
        <v>260.48</v>
      </c>
    </row>
    <row r="1059" spans="2:9">
      <c r="B1059" s="27">
        <v>44566</v>
      </c>
      <c r="C1059" s="28" t="s">
        <v>1025</v>
      </c>
      <c r="D1059" s="28">
        <v>658.12</v>
      </c>
      <c r="E1059" s="28" t="s">
        <v>2201</v>
      </c>
      <c r="F1059" s="28">
        <v>398.17</v>
      </c>
      <c r="G1059" s="28">
        <v>111.1</v>
      </c>
      <c r="H1059" s="28" t="s">
        <v>3371</v>
      </c>
      <c r="I1059" s="28">
        <v>261.62</v>
      </c>
    </row>
    <row r="1060" spans="2:9">
      <c r="B1060" s="27">
        <v>44565</v>
      </c>
      <c r="C1060" s="28" t="s">
        <v>1026</v>
      </c>
      <c r="D1060" s="28">
        <v>653.71</v>
      </c>
      <c r="E1060" s="28" t="s">
        <v>2202</v>
      </c>
      <c r="F1060" s="28">
        <v>394.6</v>
      </c>
      <c r="G1060" s="28">
        <v>112.65</v>
      </c>
      <c r="H1060" s="28" t="s">
        <v>3372</v>
      </c>
      <c r="I1060" s="28">
        <v>264.73</v>
      </c>
    </row>
    <row r="1061" spans="2:9">
      <c r="B1061" s="27">
        <v>44564</v>
      </c>
      <c r="C1061" s="28" t="s">
        <v>1027</v>
      </c>
      <c r="D1061" s="28">
        <v>647</v>
      </c>
      <c r="E1061" s="28" t="s">
        <v>2203</v>
      </c>
      <c r="F1061" s="28">
        <v>395.87</v>
      </c>
      <c r="G1061" s="28">
        <v>113.65</v>
      </c>
      <c r="H1061" s="28" t="s">
        <v>3373</v>
      </c>
      <c r="I1061" s="28">
        <v>267.55</v>
      </c>
    </row>
    <row r="1062" spans="2:9">
      <c r="B1062" s="27">
        <v>44561</v>
      </c>
      <c r="C1062" s="28" t="s">
        <v>1028</v>
      </c>
      <c r="D1062" s="28">
        <v>643.12</v>
      </c>
      <c r="E1062" s="28" t="s">
        <v>2204</v>
      </c>
      <c r="F1062" s="28">
        <v>394.13</v>
      </c>
      <c r="G1062" s="28">
        <v>115.85</v>
      </c>
      <c r="H1062" s="28" t="s">
        <v>3374</v>
      </c>
      <c r="I1062" s="28">
        <v>267.88</v>
      </c>
    </row>
    <row r="1063" spans="2:9">
      <c r="B1063" s="27">
        <v>44560</v>
      </c>
      <c r="C1063" s="28" t="s">
        <v>1029</v>
      </c>
      <c r="D1063" s="28">
        <v>632.96</v>
      </c>
      <c r="E1063" s="28" t="s">
        <v>2205</v>
      </c>
      <c r="F1063" s="28">
        <v>387.67</v>
      </c>
      <c r="G1063" s="28">
        <v>109.1</v>
      </c>
      <c r="H1063" s="28" t="s">
        <v>3375</v>
      </c>
      <c r="I1063" s="28">
        <v>253.88</v>
      </c>
    </row>
    <row r="1064" spans="2:9">
      <c r="B1064" s="27">
        <v>44559</v>
      </c>
      <c r="C1064" s="28" t="s">
        <v>381</v>
      </c>
      <c r="D1064" s="28">
        <v>626.83000000000004</v>
      </c>
      <c r="E1064" s="28" t="s">
        <v>2206</v>
      </c>
      <c r="F1064" s="28">
        <v>382.07</v>
      </c>
      <c r="G1064" s="28">
        <v>110.9</v>
      </c>
      <c r="H1064" s="28" t="s">
        <v>3376</v>
      </c>
      <c r="I1064" s="28">
        <v>258.45</v>
      </c>
    </row>
    <row r="1065" spans="2:9">
      <c r="B1065" s="27">
        <v>44558</v>
      </c>
      <c r="C1065" s="28" t="s">
        <v>1030</v>
      </c>
      <c r="D1065" s="28">
        <v>627.16999999999996</v>
      </c>
      <c r="E1065" s="28" t="s">
        <v>2207</v>
      </c>
      <c r="F1065" s="28">
        <v>375.6</v>
      </c>
      <c r="G1065" s="28">
        <v>111</v>
      </c>
      <c r="H1065" s="28" t="s">
        <v>3377</v>
      </c>
      <c r="I1065" s="28">
        <v>255.22</v>
      </c>
    </row>
    <row r="1066" spans="2:9">
      <c r="B1066" s="27">
        <v>44557</v>
      </c>
      <c r="C1066" s="28" t="s">
        <v>893</v>
      </c>
      <c r="D1066" s="28">
        <v>621.87</v>
      </c>
      <c r="E1066" s="28" t="s">
        <v>2208</v>
      </c>
      <c r="F1066" s="28">
        <v>378.87</v>
      </c>
      <c r="G1066" s="28">
        <v>113.65</v>
      </c>
      <c r="H1066" s="28" t="s">
        <v>3378</v>
      </c>
      <c r="I1066" s="28">
        <v>254.05</v>
      </c>
    </row>
    <row r="1067" spans="2:9">
      <c r="B1067" s="27">
        <v>44554</v>
      </c>
      <c r="C1067" s="28" t="s">
        <v>1031</v>
      </c>
      <c r="D1067" s="28">
        <v>617.41999999999996</v>
      </c>
      <c r="E1067" s="28" t="s">
        <v>2209</v>
      </c>
      <c r="F1067" s="28">
        <v>383.87</v>
      </c>
      <c r="G1067" s="28">
        <v>109.3</v>
      </c>
      <c r="H1067" s="28" t="s">
        <v>3379</v>
      </c>
      <c r="I1067" s="28">
        <v>253.18</v>
      </c>
    </row>
    <row r="1068" spans="2:9">
      <c r="B1068" s="27">
        <v>44553</v>
      </c>
      <c r="C1068" s="28" t="s">
        <v>1032</v>
      </c>
      <c r="D1068" s="28">
        <v>625.46</v>
      </c>
      <c r="E1068" s="28" t="s">
        <v>2210</v>
      </c>
      <c r="F1068" s="28">
        <v>389.37</v>
      </c>
      <c r="G1068" s="28">
        <v>107.15</v>
      </c>
      <c r="H1068" s="28" t="s">
        <v>3380</v>
      </c>
      <c r="I1068" s="28">
        <v>255.78</v>
      </c>
    </row>
    <row r="1069" spans="2:9">
      <c r="B1069" s="27">
        <v>44552</v>
      </c>
      <c r="C1069" s="28" t="s">
        <v>1033</v>
      </c>
      <c r="D1069" s="28">
        <v>621.83000000000004</v>
      </c>
      <c r="E1069" s="28" t="s">
        <v>2211</v>
      </c>
      <c r="F1069" s="28">
        <v>393.17</v>
      </c>
      <c r="G1069" s="28">
        <v>109.3</v>
      </c>
      <c r="H1069" s="28" t="s">
        <v>3381</v>
      </c>
      <c r="I1069" s="28">
        <v>254.32</v>
      </c>
    </row>
    <row r="1070" spans="2:9">
      <c r="B1070" s="27">
        <v>44551</v>
      </c>
      <c r="C1070" s="28" t="s">
        <v>1034</v>
      </c>
      <c r="D1070" s="28">
        <v>619.5</v>
      </c>
      <c r="E1070" s="28" t="s">
        <v>2212</v>
      </c>
      <c r="F1070" s="28">
        <v>394.27</v>
      </c>
      <c r="G1070" s="28">
        <v>106.2</v>
      </c>
      <c r="H1070" s="28" t="s">
        <v>3382</v>
      </c>
      <c r="I1070" s="28">
        <v>249.2</v>
      </c>
    </row>
    <row r="1071" spans="2:9">
      <c r="B1071" s="27">
        <v>44550</v>
      </c>
      <c r="C1071" s="28" t="s">
        <v>1035</v>
      </c>
      <c r="D1071" s="28">
        <v>616.21</v>
      </c>
      <c r="E1071" s="28" t="s">
        <v>2213</v>
      </c>
      <c r="F1071" s="28">
        <v>391.97</v>
      </c>
      <c r="G1071" s="28">
        <v>104.85</v>
      </c>
      <c r="H1071" s="28" t="s">
        <v>3383</v>
      </c>
      <c r="I1071" s="28">
        <v>245.3</v>
      </c>
    </row>
    <row r="1072" spans="2:9">
      <c r="B1072" s="27">
        <v>44547</v>
      </c>
      <c r="C1072" s="28" t="s">
        <v>1036</v>
      </c>
      <c r="D1072" s="28">
        <v>627.71</v>
      </c>
      <c r="E1072" s="28" t="s">
        <v>2214</v>
      </c>
      <c r="F1072" s="28">
        <v>393.23</v>
      </c>
      <c r="G1072" s="28">
        <v>105.1</v>
      </c>
      <c r="H1072" s="28" t="s">
        <v>3384</v>
      </c>
      <c r="I1072" s="28">
        <v>256.8</v>
      </c>
    </row>
    <row r="1073" spans="2:9">
      <c r="B1073" s="27">
        <v>44546</v>
      </c>
      <c r="C1073" s="28" t="s">
        <v>1037</v>
      </c>
      <c r="D1073" s="28">
        <v>634</v>
      </c>
      <c r="E1073" s="28" t="s">
        <v>2215</v>
      </c>
      <c r="F1073" s="28">
        <v>388.47</v>
      </c>
      <c r="G1073" s="28">
        <v>106.3</v>
      </c>
      <c r="H1073" s="28" t="s">
        <v>3385</v>
      </c>
      <c r="I1073" s="28">
        <v>269.45</v>
      </c>
    </row>
    <row r="1074" spans="2:9">
      <c r="B1074" s="27">
        <v>44545</v>
      </c>
      <c r="C1074" s="28" t="s">
        <v>1038</v>
      </c>
      <c r="D1074" s="28">
        <v>632.71</v>
      </c>
      <c r="E1074" s="28" t="s">
        <v>2216</v>
      </c>
      <c r="F1074" s="28">
        <v>392.73</v>
      </c>
      <c r="G1074" s="28">
        <v>106.95</v>
      </c>
      <c r="H1074" s="28" t="s">
        <v>3386</v>
      </c>
      <c r="I1074" s="28">
        <v>280.77</v>
      </c>
    </row>
    <row r="1075" spans="2:9">
      <c r="B1075" s="27">
        <v>44544</v>
      </c>
      <c r="C1075" s="28" t="s">
        <v>1039</v>
      </c>
      <c r="D1075" s="28">
        <v>630.71</v>
      </c>
      <c r="E1075" s="28" t="s">
        <v>2197</v>
      </c>
      <c r="F1075" s="28">
        <v>391.93</v>
      </c>
      <c r="G1075" s="28">
        <v>108.95</v>
      </c>
      <c r="H1075" s="28" t="s">
        <v>3387</v>
      </c>
      <c r="I1075" s="28">
        <v>284.85000000000002</v>
      </c>
    </row>
    <row r="1076" spans="2:9">
      <c r="B1076" s="27">
        <v>44543</v>
      </c>
      <c r="C1076" s="28" t="s">
        <v>1040</v>
      </c>
      <c r="D1076" s="28">
        <v>629.58000000000004</v>
      </c>
      <c r="E1076" s="28" t="s">
        <v>2217</v>
      </c>
      <c r="F1076" s="28">
        <v>397</v>
      </c>
      <c r="G1076" s="28">
        <v>106.9</v>
      </c>
      <c r="H1076" s="28" t="s">
        <v>3388</v>
      </c>
      <c r="I1076" s="28">
        <v>287.45</v>
      </c>
    </row>
    <row r="1077" spans="2:9">
      <c r="B1077" s="27">
        <v>44540</v>
      </c>
      <c r="C1077" s="28" t="s">
        <v>1041</v>
      </c>
      <c r="D1077" s="28">
        <v>635.41999999999996</v>
      </c>
      <c r="E1077" s="28" t="s">
        <v>2218</v>
      </c>
      <c r="F1077" s="28">
        <v>398.03</v>
      </c>
      <c r="G1077" s="28">
        <v>108.65</v>
      </c>
      <c r="H1077" s="28" t="s">
        <v>3389</v>
      </c>
      <c r="I1077" s="28">
        <v>287.32</v>
      </c>
    </row>
    <row r="1078" spans="2:9">
      <c r="B1078" s="27">
        <v>44539</v>
      </c>
      <c r="C1078" s="28" t="s">
        <v>1042</v>
      </c>
      <c r="D1078" s="28">
        <v>618.71</v>
      </c>
      <c r="E1078" s="28" t="s">
        <v>2219</v>
      </c>
      <c r="F1078" s="28">
        <v>394.27</v>
      </c>
      <c r="G1078" s="28">
        <v>106.5</v>
      </c>
      <c r="H1078" s="28" t="s">
        <v>3390</v>
      </c>
      <c r="I1078" s="28">
        <v>292.23</v>
      </c>
    </row>
    <row r="1079" spans="2:9">
      <c r="B1079" s="27">
        <v>44538</v>
      </c>
      <c r="C1079" s="28" t="s">
        <v>895</v>
      </c>
      <c r="D1079" s="28">
        <v>623.25</v>
      </c>
      <c r="E1079" s="28" t="s">
        <v>2220</v>
      </c>
      <c r="F1079" s="28">
        <v>390.53</v>
      </c>
      <c r="G1079" s="28">
        <v>106.55</v>
      </c>
      <c r="H1079" s="28" t="s">
        <v>3391</v>
      </c>
      <c r="I1079" s="28">
        <v>285.85000000000002</v>
      </c>
    </row>
    <row r="1080" spans="2:9">
      <c r="B1080" s="27">
        <v>44537</v>
      </c>
      <c r="C1080" s="28" t="s">
        <v>1043</v>
      </c>
      <c r="D1080" s="28">
        <v>613.5</v>
      </c>
      <c r="E1080" s="28" t="s">
        <v>2221</v>
      </c>
      <c r="F1080" s="28">
        <v>387.27</v>
      </c>
      <c r="G1080" s="28">
        <v>106.5</v>
      </c>
      <c r="H1080" s="28" t="s">
        <v>3392</v>
      </c>
      <c r="I1080" s="28">
        <v>298.35000000000002</v>
      </c>
    </row>
    <row r="1081" spans="2:9">
      <c r="B1081" s="27">
        <v>44536</v>
      </c>
      <c r="C1081" s="28" t="s">
        <v>1044</v>
      </c>
      <c r="D1081" s="28">
        <v>604.83000000000004</v>
      </c>
      <c r="E1081" s="28" t="s">
        <v>2222</v>
      </c>
      <c r="F1081" s="28">
        <v>397.57</v>
      </c>
      <c r="G1081" s="28">
        <v>102.6</v>
      </c>
      <c r="H1081" s="28" t="s">
        <v>3393</v>
      </c>
      <c r="I1081" s="28">
        <v>262.60000000000002</v>
      </c>
    </row>
    <row r="1082" spans="2:9">
      <c r="B1082" s="27">
        <v>44533</v>
      </c>
      <c r="C1082" s="28" t="s">
        <v>1045</v>
      </c>
      <c r="D1082" s="28">
        <v>608.29</v>
      </c>
      <c r="E1082" s="28" t="s">
        <v>2223</v>
      </c>
      <c r="F1082" s="28">
        <v>396.57</v>
      </c>
      <c r="G1082" s="28">
        <v>103.7</v>
      </c>
      <c r="H1082" s="28" t="s">
        <v>3394</v>
      </c>
      <c r="I1082" s="28">
        <v>278.23</v>
      </c>
    </row>
    <row r="1083" spans="2:9">
      <c r="B1083" s="27">
        <v>44532</v>
      </c>
      <c r="C1083" s="28" t="s">
        <v>1046</v>
      </c>
      <c r="D1083" s="28">
        <v>619.62</v>
      </c>
      <c r="E1083" s="28" t="s">
        <v>2224</v>
      </c>
      <c r="F1083" s="28">
        <v>399.97</v>
      </c>
      <c r="G1083" s="28">
        <v>105.2</v>
      </c>
      <c r="H1083" s="28" t="s">
        <v>3395</v>
      </c>
      <c r="I1083" s="28">
        <v>286.73</v>
      </c>
    </row>
    <row r="1084" spans="2:9">
      <c r="B1084" s="27">
        <v>44531</v>
      </c>
      <c r="C1084" s="28" t="s">
        <v>1047</v>
      </c>
      <c r="D1084" s="28">
        <v>617.46</v>
      </c>
      <c r="E1084" s="28" t="s">
        <v>2225</v>
      </c>
      <c r="F1084" s="28">
        <v>396.7</v>
      </c>
      <c r="G1084" s="28">
        <v>101.55</v>
      </c>
      <c r="H1084" s="28" t="s">
        <v>3396</v>
      </c>
      <c r="I1084" s="28">
        <v>285.5</v>
      </c>
    </row>
    <row r="1085" spans="2:9">
      <c r="B1085" s="27">
        <v>44530</v>
      </c>
      <c r="C1085" s="28" t="s">
        <v>1048</v>
      </c>
      <c r="D1085" s="28">
        <v>626.46</v>
      </c>
      <c r="E1085" s="28" t="s">
        <v>2226</v>
      </c>
      <c r="F1085" s="28">
        <v>397.5</v>
      </c>
      <c r="G1085" s="28">
        <v>102</v>
      </c>
      <c r="H1085" s="28" t="s">
        <v>3397</v>
      </c>
      <c r="I1085" s="28">
        <v>247.68</v>
      </c>
    </row>
    <row r="1086" spans="2:9">
      <c r="B1086" s="27">
        <v>44529</v>
      </c>
      <c r="C1086" s="28" t="s">
        <v>1049</v>
      </c>
      <c r="D1086" s="28">
        <v>616.87</v>
      </c>
      <c r="E1086" s="28" t="s">
        <v>2227</v>
      </c>
      <c r="F1086" s="28">
        <v>379.83</v>
      </c>
      <c r="G1086" s="28">
        <v>102</v>
      </c>
      <c r="H1086" s="28" t="s">
        <v>3398</v>
      </c>
      <c r="I1086" s="28">
        <v>220.4</v>
      </c>
    </row>
    <row r="1087" spans="2:9">
      <c r="B1087" s="27">
        <v>44526</v>
      </c>
      <c r="C1087" s="28" t="s">
        <v>1050</v>
      </c>
      <c r="D1087" s="28">
        <v>635.08000000000004</v>
      </c>
      <c r="E1087" s="28" t="s">
        <v>2228</v>
      </c>
      <c r="F1087" s="28">
        <v>386.6</v>
      </c>
      <c r="G1087" s="28">
        <v>105.35</v>
      </c>
      <c r="H1087" s="28" t="s">
        <v>3399</v>
      </c>
      <c r="I1087" s="28">
        <v>240.07</v>
      </c>
    </row>
    <row r="1088" spans="2:9">
      <c r="B1088" s="27">
        <v>44525</v>
      </c>
      <c r="C1088" s="28" t="s">
        <v>1051</v>
      </c>
      <c r="D1088" s="28">
        <v>631.25</v>
      </c>
      <c r="E1088" s="28" t="s">
        <v>2229</v>
      </c>
      <c r="F1088" s="28">
        <v>393.07</v>
      </c>
      <c r="G1088" s="28">
        <v>108.15</v>
      </c>
      <c r="H1088" s="28" t="s">
        <v>3400</v>
      </c>
      <c r="I1088" s="28">
        <v>244.88</v>
      </c>
    </row>
    <row r="1089" spans="2:9">
      <c r="B1089" s="27">
        <v>44524</v>
      </c>
      <c r="C1089" s="28" t="s">
        <v>1052</v>
      </c>
      <c r="D1089" s="28">
        <v>636.66999999999996</v>
      </c>
      <c r="E1089" s="28" t="s">
        <v>2230</v>
      </c>
      <c r="F1089" s="28">
        <v>392.1</v>
      </c>
      <c r="G1089" s="28">
        <v>108.05</v>
      </c>
      <c r="H1089" s="28" t="s">
        <v>3401</v>
      </c>
      <c r="I1089" s="28">
        <v>248.32</v>
      </c>
    </row>
    <row r="1090" spans="2:9">
      <c r="B1090" s="27">
        <v>44523</v>
      </c>
      <c r="C1090" s="28" t="s">
        <v>1053</v>
      </c>
      <c r="D1090" s="28">
        <v>641.04</v>
      </c>
      <c r="E1090" s="28" t="s">
        <v>2231</v>
      </c>
      <c r="F1090" s="28">
        <v>393.27</v>
      </c>
      <c r="G1090" s="28">
        <v>111.6</v>
      </c>
      <c r="H1090" s="28" t="s">
        <v>3402</v>
      </c>
      <c r="I1090" s="28">
        <v>240.9</v>
      </c>
    </row>
    <row r="1091" spans="2:9">
      <c r="B1091" s="27">
        <v>44522</v>
      </c>
      <c r="C1091" s="28" t="s">
        <v>1054</v>
      </c>
      <c r="D1091" s="28">
        <v>648.66999999999996</v>
      </c>
      <c r="E1091" s="28" t="s">
        <v>2232</v>
      </c>
      <c r="F1091" s="28">
        <v>393.3</v>
      </c>
      <c r="G1091" s="28">
        <v>111.05</v>
      </c>
      <c r="H1091" s="28" t="s">
        <v>3403</v>
      </c>
      <c r="I1091" s="28">
        <v>245.3</v>
      </c>
    </row>
    <row r="1092" spans="2:9">
      <c r="B1092" s="27">
        <v>44518</v>
      </c>
      <c r="C1092" s="28" t="s">
        <v>1055</v>
      </c>
      <c r="D1092" s="28">
        <v>656.79</v>
      </c>
      <c r="E1092" s="28" t="s">
        <v>2233</v>
      </c>
      <c r="F1092" s="28">
        <v>393.93</v>
      </c>
      <c r="G1092" s="28">
        <v>105.9</v>
      </c>
      <c r="H1092" s="28" t="s">
        <v>3404</v>
      </c>
      <c r="I1092" s="28">
        <v>233.47</v>
      </c>
    </row>
    <row r="1093" spans="2:9">
      <c r="B1093" s="27">
        <v>44517</v>
      </c>
      <c r="C1093" s="28" t="s">
        <v>1056</v>
      </c>
      <c r="D1093" s="28">
        <v>660.12</v>
      </c>
      <c r="E1093" s="28" t="s">
        <v>2234</v>
      </c>
      <c r="F1093" s="28">
        <v>410.23</v>
      </c>
      <c r="G1093" s="28">
        <v>109.8</v>
      </c>
      <c r="H1093" s="28" t="s">
        <v>3405</v>
      </c>
      <c r="I1093" s="28">
        <v>243.95</v>
      </c>
    </row>
    <row r="1094" spans="2:9">
      <c r="B1094" s="27">
        <v>44516</v>
      </c>
      <c r="C1094" s="28" t="s">
        <v>1057</v>
      </c>
      <c r="D1094" s="28">
        <v>658.96</v>
      </c>
      <c r="E1094" s="28" t="s">
        <v>2235</v>
      </c>
      <c r="F1094" s="28">
        <v>412.93</v>
      </c>
      <c r="G1094" s="28">
        <v>106.8</v>
      </c>
      <c r="H1094" s="28" t="s">
        <v>3406</v>
      </c>
      <c r="I1094" s="28">
        <v>247.97</v>
      </c>
    </row>
    <row r="1095" spans="2:9">
      <c r="B1095" s="27">
        <v>44515</v>
      </c>
      <c r="C1095" s="28" t="s">
        <v>1058</v>
      </c>
      <c r="D1095" s="28">
        <v>665.67</v>
      </c>
      <c r="E1095" s="28" t="s">
        <v>2236</v>
      </c>
      <c r="F1095" s="28">
        <v>411.73</v>
      </c>
      <c r="G1095" s="28">
        <v>97.5</v>
      </c>
      <c r="H1095" s="28" t="s">
        <v>3407</v>
      </c>
      <c r="I1095" s="28">
        <v>221.22</v>
      </c>
    </row>
    <row r="1096" spans="2:9">
      <c r="B1096" s="27">
        <v>44512</v>
      </c>
      <c r="C1096" s="28" t="s">
        <v>1059</v>
      </c>
      <c r="D1096" s="28">
        <v>662.08</v>
      </c>
      <c r="E1096" s="28" t="s">
        <v>2237</v>
      </c>
      <c r="F1096" s="28">
        <v>397.7</v>
      </c>
      <c r="G1096" s="28">
        <v>96.1</v>
      </c>
      <c r="H1096" s="28" t="s">
        <v>3408</v>
      </c>
      <c r="I1096" s="28">
        <v>210.95</v>
      </c>
    </row>
    <row r="1097" spans="2:9">
      <c r="B1097" s="27">
        <v>44511</v>
      </c>
      <c r="C1097" s="28" t="s">
        <v>1060</v>
      </c>
      <c r="D1097" s="28">
        <v>649.29</v>
      </c>
      <c r="E1097" s="28" t="s">
        <v>2238</v>
      </c>
      <c r="F1097" s="28">
        <v>386.43</v>
      </c>
      <c r="G1097" s="28">
        <v>97.1</v>
      </c>
      <c r="H1097" s="28" t="s">
        <v>3409</v>
      </c>
      <c r="I1097" s="28">
        <v>212.22</v>
      </c>
    </row>
    <row r="1098" spans="2:9">
      <c r="B1098" s="27">
        <v>44510</v>
      </c>
      <c r="C1098" s="28" t="s">
        <v>1061</v>
      </c>
      <c r="D1098" s="28">
        <v>645.79</v>
      </c>
      <c r="E1098" s="28" t="s">
        <v>2239</v>
      </c>
      <c r="F1098" s="28">
        <v>396.43</v>
      </c>
      <c r="G1098" s="28">
        <v>96.6</v>
      </c>
      <c r="H1098" s="28" t="s">
        <v>3410</v>
      </c>
      <c r="I1098" s="28">
        <v>213.03</v>
      </c>
    </row>
    <row r="1099" spans="2:9">
      <c r="B1099" s="27">
        <v>44509</v>
      </c>
      <c r="C1099" s="28" t="s">
        <v>1062</v>
      </c>
      <c r="D1099" s="28">
        <v>645.79</v>
      </c>
      <c r="E1099" s="28" t="s">
        <v>2240</v>
      </c>
      <c r="F1099" s="28">
        <v>401.1</v>
      </c>
      <c r="G1099" s="28">
        <v>95.95</v>
      </c>
      <c r="H1099" s="28" t="s">
        <v>3411</v>
      </c>
      <c r="I1099" s="28">
        <v>214.12</v>
      </c>
    </row>
    <row r="1100" spans="2:9">
      <c r="B1100" s="27">
        <v>44508</v>
      </c>
      <c r="C1100" s="28" t="s">
        <v>1063</v>
      </c>
      <c r="D1100" s="28">
        <v>629.46</v>
      </c>
      <c r="E1100" s="28" t="s">
        <v>2241</v>
      </c>
      <c r="F1100" s="28">
        <v>398.23</v>
      </c>
      <c r="G1100" s="28">
        <v>91.2</v>
      </c>
      <c r="H1100" s="28" t="s">
        <v>3412</v>
      </c>
      <c r="I1100" s="28">
        <v>192.5</v>
      </c>
    </row>
    <row r="1101" spans="2:9">
      <c r="B1101" s="27">
        <v>44504</v>
      </c>
      <c r="C1101" s="28" t="s">
        <v>1064</v>
      </c>
      <c r="D1101" s="28">
        <v>635.83000000000004</v>
      </c>
      <c r="E1101" s="28" t="s">
        <v>2242</v>
      </c>
      <c r="F1101" s="28">
        <v>383.23</v>
      </c>
      <c r="G1101" s="28">
        <v>91.3</v>
      </c>
      <c r="H1101" s="28" t="s">
        <v>3413</v>
      </c>
      <c r="I1101" s="28">
        <v>197.85</v>
      </c>
    </row>
    <row r="1102" spans="2:9">
      <c r="B1102" s="27">
        <v>44503</v>
      </c>
      <c r="C1102" s="28" t="s">
        <v>1065</v>
      </c>
      <c r="D1102" s="28">
        <v>634.62</v>
      </c>
      <c r="E1102" s="28" t="s">
        <v>2243</v>
      </c>
      <c r="F1102" s="28">
        <v>380</v>
      </c>
      <c r="G1102" s="28">
        <v>90.7</v>
      </c>
      <c r="H1102" s="28" t="s">
        <v>3414</v>
      </c>
      <c r="I1102" s="28">
        <v>192.85</v>
      </c>
    </row>
    <row r="1103" spans="2:9">
      <c r="B1103" s="27">
        <v>44502</v>
      </c>
      <c r="C1103" s="28" t="s">
        <v>1066</v>
      </c>
      <c r="D1103" s="28">
        <v>629.71</v>
      </c>
      <c r="E1103" s="28" t="s">
        <v>2244</v>
      </c>
      <c r="F1103" s="28">
        <v>379.27</v>
      </c>
      <c r="G1103" s="28">
        <v>91</v>
      </c>
      <c r="H1103" s="28" t="s">
        <v>3415</v>
      </c>
      <c r="I1103" s="28">
        <v>192.12</v>
      </c>
    </row>
    <row r="1104" spans="2:9">
      <c r="B1104" s="27">
        <v>44501</v>
      </c>
      <c r="C1104" s="28" t="s">
        <v>1067</v>
      </c>
      <c r="D1104" s="28">
        <v>628.21</v>
      </c>
      <c r="E1104" s="28" t="s">
        <v>2245</v>
      </c>
      <c r="F1104" s="28">
        <v>368.57</v>
      </c>
      <c r="G1104" s="28">
        <v>90.95</v>
      </c>
      <c r="H1104" s="28" t="s">
        <v>3416</v>
      </c>
      <c r="I1104" s="28">
        <v>184.68</v>
      </c>
    </row>
    <row r="1105" spans="2:9">
      <c r="B1105" s="27">
        <v>44498</v>
      </c>
      <c r="C1105" s="28" t="s">
        <v>944</v>
      </c>
      <c r="D1105" s="28">
        <v>617.91999999999996</v>
      </c>
      <c r="E1105" s="28" t="s">
        <v>2246</v>
      </c>
      <c r="F1105" s="28">
        <v>363.37</v>
      </c>
      <c r="G1105" s="28">
        <v>90.85</v>
      </c>
      <c r="H1105" s="28" t="s">
        <v>3417</v>
      </c>
      <c r="I1105" s="28">
        <v>181.32</v>
      </c>
    </row>
    <row r="1106" spans="2:9">
      <c r="B1106" s="27">
        <v>44497</v>
      </c>
      <c r="C1106" s="28" t="s">
        <v>1068</v>
      </c>
      <c r="D1106" s="28">
        <v>614.75</v>
      </c>
      <c r="E1106" s="28" t="s">
        <v>2247</v>
      </c>
      <c r="F1106" s="28">
        <v>365.7</v>
      </c>
      <c r="G1106" s="28">
        <v>91.2</v>
      </c>
      <c r="H1106" s="28" t="s">
        <v>3418</v>
      </c>
      <c r="I1106" s="28">
        <v>187.12</v>
      </c>
    </row>
    <row r="1107" spans="2:9">
      <c r="B1107" s="27">
        <v>44496</v>
      </c>
      <c r="C1107" s="28" t="s">
        <v>1069</v>
      </c>
      <c r="D1107" s="28">
        <v>613.5</v>
      </c>
      <c r="E1107" s="28" t="s">
        <v>2248</v>
      </c>
      <c r="F1107" s="28">
        <v>373.33</v>
      </c>
      <c r="G1107" s="28">
        <v>93.45</v>
      </c>
      <c r="H1107" s="28" t="s">
        <v>3419</v>
      </c>
      <c r="I1107" s="28">
        <v>190.53</v>
      </c>
    </row>
    <row r="1108" spans="2:9">
      <c r="B1108" s="27">
        <v>44495</v>
      </c>
      <c r="C1108" s="28" t="s">
        <v>1070</v>
      </c>
      <c r="D1108" s="28">
        <v>611.08000000000004</v>
      </c>
      <c r="E1108" s="28" t="s">
        <v>2249</v>
      </c>
      <c r="F1108" s="28">
        <v>378.8</v>
      </c>
      <c r="G1108" s="28">
        <v>91.35</v>
      </c>
      <c r="H1108" s="28" t="s">
        <v>3420</v>
      </c>
      <c r="I1108" s="28">
        <v>192.3</v>
      </c>
    </row>
    <row r="1109" spans="2:9">
      <c r="B1109" s="27">
        <v>44494</v>
      </c>
      <c r="C1109" s="28" t="s">
        <v>1071</v>
      </c>
      <c r="D1109" s="28">
        <v>598.12</v>
      </c>
      <c r="E1109" s="28" t="s">
        <v>2250</v>
      </c>
      <c r="F1109" s="28">
        <v>362.07</v>
      </c>
      <c r="G1109" s="28">
        <v>90</v>
      </c>
      <c r="H1109" s="28" t="s">
        <v>3421</v>
      </c>
      <c r="I1109" s="28">
        <v>188.12</v>
      </c>
    </row>
    <row r="1110" spans="2:9">
      <c r="B1110" s="27">
        <v>44491</v>
      </c>
      <c r="C1110" s="28" t="s">
        <v>1072</v>
      </c>
      <c r="D1110" s="28">
        <v>613.71</v>
      </c>
      <c r="E1110" s="28" t="s">
        <v>2251</v>
      </c>
      <c r="F1110" s="28">
        <v>366.57</v>
      </c>
      <c r="G1110" s="28">
        <v>91.65</v>
      </c>
      <c r="H1110" s="28" t="s">
        <v>3422</v>
      </c>
      <c r="I1110" s="28">
        <v>198.95</v>
      </c>
    </row>
    <row r="1111" spans="2:9">
      <c r="B1111" s="27">
        <v>44490</v>
      </c>
      <c r="C1111" s="28" t="s">
        <v>1073</v>
      </c>
      <c r="D1111" s="28">
        <v>625.04</v>
      </c>
      <c r="E1111" s="28" t="s">
        <v>2252</v>
      </c>
      <c r="F1111" s="28">
        <v>372.33</v>
      </c>
      <c r="G1111" s="28">
        <v>92.3</v>
      </c>
      <c r="H1111" s="28" t="s">
        <v>3423</v>
      </c>
      <c r="I1111" s="28">
        <v>197.68</v>
      </c>
    </row>
    <row r="1112" spans="2:9">
      <c r="B1112" s="27">
        <v>44489</v>
      </c>
      <c r="C1112" s="28" t="s">
        <v>1074</v>
      </c>
      <c r="D1112" s="28">
        <v>666.33</v>
      </c>
      <c r="E1112" s="28" t="s">
        <v>2253</v>
      </c>
      <c r="F1112" s="28">
        <v>384.4</v>
      </c>
      <c r="G1112" s="28">
        <v>93.55</v>
      </c>
      <c r="H1112" s="28" t="s">
        <v>3424</v>
      </c>
      <c r="I1112" s="28">
        <v>201.22</v>
      </c>
    </row>
    <row r="1113" spans="2:9">
      <c r="B1113" s="27">
        <v>44488</v>
      </c>
      <c r="C1113" s="28" t="s">
        <v>1075</v>
      </c>
      <c r="D1113" s="28">
        <v>686.46</v>
      </c>
      <c r="E1113" s="28" t="s">
        <v>2254</v>
      </c>
      <c r="F1113" s="28">
        <v>383.3</v>
      </c>
      <c r="G1113" s="28">
        <v>94</v>
      </c>
      <c r="H1113" s="28" t="s">
        <v>3425</v>
      </c>
      <c r="I1113" s="28">
        <v>202.55</v>
      </c>
    </row>
    <row r="1114" spans="2:9">
      <c r="B1114" s="27">
        <v>44487</v>
      </c>
      <c r="C1114" s="28" t="s">
        <v>1076</v>
      </c>
      <c r="D1114" s="28">
        <v>698.25</v>
      </c>
      <c r="E1114" s="28" t="s">
        <v>2255</v>
      </c>
      <c r="F1114" s="28">
        <v>397.93</v>
      </c>
      <c r="G1114" s="28">
        <v>96.35</v>
      </c>
      <c r="H1114" s="28" t="s">
        <v>3426</v>
      </c>
      <c r="I1114" s="28">
        <v>208.6</v>
      </c>
    </row>
    <row r="1115" spans="2:9">
      <c r="B1115" s="27">
        <v>44483</v>
      </c>
      <c r="C1115" s="28" t="s">
        <v>1077</v>
      </c>
      <c r="D1115" s="28">
        <v>698.71</v>
      </c>
      <c r="E1115" s="28" t="s">
        <v>2256</v>
      </c>
      <c r="F1115" s="28">
        <v>404.8</v>
      </c>
      <c r="G1115" s="28">
        <v>97.05</v>
      </c>
      <c r="H1115" s="28" t="s">
        <v>3427</v>
      </c>
      <c r="I1115" s="28">
        <v>208.93</v>
      </c>
    </row>
    <row r="1116" spans="2:9">
      <c r="B1116" s="27">
        <v>44482</v>
      </c>
      <c r="C1116" s="28" t="s">
        <v>1078</v>
      </c>
      <c r="D1116" s="28">
        <v>690.96</v>
      </c>
      <c r="E1116" s="28" t="s">
        <v>2257</v>
      </c>
      <c r="F1116" s="28">
        <v>398.93</v>
      </c>
      <c r="G1116" s="28">
        <v>97.3</v>
      </c>
      <c r="H1116" s="28" t="s">
        <v>3428</v>
      </c>
      <c r="I1116" s="28">
        <v>210.68</v>
      </c>
    </row>
    <row r="1117" spans="2:9">
      <c r="B1117" s="27">
        <v>44481</v>
      </c>
      <c r="C1117" s="28" t="s">
        <v>618</v>
      </c>
      <c r="D1117" s="28">
        <v>683.96</v>
      </c>
      <c r="E1117" s="28" t="s">
        <v>2258</v>
      </c>
      <c r="F1117" s="28">
        <v>412.77</v>
      </c>
      <c r="G1117" s="28">
        <v>96.9</v>
      </c>
      <c r="H1117" s="28" t="s">
        <v>3429</v>
      </c>
      <c r="I1117" s="28">
        <v>214.05</v>
      </c>
    </row>
    <row r="1118" spans="2:9">
      <c r="B1118" s="27">
        <v>44480</v>
      </c>
      <c r="C1118" s="28" t="s">
        <v>1079</v>
      </c>
      <c r="D1118" s="28">
        <v>686.67</v>
      </c>
      <c r="E1118" s="28" t="s">
        <v>2259</v>
      </c>
      <c r="F1118" s="28">
        <v>404.37</v>
      </c>
      <c r="G1118" s="28">
        <v>97.05</v>
      </c>
      <c r="H1118" s="28" t="s">
        <v>3430</v>
      </c>
      <c r="I1118" s="28">
        <v>209.05</v>
      </c>
    </row>
    <row r="1119" spans="2:9">
      <c r="B1119" s="27">
        <v>44477</v>
      </c>
      <c r="C1119" s="28" t="s">
        <v>1080</v>
      </c>
      <c r="D1119" s="28">
        <v>691.96</v>
      </c>
      <c r="E1119" s="28" t="s">
        <v>2260</v>
      </c>
      <c r="F1119" s="28">
        <v>421.13</v>
      </c>
      <c r="G1119" s="28">
        <v>97.55</v>
      </c>
      <c r="H1119" s="28" t="s">
        <v>3431</v>
      </c>
      <c r="I1119" s="28">
        <v>204.47</v>
      </c>
    </row>
    <row r="1120" spans="2:9">
      <c r="B1120" s="27">
        <v>44476</v>
      </c>
      <c r="C1120" s="28" t="s">
        <v>1081</v>
      </c>
      <c r="D1120" s="28">
        <v>691.29</v>
      </c>
      <c r="E1120" s="28" t="s">
        <v>2261</v>
      </c>
      <c r="F1120" s="28">
        <v>426.83</v>
      </c>
      <c r="G1120" s="28">
        <v>97.55</v>
      </c>
      <c r="H1120" s="28" t="s">
        <v>3432</v>
      </c>
      <c r="I1120" s="28">
        <v>205.12</v>
      </c>
    </row>
    <row r="1121" spans="2:9">
      <c r="B1121" s="27">
        <v>44475</v>
      </c>
      <c r="C1121" s="28" t="s">
        <v>692</v>
      </c>
      <c r="D1121" s="28">
        <v>684.25</v>
      </c>
      <c r="E1121" s="28" t="s">
        <v>2262</v>
      </c>
      <c r="F1121" s="28">
        <v>430.53</v>
      </c>
      <c r="G1121" s="28">
        <v>96.85</v>
      </c>
      <c r="H1121" s="28" t="s">
        <v>3433</v>
      </c>
      <c r="I1121" s="28">
        <v>208.75</v>
      </c>
    </row>
    <row r="1122" spans="2:9">
      <c r="B1122" s="27">
        <v>44474</v>
      </c>
      <c r="C1122" s="28" t="s">
        <v>1082</v>
      </c>
      <c r="D1122" s="28">
        <v>687.87</v>
      </c>
      <c r="E1122" s="28" t="s">
        <v>2263</v>
      </c>
      <c r="F1122" s="28">
        <v>434.23</v>
      </c>
      <c r="G1122" s="28">
        <v>96.8</v>
      </c>
      <c r="H1122" s="28" t="s">
        <v>3434</v>
      </c>
      <c r="I1122" s="28">
        <v>214.4</v>
      </c>
    </row>
    <row r="1123" spans="2:9">
      <c r="B1123" s="27">
        <v>44473</v>
      </c>
      <c r="C1123" s="28" t="s">
        <v>1083</v>
      </c>
      <c r="D1123" s="28">
        <v>684</v>
      </c>
      <c r="E1123" s="28" t="s">
        <v>2264</v>
      </c>
      <c r="F1123" s="28">
        <v>421.4</v>
      </c>
      <c r="G1123" s="28">
        <v>98.25</v>
      </c>
      <c r="H1123" s="28" t="s">
        <v>3435</v>
      </c>
      <c r="I1123" s="28">
        <v>213.62</v>
      </c>
    </row>
    <row r="1124" spans="2:9">
      <c r="B1124" s="27">
        <v>44470</v>
      </c>
      <c r="C1124" s="28" t="s">
        <v>1084</v>
      </c>
      <c r="D1124" s="28">
        <v>675.33</v>
      </c>
      <c r="E1124" s="28" t="s">
        <v>2265</v>
      </c>
      <c r="F1124" s="28">
        <v>424.77</v>
      </c>
      <c r="G1124" s="28">
        <v>93.65</v>
      </c>
      <c r="H1124" s="28" t="s">
        <v>3436</v>
      </c>
      <c r="I1124" s="28">
        <v>178.03</v>
      </c>
    </row>
    <row r="1125" spans="2:9">
      <c r="B1125" s="27">
        <v>44469</v>
      </c>
      <c r="C1125" s="28" t="s">
        <v>1085</v>
      </c>
      <c r="D1125" s="28">
        <v>674.17</v>
      </c>
      <c r="E1125" s="28" t="s">
        <v>2266</v>
      </c>
      <c r="F1125" s="28">
        <v>422.17</v>
      </c>
      <c r="G1125" s="28">
        <v>92.9</v>
      </c>
      <c r="H1125" s="28" t="s">
        <v>3090</v>
      </c>
      <c r="I1125" s="28">
        <v>177.53</v>
      </c>
    </row>
    <row r="1126" spans="2:9">
      <c r="B1126" s="27">
        <v>44468</v>
      </c>
      <c r="C1126" s="28" t="s">
        <v>1086</v>
      </c>
      <c r="D1126" s="28">
        <v>680.96</v>
      </c>
      <c r="E1126" s="28" t="s">
        <v>2267</v>
      </c>
      <c r="F1126" s="28">
        <v>422.97</v>
      </c>
      <c r="G1126" s="28">
        <v>93.15</v>
      </c>
      <c r="H1126" s="28" t="s">
        <v>3437</v>
      </c>
      <c r="I1126" s="28">
        <v>169.7</v>
      </c>
    </row>
    <row r="1127" spans="2:9">
      <c r="B1127" s="27">
        <v>44467</v>
      </c>
      <c r="C1127" s="28" t="s">
        <v>1087</v>
      </c>
      <c r="D1127" s="28">
        <v>682.75</v>
      </c>
      <c r="E1127" s="28" t="s">
        <v>2268</v>
      </c>
      <c r="F1127" s="28">
        <v>423.9</v>
      </c>
      <c r="G1127" s="28">
        <v>93.9</v>
      </c>
      <c r="H1127" s="28" t="s">
        <v>3438</v>
      </c>
      <c r="I1127" s="28">
        <v>167.4</v>
      </c>
    </row>
    <row r="1128" spans="2:9">
      <c r="B1128" s="27">
        <v>44466</v>
      </c>
      <c r="C1128" s="28" t="s">
        <v>1088</v>
      </c>
      <c r="D1128" s="28">
        <v>692.25</v>
      </c>
      <c r="E1128" s="28" t="s">
        <v>2269</v>
      </c>
      <c r="F1128" s="28">
        <v>422.17</v>
      </c>
      <c r="G1128" s="28">
        <v>94.1</v>
      </c>
      <c r="H1128" s="28" t="s">
        <v>204</v>
      </c>
      <c r="I1128" s="28">
        <v>169.22</v>
      </c>
    </row>
    <row r="1129" spans="2:9">
      <c r="B1129" s="27">
        <v>44463</v>
      </c>
      <c r="C1129" s="28" t="s">
        <v>1089</v>
      </c>
      <c r="D1129" s="28">
        <v>700.08</v>
      </c>
      <c r="E1129" s="28" t="s">
        <v>2270</v>
      </c>
      <c r="F1129" s="28">
        <v>419.1</v>
      </c>
      <c r="G1129" s="28">
        <v>96.85</v>
      </c>
      <c r="H1129" s="28" t="s">
        <v>3439</v>
      </c>
      <c r="I1129" s="28">
        <v>172.03</v>
      </c>
    </row>
    <row r="1130" spans="2:9">
      <c r="B1130" s="27">
        <v>44462</v>
      </c>
      <c r="C1130" s="28" t="s">
        <v>1090</v>
      </c>
      <c r="D1130" s="28">
        <v>684.25</v>
      </c>
      <c r="E1130" s="28" t="s">
        <v>2271</v>
      </c>
      <c r="F1130" s="28">
        <v>416.7</v>
      </c>
      <c r="G1130" s="28">
        <v>93.05</v>
      </c>
      <c r="H1130" s="28" t="s">
        <v>3440</v>
      </c>
      <c r="I1130" s="28">
        <v>170.47</v>
      </c>
    </row>
    <row r="1131" spans="2:9">
      <c r="B1131" s="27">
        <v>44461</v>
      </c>
      <c r="C1131" s="28" t="s">
        <v>1091</v>
      </c>
      <c r="D1131" s="28">
        <v>676.67</v>
      </c>
      <c r="E1131" s="28" t="s">
        <v>2272</v>
      </c>
      <c r="F1131" s="28">
        <v>412.53</v>
      </c>
      <c r="G1131" s="28">
        <v>92.95</v>
      </c>
      <c r="H1131" s="28" t="s">
        <v>3441</v>
      </c>
      <c r="I1131" s="28">
        <v>167.82</v>
      </c>
    </row>
    <row r="1132" spans="2:9">
      <c r="B1132" s="27">
        <v>44460</v>
      </c>
      <c r="C1132" s="28" t="s">
        <v>1092</v>
      </c>
      <c r="D1132" s="28">
        <v>679.42</v>
      </c>
      <c r="E1132" s="28" t="s">
        <v>2273</v>
      </c>
      <c r="F1132" s="28">
        <v>413.27</v>
      </c>
      <c r="G1132" s="28">
        <v>90.35</v>
      </c>
      <c r="H1132" s="28" t="s">
        <v>3442</v>
      </c>
      <c r="I1132" s="28">
        <v>165.85</v>
      </c>
    </row>
    <row r="1133" spans="2:9">
      <c r="B1133" s="27">
        <v>44459</v>
      </c>
      <c r="C1133" s="28" t="s">
        <v>1093</v>
      </c>
      <c r="D1133" s="28">
        <v>677.96</v>
      </c>
      <c r="E1133" s="28" t="s">
        <v>2274</v>
      </c>
      <c r="F1133" s="28">
        <v>410.07</v>
      </c>
      <c r="G1133" s="28">
        <v>93.7</v>
      </c>
      <c r="H1133" s="28" t="s">
        <v>3443</v>
      </c>
      <c r="I1133" s="28">
        <v>165.93</v>
      </c>
    </row>
    <row r="1134" spans="2:9">
      <c r="B1134" s="27">
        <v>44456</v>
      </c>
      <c r="C1134" s="28" t="s">
        <v>1094</v>
      </c>
      <c r="D1134" s="28">
        <v>682.29</v>
      </c>
      <c r="E1134" s="28" t="s">
        <v>2275</v>
      </c>
      <c r="F1134" s="28">
        <v>409.3</v>
      </c>
      <c r="G1134" s="28">
        <v>95.8</v>
      </c>
      <c r="H1134" s="28" t="s">
        <v>3444</v>
      </c>
      <c r="I1134" s="28">
        <v>169.28</v>
      </c>
    </row>
    <row r="1135" spans="2:9">
      <c r="B1135" s="27">
        <v>44455</v>
      </c>
      <c r="C1135" s="28" t="s">
        <v>1095</v>
      </c>
      <c r="D1135" s="28">
        <v>694.75</v>
      </c>
      <c r="E1135" s="28" t="s">
        <v>2276</v>
      </c>
      <c r="F1135" s="28">
        <v>415.73</v>
      </c>
      <c r="G1135" s="28">
        <v>97.05</v>
      </c>
      <c r="H1135" s="28" t="s">
        <v>3445</v>
      </c>
      <c r="I1135" s="28">
        <v>174.62</v>
      </c>
    </row>
    <row r="1136" spans="2:9">
      <c r="B1136" s="27">
        <v>44454</v>
      </c>
      <c r="C1136" s="28" t="s">
        <v>1096</v>
      </c>
      <c r="D1136" s="28">
        <v>697.87</v>
      </c>
      <c r="E1136" s="28" t="s">
        <v>2277</v>
      </c>
      <c r="F1136" s="28">
        <v>417</v>
      </c>
      <c r="G1136" s="28">
        <v>97</v>
      </c>
      <c r="H1136" s="28" t="s">
        <v>3446</v>
      </c>
      <c r="I1136" s="28">
        <v>174.65</v>
      </c>
    </row>
    <row r="1137" spans="2:9">
      <c r="B1137" s="27">
        <v>44453</v>
      </c>
      <c r="C1137" s="28" t="s">
        <v>875</v>
      </c>
      <c r="D1137" s="28">
        <v>695.71</v>
      </c>
      <c r="E1137" s="28" t="s">
        <v>2278</v>
      </c>
      <c r="F1137" s="28">
        <v>408.73</v>
      </c>
      <c r="G1137" s="28">
        <v>96.3</v>
      </c>
      <c r="H1137" s="28" t="s">
        <v>3447</v>
      </c>
      <c r="I1137" s="28">
        <v>174.3</v>
      </c>
    </row>
    <row r="1138" spans="2:9">
      <c r="B1138" s="27">
        <v>44452</v>
      </c>
      <c r="C1138" s="28" t="s">
        <v>1097</v>
      </c>
      <c r="D1138" s="28">
        <v>699.42</v>
      </c>
      <c r="E1138" s="28" t="s">
        <v>2279</v>
      </c>
      <c r="F1138" s="28">
        <v>402.63</v>
      </c>
      <c r="G1138" s="28">
        <v>96.75</v>
      </c>
      <c r="H1138" s="28" t="s">
        <v>3448</v>
      </c>
      <c r="I1138" s="28">
        <v>168.6</v>
      </c>
    </row>
    <row r="1139" spans="2:9">
      <c r="B1139" s="27">
        <v>44448</v>
      </c>
      <c r="C1139" s="28" t="s">
        <v>1098</v>
      </c>
      <c r="D1139" s="28">
        <v>697.12</v>
      </c>
      <c r="E1139" s="28" t="s">
        <v>2280</v>
      </c>
      <c r="F1139" s="28">
        <v>407.47</v>
      </c>
      <c r="G1139" s="28">
        <v>97.7</v>
      </c>
      <c r="H1139" s="28" t="s">
        <v>3449</v>
      </c>
      <c r="I1139" s="28">
        <v>165.2</v>
      </c>
    </row>
    <row r="1140" spans="2:9">
      <c r="B1140" s="27">
        <v>44447</v>
      </c>
      <c r="C1140" s="28" t="s">
        <v>1099</v>
      </c>
      <c r="D1140" s="28">
        <v>692.67</v>
      </c>
      <c r="E1140" s="28" t="s">
        <v>2281</v>
      </c>
      <c r="F1140" s="28">
        <v>410.33</v>
      </c>
      <c r="G1140" s="28">
        <v>99.05</v>
      </c>
      <c r="H1140" s="28" t="s">
        <v>3450</v>
      </c>
      <c r="I1140" s="28">
        <v>166.6</v>
      </c>
    </row>
    <row r="1141" spans="2:9">
      <c r="B1141" s="27">
        <v>44446</v>
      </c>
      <c r="C1141" s="28" t="s">
        <v>1100</v>
      </c>
      <c r="D1141" s="28">
        <v>694.92</v>
      </c>
      <c r="E1141" s="28" t="s">
        <v>2282</v>
      </c>
      <c r="F1141" s="28">
        <v>414.3</v>
      </c>
      <c r="G1141" s="28">
        <v>100.1</v>
      </c>
      <c r="H1141" s="28" t="s">
        <v>3451</v>
      </c>
      <c r="I1141" s="28">
        <v>167.72</v>
      </c>
    </row>
    <row r="1142" spans="2:9">
      <c r="B1142" s="27">
        <v>44445</v>
      </c>
      <c r="C1142" s="28" t="s">
        <v>1101</v>
      </c>
      <c r="D1142" s="28">
        <v>695.79</v>
      </c>
      <c r="E1142" s="28" t="s">
        <v>2283</v>
      </c>
      <c r="F1142" s="28">
        <v>417.2</v>
      </c>
      <c r="G1142" s="28">
        <v>98.55</v>
      </c>
      <c r="H1142" s="28" t="s">
        <v>3452</v>
      </c>
      <c r="I1142" s="28">
        <v>167.05</v>
      </c>
    </row>
    <row r="1143" spans="2:9">
      <c r="B1143" s="27">
        <v>44442</v>
      </c>
      <c r="C1143" s="28" t="s">
        <v>1102</v>
      </c>
      <c r="D1143" s="28">
        <v>692.79</v>
      </c>
      <c r="E1143" s="28" t="s">
        <v>2284</v>
      </c>
      <c r="F1143" s="28">
        <v>413.03</v>
      </c>
      <c r="G1143" s="28">
        <v>98.65</v>
      </c>
      <c r="H1143" s="28" t="s">
        <v>3453</v>
      </c>
      <c r="I1143" s="28">
        <v>168.93</v>
      </c>
    </row>
    <row r="1144" spans="2:9">
      <c r="B1144" s="27">
        <v>44441</v>
      </c>
      <c r="C1144" s="28" t="s">
        <v>1103</v>
      </c>
      <c r="D1144" s="28">
        <v>695.04</v>
      </c>
      <c r="E1144" s="28" t="s">
        <v>2285</v>
      </c>
      <c r="F1144" s="28">
        <v>412.97</v>
      </c>
      <c r="G1144" s="28">
        <v>96.8</v>
      </c>
      <c r="H1144" s="28" t="s">
        <v>3454</v>
      </c>
      <c r="I1144" s="28">
        <v>168.03</v>
      </c>
    </row>
    <row r="1145" spans="2:9">
      <c r="B1145" s="27">
        <v>44440</v>
      </c>
      <c r="C1145" s="28" t="s">
        <v>1104</v>
      </c>
      <c r="D1145" s="28">
        <v>690.54</v>
      </c>
      <c r="E1145" s="28" t="s">
        <v>2286</v>
      </c>
      <c r="F1145" s="28">
        <v>415</v>
      </c>
      <c r="G1145" s="28">
        <v>95.05</v>
      </c>
      <c r="H1145" s="28" t="s">
        <v>3455</v>
      </c>
      <c r="I1145" s="28">
        <v>166.7</v>
      </c>
    </row>
    <row r="1146" spans="2:9">
      <c r="B1146" s="27">
        <v>44439</v>
      </c>
      <c r="C1146" s="28" t="s">
        <v>1105</v>
      </c>
      <c r="D1146" s="28">
        <v>684</v>
      </c>
      <c r="E1146" s="28" t="s">
        <v>2287</v>
      </c>
      <c r="F1146" s="28">
        <v>413.03</v>
      </c>
      <c r="G1146" s="28">
        <v>94.85</v>
      </c>
      <c r="H1146" s="28" t="s">
        <v>3456</v>
      </c>
      <c r="I1146" s="28">
        <v>167.22</v>
      </c>
    </row>
    <row r="1147" spans="2:9">
      <c r="B1147" s="27">
        <v>44438</v>
      </c>
      <c r="C1147" s="28" t="s">
        <v>1106</v>
      </c>
      <c r="D1147" s="28">
        <v>675.54</v>
      </c>
      <c r="E1147" s="28" t="s">
        <v>2288</v>
      </c>
      <c r="F1147" s="28">
        <v>412.9</v>
      </c>
      <c r="G1147" s="28">
        <v>95.15</v>
      </c>
      <c r="H1147" s="28" t="s">
        <v>3457</v>
      </c>
      <c r="I1147" s="28">
        <v>167.8</v>
      </c>
    </row>
    <row r="1148" spans="2:9">
      <c r="B1148" s="27">
        <v>44435</v>
      </c>
      <c r="C1148" s="28" t="s">
        <v>1107</v>
      </c>
      <c r="D1148" s="28">
        <v>654.87</v>
      </c>
      <c r="E1148" s="28" t="s">
        <v>2289</v>
      </c>
      <c r="F1148" s="28">
        <v>414.77</v>
      </c>
      <c r="G1148" s="28">
        <v>93.8</v>
      </c>
      <c r="H1148" s="28" t="s">
        <v>3458</v>
      </c>
      <c r="I1148" s="28">
        <v>173.22</v>
      </c>
    </row>
    <row r="1149" spans="2:9">
      <c r="B1149" s="27">
        <v>44434</v>
      </c>
      <c r="C1149" s="28" t="s">
        <v>1108</v>
      </c>
      <c r="D1149" s="28">
        <v>655.46</v>
      </c>
      <c r="E1149" s="28" t="s">
        <v>2290</v>
      </c>
      <c r="F1149" s="28">
        <v>417.97</v>
      </c>
      <c r="G1149" s="28">
        <v>93.8</v>
      </c>
      <c r="H1149" s="28" t="s">
        <v>3459</v>
      </c>
      <c r="I1149" s="28">
        <v>162.22</v>
      </c>
    </row>
    <row r="1150" spans="2:9">
      <c r="B1150" s="27">
        <v>44433</v>
      </c>
      <c r="C1150" s="28" t="s">
        <v>1109</v>
      </c>
      <c r="D1150" s="28">
        <v>653.75</v>
      </c>
      <c r="E1150" s="28" t="s">
        <v>2291</v>
      </c>
      <c r="F1150" s="28">
        <v>427.47</v>
      </c>
      <c r="G1150" s="28">
        <v>93.1</v>
      </c>
      <c r="H1150" s="28" t="s">
        <v>3460</v>
      </c>
      <c r="I1150" s="28">
        <v>158.88</v>
      </c>
    </row>
    <row r="1151" spans="2:9">
      <c r="B1151" s="27">
        <v>44432</v>
      </c>
      <c r="C1151" s="28" t="s">
        <v>1110</v>
      </c>
      <c r="D1151" s="28">
        <v>659.12</v>
      </c>
      <c r="E1151" s="28" t="s">
        <v>2292</v>
      </c>
      <c r="F1151" s="28">
        <v>420.8</v>
      </c>
      <c r="G1151" s="28">
        <v>93.85</v>
      </c>
      <c r="H1151" s="28" t="s">
        <v>3461</v>
      </c>
      <c r="I1151" s="28">
        <v>154.5</v>
      </c>
    </row>
    <row r="1152" spans="2:9">
      <c r="B1152" s="27">
        <v>44431</v>
      </c>
      <c r="C1152" s="28" t="s">
        <v>1111</v>
      </c>
      <c r="D1152" s="28">
        <v>662.87</v>
      </c>
      <c r="E1152" s="28" t="s">
        <v>2293</v>
      </c>
      <c r="F1152" s="28">
        <v>424.73</v>
      </c>
      <c r="G1152" s="28">
        <v>93.85</v>
      </c>
      <c r="H1152" s="28" t="s">
        <v>3462</v>
      </c>
      <c r="I1152" s="28">
        <v>159.19999999999999</v>
      </c>
    </row>
    <row r="1153" spans="2:9">
      <c r="B1153" s="27">
        <v>44428</v>
      </c>
      <c r="C1153" s="28" t="s">
        <v>1112</v>
      </c>
      <c r="D1153" s="28">
        <v>682.71</v>
      </c>
      <c r="E1153" s="28" t="s">
        <v>2294</v>
      </c>
      <c r="F1153" s="28">
        <v>417</v>
      </c>
      <c r="G1153" s="28">
        <v>97.75</v>
      </c>
      <c r="H1153" s="28" t="s">
        <v>3463</v>
      </c>
      <c r="I1153" s="28">
        <v>162.85</v>
      </c>
    </row>
    <row r="1154" spans="2:9">
      <c r="B1154" s="27">
        <v>44426</v>
      </c>
      <c r="C1154" s="28" t="s">
        <v>1113</v>
      </c>
      <c r="D1154" s="28">
        <v>678.08</v>
      </c>
      <c r="E1154" s="28" t="s">
        <v>2295</v>
      </c>
      <c r="F1154" s="28">
        <v>423.13</v>
      </c>
      <c r="G1154" s="28">
        <v>99.7</v>
      </c>
      <c r="H1154" s="28" t="s">
        <v>3464</v>
      </c>
      <c r="I1154" s="28">
        <v>163.80000000000001</v>
      </c>
    </row>
    <row r="1155" spans="2:9">
      <c r="B1155" s="27">
        <v>44425</v>
      </c>
      <c r="C1155" s="28" t="s">
        <v>1114</v>
      </c>
      <c r="D1155" s="28">
        <v>679.12</v>
      </c>
      <c r="E1155" s="28" t="s">
        <v>2296</v>
      </c>
      <c r="F1155" s="28">
        <v>422.2</v>
      </c>
      <c r="G1155" s="28">
        <v>103.6</v>
      </c>
      <c r="H1155" s="28" t="s">
        <v>3465</v>
      </c>
      <c r="I1155" s="28">
        <v>165.82</v>
      </c>
    </row>
    <row r="1156" spans="2:9">
      <c r="B1156" s="27">
        <v>44424</v>
      </c>
      <c r="C1156" s="28" t="s">
        <v>1115</v>
      </c>
      <c r="D1156" s="28">
        <v>679.21</v>
      </c>
      <c r="E1156" s="28" t="s">
        <v>2297</v>
      </c>
      <c r="F1156" s="28">
        <v>419.23</v>
      </c>
      <c r="G1156" s="28">
        <v>99.2</v>
      </c>
      <c r="H1156" s="28" t="s">
        <v>3466</v>
      </c>
      <c r="I1156" s="28">
        <v>165.28</v>
      </c>
    </row>
    <row r="1157" spans="2:9">
      <c r="B1157" s="27">
        <v>44421</v>
      </c>
      <c r="C1157" s="28" t="s">
        <v>1116</v>
      </c>
      <c r="D1157" s="28">
        <v>675.96</v>
      </c>
      <c r="E1157" s="28" t="s">
        <v>2298</v>
      </c>
      <c r="F1157" s="28">
        <v>418.73</v>
      </c>
      <c r="G1157" s="28">
        <v>101.4</v>
      </c>
      <c r="H1157" s="28" t="s">
        <v>204</v>
      </c>
      <c r="I1157" s="28">
        <v>170.68</v>
      </c>
    </row>
    <row r="1158" spans="2:9">
      <c r="B1158" s="27">
        <v>44420</v>
      </c>
      <c r="C1158" s="28" t="s">
        <v>1117</v>
      </c>
      <c r="D1158" s="28">
        <v>679.12</v>
      </c>
      <c r="E1158" s="28" t="s">
        <v>2299</v>
      </c>
      <c r="F1158" s="28">
        <v>416.83</v>
      </c>
      <c r="G1158" s="28">
        <v>104.6</v>
      </c>
      <c r="H1158" s="28" t="s">
        <v>3467</v>
      </c>
      <c r="I1158" s="28">
        <v>170</v>
      </c>
    </row>
    <row r="1159" spans="2:9">
      <c r="B1159" s="27">
        <v>44419</v>
      </c>
      <c r="C1159" s="28" t="s">
        <v>1118</v>
      </c>
      <c r="D1159" s="28">
        <v>682</v>
      </c>
      <c r="E1159" s="28" t="s">
        <v>2300</v>
      </c>
      <c r="F1159" s="28">
        <v>410.8</v>
      </c>
      <c r="G1159" s="28">
        <v>102.4</v>
      </c>
      <c r="H1159" s="28" t="s">
        <v>3468</v>
      </c>
      <c r="I1159" s="28">
        <v>162.47</v>
      </c>
    </row>
    <row r="1160" spans="2:9">
      <c r="B1160" s="27">
        <v>44418</v>
      </c>
      <c r="C1160" s="28" t="s">
        <v>1119</v>
      </c>
      <c r="D1160" s="28">
        <v>675.83</v>
      </c>
      <c r="E1160" s="28" t="s">
        <v>2301</v>
      </c>
      <c r="F1160" s="28">
        <v>416.3</v>
      </c>
      <c r="G1160" s="28">
        <v>102.45</v>
      </c>
      <c r="H1160" s="28" t="s">
        <v>3469</v>
      </c>
      <c r="I1160" s="28">
        <v>162.32</v>
      </c>
    </row>
    <row r="1161" spans="2:9">
      <c r="B1161" s="27">
        <v>44417</v>
      </c>
      <c r="C1161" s="28" t="s">
        <v>1120</v>
      </c>
      <c r="D1161" s="28">
        <v>677.37</v>
      </c>
      <c r="E1161" s="28" t="s">
        <v>2302</v>
      </c>
      <c r="F1161" s="28">
        <v>423.83</v>
      </c>
      <c r="G1161" s="28">
        <v>106.9</v>
      </c>
      <c r="H1161" s="28" t="s">
        <v>3116</v>
      </c>
      <c r="I1161" s="28">
        <v>167.9</v>
      </c>
    </row>
    <row r="1162" spans="2:9">
      <c r="B1162" s="27">
        <v>44414</v>
      </c>
      <c r="C1162" s="28" t="s">
        <v>1121</v>
      </c>
      <c r="D1162" s="28">
        <v>689.83</v>
      </c>
      <c r="E1162" s="28" t="s">
        <v>2303</v>
      </c>
      <c r="F1162" s="28">
        <v>424.33</v>
      </c>
      <c r="G1162" s="28">
        <v>108.2</v>
      </c>
      <c r="H1162" s="28" t="s">
        <v>3470</v>
      </c>
      <c r="I1162" s="28">
        <v>174.88</v>
      </c>
    </row>
    <row r="1163" spans="2:9">
      <c r="B1163" s="27">
        <v>44413</v>
      </c>
      <c r="C1163" s="28" t="s">
        <v>1122</v>
      </c>
      <c r="D1163" s="28">
        <v>698.5</v>
      </c>
      <c r="E1163" s="28" t="s">
        <v>2304</v>
      </c>
      <c r="F1163" s="28">
        <v>425.23</v>
      </c>
      <c r="G1163" s="28">
        <v>108.25</v>
      </c>
      <c r="H1163" s="28" t="s">
        <v>3471</v>
      </c>
      <c r="I1163" s="28">
        <v>166.47</v>
      </c>
    </row>
    <row r="1164" spans="2:9">
      <c r="B1164" s="27">
        <v>44412</v>
      </c>
      <c r="C1164" s="28" t="s">
        <v>1123</v>
      </c>
      <c r="D1164" s="28">
        <v>701.83</v>
      </c>
      <c r="E1164" s="28" t="s">
        <v>2305</v>
      </c>
      <c r="F1164" s="28">
        <v>421.7</v>
      </c>
      <c r="G1164" s="28">
        <v>108.4</v>
      </c>
      <c r="H1164" s="28" t="s">
        <v>3472</v>
      </c>
      <c r="I1164" s="28">
        <v>164.35</v>
      </c>
    </row>
    <row r="1165" spans="2:9">
      <c r="B1165" s="27">
        <v>44411</v>
      </c>
      <c r="C1165" s="28" t="s">
        <v>1124</v>
      </c>
      <c r="D1165" s="28">
        <v>704.83</v>
      </c>
      <c r="E1165" s="28" t="s">
        <v>2306</v>
      </c>
      <c r="F1165" s="28">
        <v>423.47</v>
      </c>
      <c r="G1165" s="28">
        <v>109.55</v>
      </c>
      <c r="H1165" s="28" t="s">
        <v>3473</v>
      </c>
      <c r="I1165" s="28">
        <v>165.65</v>
      </c>
    </row>
    <row r="1166" spans="2:9">
      <c r="B1166" s="27">
        <v>44410</v>
      </c>
      <c r="C1166" s="28" t="s">
        <v>1125</v>
      </c>
      <c r="D1166" s="28">
        <v>700.87</v>
      </c>
      <c r="E1166" s="28" t="s">
        <v>2307</v>
      </c>
      <c r="F1166" s="28">
        <v>419.47</v>
      </c>
      <c r="G1166" s="28">
        <v>108.95</v>
      </c>
      <c r="H1166" s="28" t="s">
        <v>20</v>
      </c>
      <c r="I1166" s="28">
        <v>169.6</v>
      </c>
    </row>
    <row r="1167" spans="2:9">
      <c r="B1167" s="27">
        <v>44407</v>
      </c>
      <c r="C1167" s="28" t="s">
        <v>1126</v>
      </c>
      <c r="D1167" s="28">
        <v>702.96</v>
      </c>
      <c r="E1167" s="28" t="s">
        <v>2308</v>
      </c>
      <c r="F1167" s="28">
        <v>417.3</v>
      </c>
      <c r="G1167" s="28">
        <v>108.75</v>
      </c>
      <c r="H1167" s="28" t="s">
        <v>3474</v>
      </c>
      <c r="I1167" s="28">
        <v>169.5</v>
      </c>
    </row>
    <row r="1168" spans="2:9">
      <c r="B1168" s="27">
        <v>44406</v>
      </c>
      <c r="C1168" s="28" t="s">
        <v>1127</v>
      </c>
      <c r="D1168" s="28">
        <v>704.58</v>
      </c>
      <c r="E1168" s="28" t="s">
        <v>2309</v>
      </c>
      <c r="F1168" s="28">
        <v>413.23</v>
      </c>
      <c r="G1168" s="28">
        <v>110.3</v>
      </c>
      <c r="H1168" s="28" t="s">
        <v>3475</v>
      </c>
      <c r="I1168" s="28">
        <v>170.7</v>
      </c>
    </row>
    <row r="1169" spans="2:9">
      <c r="B1169" s="27">
        <v>44405</v>
      </c>
      <c r="C1169" s="28" t="s">
        <v>1128</v>
      </c>
      <c r="D1169" s="28">
        <v>708.62</v>
      </c>
      <c r="E1169" s="28" t="s">
        <v>2310</v>
      </c>
      <c r="F1169" s="28">
        <v>406.63</v>
      </c>
      <c r="G1169" s="28">
        <v>107</v>
      </c>
      <c r="H1169" s="28" t="s">
        <v>3476</v>
      </c>
      <c r="I1169" s="28">
        <v>167.53</v>
      </c>
    </row>
    <row r="1170" spans="2:9">
      <c r="B1170" s="27">
        <v>44404</v>
      </c>
      <c r="C1170" s="28" t="s">
        <v>1129</v>
      </c>
      <c r="D1170" s="28">
        <v>703</v>
      </c>
      <c r="E1170" s="28" t="s">
        <v>2311</v>
      </c>
      <c r="F1170" s="28">
        <v>410.37</v>
      </c>
      <c r="G1170" s="28">
        <v>108.2</v>
      </c>
      <c r="H1170" s="28" t="s">
        <v>3477</v>
      </c>
      <c r="I1170" s="28">
        <v>171.8</v>
      </c>
    </row>
    <row r="1171" spans="2:9">
      <c r="B1171" s="27">
        <v>44403</v>
      </c>
      <c r="C1171" s="28" t="s">
        <v>1130</v>
      </c>
      <c r="D1171" s="28">
        <v>708.12</v>
      </c>
      <c r="E1171" s="28" t="s">
        <v>2312</v>
      </c>
      <c r="F1171" s="28">
        <v>411.97</v>
      </c>
      <c r="G1171" s="28">
        <v>111.2</v>
      </c>
      <c r="H1171" s="28" t="s">
        <v>3478</v>
      </c>
      <c r="I1171" s="28">
        <v>173.07</v>
      </c>
    </row>
    <row r="1172" spans="2:9">
      <c r="B1172" s="27">
        <v>44400</v>
      </c>
      <c r="C1172" s="28" t="s">
        <v>1131</v>
      </c>
      <c r="D1172" s="28">
        <v>711.87</v>
      </c>
      <c r="E1172" s="28" t="s">
        <v>2313</v>
      </c>
      <c r="F1172" s="28">
        <v>416.03</v>
      </c>
      <c r="G1172" s="28">
        <v>112.15</v>
      </c>
      <c r="H1172" s="28" t="s">
        <v>3479</v>
      </c>
      <c r="I1172" s="28">
        <v>173.88</v>
      </c>
    </row>
    <row r="1173" spans="2:9">
      <c r="B1173" s="27">
        <v>44399</v>
      </c>
      <c r="C1173" s="28" t="s">
        <v>1132</v>
      </c>
      <c r="D1173" s="28">
        <v>713.08</v>
      </c>
      <c r="E1173" s="28" t="s">
        <v>2314</v>
      </c>
      <c r="F1173" s="28">
        <v>416.5</v>
      </c>
      <c r="G1173" s="28">
        <v>112.05</v>
      </c>
      <c r="H1173" s="28" t="s">
        <v>3480</v>
      </c>
      <c r="I1173" s="28">
        <v>176.03</v>
      </c>
    </row>
    <row r="1174" spans="2:9">
      <c r="B1174" s="27">
        <v>44397</v>
      </c>
      <c r="C1174" s="28" t="s">
        <v>1133</v>
      </c>
      <c r="D1174" s="28">
        <v>720.79</v>
      </c>
      <c r="E1174" s="28" t="s">
        <v>2315</v>
      </c>
      <c r="F1174" s="28">
        <v>412.13</v>
      </c>
      <c r="G1174" s="28">
        <v>112.55</v>
      </c>
      <c r="H1174" s="28" t="s">
        <v>3481</v>
      </c>
      <c r="I1174" s="28">
        <v>174.25</v>
      </c>
    </row>
    <row r="1175" spans="2:9">
      <c r="B1175" s="27">
        <v>44396</v>
      </c>
      <c r="C1175" s="28" t="s">
        <v>1134</v>
      </c>
      <c r="D1175" s="28">
        <v>696.08</v>
      </c>
      <c r="E1175" s="28" t="s">
        <v>2316</v>
      </c>
      <c r="F1175" s="28">
        <v>400.5</v>
      </c>
      <c r="G1175" s="28">
        <v>111.4</v>
      </c>
      <c r="H1175" s="28" t="s">
        <v>3482</v>
      </c>
      <c r="I1175" s="28">
        <v>174.38</v>
      </c>
    </row>
    <row r="1176" spans="2:9">
      <c r="B1176" s="27">
        <v>44393</v>
      </c>
      <c r="C1176" s="28" t="s">
        <v>1135</v>
      </c>
      <c r="D1176" s="28">
        <v>703.21</v>
      </c>
      <c r="E1176" s="28" t="s">
        <v>2317</v>
      </c>
      <c r="F1176" s="28">
        <v>399.93</v>
      </c>
      <c r="G1176" s="28">
        <v>112.7</v>
      </c>
      <c r="H1176" s="28" t="s">
        <v>3483</v>
      </c>
      <c r="I1176" s="28">
        <v>172.25</v>
      </c>
    </row>
    <row r="1177" spans="2:9">
      <c r="B1177" s="27">
        <v>44392</v>
      </c>
      <c r="C1177" s="28" t="s">
        <v>1136</v>
      </c>
      <c r="D1177" s="28">
        <v>700.96</v>
      </c>
      <c r="E1177" s="28" t="s">
        <v>2318</v>
      </c>
      <c r="F1177" s="28">
        <v>400.17</v>
      </c>
      <c r="G1177" s="28">
        <v>114.7</v>
      </c>
      <c r="H1177" s="28" t="s">
        <v>3484</v>
      </c>
      <c r="I1177" s="28">
        <v>163.1</v>
      </c>
    </row>
    <row r="1178" spans="2:9">
      <c r="B1178" s="27">
        <v>44391</v>
      </c>
      <c r="C1178" s="28" t="s">
        <v>1137</v>
      </c>
      <c r="D1178" s="28">
        <v>698.92</v>
      </c>
      <c r="E1178" s="28" t="s">
        <v>2319</v>
      </c>
      <c r="F1178" s="28">
        <v>400.13</v>
      </c>
      <c r="G1178" s="28">
        <v>114.15</v>
      </c>
      <c r="H1178" s="28" t="s">
        <v>3485</v>
      </c>
      <c r="I1178" s="28">
        <v>164.03</v>
      </c>
    </row>
    <row r="1179" spans="2:9">
      <c r="B1179" s="27">
        <v>44390</v>
      </c>
      <c r="C1179" s="28" t="s">
        <v>1138</v>
      </c>
      <c r="D1179" s="28">
        <v>698.04</v>
      </c>
      <c r="E1179" s="28" t="s">
        <v>2320</v>
      </c>
      <c r="F1179" s="28">
        <v>401.33</v>
      </c>
      <c r="G1179" s="28">
        <v>109.05</v>
      </c>
      <c r="H1179" s="28" t="s">
        <v>3486</v>
      </c>
      <c r="I1179" s="28">
        <v>160.85</v>
      </c>
    </row>
    <row r="1180" spans="2:9">
      <c r="B1180" s="27">
        <v>44389</v>
      </c>
      <c r="C1180" s="28" t="s">
        <v>1139</v>
      </c>
      <c r="D1180" s="28">
        <v>699.71</v>
      </c>
      <c r="E1180" s="28" t="s">
        <v>2321</v>
      </c>
      <c r="F1180" s="28">
        <v>401.5</v>
      </c>
      <c r="G1180" s="28">
        <v>109.15</v>
      </c>
      <c r="H1180" s="28" t="s">
        <v>3487</v>
      </c>
      <c r="I1180" s="28">
        <v>161.22</v>
      </c>
    </row>
    <row r="1181" spans="2:9">
      <c r="B1181" s="27">
        <v>44386</v>
      </c>
      <c r="C1181" s="28" t="s">
        <v>1140</v>
      </c>
      <c r="D1181" s="28">
        <v>703.42</v>
      </c>
      <c r="E1181" s="28" t="s">
        <v>2322</v>
      </c>
      <c r="F1181" s="28">
        <v>401.83</v>
      </c>
      <c r="G1181" s="28">
        <v>111.25</v>
      </c>
      <c r="H1181" s="28" t="s">
        <v>3488</v>
      </c>
      <c r="I1181" s="28">
        <v>164.57</v>
      </c>
    </row>
    <row r="1182" spans="2:9">
      <c r="B1182" s="27">
        <v>44385</v>
      </c>
      <c r="C1182" s="28" t="s">
        <v>1141</v>
      </c>
      <c r="D1182" s="28">
        <v>701.37</v>
      </c>
      <c r="E1182" s="28" t="s">
        <v>2323</v>
      </c>
      <c r="F1182" s="28">
        <v>400.03</v>
      </c>
      <c r="G1182" s="28">
        <v>111</v>
      </c>
      <c r="H1182" s="28" t="s">
        <v>3489</v>
      </c>
      <c r="I1182" s="28">
        <v>161.69999999999999</v>
      </c>
    </row>
    <row r="1183" spans="2:9">
      <c r="B1183" s="27">
        <v>44384</v>
      </c>
      <c r="C1183" s="28" t="s">
        <v>1142</v>
      </c>
      <c r="D1183" s="28">
        <v>705.12</v>
      </c>
      <c r="E1183" s="28" t="s">
        <v>2324</v>
      </c>
      <c r="F1183" s="28">
        <v>404.77</v>
      </c>
      <c r="G1183" s="28">
        <v>112.95</v>
      </c>
      <c r="H1183" s="28" t="s">
        <v>3490</v>
      </c>
      <c r="I1183" s="28">
        <v>166.12</v>
      </c>
    </row>
    <row r="1184" spans="2:9">
      <c r="B1184" s="27">
        <v>44383</v>
      </c>
      <c r="C1184" s="28" t="s">
        <v>1143</v>
      </c>
      <c r="D1184" s="28">
        <v>678.42</v>
      </c>
      <c r="E1184" s="28" t="s">
        <v>2325</v>
      </c>
      <c r="F1184" s="28">
        <v>409</v>
      </c>
      <c r="G1184" s="28">
        <v>106.3</v>
      </c>
      <c r="H1184" s="28" t="s">
        <v>3491</v>
      </c>
      <c r="I1184" s="28">
        <v>167.57</v>
      </c>
    </row>
    <row r="1185" spans="2:9">
      <c r="B1185" s="27">
        <v>44382</v>
      </c>
      <c r="C1185" s="28" t="s">
        <v>1144</v>
      </c>
      <c r="D1185" s="28">
        <v>680.46</v>
      </c>
      <c r="E1185" s="28" t="s">
        <v>2326</v>
      </c>
      <c r="F1185" s="28">
        <v>396.77</v>
      </c>
      <c r="G1185" s="28">
        <v>109.75</v>
      </c>
      <c r="H1185" s="28" t="s">
        <v>3492</v>
      </c>
      <c r="I1185" s="28">
        <v>166.55</v>
      </c>
    </row>
    <row r="1186" spans="2:9">
      <c r="B1186" s="27">
        <v>44379</v>
      </c>
      <c r="C1186" s="28" t="s">
        <v>1145</v>
      </c>
      <c r="D1186" s="28">
        <v>672.42</v>
      </c>
      <c r="E1186" s="28" t="s">
        <v>2327</v>
      </c>
      <c r="F1186" s="28">
        <v>391.47</v>
      </c>
      <c r="G1186" s="28">
        <v>110.45</v>
      </c>
      <c r="H1186" s="28" t="s">
        <v>3493</v>
      </c>
      <c r="I1186" s="28">
        <v>165.12</v>
      </c>
    </row>
    <row r="1187" spans="2:9">
      <c r="B1187" s="27">
        <v>44378</v>
      </c>
      <c r="C1187" s="28" t="s">
        <v>1146</v>
      </c>
      <c r="D1187" s="28">
        <v>674.17</v>
      </c>
      <c r="E1187" s="28" t="s">
        <v>2328</v>
      </c>
      <c r="F1187" s="28">
        <v>381.43</v>
      </c>
      <c r="G1187" s="28">
        <v>113.7</v>
      </c>
      <c r="H1187" s="28" t="s">
        <v>3494</v>
      </c>
      <c r="I1187" s="28">
        <v>162.05000000000001</v>
      </c>
    </row>
    <row r="1188" spans="2:9">
      <c r="B1188" s="27">
        <v>44377</v>
      </c>
      <c r="C1188" s="28" t="s">
        <v>1147</v>
      </c>
      <c r="D1188" s="28">
        <v>670.92</v>
      </c>
      <c r="E1188" s="28" t="s">
        <v>2329</v>
      </c>
      <c r="F1188" s="28">
        <v>383.47</v>
      </c>
      <c r="G1188" s="28">
        <v>111.45</v>
      </c>
      <c r="H1188" s="28" t="s">
        <v>3495</v>
      </c>
      <c r="I1188" s="28">
        <v>163.82</v>
      </c>
    </row>
    <row r="1189" spans="2:9">
      <c r="B1189" s="27">
        <v>44376</v>
      </c>
      <c r="C1189" s="28" t="s">
        <v>1148</v>
      </c>
      <c r="D1189" s="28">
        <v>670.29</v>
      </c>
      <c r="E1189" s="28" t="s">
        <v>2330</v>
      </c>
      <c r="F1189" s="28">
        <v>389.53</v>
      </c>
      <c r="G1189" s="28">
        <v>105.85</v>
      </c>
      <c r="H1189" s="28" t="s">
        <v>3496</v>
      </c>
      <c r="I1189" s="28">
        <v>165.4</v>
      </c>
    </row>
    <row r="1190" spans="2:9">
      <c r="B1190" s="27">
        <v>44375</v>
      </c>
      <c r="C1190" s="28" t="s">
        <v>1149</v>
      </c>
      <c r="D1190" s="28">
        <v>670.62</v>
      </c>
      <c r="E1190" s="28" t="s">
        <v>2331</v>
      </c>
      <c r="F1190" s="28">
        <v>392.53</v>
      </c>
      <c r="G1190" s="28">
        <v>109.05</v>
      </c>
      <c r="H1190" s="28" t="s">
        <v>3497</v>
      </c>
      <c r="I1190" s="28">
        <v>164.43</v>
      </c>
    </row>
    <row r="1191" spans="2:9">
      <c r="B1191" s="27">
        <v>44372</v>
      </c>
      <c r="C1191" s="28" t="s">
        <v>1150</v>
      </c>
      <c r="D1191" s="28">
        <v>671.71</v>
      </c>
      <c r="E1191" s="28" t="s">
        <v>2332</v>
      </c>
      <c r="F1191" s="28">
        <v>392.77</v>
      </c>
      <c r="G1191" s="28">
        <v>104.55</v>
      </c>
      <c r="H1191" s="28" t="s">
        <v>3498</v>
      </c>
      <c r="I1191" s="28">
        <v>162.05000000000001</v>
      </c>
    </row>
    <row r="1192" spans="2:9">
      <c r="B1192" s="27">
        <v>44371</v>
      </c>
      <c r="C1192" s="28" t="s">
        <v>1151</v>
      </c>
      <c r="D1192" s="28">
        <v>677.67</v>
      </c>
      <c r="E1192" s="28" t="s">
        <v>2333</v>
      </c>
      <c r="F1192" s="28">
        <v>393.3</v>
      </c>
      <c r="G1192" s="28">
        <v>105</v>
      </c>
      <c r="H1192" s="28" t="s">
        <v>3499</v>
      </c>
      <c r="I1192" s="28">
        <v>160.80000000000001</v>
      </c>
    </row>
    <row r="1193" spans="2:9">
      <c r="B1193" s="27">
        <v>44370</v>
      </c>
      <c r="C1193" s="28" t="s">
        <v>1152</v>
      </c>
      <c r="D1193" s="28">
        <v>671.75</v>
      </c>
      <c r="E1193" s="28" t="s">
        <v>2334</v>
      </c>
      <c r="F1193" s="28">
        <v>389.7</v>
      </c>
      <c r="G1193" s="28">
        <v>105.3</v>
      </c>
      <c r="H1193" s="28" t="s">
        <v>3500</v>
      </c>
      <c r="I1193" s="28">
        <v>162.6</v>
      </c>
    </row>
    <row r="1194" spans="2:9">
      <c r="B1194" s="27">
        <v>44369</v>
      </c>
      <c r="C1194" s="28" t="s">
        <v>1153</v>
      </c>
      <c r="D1194" s="28">
        <v>673.67</v>
      </c>
      <c r="E1194" s="28" t="s">
        <v>2335</v>
      </c>
      <c r="F1194" s="28">
        <v>387.47</v>
      </c>
      <c r="G1194" s="28">
        <v>105.85</v>
      </c>
      <c r="H1194" s="28" t="s">
        <v>3501</v>
      </c>
      <c r="I1194" s="28">
        <v>165.85</v>
      </c>
    </row>
    <row r="1195" spans="2:9">
      <c r="B1195" s="27">
        <v>44368</v>
      </c>
      <c r="C1195" s="28" t="s">
        <v>1154</v>
      </c>
      <c r="D1195" s="28">
        <v>689.79</v>
      </c>
      <c r="E1195" s="28" t="s">
        <v>2336</v>
      </c>
      <c r="F1195" s="28">
        <v>384.43</v>
      </c>
      <c r="G1195" s="28">
        <v>106.75</v>
      </c>
      <c r="H1195" s="28" t="s">
        <v>3502</v>
      </c>
      <c r="I1195" s="28">
        <v>167.3</v>
      </c>
    </row>
    <row r="1196" spans="2:9">
      <c r="B1196" s="27">
        <v>44365</v>
      </c>
      <c r="C1196" s="28" t="s">
        <v>1155</v>
      </c>
      <c r="D1196" s="28">
        <v>688</v>
      </c>
      <c r="E1196" s="28" t="s">
        <v>2337</v>
      </c>
      <c r="F1196" s="28">
        <v>382.93</v>
      </c>
      <c r="G1196" s="28">
        <v>105.7</v>
      </c>
      <c r="H1196" s="28" t="s">
        <v>3503</v>
      </c>
      <c r="I1196" s="28">
        <v>169.1</v>
      </c>
    </row>
    <row r="1197" spans="2:9">
      <c r="B1197" s="27">
        <v>44364</v>
      </c>
      <c r="C1197" s="28" t="s">
        <v>1156</v>
      </c>
      <c r="D1197" s="28">
        <v>683.58</v>
      </c>
      <c r="E1197" s="28" t="s">
        <v>2338</v>
      </c>
      <c r="F1197" s="28">
        <v>378.43</v>
      </c>
      <c r="G1197" s="28">
        <v>108.55</v>
      </c>
      <c r="H1197" s="28" t="s">
        <v>3504</v>
      </c>
      <c r="I1197" s="28">
        <v>169.12</v>
      </c>
    </row>
    <row r="1198" spans="2:9">
      <c r="B1198" s="27">
        <v>44363</v>
      </c>
      <c r="C1198" s="28" t="s">
        <v>1157</v>
      </c>
      <c r="D1198" s="28">
        <v>681.58</v>
      </c>
      <c r="E1198" s="28" t="s">
        <v>2339</v>
      </c>
      <c r="F1198" s="28">
        <v>384.17</v>
      </c>
      <c r="G1198" s="28">
        <v>110.65</v>
      </c>
      <c r="H1198" s="28" t="s">
        <v>3505</v>
      </c>
      <c r="I1198" s="28">
        <v>166.8</v>
      </c>
    </row>
    <row r="1199" spans="2:9">
      <c r="B1199" s="27">
        <v>44362</v>
      </c>
      <c r="C1199" s="28" t="s">
        <v>1158</v>
      </c>
      <c r="D1199" s="28">
        <v>686.46</v>
      </c>
      <c r="E1199" s="28" t="s">
        <v>2340</v>
      </c>
      <c r="F1199" s="28">
        <v>387.22</v>
      </c>
      <c r="G1199" s="28">
        <v>111.55</v>
      </c>
      <c r="H1199" s="28" t="s">
        <v>302</v>
      </c>
      <c r="I1199" s="28">
        <v>172.5</v>
      </c>
    </row>
    <row r="1200" spans="2:9">
      <c r="B1200" s="27">
        <v>44361</v>
      </c>
      <c r="C1200" s="28" t="s">
        <v>1159</v>
      </c>
      <c r="D1200" s="28">
        <v>674.71</v>
      </c>
      <c r="E1200" s="28" t="s">
        <v>2285</v>
      </c>
      <c r="F1200" s="28">
        <v>382.47</v>
      </c>
      <c r="G1200" s="28">
        <v>110.4</v>
      </c>
      <c r="H1200" s="28" t="s">
        <v>3506</v>
      </c>
      <c r="I1200" s="28">
        <v>171.35</v>
      </c>
    </row>
    <row r="1201" spans="2:9">
      <c r="B1201" s="27">
        <v>44358</v>
      </c>
      <c r="C1201" s="28" t="s">
        <v>1160</v>
      </c>
      <c r="D1201" s="28">
        <v>671.75</v>
      </c>
      <c r="E1201" s="28" t="s">
        <v>2341</v>
      </c>
      <c r="F1201" s="28">
        <v>387.19</v>
      </c>
      <c r="G1201" s="28">
        <v>113.15</v>
      </c>
      <c r="H1201" s="28" t="s">
        <v>3507</v>
      </c>
      <c r="I1201" s="28">
        <v>173.18</v>
      </c>
    </row>
    <row r="1202" spans="2:9">
      <c r="B1202" s="27">
        <v>44357</v>
      </c>
      <c r="C1202" s="28" t="s">
        <v>1161</v>
      </c>
      <c r="D1202" s="28">
        <v>674.25</v>
      </c>
      <c r="E1202" s="28" t="s">
        <v>2342</v>
      </c>
      <c r="F1202" s="28">
        <v>385.79</v>
      </c>
      <c r="G1202" s="28">
        <v>110.45</v>
      </c>
      <c r="H1202" s="28" t="s">
        <v>3508</v>
      </c>
      <c r="I1202" s="28">
        <v>180.9</v>
      </c>
    </row>
    <row r="1203" spans="2:9">
      <c r="B1203" s="27">
        <v>44356</v>
      </c>
      <c r="C1203" s="28" t="s">
        <v>1162</v>
      </c>
      <c r="D1203" s="28">
        <v>668.75</v>
      </c>
      <c r="E1203" s="28" t="s">
        <v>2343</v>
      </c>
      <c r="F1203" s="28">
        <v>391.57</v>
      </c>
      <c r="G1203" s="28">
        <v>107.55</v>
      </c>
      <c r="H1203" s="28" t="s">
        <v>3509</v>
      </c>
      <c r="I1203" s="28">
        <v>181.05</v>
      </c>
    </row>
    <row r="1204" spans="2:9">
      <c r="B1204" s="27">
        <v>44355</v>
      </c>
      <c r="C1204" s="28" t="s">
        <v>1163</v>
      </c>
      <c r="D1204" s="28">
        <v>672.46</v>
      </c>
      <c r="E1204" s="28" t="s">
        <v>2344</v>
      </c>
      <c r="F1204" s="28">
        <v>392.7</v>
      </c>
      <c r="G1204" s="28">
        <v>111.05</v>
      </c>
      <c r="H1204" s="28" t="s">
        <v>3510</v>
      </c>
      <c r="I1204" s="28">
        <v>181.3</v>
      </c>
    </row>
    <row r="1205" spans="2:9">
      <c r="B1205" s="27">
        <v>44354</v>
      </c>
      <c r="C1205" s="28" t="s">
        <v>1164</v>
      </c>
      <c r="D1205" s="28">
        <v>675.54</v>
      </c>
      <c r="E1205" s="28" t="s">
        <v>2345</v>
      </c>
      <c r="F1205" s="28">
        <v>391.54</v>
      </c>
      <c r="G1205" s="28">
        <v>113.85</v>
      </c>
      <c r="H1205" s="28" t="s">
        <v>3511</v>
      </c>
      <c r="I1205" s="28">
        <v>178.68</v>
      </c>
    </row>
    <row r="1206" spans="2:9">
      <c r="B1206" s="27">
        <v>44351</v>
      </c>
      <c r="C1206" s="28" t="s">
        <v>1165</v>
      </c>
      <c r="D1206" s="28">
        <v>663.62</v>
      </c>
      <c r="E1206" s="28" t="s">
        <v>2346</v>
      </c>
      <c r="F1206" s="28">
        <v>385.1</v>
      </c>
      <c r="G1206" s="28">
        <v>115.15</v>
      </c>
      <c r="H1206" s="28" t="s">
        <v>3512</v>
      </c>
      <c r="I1206" s="28">
        <v>178.35</v>
      </c>
    </row>
    <row r="1207" spans="2:9">
      <c r="B1207" s="27">
        <v>44350</v>
      </c>
      <c r="C1207" s="28" t="s">
        <v>1166</v>
      </c>
      <c r="D1207" s="28">
        <v>667.12</v>
      </c>
      <c r="E1207" s="28" t="s">
        <v>2347</v>
      </c>
      <c r="F1207" s="28">
        <v>382.14</v>
      </c>
      <c r="G1207" s="28">
        <v>116.1</v>
      </c>
      <c r="H1207" s="28" t="s">
        <v>3513</v>
      </c>
      <c r="I1207" s="28">
        <v>185.15</v>
      </c>
    </row>
    <row r="1208" spans="2:9">
      <c r="B1208" s="27">
        <v>44349</v>
      </c>
      <c r="C1208" s="28" t="s">
        <v>1167</v>
      </c>
      <c r="D1208" s="28">
        <v>661.62</v>
      </c>
      <c r="E1208" s="28" t="s">
        <v>2348</v>
      </c>
      <c r="F1208" s="28">
        <v>386.56</v>
      </c>
      <c r="G1208" s="28">
        <v>116.9</v>
      </c>
      <c r="H1208" s="28" t="s">
        <v>3514</v>
      </c>
      <c r="I1208" s="28">
        <v>184.18</v>
      </c>
    </row>
    <row r="1209" spans="2:9">
      <c r="B1209" s="27">
        <v>44348</v>
      </c>
      <c r="C1209" s="28" t="s">
        <v>1168</v>
      </c>
      <c r="D1209" s="28">
        <v>665.21</v>
      </c>
      <c r="E1209" s="28" t="s">
        <v>2349</v>
      </c>
      <c r="F1209" s="28">
        <v>382.74</v>
      </c>
      <c r="G1209" s="28">
        <v>115.5</v>
      </c>
      <c r="H1209" s="28" t="s">
        <v>3515</v>
      </c>
      <c r="I1209" s="28">
        <v>184.68</v>
      </c>
    </row>
    <row r="1210" spans="2:9">
      <c r="B1210" s="27">
        <v>44347</v>
      </c>
      <c r="C1210" s="28" t="s">
        <v>1169</v>
      </c>
      <c r="D1210" s="28">
        <v>671.29</v>
      </c>
      <c r="E1210" s="28" t="s">
        <v>2350</v>
      </c>
      <c r="F1210" s="28">
        <v>379.91</v>
      </c>
      <c r="G1210" s="28">
        <v>124.25</v>
      </c>
      <c r="H1210" s="28" t="s">
        <v>3516</v>
      </c>
      <c r="I1210" s="28">
        <v>182.15</v>
      </c>
    </row>
    <row r="1211" spans="2:9">
      <c r="B1211" s="27">
        <v>44344</v>
      </c>
      <c r="C1211" s="28" t="s">
        <v>1170</v>
      </c>
      <c r="D1211" s="28">
        <v>668.54</v>
      </c>
      <c r="E1211" s="28" t="s">
        <v>2351</v>
      </c>
      <c r="F1211" s="28">
        <v>380.21</v>
      </c>
      <c r="G1211" s="28">
        <v>117.15</v>
      </c>
      <c r="H1211" s="28" t="s">
        <v>3517</v>
      </c>
      <c r="I1211" s="28">
        <v>188.78</v>
      </c>
    </row>
    <row r="1212" spans="2:9">
      <c r="B1212" s="27">
        <v>44343</v>
      </c>
      <c r="C1212" s="28" t="s">
        <v>1171</v>
      </c>
      <c r="D1212" s="28">
        <v>665.25</v>
      </c>
      <c r="E1212" s="28" t="s">
        <v>2352</v>
      </c>
      <c r="F1212" s="28">
        <v>391.11</v>
      </c>
      <c r="G1212" s="28">
        <v>111.7</v>
      </c>
      <c r="H1212" s="28" t="s">
        <v>3518</v>
      </c>
      <c r="I1212" s="28">
        <v>183.88</v>
      </c>
    </row>
    <row r="1213" spans="2:9">
      <c r="B1213" s="27">
        <v>44342</v>
      </c>
      <c r="C1213" s="28" t="s">
        <v>1172</v>
      </c>
      <c r="D1213" s="28">
        <v>693.62</v>
      </c>
      <c r="E1213" s="28" t="s">
        <v>2331</v>
      </c>
      <c r="F1213" s="28">
        <v>386.86</v>
      </c>
      <c r="G1213" s="28">
        <v>113.6</v>
      </c>
      <c r="H1213" s="28" t="s">
        <v>3519</v>
      </c>
      <c r="I1213" s="28">
        <v>181.78</v>
      </c>
    </row>
    <row r="1214" spans="2:9">
      <c r="B1214" s="27">
        <v>44341</v>
      </c>
      <c r="C1214" s="28" t="s">
        <v>1173</v>
      </c>
      <c r="D1214" s="28">
        <v>683.37</v>
      </c>
      <c r="E1214" s="28" t="s">
        <v>2353</v>
      </c>
      <c r="F1214" s="28">
        <v>381.81</v>
      </c>
      <c r="G1214" s="28">
        <v>102.8</v>
      </c>
      <c r="H1214" s="28" t="s">
        <v>3520</v>
      </c>
      <c r="I1214" s="28">
        <v>177.97</v>
      </c>
    </row>
    <row r="1215" spans="2:9">
      <c r="B1215" s="27">
        <v>44340</v>
      </c>
      <c r="C1215" s="28" t="s">
        <v>1174</v>
      </c>
      <c r="D1215" s="28">
        <v>673.83</v>
      </c>
      <c r="E1215" s="28" t="s">
        <v>2354</v>
      </c>
      <c r="F1215" s="28">
        <v>375.73</v>
      </c>
      <c r="G1215" s="28">
        <v>106.85</v>
      </c>
      <c r="H1215" s="28" t="s">
        <v>3521</v>
      </c>
      <c r="I1215" s="28">
        <v>177.68</v>
      </c>
    </row>
    <row r="1216" spans="2:9">
      <c r="B1216" s="27">
        <v>44337</v>
      </c>
      <c r="C1216" s="28" t="s">
        <v>1175</v>
      </c>
      <c r="D1216" s="28">
        <v>659</v>
      </c>
      <c r="E1216" s="28" t="s">
        <v>2355</v>
      </c>
      <c r="F1216" s="28">
        <v>371.51</v>
      </c>
      <c r="G1216" s="28">
        <v>101.7</v>
      </c>
      <c r="H1216" s="28" t="s">
        <v>3522</v>
      </c>
      <c r="I1216" s="28">
        <v>169.97</v>
      </c>
    </row>
    <row r="1217" spans="2:9">
      <c r="B1217" s="27">
        <v>44336</v>
      </c>
      <c r="C1217" s="28" t="s">
        <v>1176</v>
      </c>
      <c r="D1217" s="28">
        <v>656.87</v>
      </c>
      <c r="E1217" s="28" t="s">
        <v>2356</v>
      </c>
      <c r="F1217" s="28">
        <v>370.71</v>
      </c>
      <c r="G1217" s="28">
        <v>105.85</v>
      </c>
      <c r="H1217" s="28" t="s">
        <v>3523</v>
      </c>
      <c r="I1217" s="28">
        <v>168.78</v>
      </c>
    </row>
    <row r="1218" spans="2:9">
      <c r="B1218" s="27">
        <v>44335</v>
      </c>
      <c r="C1218" s="28" t="s">
        <v>1177</v>
      </c>
      <c r="D1218" s="28">
        <v>658.58</v>
      </c>
      <c r="E1218" s="28" t="s">
        <v>2357</v>
      </c>
      <c r="F1218" s="28">
        <v>373.34</v>
      </c>
      <c r="G1218" s="28">
        <v>101.5</v>
      </c>
      <c r="H1218" s="28" t="s">
        <v>3524</v>
      </c>
      <c r="I1218" s="28">
        <v>169.12</v>
      </c>
    </row>
    <row r="1219" spans="2:9">
      <c r="B1219" s="27">
        <v>44334</v>
      </c>
      <c r="C1219" s="28" t="s">
        <v>1178</v>
      </c>
      <c r="D1219" s="28">
        <v>651</v>
      </c>
      <c r="E1219" s="28" t="s">
        <v>2358</v>
      </c>
      <c r="F1219" s="28">
        <v>369.52</v>
      </c>
      <c r="G1219" s="28">
        <v>92.55</v>
      </c>
      <c r="H1219" s="28" t="s">
        <v>3525</v>
      </c>
      <c r="I1219" s="28">
        <v>171.82</v>
      </c>
    </row>
    <row r="1220" spans="2:9">
      <c r="B1220" s="27">
        <v>44333</v>
      </c>
      <c r="C1220" s="28" t="s">
        <v>1179</v>
      </c>
      <c r="D1220" s="28">
        <v>640.04</v>
      </c>
      <c r="E1220" s="28" t="s">
        <v>2359</v>
      </c>
      <c r="F1220" s="28">
        <v>369.95</v>
      </c>
      <c r="G1220" s="28">
        <v>94.6</v>
      </c>
      <c r="H1220" s="28" t="s">
        <v>3526</v>
      </c>
      <c r="I1220" s="28">
        <v>171.95</v>
      </c>
    </row>
    <row r="1221" spans="2:9">
      <c r="B1221" s="27">
        <v>44330</v>
      </c>
      <c r="C1221" s="28" t="s">
        <v>1180</v>
      </c>
      <c r="D1221" s="28">
        <v>627.29</v>
      </c>
      <c r="E1221" s="28" t="s">
        <v>2360</v>
      </c>
      <c r="F1221" s="28">
        <v>369.82</v>
      </c>
      <c r="G1221" s="28">
        <v>92.35</v>
      </c>
      <c r="H1221" s="28" t="s">
        <v>3527</v>
      </c>
      <c r="I1221" s="28">
        <v>167.97</v>
      </c>
    </row>
    <row r="1222" spans="2:9">
      <c r="B1222" s="27">
        <v>44328</v>
      </c>
      <c r="C1222" s="28" t="s">
        <v>1181</v>
      </c>
      <c r="D1222" s="28">
        <v>611.79</v>
      </c>
      <c r="E1222" s="28" t="s">
        <v>2361</v>
      </c>
      <c r="F1222" s="28">
        <v>371.61</v>
      </c>
      <c r="G1222" s="28">
        <v>87.45</v>
      </c>
      <c r="H1222" s="28" t="s">
        <v>3528</v>
      </c>
      <c r="I1222" s="28">
        <v>163.75</v>
      </c>
    </row>
    <row r="1223" spans="2:9">
      <c r="B1223" s="27">
        <v>44327</v>
      </c>
      <c r="C1223" s="28" t="s">
        <v>1182</v>
      </c>
      <c r="D1223" s="28">
        <v>613.29</v>
      </c>
      <c r="E1223" s="28" t="s">
        <v>2362</v>
      </c>
      <c r="F1223" s="28">
        <v>367.66</v>
      </c>
      <c r="G1223" s="28">
        <v>84.9</v>
      </c>
      <c r="H1223" s="28" t="s">
        <v>3529</v>
      </c>
      <c r="I1223" s="28">
        <v>163.4</v>
      </c>
    </row>
    <row r="1224" spans="2:9">
      <c r="B1224" s="27">
        <v>44326</v>
      </c>
      <c r="C1224" s="28" t="s">
        <v>1183</v>
      </c>
      <c r="D1224" s="28">
        <v>602.62</v>
      </c>
      <c r="E1224" s="28" t="s">
        <v>2363</v>
      </c>
      <c r="F1224" s="28">
        <v>376.13</v>
      </c>
      <c r="G1224" s="28">
        <v>86.15</v>
      </c>
      <c r="H1224" s="28" t="s">
        <v>3530</v>
      </c>
      <c r="I1224" s="28">
        <v>164.32</v>
      </c>
    </row>
    <row r="1225" spans="2:9">
      <c r="B1225" s="27">
        <v>44323</v>
      </c>
      <c r="C1225" s="28" t="s">
        <v>1184</v>
      </c>
      <c r="D1225" s="28">
        <v>596.21</v>
      </c>
      <c r="E1225" s="28" t="s">
        <v>2364</v>
      </c>
      <c r="F1225" s="28">
        <v>392.8</v>
      </c>
      <c r="G1225" s="28">
        <v>86.3</v>
      </c>
      <c r="H1225" s="28" t="s">
        <v>3531</v>
      </c>
      <c r="I1225" s="28">
        <v>168.97</v>
      </c>
    </row>
    <row r="1226" spans="2:9">
      <c r="B1226" s="27">
        <v>44322</v>
      </c>
      <c r="C1226" s="28" t="s">
        <v>1185</v>
      </c>
      <c r="D1226" s="28">
        <v>597.37</v>
      </c>
      <c r="E1226" s="28" t="s">
        <v>2365</v>
      </c>
      <c r="F1226" s="28">
        <v>393.8</v>
      </c>
      <c r="G1226" s="28">
        <v>86.4</v>
      </c>
      <c r="H1226" s="28" t="s">
        <v>3532</v>
      </c>
      <c r="I1226" s="28">
        <v>171.43</v>
      </c>
    </row>
    <row r="1227" spans="2:9">
      <c r="B1227" s="27">
        <v>44321</v>
      </c>
      <c r="C1227" s="28" t="s">
        <v>1186</v>
      </c>
      <c r="D1227" s="28">
        <v>592.87</v>
      </c>
      <c r="E1227" s="28" t="s">
        <v>2366</v>
      </c>
      <c r="F1227" s="28">
        <v>393.4</v>
      </c>
      <c r="G1227" s="28">
        <v>88.9</v>
      </c>
      <c r="H1227" s="28" t="s">
        <v>3533</v>
      </c>
      <c r="I1227" s="28">
        <v>171.78</v>
      </c>
    </row>
    <row r="1228" spans="2:9">
      <c r="B1228" s="27">
        <v>44320</v>
      </c>
      <c r="C1228" s="28" t="s">
        <v>1187</v>
      </c>
      <c r="D1228" s="28">
        <v>588.58000000000004</v>
      </c>
      <c r="E1228" s="28" t="s">
        <v>2367</v>
      </c>
      <c r="F1228" s="28">
        <v>379.35</v>
      </c>
      <c r="G1228" s="28">
        <v>88.3</v>
      </c>
      <c r="H1228" s="28" t="s">
        <v>3534</v>
      </c>
      <c r="I1228" s="28">
        <v>170.53</v>
      </c>
    </row>
    <row r="1229" spans="2:9">
      <c r="B1229" s="27">
        <v>44319</v>
      </c>
      <c r="C1229" s="28" t="s">
        <v>1188</v>
      </c>
      <c r="D1229" s="28">
        <v>593.58000000000004</v>
      </c>
      <c r="E1229" s="28" t="s">
        <v>2365</v>
      </c>
      <c r="F1229" s="28">
        <v>373.2</v>
      </c>
      <c r="G1229" s="28">
        <v>90.8</v>
      </c>
      <c r="H1229" s="28" t="s">
        <v>3535</v>
      </c>
      <c r="I1229" s="28">
        <v>169.32</v>
      </c>
    </row>
    <row r="1230" spans="2:9">
      <c r="B1230" s="27">
        <v>44316</v>
      </c>
      <c r="C1230" s="28" t="s">
        <v>1189</v>
      </c>
      <c r="D1230" s="28">
        <v>586.66999999999996</v>
      </c>
      <c r="E1230" s="28" t="s">
        <v>216</v>
      </c>
      <c r="F1230" s="28">
        <v>369.22</v>
      </c>
      <c r="G1230" s="28">
        <v>88.8</v>
      </c>
      <c r="H1230" s="28" t="s">
        <v>3536</v>
      </c>
      <c r="I1230" s="28">
        <v>170.2</v>
      </c>
    </row>
    <row r="1231" spans="2:9">
      <c r="B1231" s="27">
        <v>44315</v>
      </c>
      <c r="C1231" s="28" t="s">
        <v>1190</v>
      </c>
      <c r="D1231" s="28">
        <v>595.58000000000004</v>
      </c>
      <c r="E1231" s="28" t="s">
        <v>2368</v>
      </c>
      <c r="F1231" s="28">
        <v>378.42</v>
      </c>
      <c r="G1231" s="28">
        <v>88.95</v>
      </c>
      <c r="H1231" s="28" t="s">
        <v>3466</v>
      </c>
      <c r="I1231" s="28">
        <v>173.32</v>
      </c>
    </row>
    <row r="1232" spans="2:9">
      <c r="B1232" s="27">
        <v>44314</v>
      </c>
      <c r="C1232" s="28" t="s">
        <v>1191</v>
      </c>
      <c r="D1232" s="28">
        <v>598.16999999999996</v>
      </c>
      <c r="E1232" s="28" t="s">
        <v>2369</v>
      </c>
      <c r="F1232" s="28">
        <v>374.67</v>
      </c>
      <c r="G1232" s="28">
        <v>90.55</v>
      </c>
      <c r="H1232" s="28" t="s">
        <v>3537</v>
      </c>
      <c r="I1232" s="28">
        <v>173.12</v>
      </c>
    </row>
    <row r="1233" spans="2:9">
      <c r="B1233" s="27">
        <v>44313</v>
      </c>
      <c r="C1233" s="28" t="s">
        <v>1192</v>
      </c>
      <c r="D1233" s="28">
        <v>594</v>
      </c>
      <c r="E1233" s="28" t="s">
        <v>2370</v>
      </c>
      <c r="F1233" s="28">
        <v>369.05</v>
      </c>
      <c r="G1233" s="28">
        <v>85.8</v>
      </c>
      <c r="H1233" s="28" t="s">
        <v>3538</v>
      </c>
      <c r="I1233" s="28">
        <v>172.32</v>
      </c>
    </row>
    <row r="1234" spans="2:9">
      <c r="B1234" s="27">
        <v>44312</v>
      </c>
      <c r="C1234" s="28" t="s">
        <v>1193</v>
      </c>
      <c r="D1234" s="28">
        <v>602</v>
      </c>
      <c r="E1234" s="28" t="s">
        <v>2371</v>
      </c>
      <c r="F1234" s="28">
        <v>367.86</v>
      </c>
      <c r="G1234" s="28">
        <v>85</v>
      </c>
      <c r="H1234" s="28" t="s">
        <v>3539</v>
      </c>
      <c r="I1234" s="28">
        <v>175.68</v>
      </c>
    </row>
    <row r="1235" spans="2:9">
      <c r="B1235" s="27">
        <v>44309</v>
      </c>
      <c r="C1235" s="28" t="s">
        <v>1194</v>
      </c>
      <c r="D1235" s="28">
        <v>591.41999999999996</v>
      </c>
      <c r="E1235" s="28" t="s">
        <v>2372</v>
      </c>
      <c r="F1235" s="28">
        <v>365.33</v>
      </c>
      <c r="G1235" s="28">
        <v>84.85</v>
      </c>
      <c r="H1235" s="28" t="s">
        <v>3540</v>
      </c>
      <c r="I1235" s="28">
        <v>175.75</v>
      </c>
    </row>
    <row r="1236" spans="2:9">
      <c r="B1236" s="27">
        <v>44308</v>
      </c>
      <c r="C1236" s="28" t="s">
        <v>1195</v>
      </c>
      <c r="D1236" s="28">
        <v>595.87</v>
      </c>
      <c r="E1236" s="28" t="s">
        <v>2373</v>
      </c>
      <c r="F1236" s="28">
        <v>362.38</v>
      </c>
      <c r="G1236" s="28">
        <v>85.4</v>
      </c>
      <c r="H1236" s="28" t="s">
        <v>3541</v>
      </c>
      <c r="I1236" s="28">
        <v>180.8</v>
      </c>
    </row>
    <row r="1237" spans="2:9">
      <c r="B1237" s="27">
        <v>44306</v>
      </c>
      <c r="C1237" s="28" t="s">
        <v>1196</v>
      </c>
      <c r="D1237" s="28">
        <v>591.25</v>
      </c>
      <c r="E1237" s="28" t="s">
        <v>2374</v>
      </c>
      <c r="F1237" s="28">
        <v>364.34</v>
      </c>
      <c r="G1237" s="28">
        <v>83.45</v>
      </c>
      <c r="H1237" s="28" t="s">
        <v>3542</v>
      </c>
      <c r="I1237" s="28">
        <v>183.93</v>
      </c>
    </row>
    <row r="1238" spans="2:9">
      <c r="B1238" s="27">
        <v>44305</v>
      </c>
      <c r="C1238" s="28" t="s">
        <v>1197</v>
      </c>
      <c r="D1238" s="28">
        <v>596.5</v>
      </c>
      <c r="E1238" s="28" t="s">
        <v>2375</v>
      </c>
      <c r="F1238" s="28">
        <v>359.49</v>
      </c>
      <c r="G1238" s="28">
        <v>83.85</v>
      </c>
      <c r="H1238" s="28" t="s">
        <v>3543</v>
      </c>
      <c r="I1238" s="28">
        <v>181.9</v>
      </c>
    </row>
    <row r="1239" spans="2:9">
      <c r="B1239" s="27">
        <v>44302</v>
      </c>
      <c r="C1239" s="28" t="s">
        <v>1198</v>
      </c>
      <c r="D1239" s="28">
        <v>612.75</v>
      </c>
      <c r="E1239" s="28" t="s">
        <v>2376</v>
      </c>
      <c r="F1239" s="28">
        <v>380.35</v>
      </c>
      <c r="G1239" s="28">
        <v>88.75</v>
      </c>
      <c r="H1239" s="28" t="s">
        <v>2229</v>
      </c>
      <c r="I1239" s="28">
        <v>182.1</v>
      </c>
    </row>
    <row r="1240" spans="2:9">
      <c r="B1240" s="27">
        <v>44301</v>
      </c>
      <c r="C1240" s="28" t="s">
        <v>1199</v>
      </c>
      <c r="D1240" s="28">
        <v>606.21</v>
      </c>
      <c r="E1240" s="28" t="s">
        <v>2233</v>
      </c>
      <c r="F1240" s="28">
        <v>377.42</v>
      </c>
      <c r="G1240" s="28">
        <v>88.25</v>
      </c>
      <c r="H1240" s="28" t="s">
        <v>3544</v>
      </c>
      <c r="I1240" s="28">
        <v>175</v>
      </c>
    </row>
    <row r="1241" spans="2:9">
      <c r="B1241" s="27">
        <v>44299</v>
      </c>
      <c r="C1241" s="28" t="s">
        <v>1200</v>
      </c>
      <c r="D1241" s="28">
        <v>604.33000000000004</v>
      </c>
      <c r="E1241" s="28" t="s">
        <v>2377</v>
      </c>
      <c r="F1241" s="28">
        <v>375.2</v>
      </c>
      <c r="G1241" s="28">
        <v>89.4</v>
      </c>
      <c r="H1241" s="28" t="s">
        <v>3545</v>
      </c>
      <c r="I1241" s="28">
        <v>177.93</v>
      </c>
    </row>
    <row r="1242" spans="2:9">
      <c r="B1242" s="27">
        <v>44298</v>
      </c>
      <c r="C1242" s="28" t="s">
        <v>1201</v>
      </c>
      <c r="D1242" s="28">
        <v>606.83000000000004</v>
      </c>
      <c r="E1242" s="28" t="s">
        <v>2378</v>
      </c>
      <c r="F1242" s="28">
        <v>384.1</v>
      </c>
      <c r="G1242" s="28">
        <v>90.4</v>
      </c>
      <c r="H1242" s="28" t="s">
        <v>3546</v>
      </c>
      <c r="I1242" s="28">
        <v>176.95</v>
      </c>
    </row>
    <row r="1243" spans="2:9">
      <c r="B1243" s="27">
        <v>44295</v>
      </c>
      <c r="C1243" s="28" t="s">
        <v>1202</v>
      </c>
      <c r="D1243" s="28">
        <v>627.16999999999996</v>
      </c>
      <c r="E1243" s="28" t="s">
        <v>2379</v>
      </c>
      <c r="F1243" s="28">
        <v>395.96</v>
      </c>
      <c r="G1243" s="28">
        <v>94.4</v>
      </c>
      <c r="H1243" s="28" t="s">
        <v>3547</v>
      </c>
      <c r="I1243" s="28">
        <v>186.25</v>
      </c>
    </row>
    <row r="1244" spans="2:9">
      <c r="B1244" s="27">
        <v>44294</v>
      </c>
      <c r="C1244" s="28" t="s">
        <v>1203</v>
      </c>
      <c r="D1244" s="28">
        <v>635.37</v>
      </c>
      <c r="E1244" s="28" t="s">
        <v>2380</v>
      </c>
      <c r="F1244" s="28">
        <v>394.96</v>
      </c>
      <c r="G1244" s="28">
        <v>95.05</v>
      </c>
      <c r="H1244" s="28" t="s">
        <v>3548</v>
      </c>
      <c r="I1244" s="28">
        <v>186.45</v>
      </c>
    </row>
    <row r="1245" spans="2:9">
      <c r="B1245" s="27">
        <v>44293</v>
      </c>
      <c r="C1245" s="28" t="s">
        <v>1204</v>
      </c>
      <c r="D1245" s="28">
        <v>626.66999999999996</v>
      </c>
      <c r="E1245" s="28" t="s">
        <v>2381</v>
      </c>
      <c r="F1245" s="28">
        <v>394.56</v>
      </c>
      <c r="G1245" s="28">
        <v>94.25</v>
      </c>
      <c r="H1245" s="28" t="s">
        <v>3549</v>
      </c>
      <c r="I1245" s="28">
        <v>183.88</v>
      </c>
    </row>
    <row r="1246" spans="2:9">
      <c r="B1246" s="27">
        <v>44292</v>
      </c>
      <c r="C1246" s="28" t="s">
        <v>1205</v>
      </c>
      <c r="D1246" s="28">
        <v>623.75</v>
      </c>
      <c r="E1246" s="28" t="s">
        <v>2382</v>
      </c>
      <c r="F1246" s="28">
        <v>392.74</v>
      </c>
      <c r="G1246" s="28">
        <v>94.85</v>
      </c>
      <c r="H1246" s="28" t="s">
        <v>3550</v>
      </c>
      <c r="I1246" s="28">
        <v>175.68</v>
      </c>
    </row>
    <row r="1247" spans="2:9">
      <c r="B1247" s="27">
        <v>44291</v>
      </c>
      <c r="C1247" s="28" t="s">
        <v>1206</v>
      </c>
      <c r="D1247" s="28">
        <v>622.29</v>
      </c>
      <c r="E1247" s="28" t="s">
        <v>2383</v>
      </c>
      <c r="F1247" s="28">
        <v>391.04</v>
      </c>
      <c r="G1247" s="28">
        <v>93.6</v>
      </c>
      <c r="H1247" s="28" t="s">
        <v>3551</v>
      </c>
      <c r="I1247" s="28">
        <v>167.8</v>
      </c>
    </row>
    <row r="1248" spans="2:9">
      <c r="B1248" s="27">
        <v>44287</v>
      </c>
      <c r="C1248" s="28">
        <v>2551.75</v>
      </c>
      <c r="D1248" s="28">
        <v>639.96</v>
      </c>
      <c r="E1248" s="28">
        <v>2384.25</v>
      </c>
      <c r="F1248" s="28">
        <v>393.2</v>
      </c>
      <c r="G1248" s="28">
        <v>97.2</v>
      </c>
      <c r="H1248" s="28">
        <v>2371.0500000000002</v>
      </c>
      <c r="I1248" s="28">
        <v>161.05000000000001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F2F6-E44C-4748-8D40-66477AD7B324}">
  <dimension ref="A1:O1241"/>
  <sheetViews>
    <sheetView showGridLines="0" workbookViewId="0">
      <pane ySplit="1" topLeftCell="A2" activePane="bottomLeft" state="frozen"/>
      <selection pane="bottomLeft" activeCell="P10" sqref="P10"/>
    </sheetView>
  </sheetViews>
  <sheetFormatPr defaultRowHeight="13.8"/>
  <cols>
    <col min="1" max="1" width="13.6640625" style="8" customWidth="1"/>
    <col min="2" max="8" width="8.88671875" style="8"/>
    <col min="9" max="9" width="10.33203125" style="8" customWidth="1"/>
    <col min="10" max="10" width="10.21875" style="8" customWidth="1"/>
    <col min="11" max="11" width="10.109375" style="8" customWidth="1"/>
    <col min="12" max="14" width="10.44140625" style="8" customWidth="1"/>
    <col min="15" max="15" width="9.6640625" style="8" customWidth="1"/>
    <col min="16" max="16384" width="8.88671875" style="8"/>
  </cols>
  <sheetData>
    <row r="1" spans="1:15">
      <c r="A1" s="24" t="s">
        <v>0</v>
      </c>
      <c r="B1" s="29" t="s">
        <v>3562</v>
      </c>
      <c r="C1" s="29" t="s">
        <v>3563</v>
      </c>
      <c r="D1" s="29" t="s">
        <v>3564</v>
      </c>
      <c r="E1" s="29" t="s">
        <v>3565</v>
      </c>
      <c r="F1" s="29" t="s">
        <v>3566</v>
      </c>
      <c r="G1" s="29" t="s">
        <v>3567</v>
      </c>
      <c r="H1" s="29" t="s">
        <v>3568</v>
      </c>
      <c r="I1" s="29" t="s">
        <v>3569</v>
      </c>
      <c r="J1" s="29" t="s">
        <v>3570</v>
      </c>
      <c r="K1" s="29" t="s">
        <v>3571</v>
      </c>
      <c r="L1" s="29" t="s">
        <v>3572</v>
      </c>
      <c r="M1" s="29" t="s">
        <v>3573</v>
      </c>
      <c r="N1" s="29" t="s">
        <v>3574</v>
      </c>
      <c r="O1" s="29" t="s">
        <v>3575</v>
      </c>
    </row>
    <row r="2" spans="1:15" s="30" customFormat="1">
      <c r="A2" s="27">
        <v>46113</v>
      </c>
      <c r="B2" s="28" t="s">
        <v>6</v>
      </c>
      <c r="C2" s="28">
        <v>417.8</v>
      </c>
      <c r="D2" s="28" t="s">
        <v>1207</v>
      </c>
      <c r="E2" s="28">
        <v>175.56</v>
      </c>
      <c r="F2" s="28">
        <v>40.86</v>
      </c>
      <c r="G2" s="28" t="s">
        <v>2384</v>
      </c>
      <c r="H2" s="28">
        <v>422.75</v>
      </c>
      <c r="I2" s="8" t="s">
        <v>3576</v>
      </c>
      <c r="J2" s="8" t="s">
        <v>3576</v>
      </c>
      <c r="K2" s="8" t="s">
        <v>3576</v>
      </c>
      <c r="L2" s="8" t="s">
        <v>3576</v>
      </c>
      <c r="M2" s="8" t="s">
        <v>3576</v>
      </c>
      <c r="N2" s="8" t="s">
        <v>3576</v>
      </c>
      <c r="O2" s="8" t="s">
        <v>3576</v>
      </c>
    </row>
    <row r="3" spans="1:15" s="30" customFormat="1">
      <c r="A3" s="27">
        <v>46111</v>
      </c>
      <c r="B3" s="28" t="s">
        <v>7</v>
      </c>
      <c r="C3" s="28">
        <v>410</v>
      </c>
      <c r="D3" s="28" t="s">
        <v>1208</v>
      </c>
      <c r="E3" s="28">
        <v>167.22</v>
      </c>
      <c r="F3" s="28">
        <v>36.08</v>
      </c>
      <c r="G3" s="28" t="s">
        <v>2385</v>
      </c>
      <c r="H3" s="28">
        <v>401.35</v>
      </c>
      <c r="I3" s="30">
        <f>LN(B3/B2)</f>
        <v>-2.7603665616502047E-2</v>
      </c>
      <c r="J3" s="30">
        <f t="shared" ref="J3:O3" si="0">LN(C3/C2)</f>
        <v>-1.8845689424111977E-2</v>
      </c>
      <c r="K3" s="30">
        <f t="shared" si="0"/>
        <v>-5.3081930177827433E-2</v>
      </c>
      <c r="L3" s="30">
        <f t="shared" si="0"/>
        <v>-4.8670554098121481E-2</v>
      </c>
      <c r="M3" s="30">
        <f t="shared" si="0"/>
        <v>-0.12441289419505307</v>
      </c>
      <c r="N3" s="30">
        <f t="shared" si="0"/>
        <v>-9.3769274586247495E-3</v>
      </c>
      <c r="O3" s="30">
        <f t="shared" si="0"/>
        <v>-5.194712320110377E-2</v>
      </c>
    </row>
    <row r="4" spans="1:15" s="30" customFormat="1">
      <c r="A4" s="27">
        <v>46108</v>
      </c>
      <c r="B4" s="28" t="s">
        <v>8</v>
      </c>
      <c r="C4" s="28">
        <v>414.65</v>
      </c>
      <c r="D4" s="28" t="s">
        <v>1209</v>
      </c>
      <c r="E4" s="28">
        <v>170.5</v>
      </c>
      <c r="F4" s="28">
        <v>39.17</v>
      </c>
      <c r="G4" s="28" t="s">
        <v>2386</v>
      </c>
      <c r="H4" s="28">
        <v>419.7</v>
      </c>
      <c r="I4" s="30">
        <f t="shared" ref="I4:I67" si="1">LN(B4/B3)</f>
        <v>1.9302616415960976E-2</v>
      </c>
      <c r="J4" s="30">
        <f t="shared" ref="J4:J67" si="2">LN(C4/C3)</f>
        <v>1.1277631198859162E-2</v>
      </c>
      <c r="K4" s="30">
        <f t="shared" ref="K4:K67" si="3">LN(D4/D3)</f>
        <v>2.7748728223355383E-2</v>
      </c>
      <c r="L4" s="30">
        <f t="shared" ref="L4:L67" si="4">LN(E4/E3)</f>
        <v>1.9424986001659626E-2</v>
      </c>
      <c r="M4" s="30">
        <f t="shared" ref="M4:M67" si="5">LN(F4/F3)</f>
        <v>8.2172452483317074E-2</v>
      </c>
      <c r="N4" s="30">
        <f t="shared" ref="N4:N67" si="6">LN(G4/G3)</f>
        <v>3.54997395657995E-2</v>
      </c>
      <c r="O4" s="30">
        <f t="shared" ref="O4:O67" si="7">LN(H4/H3)</f>
        <v>4.4706305761959324E-2</v>
      </c>
    </row>
    <row r="5" spans="1:15" s="30" customFormat="1">
      <c r="A5" s="27">
        <v>46106</v>
      </c>
      <c r="B5" s="28" t="s">
        <v>9</v>
      </c>
      <c r="C5" s="28">
        <v>425.45</v>
      </c>
      <c r="D5" s="28" t="s">
        <v>1210</v>
      </c>
      <c r="E5" s="28">
        <v>173.61</v>
      </c>
      <c r="F5" s="28">
        <v>41.58</v>
      </c>
      <c r="G5" s="28" t="s">
        <v>2387</v>
      </c>
      <c r="H5" s="28">
        <v>432.95</v>
      </c>
      <c r="I5" s="30">
        <f t="shared" si="1"/>
        <v>2.8052580982455135E-2</v>
      </c>
      <c r="J5" s="30">
        <f t="shared" si="2"/>
        <v>2.5712641398353643E-2</v>
      </c>
      <c r="K5" s="30">
        <f t="shared" si="3"/>
        <v>4.6846503606711505E-2</v>
      </c>
      <c r="L5" s="30">
        <f t="shared" si="4"/>
        <v>1.8076107530285674E-2</v>
      </c>
      <c r="M5" s="30">
        <f t="shared" si="5"/>
        <v>5.9708134752126767E-2</v>
      </c>
      <c r="N5" s="30">
        <f t="shared" si="6"/>
        <v>-7.6286852957786347E-3</v>
      </c>
      <c r="O5" s="30">
        <f t="shared" si="7"/>
        <v>3.1082077554264939E-2</v>
      </c>
    </row>
    <row r="6" spans="1:15" s="30" customFormat="1">
      <c r="A6" s="27">
        <v>46105</v>
      </c>
      <c r="B6" s="28" t="s">
        <v>10</v>
      </c>
      <c r="C6" s="28">
        <v>413.8</v>
      </c>
      <c r="D6" s="28" t="s">
        <v>1211</v>
      </c>
      <c r="E6" s="28">
        <v>161.29</v>
      </c>
      <c r="F6" s="28">
        <v>42.08</v>
      </c>
      <c r="G6" s="28" t="s">
        <v>2388</v>
      </c>
      <c r="H6" s="28">
        <v>416.2</v>
      </c>
      <c r="I6" s="30">
        <f t="shared" si="1"/>
        <v>-2.3577693862288068E-2</v>
      </c>
      <c r="J6" s="30">
        <f t="shared" si="2"/>
        <v>-2.7764666984123648E-2</v>
      </c>
      <c r="K6" s="30">
        <f t="shared" si="3"/>
        <v>-4.8010289464574092E-2</v>
      </c>
      <c r="L6" s="30">
        <f t="shared" si="4"/>
        <v>-7.360741732476607E-2</v>
      </c>
      <c r="M6" s="30">
        <f t="shared" si="5"/>
        <v>1.195328599958758E-2</v>
      </c>
      <c r="N6" s="30">
        <f t="shared" si="6"/>
        <v>-2.5167922961598772E-2</v>
      </c>
      <c r="O6" s="30">
        <f t="shared" si="7"/>
        <v>-3.9456333934276215E-2</v>
      </c>
    </row>
    <row r="7" spans="1:15" s="30" customFormat="1">
      <c r="A7" s="27">
        <v>46104</v>
      </c>
      <c r="B7" s="28" t="s">
        <v>11</v>
      </c>
      <c r="C7" s="28">
        <v>405.45</v>
      </c>
      <c r="D7" s="28" t="s">
        <v>1212</v>
      </c>
      <c r="E7" s="28">
        <v>159.07</v>
      </c>
      <c r="F7" s="28">
        <v>40.67</v>
      </c>
      <c r="G7" s="28" t="s">
        <v>2389</v>
      </c>
      <c r="H7" s="28">
        <v>398.65</v>
      </c>
      <c r="I7" s="30">
        <f t="shared" si="1"/>
        <v>-4.4261131180645903E-2</v>
      </c>
      <c r="J7" s="30">
        <f t="shared" si="2"/>
        <v>-2.0385203920876428E-2</v>
      </c>
      <c r="K7" s="30">
        <f t="shared" si="3"/>
        <v>-2.3564746917860816E-2</v>
      </c>
      <c r="L7" s="30">
        <f t="shared" si="4"/>
        <v>-1.3859630018822067E-2</v>
      </c>
      <c r="M7" s="30">
        <f t="shared" si="5"/>
        <v>-3.4081848510321214E-2</v>
      </c>
      <c r="N7" s="30">
        <f t="shared" si="6"/>
        <v>-1.754447974503086E-3</v>
      </c>
      <c r="O7" s="30">
        <f t="shared" si="7"/>
        <v>-4.3082075011029577E-2</v>
      </c>
    </row>
    <row r="8" spans="1:15" s="30" customFormat="1">
      <c r="A8" s="27">
        <v>46101</v>
      </c>
      <c r="B8" s="28" t="s">
        <v>12</v>
      </c>
      <c r="C8" s="28">
        <v>416.7</v>
      </c>
      <c r="D8" s="28" t="s">
        <v>1213</v>
      </c>
      <c r="E8" s="28">
        <v>166.77</v>
      </c>
      <c r="F8" s="28">
        <v>44.71</v>
      </c>
      <c r="G8" s="28" t="s">
        <v>2390</v>
      </c>
      <c r="H8" s="28">
        <v>429.25</v>
      </c>
      <c r="I8" s="30">
        <f t="shared" si="1"/>
        <v>3.433515397491136E-2</v>
      </c>
      <c r="J8" s="30">
        <f t="shared" si="2"/>
        <v>2.7368977037841566E-2</v>
      </c>
      <c r="K8" s="30">
        <f t="shared" si="3"/>
        <v>4.229366513171124E-2</v>
      </c>
      <c r="L8" s="30">
        <f t="shared" si="4"/>
        <v>4.7271260723218883E-2</v>
      </c>
      <c r="M8" s="30">
        <f t="shared" si="5"/>
        <v>9.4706470326756137E-2</v>
      </c>
      <c r="N8" s="30">
        <f t="shared" si="6"/>
        <v>1.3153264206900224E-2</v>
      </c>
      <c r="O8" s="30">
        <f t="shared" si="7"/>
        <v>7.3955660829080602E-2</v>
      </c>
    </row>
    <row r="9" spans="1:15" s="30" customFormat="1">
      <c r="A9" s="27">
        <v>46100</v>
      </c>
      <c r="B9" s="28" t="s">
        <v>13</v>
      </c>
      <c r="C9" s="28">
        <v>409.45</v>
      </c>
      <c r="D9" s="28" t="s">
        <v>1214</v>
      </c>
      <c r="E9" s="28">
        <v>168.5</v>
      </c>
      <c r="F9" s="28">
        <v>45.4</v>
      </c>
      <c r="G9" s="28" t="s">
        <v>740</v>
      </c>
      <c r="H9" s="28">
        <v>424.65</v>
      </c>
      <c r="I9" s="30">
        <f t="shared" si="1"/>
        <v>-4.2908725167322909E-3</v>
      </c>
      <c r="J9" s="30">
        <f t="shared" si="2"/>
        <v>-1.7551742712210504E-2</v>
      </c>
      <c r="K9" s="30">
        <f t="shared" si="3"/>
        <v>8.735679082562442E-4</v>
      </c>
      <c r="L9" s="30">
        <f t="shared" si="4"/>
        <v>1.0320132158928552E-2</v>
      </c>
      <c r="M9" s="30">
        <f t="shared" si="5"/>
        <v>1.531491480141293E-2</v>
      </c>
      <c r="N9" s="30">
        <f t="shared" si="6"/>
        <v>-3.0726167344215564E-2</v>
      </c>
      <c r="O9" s="30">
        <f t="shared" si="7"/>
        <v>-1.0774199551566655E-2</v>
      </c>
    </row>
    <row r="10" spans="1:15" s="30" customFormat="1">
      <c r="A10" s="27">
        <v>46099</v>
      </c>
      <c r="B10" s="28" t="s">
        <v>14</v>
      </c>
      <c r="C10" s="28">
        <v>414.95</v>
      </c>
      <c r="D10" s="28" t="s">
        <v>1215</v>
      </c>
      <c r="E10" s="28">
        <v>175.01</v>
      </c>
      <c r="F10" s="28">
        <v>47.69</v>
      </c>
      <c r="G10" s="28" t="s">
        <v>2391</v>
      </c>
      <c r="H10" s="28">
        <v>434</v>
      </c>
      <c r="I10" s="30">
        <f t="shared" si="1"/>
        <v>3.4220195627305862E-2</v>
      </c>
      <c r="J10" s="30">
        <f t="shared" si="2"/>
        <v>1.3343235328259708E-2</v>
      </c>
      <c r="K10" s="30">
        <f t="shared" si="3"/>
        <v>3.179697428522528E-2</v>
      </c>
      <c r="L10" s="30">
        <f t="shared" si="4"/>
        <v>3.7907365355649481E-2</v>
      </c>
      <c r="M10" s="30">
        <f t="shared" si="5"/>
        <v>4.9209627262830659E-2</v>
      </c>
      <c r="N10" s="30">
        <f t="shared" si="6"/>
        <v>4.3024157299096984E-2</v>
      </c>
      <c r="O10" s="30">
        <f t="shared" si="7"/>
        <v>2.177923387438668E-2</v>
      </c>
    </row>
    <row r="11" spans="1:15" s="30" customFormat="1">
      <c r="A11" s="27">
        <v>46098</v>
      </c>
      <c r="B11" s="28" t="s">
        <v>15</v>
      </c>
      <c r="C11" s="28">
        <v>416.15</v>
      </c>
      <c r="D11" s="28" t="s">
        <v>1216</v>
      </c>
      <c r="E11" s="28">
        <v>173.72</v>
      </c>
      <c r="F11" s="28">
        <v>46.48</v>
      </c>
      <c r="G11" s="28" t="s">
        <v>2392</v>
      </c>
      <c r="H11" s="28">
        <v>426.3</v>
      </c>
      <c r="I11" s="30">
        <f t="shared" si="1"/>
        <v>-1.0621613979863109E-2</v>
      </c>
      <c r="J11" s="30">
        <f t="shared" si="2"/>
        <v>2.8877411476471554E-3</v>
      </c>
      <c r="K11" s="30">
        <f t="shared" si="3"/>
        <v>-1.421995718145258E-2</v>
      </c>
      <c r="L11" s="30">
        <f t="shared" si="4"/>
        <v>-7.3983074814449245E-3</v>
      </c>
      <c r="M11" s="30">
        <f t="shared" si="5"/>
        <v>-2.5699619766477201E-2</v>
      </c>
      <c r="N11" s="30">
        <f t="shared" si="6"/>
        <v>-8.5961399941058107E-3</v>
      </c>
      <c r="O11" s="30">
        <f t="shared" si="7"/>
        <v>-1.7901210329240178E-2</v>
      </c>
    </row>
    <row r="12" spans="1:15" s="30" customFormat="1">
      <c r="A12" s="27">
        <v>46097</v>
      </c>
      <c r="B12" s="28" t="s">
        <v>16</v>
      </c>
      <c r="C12" s="28">
        <v>404.5</v>
      </c>
      <c r="D12" s="28" t="s">
        <v>1217</v>
      </c>
      <c r="E12" s="28">
        <v>177.43</v>
      </c>
      <c r="F12" s="28">
        <v>48.35</v>
      </c>
      <c r="G12" s="28" t="s">
        <v>2393</v>
      </c>
      <c r="H12" s="28">
        <v>408.45</v>
      </c>
      <c r="I12" s="30">
        <f t="shared" si="1"/>
        <v>-9.2013486099434983E-3</v>
      </c>
      <c r="J12" s="30">
        <f t="shared" si="2"/>
        <v>-2.8394035693557671E-2</v>
      </c>
      <c r="K12" s="30">
        <f t="shared" si="3"/>
        <v>1.3198706545925528E-4</v>
      </c>
      <c r="L12" s="30">
        <f t="shared" si="4"/>
        <v>2.1131357268867026E-2</v>
      </c>
      <c r="M12" s="30">
        <f t="shared" si="5"/>
        <v>3.944410935564769E-2</v>
      </c>
      <c r="N12" s="30">
        <f t="shared" si="6"/>
        <v>-3.8405029472364524E-3</v>
      </c>
      <c r="O12" s="30">
        <f t="shared" si="7"/>
        <v>-4.2773815983286355E-2</v>
      </c>
    </row>
    <row r="13" spans="1:15" s="30" customFormat="1">
      <c r="A13" s="27">
        <v>46094</v>
      </c>
      <c r="B13" s="28" t="s">
        <v>17</v>
      </c>
      <c r="C13" s="28">
        <v>407.8</v>
      </c>
      <c r="D13" s="28" t="s">
        <v>1218</v>
      </c>
      <c r="E13" s="28">
        <v>182.14</v>
      </c>
      <c r="F13" s="28">
        <v>49.5</v>
      </c>
      <c r="G13" s="28" t="s">
        <v>2394</v>
      </c>
      <c r="H13" s="28">
        <v>410.25</v>
      </c>
      <c r="I13" s="30">
        <f t="shared" si="1"/>
        <v>-9.4688667602764801E-3</v>
      </c>
      <c r="J13" s="30">
        <f t="shared" si="2"/>
        <v>8.1251216418084266E-3</v>
      </c>
      <c r="K13" s="30">
        <f t="shared" si="3"/>
        <v>3.7750104109545601E-2</v>
      </c>
      <c r="L13" s="30">
        <f t="shared" si="4"/>
        <v>2.6199457204184342E-2</v>
      </c>
      <c r="M13" s="30">
        <f t="shared" si="5"/>
        <v>2.3506447675341317E-2</v>
      </c>
      <c r="N13" s="30">
        <f t="shared" si="6"/>
        <v>-6.5035790119677851E-3</v>
      </c>
      <c r="O13" s="30">
        <f t="shared" si="7"/>
        <v>4.3972221823219311E-3</v>
      </c>
    </row>
    <row r="14" spans="1:15" s="30" customFormat="1">
      <c r="A14" s="27">
        <v>46093</v>
      </c>
      <c r="B14" s="28" t="s">
        <v>18</v>
      </c>
      <c r="C14" s="28">
        <v>422.7</v>
      </c>
      <c r="D14" s="28" t="s">
        <v>1219</v>
      </c>
      <c r="E14" s="28">
        <v>188.06</v>
      </c>
      <c r="F14" s="28">
        <v>52.01</v>
      </c>
      <c r="G14" s="28" t="s">
        <v>2395</v>
      </c>
      <c r="H14" s="28">
        <v>424.15</v>
      </c>
      <c r="I14" s="30">
        <f t="shared" si="1"/>
        <v>1.1045834353745442E-2</v>
      </c>
      <c r="J14" s="30">
        <f t="shared" si="2"/>
        <v>3.588584943238942E-2</v>
      </c>
      <c r="K14" s="30">
        <f t="shared" si="3"/>
        <v>3.8885826382212128E-2</v>
      </c>
      <c r="L14" s="30">
        <f t="shared" si="4"/>
        <v>3.1985438709258393E-2</v>
      </c>
      <c r="M14" s="30">
        <f t="shared" si="5"/>
        <v>4.946333821033648E-2</v>
      </c>
      <c r="N14" s="30">
        <f t="shared" si="6"/>
        <v>1.7604079095604006E-2</v>
      </c>
      <c r="O14" s="30">
        <f t="shared" si="7"/>
        <v>3.3320436283543323E-2</v>
      </c>
    </row>
    <row r="15" spans="1:15" s="30" customFormat="1">
      <c r="A15" s="27">
        <v>46092</v>
      </c>
      <c r="B15" s="28" t="s">
        <v>19</v>
      </c>
      <c r="C15" s="28">
        <v>430.65</v>
      </c>
      <c r="D15" s="28" t="s">
        <v>1220</v>
      </c>
      <c r="E15" s="28">
        <v>187.02</v>
      </c>
      <c r="F15" s="28">
        <v>52.26</v>
      </c>
      <c r="G15" s="28" t="s">
        <v>2396</v>
      </c>
      <c r="H15" s="28">
        <v>428.5</v>
      </c>
      <c r="I15" s="30">
        <f t="shared" si="1"/>
        <v>4.8504541337494799E-3</v>
      </c>
      <c r="J15" s="30">
        <f t="shared" si="2"/>
        <v>1.8632987662438479E-2</v>
      </c>
      <c r="K15" s="30">
        <f t="shared" si="3"/>
        <v>6.5793718911319118E-3</v>
      </c>
      <c r="L15" s="30">
        <f t="shared" si="4"/>
        <v>-5.5454978416300434E-3</v>
      </c>
      <c r="M15" s="30">
        <f t="shared" si="5"/>
        <v>4.7952523074852333E-3</v>
      </c>
      <c r="N15" s="30">
        <f t="shared" si="6"/>
        <v>-1.245337514905559E-2</v>
      </c>
      <c r="O15" s="30">
        <f t="shared" si="7"/>
        <v>1.0203571784090796E-2</v>
      </c>
    </row>
    <row r="16" spans="1:15" s="30" customFormat="1">
      <c r="A16" s="27">
        <v>46091</v>
      </c>
      <c r="B16" s="28" t="s">
        <v>20</v>
      </c>
      <c r="C16" s="28">
        <v>436.7</v>
      </c>
      <c r="D16" s="28" t="s">
        <v>1221</v>
      </c>
      <c r="E16" s="28">
        <v>185.6</v>
      </c>
      <c r="F16" s="28">
        <v>51.56</v>
      </c>
      <c r="G16" s="28" t="s">
        <v>2397</v>
      </c>
      <c r="H16" s="28">
        <v>438.75</v>
      </c>
      <c r="I16" s="30">
        <f t="shared" si="1"/>
        <v>2.145282165622521E-2</v>
      </c>
      <c r="J16" s="30">
        <f t="shared" si="2"/>
        <v>1.3950765256332593E-2</v>
      </c>
      <c r="K16" s="30">
        <f t="shared" si="3"/>
        <v>1.9422756626260404E-2</v>
      </c>
      <c r="L16" s="30">
        <f t="shared" si="4"/>
        <v>-7.6217426552006263E-3</v>
      </c>
      <c r="M16" s="30">
        <f t="shared" si="5"/>
        <v>-1.3485082021479676E-2</v>
      </c>
      <c r="N16" s="30">
        <f t="shared" si="6"/>
        <v>4.2605582383343056E-3</v>
      </c>
      <c r="O16" s="30">
        <f t="shared" si="7"/>
        <v>2.3639036742241191E-2</v>
      </c>
    </row>
    <row r="17" spans="1:15" s="30" customFormat="1">
      <c r="A17" s="27">
        <v>46090</v>
      </c>
      <c r="B17" s="28" t="s">
        <v>21</v>
      </c>
      <c r="C17" s="28">
        <v>434.2</v>
      </c>
      <c r="D17" s="28" t="s">
        <v>1222</v>
      </c>
      <c r="E17" s="28">
        <v>185.33</v>
      </c>
      <c r="F17" s="28">
        <v>50.65</v>
      </c>
      <c r="G17" s="28" t="s">
        <v>2398</v>
      </c>
      <c r="H17" s="28">
        <v>432.55</v>
      </c>
      <c r="I17" s="30">
        <f t="shared" si="1"/>
        <v>-2.6483374844941406E-2</v>
      </c>
      <c r="J17" s="30">
        <f t="shared" si="2"/>
        <v>-5.7412030473237511E-3</v>
      </c>
      <c r="K17" s="30">
        <f t="shared" si="3"/>
        <v>-1.5495563026663103E-3</v>
      </c>
      <c r="L17" s="30">
        <f t="shared" si="4"/>
        <v>-1.4558005428812429E-3</v>
      </c>
      <c r="M17" s="30">
        <f t="shared" si="5"/>
        <v>-1.7806947376294326E-2</v>
      </c>
      <c r="N17" s="30">
        <f t="shared" si="6"/>
        <v>-6.3720817227494189E-2</v>
      </c>
      <c r="O17" s="30">
        <f t="shared" si="7"/>
        <v>-1.4231848153692217E-2</v>
      </c>
    </row>
    <row r="18" spans="1:15" s="30" customFormat="1">
      <c r="A18" s="27">
        <v>46087</v>
      </c>
      <c r="B18" s="28" t="s">
        <v>22</v>
      </c>
      <c r="C18" s="28">
        <v>440.3</v>
      </c>
      <c r="D18" s="28" t="s">
        <v>1223</v>
      </c>
      <c r="E18" s="28">
        <v>189.19</v>
      </c>
      <c r="F18" s="28">
        <v>52.65</v>
      </c>
      <c r="G18" s="28" t="s">
        <v>2399</v>
      </c>
      <c r="H18" s="28">
        <v>451.4</v>
      </c>
      <c r="I18" s="30">
        <f t="shared" si="1"/>
        <v>2.6088629341010756E-2</v>
      </c>
      <c r="J18" s="30">
        <f t="shared" si="2"/>
        <v>1.395105531751663E-2</v>
      </c>
      <c r="K18" s="30">
        <f t="shared" si="3"/>
        <v>4.1132097930299559E-2</v>
      </c>
      <c r="L18" s="30">
        <f t="shared" si="4"/>
        <v>2.0613781289108971E-2</v>
      </c>
      <c r="M18" s="30">
        <f t="shared" si="5"/>
        <v>3.8727007885292021E-2</v>
      </c>
      <c r="N18" s="30">
        <f t="shared" si="6"/>
        <v>2.1970898165640483E-2</v>
      </c>
      <c r="O18" s="30">
        <f t="shared" si="7"/>
        <v>4.2655937757051898E-2</v>
      </c>
    </row>
    <row r="19" spans="1:15" s="30" customFormat="1">
      <c r="A19" s="27">
        <v>46086</v>
      </c>
      <c r="B19" s="28" t="s">
        <v>23</v>
      </c>
      <c r="C19" s="28">
        <v>434.8</v>
      </c>
      <c r="D19" s="28" t="s">
        <v>1224</v>
      </c>
      <c r="E19" s="28">
        <v>193.38</v>
      </c>
      <c r="F19" s="28">
        <v>52.53</v>
      </c>
      <c r="G19" s="28" t="s">
        <v>2400</v>
      </c>
      <c r="H19" s="28">
        <v>452.95</v>
      </c>
      <c r="I19" s="30">
        <f t="shared" si="1"/>
        <v>3.6345364380769786E-3</v>
      </c>
      <c r="J19" s="30">
        <f t="shared" si="2"/>
        <v>-1.2570157514653763E-2</v>
      </c>
      <c r="K19" s="30">
        <f t="shared" si="3"/>
        <v>3.0219911540319905E-2</v>
      </c>
      <c r="L19" s="30">
        <f t="shared" si="4"/>
        <v>2.1905363957073525E-2</v>
      </c>
      <c r="M19" s="30">
        <f t="shared" si="5"/>
        <v>-2.2818036141142514E-3</v>
      </c>
      <c r="N19" s="30">
        <f t="shared" si="6"/>
        <v>2.1639615942936504E-2</v>
      </c>
      <c r="O19" s="30">
        <f t="shared" si="7"/>
        <v>3.4278797318614638E-3</v>
      </c>
    </row>
    <row r="20" spans="1:15" s="30" customFormat="1">
      <c r="A20" s="27">
        <v>46085</v>
      </c>
      <c r="B20" s="28" t="s">
        <v>24</v>
      </c>
      <c r="C20" s="28">
        <v>438.75</v>
      </c>
      <c r="D20" s="28" t="s">
        <v>1225</v>
      </c>
      <c r="E20" s="28">
        <v>194.93</v>
      </c>
      <c r="F20" s="28">
        <v>52.94</v>
      </c>
      <c r="G20" s="28" t="s">
        <v>2401</v>
      </c>
      <c r="H20" s="28">
        <v>437.8</v>
      </c>
      <c r="I20" s="30">
        <f t="shared" si="1"/>
        <v>-1.137109241265703E-3</v>
      </c>
      <c r="J20" s="30">
        <f t="shared" si="2"/>
        <v>9.0436195330211716E-3</v>
      </c>
      <c r="K20" s="30">
        <f t="shared" si="3"/>
        <v>8.8466793937366818E-3</v>
      </c>
      <c r="L20" s="30">
        <f t="shared" si="4"/>
        <v>7.9833547026521741E-3</v>
      </c>
      <c r="M20" s="30">
        <f t="shared" si="5"/>
        <v>7.7747618330849758E-3</v>
      </c>
      <c r="N20" s="30">
        <f t="shared" si="6"/>
        <v>2.0594096064976541E-2</v>
      </c>
      <c r="O20" s="30">
        <f t="shared" si="7"/>
        <v>-3.4019559026534217E-2</v>
      </c>
    </row>
    <row r="21" spans="1:15" s="30" customFormat="1">
      <c r="A21" s="27">
        <v>46083</v>
      </c>
      <c r="B21" s="28" t="s">
        <v>25</v>
      </c>
      <c r="C21" s="28">
        <v>447.4</v>
      </c>
      <c r="D21" s="28" t="s">
        <v>1226</v>
      </c>
      <c r="E21" s="28">
        <v>196.31</v>
      </c>
      <c r="F21" s="28">
        <v>54.02</v>
      </c>
      <c r="G21" s="28" t="s">
        <v>2402</v>
      </c>
      <c r="H21" s="28">
        <v>439</v>
      </c>
      <c r="I21" s="30">
        <f t="shared" si="1"/>
        <v>9.5377767212553952E-3</v>
      </c>
      <c r="J21" s="30">
        <f t="shared" si="2"/>
        <v>1.9523274275953614E-2</v>
      </c>
      <c r="K21" s="30">
        <f t="shared" si="3"/>
        <v>1.0894964191608932E-2</v>
      </c>
      <c r="L21" s="30">
        <f t="shared" si="4"/>
        <v>7.0545226618883485E-3</v>
      </c>
      <c r="M21" s="30">
        <f t="shared" si="5"/>
        <v>2.0195151565514349E-2</v>
      </c>
      <c r="N21" s="30">
        <f t="shared" si="6"/>
        <v>-5.5292533461082853E-4</v>
      </c>
      <c r="O21" s="30">
        <f t="shared" si="7"/>
        <v>2.7372279864088371E-3</v>
      </c>
    </row>
    <row r="22" spans="1:15" s="30" customFormat="1">
      <c r="A22" s="27">
        <v>46080</v>
      </c>
      <c r="B22" s="28" t="s">
        <v>26</v>
      </c>
      <c r="C22" s="28">
        <v>456.1</v>
      </c>
      <c r="D22" s="28" t="s">
        <v>1227</v>
      </c>
      <c r="E22" s="28">
        <v>203.51</v>
      </c>
      <c r="F22" s="28">
        <v>55.41</v>
      </c>
      <c r="G22" s="28" t="s">
        <v>2403</v>
      </c>
      <c r="H22" s="28">
        <v>457.25</v>
      </c>
      <c r="I22" s="30">
        <f t="shared" si="1"/>
        <v>2.9511248452624126E-2</v>
      </c>
      <c r="J22" s="30">
        <f t="shared" si="2"/>
        <v>1.9259034661625606E-2</v>
      </c>
      <c r="K22" s="30">
        <f t="shared" si="3"/>
        <v>2.0000127583730789E-2</v>
      </c>
      <c r="L22" s="30">
        <f t="shared" si="4"/>
        <v>3.6020101304515037E-2</v>
      </c>
      <c r="M22" s="30">
        <f t="shared" si="5"/>
        <v>2.5405734514788701E-2</v>
      </c>
      <c r="N22" s="30">
        <f t="shared" si="6"/>
        <v>1.4550203504953618E-2</v>
      </c>
      <c r="O22" s="30">
        <f t="shared" si="7"/>
        <v>4.0730874195803658E-2</v>
      </c>
    </row>
    <row r="23" spans="1:15" s="30" customFormat="1">
      <c r="A23" s="27">
        <v>46079</v>
      </c>
      <c r="B23" s="28" t="s">
        <v>27</v>
      </c>
      <c r="C23" s="28">
        <v>459.25</v>
      </c>
      <c r="D23" s="28" t="s">
        <v>1228</v>
      </c>
      <c r="E23" s="28">
        <v>200.41</v>
      </c>
      <c r="F23" s="28">
        <v>57.08</v>
      </c>
      <c r="G23" s="28" t="s">
        <v>2404</v>
      </c>
      <c r="H23" s="28">
        <v>458.25</v>
      </c>
      <c r="I23" s="30">
        <f t="shared" si="1"/>
        <v>7.8389032956759641E-3</v>
      </c>
      <c r="J23" s="30">
        <f t="shared" si="2"/>
        <v>6.8826403775802151E-3</v>
      </c>
      <c r="K23" s="30">
        <f t="shared" si="3"/>
        <v>1.1357124673073824E-2</v>
      </c>
      <c r="L23" s="30">
        <f t="shared" si="4"/>
        <v>-1.5349875559120011E-2</v>
      </c>
      <c r="M23" s="30">
        <f t="shared" si="5"/>
        <v>2.9693709729377418E-2</v>
      </c>
      <c r="N23" s="30">
        <f t="shared" si="6"/>
        <v>3.1257784731599805E-2</v>
      </c>
      <c r="O23" s="30">
        <f t="shared" si="7"/>
        <v>2.1845994488393834E-3</v>
      </c>
    </row>
    <row r="24" spans="1:15" s="30" customFormat="1">
      <c r="A24" s="27">
        <v>46078</v>
      </c>
      <c r="B24" s="28" t="s">
        <v>28</v>
      </c>
      <c r="C24" s="28">
        <v>456.05</v>
      </c>
      <c r="D24" s="28" t="s">
        <v>1229</v>
      </c>
      <c r="E24" s="28">
        <v>200.64</v>
      </c>
      <c r="F24" s="28">
        <v>56.05</v>
      </c>
      <c r="G24" s="28" t="s">
        <v>2405</v>
      </c>
      <c r="H24" s="28">
        <v>459.35</v>
      </c>
      <c r="I24" s="30">
        <f t="shared" si="1"/>
        <v>8.937352944723212E-3</v>
      </c>
      <c r="J24" s="30">
        <f t="shared" si="2"/>
        <v>-6.9922714690675951E-3</v>
      </c>
      <c r="K24" s="30">
        <f t="shared" si="3"/>
        <v>4.2207450241454089E-4</v>
      </c>
      <c r="L24" s="30">
        <f t="shared" si="4"/>
        <v>1.1469892792188999E-3</v>
      </c>
      <c r="M24" s="30">
        <f t="shared" si="5"/>
        <v>-1.8209643090466812E-2</v>
      </c>
      <c r="N24" s="30">
        <f t="shared" si="6"/>
        <v>2.042721571111436E-2</v>
      </c>
      <c r="O24" s="30">
        <f t="shared" si="7"/>
        <v>2.3975599976611313E-3</v>
      </c>
    </row>
    <row r="25" spans="1:15" s="30" customFormat="1">
      <c r="A25" s="27">
        <v>46077</v>
      </c>
      <c r="B25" s="28" t="s">
        <v>29</v>
      </c>
      <c r="C25" s="28">
        <v>462.7</v>
      </c>
      <c r="D25" s="28" t="s">
        <v>1230</v>
      </c>
      <c r="E25" s="28">
        <v>197.66</v>
      </c>
      <c r="F25" s="28">
        <v>55.48</v>
      </c>
      <c r="G25" s="28" t="s">
        <v>2406</v>
      </c>
      <c r="H25" s="28">
        <v>464.3</v>
      </c>
      <c r="I25" s="30">
        <f t="shared" si="1"/>
        <v>-1.3666013101107579E-3</v>
      </c>
      <c r="J25" s="30">
        <f t="shared" si="2"/>
        <v>1.4476443286786525E-2</v>
      </c>
      <c r="K25" s="30">
        <f t="shared" si="3"/>
        <v>4.2189643068572726E-4</v>
      </c>
      <c r="L25" s="30">
        <f t="shared" si="4"/>
        <v>-1.496387449651802E-2</v>
      </c>
      <c r="M25" s="30">
        <f t="shared" si="5"/>
        <v>-1.0221554071538028E-2</v>
      </c>
      <c r="N25" s="30">
        <f t="shared" si="6"/>
        <v>8.6329617464642548E-3</v>
      </c>
      <c r="O25" s="30">
        <f t="shared" si="7"/>
        <v>1.0718448308400495E-2</v>
      </c>
    </row>
    <row r="26" spans="1:15" s="30" customFormat="1">
      <c r="A26" s="27">
        <v>46076</v>
      </c>
      <c r="B26" s="28" t="s">
        <v>30</v>
      </c>
      <c r="C26" s="28">
        <v>464.8</v>
      </c>
      <c r="D26" s="28" t="s">
        <v>1231</v>
      </c>
      <c r="E26" s="28">
        <v>199.64</v>
      </c>
      <c r="F26" s="28">
        <v>56.85</v>
      </c>
      <c r="G26" s="28" t="s">
        <v>2407</v>
      </c>
      <c r="H26" s="28">
        <v>467.9</v>
      </c>
      <c r="I26" s="30">
        <f t="shared" si="1"/>
        <v>6.8555649685784412E-3</v>
      </c>
      <c r="J26" s="30">
        <f t="shared" si="2"/>
        <v>4.5283096247476099E-3</v>
      </c>
      <c r="K26" s="30">
        <f t="shared" si="3"/>
        <v>2.7379966557167412E-3</v>
      </c>
      <c r="L26" s="30">
        <f t="shared" si="4"/>
        <v>9.9673616533706606E-3</v>
      </c>
      <c r="M26" s="30">
        <f t="shared" si="5"/>
        <v>2.4393624749914352E-2</v>
      </c>
      <c r="N26" s="30">
        <f t="shared" si="6"/>
        <v>-1.0219467073486581E-2</v>
      </c>
      <c r="O26" s="30">
        <f t="shared" si="7"/>
        <v>7.7237028462945551E-3</v>
      </c>
    </row>
    <row r="27" spans="1:15" s="30" customFormat="1">
      <c r="A27" s="27">
        <v>46073</v>
      </c>
      <c r="B27" s="28" t="s">
        <v>31</v>
      </c>
      <c r="C27" s="28">
        <v>455.45</v>
      </c>
      <c r="D27" s="28" t="s">
        <v>1232</v>
      </c>
      <c r="E27" s="28">
        <v>198.69</v>
      </c>
      <c r="F27" s="28">
        <v>57.26</v>
      </c>
      <c r="G27" s="28" t="s">
        <v>2408</v>
      </c>
      <c r="H27" s="28">
        <v>458.85</v>
      </c>
      <c r="I27" s="30">
        <f t="shared" si="1"/>
        <v>-6.5873443034186838E-4</v>
      </c>
      <c r="J27" s="30">
        <f t="shared" si="2"/>
        <v>-2.0321264346882702E-2</v>
      </c>
      <c r="K27" s="30">
        <f t="shared" si="3"/>
        <v>-7.2827383998978383E-3</v>
      </c>
      <c r="L27" s="30">
        <f t="shared" si="4"/>
        <v>-4.7699234364106556E-3</v>
      </c>
      <c r="M27" s="30">
        <f t="shared" si="5"/>
        <v>7.1860794734238927E-3</v>
      </c>
      <c r="N27" s="30">
        <f t="shared" si="6"/>
        <v>-1.0324983833610857E-2</v>
      </c>
      <c r="O27" s="30">
        <f t="shared" si="7"/>
        <v>-1.9531238607148307E-2</v>
      </c>
    </row>
    <row r="28" spans="1:15" s="30" customFormat="1">
      <c r="A28" s="27">
        <v>46072</v>
      </c>
      <c r="B28" s="28" t="s">
        <v>32</v>
      </c>
      <c r="C28" s="28">
        <v>457.45</v>
      </c>
      <c r="D28" s="28" t="s">
        <v>1233</v>
      </c>
      <c r="E28" s="28">
        <v>200.5</v>
      </c>
      <c r="F28" s="28">
        <v>57.58</v>
      </c>
      <c r="G28" s="28" t="s">
        <v>2409</v>
      </c>
      <c r="H28" s="28">
        <v>466</v>
      </c>
      <c r="I28" s="30">
        <f t="shared" si="1"/>
        <v>-1.1307043366554482E-2</v>
      </c>
      <c r="J28" s="30">
        <f t="shared" si="2"/>
        <v>4.3816479347254357E-3</v>
      </c>
      <c r="K28" s="30">
        <f t="shared" si="3"/>
        <v>2.2519935723068468E-2</v>
      </c>
      <c r="L28" s="30">
        <f t="shared" si="4"/>
        <v>9.0684255816260301E-3</v>
      </c>
      <c r="M28" s="30">
        <f t="shared" si="5"/>
        <v>5.5729855140608468E-3</v>
      </c>
      <c r="N28" s="30">
        <f t="shared" si="6"/>
        <v>-4.6598712615641543E-3</v>
      </c>
      <c r="O28" s="30">
        <f t="shared" si="7"/>
        <v>1.5462274860623655E-2</v>
      </c>
    </row>
    <row r="29" spans="1:15" s="30" customFormat="1">
      <c r="A29" s="27">
        <v>46071</v>
      </c>
      <c r="B29" s="28" t="s">
        <v>33</v>
      </c>
      <c r="C29" s="28">
        <v>460.4</v>
      </c>
      <c r="D29" s="28" t="s">
        <v>1234</v>
      </c>
      <c r="E29" s="28">
        <v>201.38</v>
      </c>
      <c r="F29" s="28">
        <v>59.54</v>
      </c>
      <c r="G29" s="28" t="s">
        <v>2410</v>
      </c>
      <c r="H29" s="28">
        <v>468</v>
      </c>
      <c r="I29" s="30">
        <f t="shared" si="1"/>
        <v>1.2953066535613587E-2</v>
      </c>
      <c r="J29" s="30">
        <f t="shared" si="2"/>
        <v>6.4280877221833659E-3</v>
      </c>
      <c r="K29" s="30">
        <f t="shared" si="3"/>
        <v>9.2784170790463395E-3</v>
      </c>
      <c r="L29" s="30">
        <f t="shared" si="4"/>
        <v>4.379423740844845E-3</v>
      </c>
      <c r="M29" s="30">
        <f t="shared" si="5"/>
        <v>3.3473070403600445E-2</v>
      </c>
      <c r="N29" s="30">
        <f t="shared" si="6"/>
        <v>8.5483202932213065E-3</v>
      </c>
      <c r="O29" s="30">
        <f t="shared" si="7"/>
        <v>4.2826617920009493E-3</v>
      </c>
    </row>
    <row r="30" spans="1:15" s="30" customFormat="1">
      <c r="A30" s="27">
        <v>46070</v>
      </c>
      <c r="B30" s="28" t="s">
        <v>34</v>
      </c>
      <c r="C30" s="28">
        <v>463.4</v>
      </c>
      <c r="D30" s="28" t="s">
        <v>1235</v>
      </c>
      <c r="E30" s="28">
        <v>202.39</v>
      </c>
      <c r="F30" s="28">
        <v>59.89</v>
      </c>
      <c r="G30" s="28" t="s">
        <v>2411</v>
      </c>
      <c r="H30" s="28">
        <v>467.3</v>
      </c>
      <c r="I30" s="30">
        <f t="shared" si="1"/>
        <v>2.1768157276308379E-3</v>
      </c>
      <c r="J30" s="30">
        <f t="shared" si="2"/>
        <v>6.4949351505482053E-3</v>
      </c>
      <c r="K30" s="30">
        <f t="shared" si="3"/>
        <v>3.5851510872017488E-3</v>
      </c>
      <c r="L30" s="30">
        <f t="shared" si="4"/>
        <v>5.0028585906455019E-3</v>
      </c>
      <c r="M30" s="30">
        <f t="shared" si="5"/>
        <v>5.8611906887406414E-3</v>
      </c>
      <c r="N30" s="30">
        <f t="shared" si="6"/>
        <v>-1.0424956727230504E-2</v>
      </c>
      <c r="O30" s="30">
        <f t="shared" si="7"/>
        <v>-1.4968462112662456E-3</v>
      </c>
    </row>
    <row r="31" spans="1:15" s="30" customFormat="1">
      <c r="A31" s="27">
        <v>46069</v>
      </c>
      <c r="B31" s="28" t="s">
        <v>35</v>
      </c>
      <c r="C31" s="28">
        <v>462.4</v>
      </c>
      <c r="D31" s="28" t="s">
        <v>1236</v>
      </c>
      <c r="E31" s="28">
        <v>203.42</v>
      </c>
      <c r="F31" s="28">
        <v>59.14</v>
      </c>
      <c r="G31" s="28" t="s">
        <v>1146</v>
      </c>
      <c r="H31" s="28">
        <v>473.4</v>
      </c>
      <c r="I31" s="30">
        <f t="shared" si="1"/>
        <v>-1.6630507805371928E-2</v>
      </c>
      <c r="J31" s="30">
        <f t="shared" si="2"/>
        <v>-2.1602946401080834E-3</v>
      </c>
      <c r="K31" s="30">
        <f t="shared" si="3"/>
        <v>9.5655557899450502E-3</v>
      </c>
      <c r="L31" s="30">
        <f t="shared" si="4"/>
        <v>5.0762781193359396E-3</v>
      </c>
      <c r="M31" s="30">
        <f t="shared" si="5"/>
        <v>-1.2602031852039853E-2</v>
      </c>
      <c r="N31" s="30">
        <f t="shared" si="6"/>
        <v>-4.2601738776627627E-3</v>
      </c>
      <c r="O31" s="30">
        <f t="shared" si="7"/>
        <v>1.2969247373502985E-2</v>
      </c>
    </row>
    <row r="32" spans="1:15" s="30" customFormat="1">
      <c r="A32" s="27">
        <v>46066</v>
      </c>
      <c r="B32" s="28" t="s">
        <v>36</v>
      </c>
      <c r="C32" s="28">
        <v>462</v>
      </c>
      <c r="D32" s="28" t="s">
        <v>1237</v>
      </c>
      <c r="E32" s="28">
        <v>200.03</v>
      </c>
      <c r="F32" s="28">
        <v>61.1</v>
      </c>
      <c r="G32" s="28" t="s">
        <v>2412</v>
      </c>
      <c r="H32" s="28">
        <v>472.6</v>
      </c>
      <c r="I32" s="30">
        <f t="shared" si="1"/>
        <v>-1.2931576627494683E-2</v>
      </c>
      <c r="J32" s="30">
        <f t="shared" si="2"/>
        <v>-8.6542627642882187E-4</v>
      </c>
      <c r="K32" s="30">
        <f t="shared" si="3"/>
        <v>-1.4588373996819157E-2</v>
      </c>
      <c r="L32" s="30">
        <f t="shared" si="4"/>
        <v>-1.6805451898288488E-2</v>
      </c>
      <c r="M32" s="30">
        <f t="shared" si="5"/>
        <v>3.2604351753218491E-2</v>
      </c>
      <c r="N32" s="30">
        <f t="shared" si="6"/>
        <v>-2.3676283847506641E-2</v>
      </c>
      <c r="O32" s="30">
        <f t="shared" si="7"/>
        <v>-1.6913323270759751E-3</v>
      </c>
    </row>
    <row r="33" spans="1:15" s="30" customFormat="1">
      <c r="A33" s="27">
        <v>46065</v>
      </c>
      <c r="B33" s="28" t="s">
        <v>37</v>
      </c>
      <c r="C33" s="28">
        <v>460.75</v>
      </c>
      <c r="D33" s="28" t="s">
        <v>1238</v>
      </c>
      <c r="E33" s="28">
        <v>202.42</v>
      </c>
      <c r="F33" s="28">
        <v>62.72</v>
      </c>
      <c r="G33" s="28" t="s">
        <v>2413</v>
      </c>
      <c r="H33" s="28">
        <v>478.2</v>
      </c>
      <c r="I33" s="30">
        <f t="shared" si="1"/>
        <v>1.8464381889141505E-2</v>
      </c>
      <c r="J33" s="30">
        <f t="shared" si="2"/>
        <v>-2.7092945318061366E-3</v>
      </c>
      <c r="K33" s="30">
        <f t="shared" si="3"/>
        <v>2.4665041284078773E-2</v>
      </c>
      <c r="L33" s="30">
        <f t="shared" si="4"/>
        <v>1.1877391461593558E-2</v>
      </c>
      <c r="M33" s="30">
        <f t="shared" si="5"/>
        <v>2.6168509864602764E-2</v>
      </c>
      <c r="N33" s="30">
        <f t="shared" si="6"/>
        <v>1.660207509983962E-2</v>
      </c>
      <c r="O33" s="30">
        <f t="shared" si="7"/>
        <v>1.177969027141673E-2</v>
      </c>
    </row>
    <row r="34" spans="1:15" s="30" customFormat="1">
      <c r="A34" s="27">
        <v>46064</v>
      </c>
      <c r="B34" s="28" t="s">
        <v>38</v>
      </c>
      <c r="C34" s="28">
        <v>458.5</v>
      </c>
      <c r="D34" s="28" t="s">
        <v>1239</v>
      </c>
      <c r="E34" s="28">
        <v>206.44</v>
      </c>
      <c r="F34" s="28">
        <v>63.27</v>
      </c>
      <c r="G34" s="28" t="s">
        <v>2414</v>
      </c>
      <c r="H34" s="28">
        <v>479.5</v>
      </c>
      <c r="I34" s="30">
        <f t="shared" si="1"/>
        <v>-7.4953505185676736E-3</v>
      </c>
      <c r="J34" s="30">
        <f t="shared" si="2"/>
        <v>-4.8953048534131297E-3</v>
      </c>
      <c r="K34" s="30">
        <f t="shared" si="3"/>
        <v>1.1662230358460932E-2</v>
      </c>
      <c r="L34" s="30">
        <f t="shared" si="4"/>
        <v>1.9665066519771394E-2</v>
      </c>
      <c r="M34" s="30">
        <f t="shared" si="5"/>
        <v>8.7309071166405162E-3</v>
      </c>
      <c r="N34" s="30">
        <f t="shared" si="6"/>
        <v>2.6660446053861363E-4</v>
      </c>
      <c r="O34" s="30">
        <f t="shared" si="7"/>
        <v>2.7148392992685675E-3</v>
      </c>
    </row>
    <row r="35" spans="1:15" s="30" customFormat="1">
      <c r="A35" s="27">
        <v>46063</v>
      </c>
      <c r="B35" s="28" t="s">
        <v>39</v>
      </c>
      <c r="C35" s="28">
        <v>458.65</v>
      </c>
      <c r="D35" s="28" t="s">
        <v>1240</v>
      </c>
      <c r="E35" s="28">
        <v>211.9</v>
      </c>
      <c r="F35" s="28">
        <v>63.86</v>
      </c>
      <c r="G35" s="28" t="s">
        <v>2415</v>
      </c>
      <c r="H35" s="28">
        <v>480.2</v>
      </c>
      <c r="I35" s="30">
        <f t="shared" si="1"/>
        <v>4.596644530487201E-4</v>
      </c>
      <c r="J35" s="30">
        <f t="shared" si="2"/>
        <v>3.2710025914498161E-4</v>
      </c>
      <c r="K35" s="30">
        <f t="shared" si="3"/>
        <v>2.1858258146375542E-2</v>
      </c>
      <c r="L35" s="30">
        <f t="shared" si="4"/>
        <v>2.6104651993727034E-2</v>
      </c>
      <c r="M35" s="30">
        <f t="shared" si="5"/>
        <v>9.281904127843011E-3</v>
      </c>
      <c r="N35" s="30">
        <f t="shared" si="6"/>
        <v>7.0392427997211862E-3</v>
      </c>
      <c r="O35" s="30">
        <f t="shared" si="7"/>
        <v>1.4587894636598666E-3</v>
      </c>
    </row>
    <row r="36" spans="1:15" s="30" customFormat="1">
      <c r="A36" s="27">
        <v>46062</v>
      </c>
      <c r="B36" s="28" t="s">
        <v>40</v>
      </c>
      <c r="C36" s="28">
        <v>467.15</v>
      </c>
      <c r="D36" s="28" t="s">
        <v>1241</v>
      </c>
      <c r="E36" s="28">
        <v>212.59</v>
      </c>
      <c r="F36" s="28">
        <v>65.13</v>
      </c>
      <c r="G36" s="28" t="s">
        <v>1117</v>
      </c>
      <c r="H36" s="28">
        <v>469.1</v>
      </c>
      <c r="I36" s="30">
        <f t="shared" si="1"/>
        <v>9.8940736451985367E-3</v>
      </c>
      <c r="J36" s="30">
        <f t="shared" si="2"/>
        <v>1.8363013283300113E-2</v>
      </c>
      <c r="K36" s="30">
        <f t="shared" si="3"/>
        <v>8.1112843327567474E-3</v>
      </c>
      <c r="L36" s="30">
        <f t="shared" si="4"/>
        <v>3.2509628387172146E-3</v>
      </c>
      <c r="M36" s="30">
        <f t="shared" si="5"/>
        <v>1.9692085271674046E-2</v>
      </c>
      <c r="N36" s="30">
        <f t="shared" si="6"/>
        <v>-1.5606038825933239E-2</v>
      </c>
      <c r="O36" s="30">
        <f t="shared" si="7"/>
        <v>-2.3386718452740391E-2</v>
      </c>
    </row>
    <row r="37" spans="1:15" s="30" customFormat="1">
      <c r="A37" s="27">
        <v>46059</v>
      </c>
      <c r="B37" s="28" t="s">
        <v>41</v>
      </c>
      <c r="C37" s="28">
        <v>472.4</v>
      </c>
      <c r="D37" s="28" t="s">
        <v>1242</v>
      </c>
      <c r="E37" s="28">
        <v>214.35</v>
      </c>
      <c r="F37" s="28">
        <v>62.6</v>
      </c>
      <c r="G37" s="28" t="s">
        <v>2416</v>
      </c>
      <c r="H37" s="28">
        <v>465.5</v>
      </c>
      <c r="I37" s="30">
        <f t="shared" si="1"/>
        <v>-6.7656167586256002E-3</v>
      </c>
      <c r="J37" s="30">
        <f t="shared" si="2"/>
        <v>1.1175679084242537E-2</v>
      </c>
      <c r="K37" s="30">
        <f t="shared" si="3"/>
        <v>-3.0167758535281752E-2</v>
      </c>
      <c r="L37" s="30">
        <f t="shared" si="4"/>
        <v>8.2447649310153186E-3</v>
      </c>
      <c r="M37" s="30">
        <f t="shared" si="5"/>
        <v>-3.961999445225721E-2</v>
      </c>
      <c r="N37" s="30">
        <f t="shared" si="6"/>
        <v>-1.9308042851261392E-2</v>
      </c>
      <c r="O37" s="30">
        <f t="shared" si="7"/>
        <v>-7.7038686172905928E-3</v>
      </c>
    </row>
    <row r="38" spans="1:15" s="30" customFormat="1">
      <c r="A38" s="27">
        <v>46058</v>
      </c>
      <c r="B38" s="28" t="s">
        <v>33</v>
      </c>
      <c r="C38" s="28">
        <v>472.3</v>
      </c>
      <c r="D38" s="28" t="s">
        <v>1243</v>
      </c>
      <c r="E38" s="28">
        <v>218.31</v>
      </c>
      <c r="F38" s="28">
        <v>61.14</v>
      </c>
      <c r="G38" s="28" t="s">
        <v>2417</v>
      </c>
      <c r="H38" s="28">
        <v>479.05</v>
      </c>
      <c r="I38" s="30">
        <f t="shared" si="1"/>
        <v>1.2828115995040074E-2</v>
      </c>
      <c r="J38" s="30">
        <f t="shared" si="2"/>
        <v>-2.1170742113578954E-4</v>
      </c>
      <c r="K38" s="30">
        <f t="shared" si="3"/>
        <v>2.5737491934666088E-3</v>
      </c>
      <c r="L38" s="30">
        <f t="shared" si="4"/>
        <v>1.8305877983118651E-2</v>
      </c>
      <c r="M38" s="30">
        <f t="shared" si="5"/>
        <v>-2.3598961643364377E-2</v>
      </c>
      <c r="N38" s="30">
        <f t="shared" si="6"/>
        <v>-3.3197635700793378E-2</v>
      </c>
      <c r="O38" s="30">
        <f t="shared" si="7"/>
        <v>2.869287937976063E-2</v>
      </c>
    </row>
    <row r="39" spans="1:15" s="30" customFormat="1">
      <c r="A39" s="27">
        <v>46057</v>
      </c>
      <c r="B39" s="28" t="s">
        <v>42</v>
      </c>
      <c r="C39" s="28">
        <v>480.1</v>
      </c>
      <c r="D39" s="28" t="s">
        <v>1244</v>
      </c>
      <c r="E39" s="28">
        <v>222.07</v>
      </c>
      <c r="F39" s="28">
        <v>63.44</v>
      </c>
      <c r="G39" s="28" t="s">
        <v>905</v>
      </c>
      <c r="H39" s="28">
        <v>477.15</v>
      </c>
      <c r="I39" s="30">
        <f t="shared" si="1"/>
        <v>8.4343768921198957E-3</v>
      </c>
      <c r="J39" s="30">
        <f t="shared" si="2"/>
        <v>1.6380038634823197E-2</v>
      </c>
      <c r="K39" s="30">
        <f t="shared" si="3"/>
        <v>1.2379800473591744E-2</v>
      </c>
      <c r="L39" s="30">
        <f t="shared" si="4"/>
        <v>1.7076576459063453E-2</v>
      </c>
      <c r="M39" s="30">
        <f t="shared" si="5"/>
        <v>3.6928260863903981E-2</v>
      </c>
      <c r="N39" s="30">
        <f t="shared" si="6"/>
        <v>2.4456742442273725E-2</v>
      </c>
      <c r="O39" s="30">
        <f t="shared" si="7"/>
        <v>-3.9740692336196239E-3</v>
      </c>
    </row>
    <row r="40" spans="1:15" s="30" customFormat="1">
      <c r="A40" s="27">
        <v>46056</v>
      </c>
      <c r="B40" s="28" t="s">
        <v>43</v>
      </c>
      <c r="C40" s="28">
        <v>480.05</v>
      </c>
      <c r="D40" s="28" t="s">
        <v>1245</v>
      </c>
      <c r="E40" s="28">
        <v>228.14</v>
      </c>
      <c r="F40" s="28">
        <v>62.96</v>
      </c>
      <c r="G40" s="28" t="s">
        <v>2418</v>
      </c>
      <c r="H40" s="28">
        <v>474.05</v>
      </c>
      <c r="I40" s="30">
        <f t="shared" si="1"/>
        <v>-1.0945648049895474E-2</v>
      </c>
      <c r="J40" s="30">
        <f t="shared" si="2"/>
        <v>-1.0415039326185823E-4</v>
      </c>
      <c r="K40" s="30">
        <f t="shared" si="3"/>
        <v>5.647532050364266E-3</v>
      </c>
      <c r="L40" s="30">
        <f t="shared" si="4"/>
        <v>2.6966828113583492E-2</v>
      </c>
      <c r="M40" s="30">
        <f t="shared" si="5"/>
        <v>-7.5949732174447485E-3</v>
      </c>
      <c r="N40" s="30">
        <f t="shared" si="6"/>
        <v>-1.4062187866249631E-2</v>
      </c>
      <c r="O40" s="30">
        <f t="shared" si="7"/>
        <v>-6.518105499294608E-3</v>
      </c>
    </row>
    <row r="41" spans="1:15" s="30" customFormat="1">
      <c r="A41" s="27">
        <v>46055</v>
      </c>
      <c r="B41" s="28" t="s">
        <v>44</v>
      </c>
      <c r="C41" s="28">
        <v>466.15</v>
      </c>
      <c r="D41" s="28" t="s">
        <v>1246</v>
      </c>
      <c r="E41" s="28">
        <v>234.17</v>
      </c>
      <c r="F41" s="28">
        <v>60.46</v>
      </c>
      <c r="G41" s="28" t="s">
        <v>2419</v>
      </c>
      <c r="H41" s="28">
        <v>455.5</v>
      </c>
      <c r="I41" s="30">
        <f t="shared" si="1"/>
        <v>-9.9420868640665346E-3</v>
      </c>
      <c r="J41" s="30">
        <f t="shared" si="2"/>
        <v>-2.9382794400930268E-2</v>
      </c>
      <c r="K41" s="30">
        <f t="shared" si="3"/>
        <v>2.4244787127028294E-3</v>
      </c>
      <c r="L41" s="30">
        <f t="shared" si="4"/>
        <v>2.608787171416924E-2</v>
      </c>
      <c r="M41" s="30">
        <f t="shared" si="5"/>
        <v>-4.0517614757835836E-2</v>
      </c>
      <c r="N41" s="30">
        <f t="shared" si="6"/>
        <v>-1.1883283051747094E-2</v>
      </c>
      <c r="O41" s="30">
        <f t="shared" si="7"/>
        <v>-3.991708466395516E-2</v>
      </c>
    </row>
    <row r="42" spans="1:15" s="30" customFormat="1">
      <c r="A42" s="27">
        <v>46054</v>
      </c>
      <c r="B42" s="28" t="s">
        <v>45</v>
      </c>
      <c r="C42" s="28">
        <v>462.85</v>
      </c>
      <c r="D42" s="28" t="s">
        <v>1247</v>
      </c>
      <c r="E42" s="28">
        <v>225.38</v>
      </c>
      <c r="F42" s="28">
        <v>61.96</v>
      </c>
      <c r="G42" s="28" t="s">
        <v>2420</v>
      </c>
      <c r="H42" s="28">
        <v>456.6</v>
      </c>
      <c r="I42" s="30">
        <f t="shared" si="1"/>
        <v>-1.8912099703797786E-2</v>
      </c>
      <c r="J42" s="30">
        <f t="shared" si="2"/>
        <v>-7.1044432294822936E-3</v>
      </c>
      <c r="K42" s="30">
        <f t="shared" si="3"/>
        <v>-7.7519383726929662E-4</v>
      </c>
      <c r="L42" s="30">
        <f t="shared" si="4"/>
        <v>-3.8259480789717852E-2</v>
      </c>
      <c r="M42" s="30">
        <f t="shared" si="5"/>
        <v>2.4507026197355852E-2</v>
      </c>
      <c r="N42" s="30">
        <f t="shared" si="6"/>
        <v>-3.4059354763444606E-2</v>
      </c>
      <c r="O42" s="30">
        <f t="shared" si="7"/>
        <v>2.4120173956821865E-3</v>
      </c>
    </row>
    <row r="43" spans="1:15" s="30" customFormat="1">
      <c r="A43" s="27">
        <v>46052</v>
      </c>
      <c r="B43" s="28" t="s">
        <v>46</v>
      </c>
      <c r="C43" s="28">
        <v>462.9</v>
      </c>
      <c r="D43" s="28" t="s">
        <v>1248</v>
      </c>
      <c r="E43" s="28">
        <v>230.19</v>
      </c>
      <c r="F43" s="28">
        <v>61.1</v>
      </c>
      <c r="G43" s="28" t="s">
        <v>2421</v>
      </c>
      <c r="H43" s="28">
        <v>463.85</v>
      </c>
      <c r="I43" s="30">
        <f t="shared" si="1"/>
        <v>2.9801800094886251E-2</v>
      </c>
      <c r="J43" s="30">
        <f t="shared" si="2"/>
        <v>1.0802052400455398E-4</v>
      </c>
      <c r="K43" s="30">
        <f t="shared" si="3"/>
        <v>1.2331562817784279E-2</v>
      </c>
      <c r="L43" s="30">
        <f t="shared" si="4"/>
        <v>2.1117188333480388E-2</v>
      </c>
      <c r="M43" s="30">
        <f t="shared" si="5"/>
        <v>-1.3977149371118243E-2</v>
      </c>
      <c r="N43" s="30">
        <f t="shared" si="6"/>
        <v>2.7261086869611012E-2</v>
      </c>
      <c r="O43" s="30">
        <f t="shared" si="7"/>
        <v>1.575349000358528E-2</v>
      </c>
    </row>
    <row r="44" spans="1:15" s="30" customFormat="1">
      <c r="A44" s="27">
        <v>46051</v>
      </c>
      <c r="B44" s="28" t="s">
        <v>47</v>
      </c>
      <c r="C44" s="28">
        <v>463.5</v>
      </c>
      <c r="D44" s="28" t="s">
        <v>1249</v>
      </c>
      <c r="E44" s="28">
        <v>225.42</v>
      </c>
      <c r="F44" s="28">
        <v>63.66</v>
      </c>
      <c r="G44" s="28" t="s">
        <v>2422</v>
      </c>
      <c r="H44" s="28">
        <v>465.75</v>
      </c>
      <c r="I44" s="30">
        <f t="shared" si="1"/>
        <v>-5.0781439763118042E-3</v>
      </c>
      <c r="J44" s="30">
        <f t="shared" si="2"/>
        <v>1.295336968685058E-3</v>
      </c>
      <c r="K44" s="30">
        <f t="shared" si="3"/>
        <v>-8.1719437609174515E-3</v>
      </c>
      <c r="L44" s="30">
        <f t="shared" si="4"/>
        <v>-2.0939726043751081E-2</v>
      </c>
      <c r="M44" s="30">
        <f t="shared" si="5"/>
        <v>4.1044555676397074E-2</v>
      </c>
      <c r="N44" s="30">
        <f t="shared" si="6"/>
        <v>-4.6536686813471112E-3</v>
      </c>
      <c r="O44" s="30">
        <f t="shared" si="7"/>
        <v>4.0877853824173339E-3</v>
      </c>
    </row>
    <row r="45" spans="1:15" s="30" customFormat="1">
      <c r="A45" s="27">
        <v>46050</v>
      </c>
      <c r="B45" s="28" t="s">
        <v>48</v>
      </c>
      <c r="C45" s="28">
        <v>478.85</v>
      </c>
      <c r="D45" s="28" t="s">
        <v>1250</v>
      </c>
      <c r="E45" s="28">
        <v>226.19</v>
      </c>
      <c r="F45" s="28">
        <v>64.84</v>
      </c>
      <c r="G45" s="28" t="s">
        <v>2423</v>
      </c>
      <c r="H45" s="28">
        <v>479.8</v>
      </c>
      <c r="I45" s="30">
        <f t="shared" si="1"/>
        <v>3.8886347529320915E-2</v>
      </c>
      <c r="J45" s="30">
        <f t="shared" si="2"/>
        <v>3.2581010961718608E-2</v>
      </c>
      <c r="K45" s="30">
        <f t="shared" si="3"/>
        <v>2.2715235116734015E-2</v>
      </c>
      <c r="L45" s="30">
        <f t="shared" si="4"/>
        <v>3.4100252259573389E-3</v>
      </c>
      <c r="M45" s="30">
        <f t="shared" si="5"/>
        <v>1.8366275013528589E-2</v>
      </c>
      <c r="N45" s="30">
        <f t="shared" si="6"/>
        <v>1.4674718391727784E-2</v>
      </c>
      <c r="O45" s="30">
        <f t="shared" si="7"/>
        <v>2.9720340923896405E-2</v>
      </c>
    </row>
    <row r="46" spans="1:15" s="30" customFormat="1">
      <c r="A46" s="27">
        <v>46049</v>
      </c>
      <c r="B46" s="28" t="s">
        <v>49</v>
      </c>
      <c r="C46" s="28">
        <v>495.3</v>
      </c>
      <c r="D46" s="28" t="s">
        <v>1251</v>
      </c>
      <c r="E46" s="28">
        <v>225.3</v>
      </c>
      <c r="F46" s="28">
        <v>64.12</v>
      </c>
      <c r="G46" s="28" t="s">
        <v>2424</v>
      </c>
      <c r="H46" s="28">
        <v>460.5</v>
      </c>
      <c r="I46" s="30">
        <f t="shared" si="1"/>
        <v>4.3242821805437877E-2</v>
      </c>
      <c r="J46" s="30">
        <f t="shared" si="2"/>
        <v>3.3776243626563597E-2</v>
      </c>
      <c r="K46" s="30">
        <f t="shared" si="3"/>
        <v>-4.5398734930271606E-3</v>
      </c>
      <c r="L46" s="30">
        <f t="shared" si="4"/>
        <v>-3.942506601691151E-3</v>
      </c>
      <c r="M46" s="30">
        <f t="shared" si="5"/>
        <v>-1.1166369126123102E-2</v>
      </c>
      <c r="N46" s="30">
        <f t="shared" si="6"/>
        <v>2.541503824772787E-2</v>
      </c>
      <c r="O46" s="30">
        <f t="shared" si="7"/>
        <v>-4.105649471023267E-2</v>
      </c>
    </row>
    <row r="47" spans="1:15" s="30" customFormat="1">
      <c r="A47" s="27">
        <v>46045</v>
      </c>
      <c r="B47" s="28" t="s">
        <v>50</v>
      </c>
      <c r="C47" s="28">
        <v>504.5</v>
      </c>
      <c r="D47" s="28" t="s">
        <v>1252</v>
      </c>
      <c r="E47" s="28">
        <v>227.08</v>
      </c>
      <c r="F47" s="28">
        <v>59.87</v>
      </c>
      <c r="G47" s="28" t="s">
        <v>2425</v>
      </c>
      <c r="H47" s="28">
        <v>459.95</v>
      </c>
      <c r="I47" s="30">
        <f t="shared" si="1"/>
        <v>3.0378755872782631E-2</v>
      </c>
      <c r="J47" s="30">
        <f t="shared" si="2"/>
        <v>1.8404200199471709E-2</v>
      </c>
      <c r="K47" s="30">
        <f t="shared" si="3"/>
        <v>-7.0396028914703973E-3</v>
      </c>
      <c r="L47" s="30">
        <f t="shared" si="4"/>
        <v>7.8695308643267989E-3</v>
      </c>
      <c r="M47" s="30">
        <f t="shared" si="5"/>
        <v>-6.8580782804091592E-2</v>
      </c>
      <c r="N47" s="30">
        <f t="shared" si="6"/>
        <v>1.2877772320441802E-2</v>
      </c>
      <c r="O47" s="30">
        <f t="shared" si="7"/>
        <v>-1.1950677721953155E-3</v>
      </c>
    </row>
    <row r="48" spans="1:15" s="30" customFormat="1">
      <c r="A48" s="27">
        <v>46044</v>
      </c>
      <c r="B48" s="28" t="s">
        <v>51</v>
      </c>
      <c r="C48" s="28">
        <v>507.8</v>
      </c>
      <c r="D48" s="28" t="s">
        <v>1253</v>
      </c>
      <c r="E48" s="28">
        <v>227.32</v>
      </c>
      <c r="F48" s="28">
        <v>65.03</v>
      </c>
      <c r="G48" s="28" t="s">
        <v>2426</v>
      </c>
      <c r="H48" s="28">
        <v>470.2</v>
      </c>
      <c r="I48" s="30">
        <f t="shared" si="1"/>
        <v>3.6985668057941316E-5</v>
      </c>
      <c r="J48" s="30">
        <f t="shared" si="2"/>
        <v>6.5198294769143956E-3</v>
      </c>
      <c r="K48" s="30">
        <f t="shared" si="3"/>
        <v>4.2977188320529713E-2</v>
      </c>
      <c r="L48" s="30">
        <f t="shared" si="4"/>
        <v>1.0563381263951372E-3</v>
      </c>
      <c r="M48" s="30">
        <f t="shared" si="5"/>
        <v>8.2673156943799925E-2</v>
      </c>
      <c r="N48" s="30">
        <f t="shared" si="6"/>
        <v>-1.3621196684793825E-3</v>
      </c>
      <c r="O48" s="30">
        <f t="shared" si="7"/>
        <v>2.2040348182802916E-2</v>
      </c>
    </row>
    <row r="49" spans="1:15" s="30" customFormat="1">
      <c r="A49" s="27">
        <v>46043</v>
      </c>
      <c r="B49" s="28" t="s">
        <v>52</v>
      </c>
      <c r="C49" s="28">
        <v>515.79999999999995</v>
      </c>
      <c r="D49" s="28" t="s">
        <v>1254</v>
      </c>
      <c r="E49" s="28">
        <v>229.21</v>
      </c>
      <c r="F49" s="28">
        <v>65.12</v>
      </c>
      <c r="G49" s="28" t="s">
        <v>2427</v>
      </c>
      <c r="H49" s="28">
        <v>469.05</v>
      </c>
      <c r="I49" s="30">
        <f t="shared" si="1"/>
        <v>-1.5918619801524505E-2</v>
      </c>
      <c r="J49" s="30">
        <f t="shared" si="2"/>
        <v>1.563142417666619E-2</v>
      </c>
      <c r="K49" s="30">
        <f t="shared" si="3"/>
        <v>6.8352966058574383E-3</v>
      </c>
      <c r="L49" s="30">
        <f t="shared" si="4"/>
        <v>8.2798974773543831E-3</v>
      </c>
      <c r="M49" s="30">
        <f t="shared" si="5"/>
        <v>1.3830198132243796E-3</v>
      </c>
      <c r="N49" s="30">
        <f t="shared" si="6"/>
        <v>4.0468675046015715E-3</v>
      </c>
      <c r="O49" s="30">
        <f t="shared" si="7"/>
        <v>-2.448763534009136E-3</v>
      </c>
    </row>
    <row r="50" spans="1:15" s="30" customFormat="1">
      <c r="A50" s="27">
        <v>46042</v>
      </c>
      <c r="B50" s="28" t="s">
        <v>53</v>
      </c>
      <c r="C50" s="28">
        <v>514.35</v>
      </c>
      <c r="D50" s="28" t="s">
        <v>1255</v>
      </c>
      <c r="E50" s="28">
        <v>226.85</v>
      </c>
      <c r="F50" s="28">
        <v>67.22</v>
      </c>
      <c r="G50" s="28" t="s">
        <v>2428</v>
      </c>
      <c r="H50" s="28">
        <v>481.7</v>
      </c>
      <c r="I50" s="30">
        <f t="shared" si="1"/>
        <v>5.4340831154723428E-3</v>
      </c>
      <c r="J50" s="30">
        <f t="shared" si="2"/>
        <v>-2.8151258702052533E-3</v>
      </c>
      <c r="K50" s="30">
        <f t="shared" si="3"/>
        <v>3.4458465901073231E-2</v>
      </c>
      <c r="L50" s="30">
        <f t="shared" si="4"/>
        <v>-1.0349607796302163E-2</v>
      </c>
      <c r="M50" s="30">
        <f t="shared" si="5"/>
        <v>3.1739100602674715E-2</v>
      </c>
      <c r="N50" s="30">
        <f t="shared" si="6"/>
        <v>8.9198820965708039E-3</v>
      </c>
      <c r="O50" s="30">
        <f t="shared" si="7"/>
        <v>2.6612141064215097E-2</v>
      </c>
    </row>
    <row r="51" spans="1:15" s="30" customFormat="1">
      <c r="A51" s="27">
        <v>46041</v>
      </c>
      <c r="B51" s="28" t="s">
        <v>54</v>
      </c>
      <c r="C51" s="28">
        <v>519.70000000000005</v>
      </c>
      <c r="D51" s="28" t="s">
        <v>1256</v>
      </c>
      <c r="E51" s="28">
        <v>232.74</v>
      </c>
      <c r="F51" s="28">
        <v>68.28</v>
      </c>
      <c r="G51" s="28" t="s">
        <v>2429</v>
      </c>
      <c r="H51" s="28">
        <v>493.7</v>
      </c>
      <c r="I51" s="30">
        <f t="shared" si="1"/>
        <v>2.8880746044347257E-2</v>
      </c>
      <c r="J51" s="30">
        <f t="shared" si="2"/>
        <v>1.0347754437357229E-2</v>
      </c>
      <c r="K51" s="30">
        <f t="shared" si="3"/>
        <v>1.8604379074138262E-2</v>
      </c>
      <c r="L51" s="30">
        <f t="shared" si="4"/>
        <v>2.5632944569958023E-2</v>
      </c>
      <c r="M51" s="30">
        <f t="shared" si="5"/>
        <v>1.5646075629280221E-2</v>
      </c>
      <c r="N51" s="30">
        <f t="shared" si="6"/>
        <v>2.8877008571887679E-2</v>
      </c>
      <c r="O51" s="30">
        <f t="shared" si="7"/>
        <v>2.4606531628642153E-2</v>
      </c>
    </row>
    <row r="52" spans="1:15" s="30" customFormat="1">
      <c r="A52" s="27">
        <v>46038</v>
      </c>
      <c r="B52" s="28" t="s">
        <v>55</v>
      </c>
      <c r="C52" s="28">
        <v>519.75</v>
      </c>
      <c r="D52" s="28" t="s">
        <v>1257</v>
      </c>
      <c r="E52" s="28">
        <v>231.43</v>
      </c>
      <c r="F52" s="28">
        <v>69.349999999999994</v>
      </c>
      <c r="G52" s="28" t="s">
        <v>2430</v>
      </c>
      <c r="H52" s="28">
        <v>491.4</v>
      </c>
      <c r="I52" s="30">
        <f t="shared" si="1"/>
        <v>1.0524597679825868E-3</v>
      </c>
      <c r="J52" s="30">
        <f t="shared" si="2"/>
        <v>9.6204723726020793E-5</v>
      </c>
      <c r="K52" s="30">
        <f t="shared" si="3"/>
        <v>6.2922228560069821E-2</v>
      </c>
      <c r="L52" s="30">
        <f t="shared" si="4"/>
        <v>-5.6444986883600777E-3</v>
      </c>
      <c r="M52" s="30">
        <f t="shared" si="5"/>
        <v>1.5549248834600649E-2</v>
      </c>
      <c r="N52" s="30">
        <f t="shared" si="6"/>
        <v>9.367750003600241E-3</v>
      </c>
      <c r="O52" s="30">
        <f t="shared" si="7"/>
        <v>-4.6695851777385361E-3</v>
      </c>
    </row>
    <row r="53" spans="1:15" s="30" customFormat="1">
      <c r="A53" s="27">
        <v>46036</v>
      </c>
      <c r="B53" s="28" t="s">
        <v>56</v>
      </c>
      <c r="C53" s="28">
        <v>525.15</v>
      </c>
      <c r="D53" s="28" t="s">
        <v>1258</v>
      </c>
      <c r="E53" s="28">
        <v>236.55</v>
      </c>
      <c r="F53" s="28">
        <v>69.64</v>
      </c>
      <c r="G53" s="28" t="s">
        <v>2431</v>
      </c>
      <c r="H53" s="28">
        <v>485.15</v>
      </c>
      <c r="I53" s="30">
        <f t="shared" si="1"/>
        <v>2.0464561383611003E-2</v>
      </c>
      <c r="J53" s="30">
        <f t="shared" si="2"/>
        <v>1.0336009330662073E-2</v>
      </c>
      <c r="K53" s="30">
        <f t="shared" si="3"/>
        <v>-2.9799044620565724E-2</v>
      </c>
      <c r="L53" s="30">
        <f t="shared" si="4"/>
        <v>2.1882150085586381E-2</v>
      </c>
      <c r="M53" s="30">
        <f t="shared" si="5"/>
        <v>4.1729681391476856E-3</v>
      </c>
      <c r="N53" s="30">
        <f t="shared" si="6"/>
        <v>7.1615519476103361E-3</v>
      </c>
      <c r="O53" s="30">
        <f t="shared" si="7"/>
        <v>-1.2800338615770263E-2</v>
      </c>
    </row>
    <row r="54" spans="1:15" s="30" customFormat="1">
      <c r="A54" s="27">
        <v>46035</v>
      </c>
      <c r="B54" s="28" t="s">
        <v>57</v>
      </c>
      <c r="C54" s="28">
        <v>520.75</v>
      </c>
      <c r="D54" s="28" t="s">
        <v>1259</v>
      </c>
      <c r="E54" s="28">
        <v>232.26</v>
      </c>
      <c r="F54" s="28">
        <v>67.900000000000006</v>
      </c>
      <c r="G54" s="28" t="s">
        <v>2432</v>
      </c>
      <c r="H54" s="28">
        <v>479</v>
      </c>
      <c r="I54" s="30">
        <f t="shared" si="1"/>
        <v>2.5403983595135012E-2</v>
      </c>
      <c r="J54" s="30">
        <f t="shared" si="2"/>
        <v>-8.4138559277029124E-3</v>
      </c>
      <c r="K54" s="30">
        <f t="shared" si="3"/>
        <v>1.8983732855921691E-2</v>
      </c>
      <c r="L54" s="30">
        <f t="shared" si="4"/>
        <v>-1.830216825954541E-2</v>
      </c>
      <c r="M54" s="30">
        <f t="shared" si="5"/>
        <v>-2.5303080335337739E-2</v>
      </c>
      <c r="N54" s="30">
        <f t="shared" si="6"/>
        <v>-2.703748267406205E-3</v>
      </c>
      <c r="O54" s="30">
        <f t="shared" si="7"/>
        <v>-1.2757524060393139E-2</v>
      </c>
    </row>
    <row r="55" spans="1:15" s="30" customFormat="1">
      <c r="A55" s="27">
        <v>46034</v>
      </c>
      <c r="B55" s="28" t="s">
        <v>58</v>
      </c>
      <c r="C55" s="28">
        <v>509.9</v>
      </c>
      <c r="D55" s="28" t="s">
        <v>1260</v>
      </c>
      <c r="E55" s="28">
        <v>230.64</v>
      </c>
      <c r="F55" s="28">
        <v>68.2</v>
      </c>
      <c r="G55" s="28" t="s">
        <v>2433</v>
      </c>
      <c r="H55" s="28">
        <v>468.55</v>
      </c>
      <c r="I55" s="30">
        <f t="shared" si="1"/>
        <v>3.4931814793369509E-3</v>
      </c>
      <c r="J55" s="30">
        <f t="shared" si="2"/>
        <v>-2.1055452079971417E-2</v>
      </c>
      <c r="K55" s="30">
        <f t="shared" si="3"/>
        <v>-2.1152569208247086E-2</v>
      </c>
      <c r="L55" s="30">
        <f t="shared" si="4"/>
        <v>-6.9993804874650426E-3</v>
      </c>
      <c r="M55" s="30">
        <f t="shared" si="5"/>
        <v>4.4085302847659564E-3</v>
      </c>
      <c r="N55" s="30">
        <f t="shared" si="6"/>
        <v>1.1440782387594177E-2</v>
      </c>
      <c r="O55" s="30">
        <f t="shared" si="7"/>
        <v>-2.2057777841082541E-2</v>
      </c>
    </row>
    <row r="56" spans="1:15" s="30" customFormat="1">
      <c r="A56" s="27">
        <v>46031</v>
      </c>
      <c r="B56" s="28" t="s">
        <v>59</v>
      </c>
      <c r="C56" s="28">
        <v>514.20000000000005</v>
      </c>
      <c r="D56" s="28" t="s">
        <v>1261</v>
      </c>
      <c r="E56" s="28">
        <v>232.46</v>
      </c>
      <c r="F56" s="28">
        <v>68.599999999999994</v>
      </c>
      <c r="G56" s="28" t="s">
        <v>2434</v>
      </c>
      <c r="H56" s="28">
        <v>470.45</v>
      </c>
      <c r="I56" s="30">
        <f t="shared" si="1"/>
        <v>-2.4783246444767759E-2</v>
      </c>
      <c r="J56" s="30">
        <f t="shared" si="2"/>
        <v>8.3976667706791627E-3</v>
      </c>
      <c r="K56" s="30">
        <f t="shared" si="3"/>
        <v>2.3354752462287605E-3</v>
      </c>
      <c r="L56" s="30">
        <f t="shared" si="4"/>
        <v>7.860113885415269E-3</v>
      </c>
      <c r="M56" s="30">
        <f t="shared" si="5"/>
        <v>5.8479698824228992E-3</v>
      </c>
      <c r="N56" s="30">
        <f t="shared" si="6"/>
        <v>-1.4030167155917317E-3</v>
      </c>
      <c r="O56" s="30">
        <f t="shared" si="7"/>
        <v>4.0468638829419682E-3</v>
      </c>
    </row>
    <row r="57" spans="1:15" s="30" customFormat="1">
      <c r="A57" s="27">
        <v>46030</v>
      </c>
      <c r="B57" s="28" t="s">
        <v>60</v>
      </c>
      <c r="C57" s="28">
        <v>519.70000000000005</v>
      </c>
      <c r="D57" s="28" t="s">
        <v>1262</v>
      </c>
      <c r="E57" s="28">
        <v>234.59</v>
      </c>
      <c r="F57" s="28">
        <v>70.48</v>
      </c>
      <c r="G57" s="28" t="s">
        <v>2435</v>
      </c>
      <c r="H57" s="28">
        <v>483.7</v>
      </c>
      <c r="I57" s="30">
        <f t="shared" si="1"/>
        <v>-1.389901206030696E-2</v>
      </c>
      <c r="J57" s="30">
        <f t="shared" si="2"/>
        <v>1.0639427182607023E-2</v>
      </c>
      <c r="K57" s="30">
        <f t="shared" si="3"/>
        <v>1.7098669579405687E-2</v>
      </c>
      <c r="L57" s="30">
        <f t="shared" si="4"/>
        <v>9.121142349359606E-3</v>
      </c>
      <c r="M57" s="30">
        <f t="shared" si="5"/>
        <v>2.7036446896084695E-2</v>
      </c>
      <c r="N57" s="30">
        <f t="shared" si="6"/>
        <v>8.6418329713584836E-3</v>
      </c>
      <c r="O57" s="30">
        <f t="shared" si="7"/>
        <v>2.7775196376162818E-2</v>
      </c>
    </row>
    <row r="58" spans="1:15" s="30" customFormat="1">
      <c r="A58" s="27">
        <v>46029</v>
      </c>
      <c r="B58" s="28" t="s">
        <v>61</v>
      </c>
      <c r="C58" s="28">
        <v>526.15</v>
      </c>
      <c r="D58" s="28" t="s">
        <v>1263</v>
      </c>
      <c r="E58" s="28">
        <v>237.86</v>
      </c>
      <c r="F58" s="28">
        <v>73.17</v>
      </c>
      <c r="G58" s="28" t="s">
        <v>2436</v>
      </c>
      <c r="H58" s="28">
        <v>489.2</v>
      </c>
      <c r="I58" s="30">
        <f t="shared" si="1"/>
        <v>8.1846093872184403E-3</v>
      </c>
      <c r="J58" s="30">
        <f t="shared" si="2"/>
        <v>1.2334621172424882E-2</v>
      </c>
      <c r="K58" s="30">
        <f t="shared" si="3"/>
        <v>7.3682921177204103E-4</v>
      </c>
      <c r="L58" s="30">
        <f t="shared" si="4"/>
        <v>1.3842955734177733E-2</v>
      </c>
      <c r="M58" s="30">
        <f t="shared" si="5"/>
        <v>3.7456519268014417E-2</v>
      </c>
      <c r="N58" s="30">
        <f t="shared" si="6"/>
        <v>3.2845938003603528E-3</v>
      </c>
      <c r="O58" s="30">
        <f t="shared" si="7"/>
        <v>1.1306523984079678E-2</v>
      </c>
    </row>
    <row r="59" spans="1:15" s="30" customFormat="1">
      <c r="A59" s="27">
        <v>46028</v>
      </c>
      <c r="B59" s="28" t="s">
        <v>62</v>
      </c>
      <c r="C59" s="28">
        <v>526.79999999999995</v>
      </c>
      <c r="D59" s="28" t="s">
        <v>1264</v>
      </c>
      <c r="E59" s="28">
        <v>240.25</v>
      </c>
      <c r="F59" s="28">
        <v>72.650000000000006</v>
      </c>
      <c r="G59" s="28" t="s">
        <v>2437</v>
      </c>
      <c r="H59" s="28">
        <v>491.4</v>
      </c>
      <c r="I59" s="30">
        <f t="shared" si="1"/>
        <v>1.2873285714781524E-2</v>
      </c>
      <c r="J59" s="30">
        <f t="shared" si="2"/>
        <v>1.2346266823046663E-3</v>
      </c>
      <c r="K59" s="30">
        <f t="shared" si="3"/>
        <v>-2.6033637395559174E-2</v>
      </c>
      <c r="L59" s="30">
        <f t="shared" si="4"/>
        <v>9.9977825513026444E-3</v>
      </c>
      <c r="M59" s="30">
        <f t="shared" si="5"/>
        <v>-7.1321108796465991E-3</v>
      </c>
      <c r="N59" s="30">
        <f t="shared" si="6"/>
        <v>2.3620198368509517E-3</v>
      </c>
      <c r="O59" s="30">
        <f t="shared" si="7"/>
        <v>4.4870562740615362E-3</v>
      </c>
    </row>
    <row r="60" spans="1:15" s="30" customFormat="1">
      <c r="A60" s="27">
        <v>46027</v>
      </c>
      <c r="B60" s="28" t="s">
        <v>63</v>
      </c>
      <c r="C60" s="28">
        <v>528.6</v>
      </c>
      <c r="D60" s="28" t="s">
        <v>1265</v>
      </c>
      <c r="E60" s="28">
        <v>239.32</v>
      </c>
      <c r="F60" s="28">
        <v>73.510000000000005</v>
      </c>
      <c r="G60" s="28" t="s">
        <v>2438</v>
      </c>
      <c r="H60" s="28">
        <v>500.65</v>
      </c>
      <c r="I60" s="30">
        <f t="shared" si="1"/>
        <v>-1.0668840377614544E-2</v>
      </c>
      <c r="J60" s="30">
        <f t="shared" si="2"/>
        <v>3.4110323010629008E-3</v>
      </c>
      <c r="K60" s="30">
        <f t="shared" si="3"/>
        <v>-4.7994029733285032E-3</v>
      </c>
      <c r="L60" s="30">
        <f t="shared" si="4"/>
        <v>-3.8784793285708565E-3</v>
      </c>
      <c r="M60" s="30">
        <f t="shared" si="5"/>
        <v>1.1768061369704314E-2</v>
      </c>
      <c r="N60" s="30">
        <f t="shared" si="6"/>
        <v>1.1946305925770175E-3</v>
      </c>
      <c r="O60" s="30">
        <f t="shared" si="7"/>
        <v>1.8648794066733133E-2</v>
      </c>
    </row>
    <row r="61" spans="1:15" s="30" customFormat="1">
      <c r="A61" s="27">
        <v>46024</v>
      </c>
      <c r="B61" s="28" t="s">
        <v>64</v>
      </c>
      <c r="C61" s="28">
        <v>524.1</v>
      </c>
      <c r="D61" s="28" t="s">
        <v>1266</v>
      </c>
      <c r="E61" s="28">
        <v>241.08</v>
      </c>
      <c r="F61" s="28">
        <v>75.37</v>
      </c>
      <c r="G61" s="28" t="s">
        <v>2439</v>
      </c>
      <c r="H61" s="28">
        <v>503.65</v>
      </c>
      <c r="I61" s="30">
        <f t="shared" si="1"/>
        <v>-1.5389874629700855E-2</v>
      </c>
      <c r="J61" s="30">
        <f t="shared" si="2"/>
        <v>-8.5494963620682384E-3</v>
      </c>
      <c r="K61" s="30">
        <f t="shared" si="3"/>
        <v>-1.1545119746541861E-2</v>
      </c>
      <c r="L61" s="30">
        <f t="shared" si="4"/>
        <v>7.3272600930124471E-3</v>
      </c>
      <c r="M61" s="30">
        <f t="shared" si="5"/>
        <v>2.4987866469382253E-2</v>
      </c>
      <c r="N61" s="30">
        <f t="shared" si="6"/>
        <v>9.0079428071491632E-3</v>
      </c>
      <c r="O61" s="30">
        <f t="shared" si="7"/>
        <v>5.9743282348782619E-3</v>
      </c>
    </row>
    <row r="62" spans="1:15" s="30" customFormat="1">
      <c r="A62" s="27">
        <v>46023</v>
      </c>
      <c r="B62" s="28" t="s">
        <v>65</v>
      </c>
      <c r="C62" s="28">
        <v>533.65</v>
      </c>
      <c r="D62" s="28" t="s">
        <v>1267</v>
      </c>
      <c r="E62" s="28">
        <v>239.72</v>
      </c>
      <c r="F62" s="28">
        <v>64.540000000000006</v>
      </c>
      <c r="G62" s="28" t="s">
        <v>2440</v>
      </c>
      <c r="H62" s="28">
        <v>483.15</v>
      </c>
      <c r="I62" s="30">
        <f t="shared" si="1"/>
        <v>-7.4575880510413355E-3</v>
      </c>
      <c r="J62" s="30">
        <f t="shared" si="2"/>
        <v>1.8057687551853246E-2</v>
      </c>
      <c r="K62" s="30">
        <f t="shared" si="3"/>
        <v>1.340025140262085E-2</v>
      </c>
      <c r="L62" s="30">
        <f t="shared" si="4"/>
        <v>-5.6572530248588685E-3</v>
      </c>
      <c r="M62" s="30">
        <f t="shared" si="5"/>
        <v>-0.15512413123156271</v>
      </c>
      <c r="N62" s="30">
        <f t="shared" si="6"/>
        <v>-8.0344316526501387E-3</v>
      </c>
      <c r="O62" s="30">
        <f t="shared" si="7"/>
        <v>-4.1554417943372661E-2</v>
      </c>
    </row>
    <row r="63" spans="1:15" s="30" customFormat="1">
      <c r="A63" s="27">
        <v>46022</v>
      </c>
      <c r="B63" s="28" t="s">
        <v>66</v>
      </c>
      <c r="C63" s="28">
        <v>536.54999999999995</v>
      </c>
      <c r="D63" s="28" t="s">
        <v>1268</v>
      </c>
      <c r="E63" s="28">
        <v>235.45</v>
      </c>
      <c r="F63" s="28">
        <v>61.65</v>
      </c>
      <c r="G63" s="28" t="s">
        <v>2441</v>
      </c>
      <c r="H63" s="28">
        <v>486.65</v>
      </c>
      <c r="I63" s="30">
        <f t="shared" si="1"/>
        <v>6.3388784199244182E-3</v>
      </c>
      <c r="J63" s="30">
        <f t="shared" si="2"/>
        <v>5.4195610131624883E-3</v>
      </c>
      <c r="K63" s="30">
        <f t="shared" si="3"/>
        <v>-3.7073063128452238E-2</v>
      </c>
      <c r="L63" s="30">
        <f t="shared" si="4"/>
        <v>-1.7972998900420919E-2</v>
      </c>
      <c r="M63" s="30">
        <f t="shared" si="5"/>
        <v>-4.5811957013462523E-2</v>
      </c>
      <c r="N63" s="30">
        <f t="shared" si="6"/>
        <v>-2.7030441401454841E-3</v>
      </c>
      <c r="O63" s="30">
        <f t="shared" si="7"/>
        <v>7.2180144271851788E-3</v>
      </c>
    </row>
    <row r="64" spans="1:15" s="30" customFormat="1">
      <c r="A64" s="27">
        <v>46021</v>
      </c>
      <c r="B64" s="28" t="s">
        <v>67</v>
      </c>
      <c r="C64" s="28">
        <v>525.54999999999995</v>
      </c>
      <c r="D64" s="28" t="s">
        <v>1269</v>
      </c>
      <c r="E64" s="28">
        <v>233.86</v>
      </c>
      <c r="F64" s="28">
        <v>59.95</v>
      </c>
      <c r="G64" s="28" t="s">
        <v>2442</v>
      </c>
      <c r="H64" s="28">
        <v>484</v>
      </c>
      <c r="I64" s="30">
        <f t="shared" si="1"/>
        <v>-4.0522505611688331E-3</v>
      </c>
      <c r="J64" s="30">
        <f t="shared" si="2"/>
        <v>-2.071442110377299E-2</v>
      </c>
      <c r="K64" s="30">
        <f t="shared" si="3"/>
        <v>-1.8797711864806457E-2</v>
      </c>
      <c r="L64" s="30">
        <f t="shared" si="4"/>
        <v>-6.7759309773910391E-3</v>
      </c>
      <c r="M64" s="30">
        <f t="shared" si="5"/>
        <v>-2.7962348136829941E-2</v>
      </c>
      <c r="N64" s="30">
        <f t="shared" si="6"/>
        <v>9.0546557378398656E-3</v>
      </c>
      <c r="O64" s="30">
        <f t="shared" si="7"/>
        <v>-5.4602721558708574E-3</v>
      </c>
    </row>
    <row r="65" spans="1:15" s="30" customFormat="1">
      <c r="A65" s="27">
        <v>46020</v>
      </c>
      <c r="B65" s="28" t="s">
        <v>68</v>
      </c>
      <c r="C65" s="28">
        <v>544.6</v>
      </c>
      <c r="D65" s="28" t="s">
        <v>1270</v>
      </c>
      <c r="E65" s="28">
        <v>234.48</v>
      </c>
      <c r="F65" s="28">
        <v>58.54</v>
      </c>
      <c r="G65" s="28" t="s">
        <v>1013</v>
      </c>
      <c r="H65" s="28">
        <v>483.5</v>
      </c>
      <c r="I65" s="30">
        <f t="shared" si="1"/>
        <v>6.1803330249204907E-3</v>
      </c>
      <c r="J65" s="30">
        <f t="shared" si="2"/>
        <v>3.5606246970295963E-2</v>
      </c>
      <c r="K65" s="30">
        <f t="shared" si="3"/>
        <v>3.9121593418944686E-3</v>
      </c>
      <c r="L65" s="30">
        <f t="shared" si="4"/>
        <v>2.6476506904645164E-3</v>
      </c>
      <c r="M65" s="30">
        <f t="shared" si="5"/>
        <v>-2.3800600209783529E-2</v>
      </c>
      <c r="N65" s="30">
        <f t="shared" si="6"/>
        <v>-1.8605041401138084E-2</v>
      </c>
      <c r="O65" s="30">
        <f t="shared" si="7"/>
        <v>-1.0335918232826594E-3</v>
      </c>
    </row>
    <row r="66" spans="1:15" s="30" customFormat="1">
      <c r="A66" s="27">
        <v>46017</v>
      </c>
      <c r="B66" s="28" t="s">
        <v>69</v>
      </c>
      <c r="C66" s="28">
        <v>542.04999999999995</v>
      </c>
      <c r="D66" s="28" t="s">
        <v>1271</v>
      </c>
      <c r="E66" s="28">
        <v>237.42</v>
      </c>
      <c r="F66" s="28">
        <v>57.56</v>
      </c>
      <c r="G66" s="28" t="s">
        <v>2443</v>
      </c>
      <c r="H66" s="28">
        <v>486.25</v>
      </c>
      <c r="I66" s="30">
        <f t="shared" si="1"/>
        <v>-1.0467507154235044E-2</v>
      </c>
      <c r="J66" s="30">
        <f t="shared" si="2"/>
        <v>-4.6933321323585648E-3</v>
      </c>
      <c r="K66" s="30">
        <f t="shared" si="3"/>
        <v>5.3229241852972343E-4</v>
      </c>
      <c r="L66" s="30">
        <f t="shared" si="4"/>
        <v>1.2460428222750938E-2</v>
      </c>
      <c r="M66" s="30">
        <f t="shared" si="5"/>
        <v>-1.6882399244572646E-2</v>
      </c>
      <c r="N66" s="30">
        <f t="shared" si="6"/>
        <v>-7.4311844308129664E-3</v>
      </c>
      <c r="O66" s="30">
        <f t="shared" si="7"/>
        <v>5.6715800393070401E-3</v>
      </c>
    </row>
    <row r="67" spans="1:15" s="30" customFormat="1">
      <c r="A67" s="27">
        <v>46015</v>
      </c>
      <c r="B67" s="28" t="s">
        <v>70</v>
      </c>
      <c r="C67" s="28">
        <v>555.15</v>
      </c>
      <c r="D67" s="28" t="s">
        <v>1272</v>
      </c>
      <c r="E67" s="28">
        <v>242.22</v>
      </c>
      <c r="F67" s="28">
        <v>55.84</v>
      </c>
      <c r="G67" s="28" t="s">
        <v>2444</v>
      </c>
      <c r="H67" s="28">
        <v>481.95</v>
      </c>
      <c r="I67" s="30">
        <f t="shared" si="1"/>
        <v>1.4100016678194972E-2</v>
      </c>
      <c r="J67" s="30">
        <f t="shared" si="2"/>
        <v>2.3880099392974061E-2</v>
      </c>
      <c r="K67" s="30">
        <f t="shared" si="3"/>
        <v>2.3144716823788641E-2</v>
      </c>
      <c r="L67" s="30">
        <f t="shared" si="4"/>
        <v>2.0015679467516659E-2</v>
      </c>
      <c r="M67" s="30">
        <f t="shared" si="5"/>
        <v>-3.0337423565049957E-2</v>
      </c>
      <c r="N67" s="30">
        <f t="shared" si="6"/>
        <v>3.897893046676283E-3</v>
      </c>
      <c r="O67" s="30">
        <f t="shared" si="7"/>
        <v>-8.8825207026788939E-3</v>
      </c>
    </row>
    <row r="68" spans="1:15" s="30" customFormat="1">
      <c r="A68" s="27">
        <v>46014</v>
      </c>
      <c r="B68" s="28" t="s">
        <v>71</v>
      </c>
      <c r="C68" s="28">
        <v>544.04999999999995</v>
      </c>
      <c r="D68" s="28" t="s">
        <v>1273</v>
      </c>
      <c r="E68" s="28">
        <v>224.26</v>
      </c>
      <c r="F68" s="28">
        <v>57.5</v>
      </c>
      <c r="G68" s="28" t="s">
        <v>2445</v>
      </c>
      <c r="H68" s="28">
        <v>493.6</v>
      </c>
      <c r="I68" s="30">
        <f t="shared" ref="I68:I131" si="8">LN(B68/B67)</f>
        <v>7.9738680769806392E-3</v>
      </c>
      <c r="J68" s="30">
        <f t="shared" ref="J68:J131" si="9">LN(C68/C67)</f>
        <v>-2.0197193103253703E-2</v>
      </c>
      <c r="K68" s="30">
        <f t="shared" ref="K68:K131" si="10">LN(D68/D67)</f>
        <v>1.3172245036468785E-2</v>
      </c>
      <c r="L68" s="30">
        <f t="shared" ref="L68:L131" si="11">LN(E68/E67)</f>
        <v>-7.7040311060169814E-2</v>
      </c>
      <c r="M68" s="30">
        <f t="shared" ref="M68:M131" si="12">LN(F68/F67)</f>
        <v>2.9294489349187637E-2</v>
      </c>
      <c r="N68" s="30">
        <f t="shared" ref="N68:N131" si="13">LN(G68/G67)</f>
        <v>4.6130679118117756E-3</v>
      </c>
      <c r="O68" s="30">
        <f t="shared" ref="O68:O131" si="14">LN(H68/H67)</f>
        <v>2.3885098361200986E-2</v>
      </c>
    </row>
    <row r="69" spans="1:15" s="30" customFormat="1">
      <c r="A69" s="27">
        <v>46013</v>
      </c>
      <c r="B69" s="28" t="s">
        <v>72</v>
      </c>
      <c r="C69" s="28">
        <v>542.15</v>
      </c>
      <c r="D69" s="28" t="s">
        <v>1274</v>
      </c>
      <c r="E69" s="28">
        <v>223.11</v>
      </c>
      <c r="F69" s="28">
        <v>57.66</v>
      </c>
      <c r="G69" s="28" t="s">
        <v>2446</v>
      </c>
      <c r="H69" s="28">
        <v>501.55</v>
      </c>
      <c r="I69" s="30">
        <f t="shared" si="8"/>
        <v>-7.1232681584535514E-5</v>
      </c>
      <c r="J69" s="30">
        <f t="shared" si="9"/>
        <v>-3.4984384788301157E-3</v>
      </c>
      <c r="K69" s="30">
        <f t="shared" si="10"/>
        <v>9.364161385977475E-3</v>
      </c>
      <c r="L69" s="30">
        <f t="shared" si="11"/>
        <v>-5.1411696494160844E-3</v>
      </c>
      <c r="M69" s="30">
        <f t="shared" si="12"/>
        <v>2.7787444069513616E-3</v>
      </c>
      <c r="N69" s="30">
        <f t="shared" si="13"/>
        <v>-3.1741497249006205E-5</v>
      </c>
      <c r="O69" s="30">
        <f t="shared" si="14"/>
        <v>1.5977830738315997E-2</v>
      </c>
    </row>
    <row r="70" spans="1:15" s="30" customFormat="1">
      <c r="A70" s="27">
        <v>46010</v>
      </c>
      <c r="B70" s="28" t="s">
        <v>73</v>
      </c>
      <c r="C70" s="28">
        <v>538</v>
      </c>
      <c r="D70" s="28" t="s">
        <v>1275</v>
      </c>
      <c r="E70" s="28">
        <v>222.98</v>
      </c>
      <c r="F70" s="28">
        <v>55.13</v>
      </c>
      <c r="G70" s="28" t="s">
        <v>2447</v>
      </c>
      <c r="H70" s="28">
        <v>481.1</v>
      </c>
      <c r="I70" s="30">
        <f t="shared" si="8"/>
        <v>-2.7463236164555842E-3</v>
      </c>
      <c r="J70" s="30">
        <f t="shared" si="9"/>
        <v>-7.684155756406472E-3</v>
      </c>
      <c r="K70" s="30">
        <f t="shared" si="10"/>
        <v>7.0922283094918366E-3</v>
      </c>
      <c r="L70" s="30">
        <f t="shared" si="11"/>
        <v>-5.8284204389322648E-4</v>
      </c>
      <c r="M70" s="30">
        <f t="shared" si="12"/>
        <v>-4.4869659608663813E-2</v>
      </c>
      <c r="N70" s="30">
        <f t="shared" si="13"/>
        <v>-3.1747039855200589E-4</v>
      </c>
      <c r="O70" s="30">
        <f t="shared" si="14"/>
        <v>-4.1628154624086068E-2</v>
      </c>
    </row>
    <row r="71" spans="1:15" s="30" customFormat="1">
      <c r="A71" s="27">
        <v>46009</v>
      </c>
      <c r="B71" s="28" t="s">
        <v>74</v>
      </c>
      <c r="C71" s="28">
        <v>536.35</v>
      </c>
      <c r="D71" s="28" t="s">
        <v>1276</v>
      </c>
      <c r="E71" s="28">
        <v>220.91</v>
      </c>
      <c r="F71" s="28">
        <v>54.89</v>
      </c>
      <c r="G71" s="28" t="s">
        <v>2448</v>
      </c>
      <c r="H71" s="28">
        <v>475.4</v>
      </c>
      <c r="I71" s="30">
        <f t="shared" si="8"/>
        <v>-1.4461724088589574E-2</v>
      </c>
      <c r="J71" s="30">
        <f t="shared" si="9"/>
        <v>-3.0716271183461341E-3</v>
      </c>
      <c r="K71" s="30">
        <f t="shared" si="10"/>
        <v>-8.364007700036374E-3</v>
      </c>
      <c r="L71" s="30">
        <f t="shared" si="11"/>
        <v>-9.3267025853318291E-3</v>
      </c>
      <c r="M71" s="30">
        <f t="shared" si="12"/>
        <v>-4.3628500397944539E-3</v>
      </c>
      <c r="N71" s="30">
        <f t="shared" si="13"/>
        <v>-1.1914219028209872E-2</v>
      </c>
      <c r="O71" s="30">
        <f t="shared" si="14"/>
        <v>-1.1918593779314517E-2</v>
      </c>
    </row>
    <row r="72" spans="1:15" s="30" customFormat="1">
      <c r="A72" s="27">
        <v>46008</v>
      </c>
      <c r="B72" s="28" t="s">
        <v>75</v>
      </c>
      <c r="C72" s="28">
        <v>538.9</v>
      </c>
      <c r="D72" s="28" t="s">
        <v>1277</v>
      </c>
      <c r="E72" s="28">
        <v>222.07</v>
      </c>
      <c r="F72" s="28">
        <v>55.2</v>
      </c>
      <c r="G72" s="28" t="s">
        <v>2449</v>
      </c>
      <c r="H72" s="28">
        <v>480.25</v>
      </c>
      <c r="I72" s="30">
        <f t="shared" si="8"/>
        <v>9.3772101270260186E-3</v>
      </c>
      <c r="J72" s="30">
        <f t="shared" si="9"/>
        <v>4.7430918960126318E-3</v>
      </c>
      <c r="K72" s="30">
        <f t="shared" si="10"/>
        <v>1.640829441730076E-2</v>
      </c>
      <c r="L72" s="30">
        <f t="shared" si="11"/>
        <v>5.2372687320745839E-3</v>
      </c>
      <c r="M72" s="30">
        <f t="shared" si="12"/>
        <v>5.6317707212518208E-3</v>
      </c>
      <c r="N72" s="30">
        <f t="shared" si="13"/>
        <v>6.5975130417632952E-3</v>
      </c>
      <c r="O72" s="30">
        <f t="shared" si="14"/>
        <v>1.0150246722572526E-2</v>
      </c>
    </row>
    <row r="73" spans="1:15" s="30" customFormat="1">
      <c r="A73" s="27">
        <v>46007</v>
      </c>
      <c r="B73" s="28" t="s">
        <v>76</v>
      </c>
      <c r="C73" s="28">
        <v>540.04999999999995</v>
      </c>
      <c r="D73" s="28" t="s">
        <v>1278</v>
      </c>
      <c r="E73" s="28">
        <v>224.52</v>
      </c>
      <c r="F73" s="28">
        <v>57.39</v>
      </c>
      <c r="G73" s="28" t="s">
        <v>2450</v>
      </c>
      <c r="H73" s="28">
        <v>481.5</v>
      </c>
      <c r="I73" s="30">
        <f t="shared" si="8"/>
        <v>1.8649361643754796E-3</v>
      </c>
      <c r="J73" s="30">
        <f t="shared" si="9"/>
        <v>2.1317029250320493E-3</v>
      </c>
      <c r="K73" s="30">
        <f t="shared" si="10"/>
        <v>1.7292450921275911E-2</v>
      </c>
      <c r="L73" s="30">
        <f t="shared" si="11"/>
        <v>1.0972142587830448E-2</v>
      </c>
      <c r="M73" s="30">
        <f t="shared" si="12"/>
        <v>3.890711883722154E-2</v>
      </c>
      <c r="N73" s="30">
        <f t="shared" si="13"/>
        <v>0.14568313566300733</v>
      </c>
      <c r="O73" s="30">
        <f t="shared" si="14"/>
        <v>2.5994295895142858E-3</v>
      </c>
    </row>
    <row r="74" spans="1:15" s="30" customFormat="1">
      <c r="A74" s="27">
        <v>46006</v>
      </c>
      <c r="B74" s="28" t="s">
        <v>77</v>
      </c>
      <c r="C74" s="28">
        <v>540.1</v>
      </c>
      <c r="D74" s="28" t="s">
        <v>1279</v>
      </c>
      <c r="E74" s="28">
        <v>226.37</v>
      </c>
      <c r="F74" s="28">
        <v>58.86</v>
      </c>
      <c r="G74" s="28" t="s">
        <v>2451</v>
      </c>
      <c r="H74" s="28">
        <v>479.25</v>
      </c>
      <c r="I74" s="30">
        <f t="shared" si="8"/>
        <v>-3.8412568996305093E-3</v>
      </c>
      <c r="J74" s="30">
        <f t="shared" si="9"/>
        <v>9.2579734362482346E-5</v>
      </c>
      <c r="K74" s="30">
        <f t="shared" si="10"/>
        <v>1.9736681264136805E-2</v>
      </c>
      <c r="L74" s="30">
        <f t="shared" si="11"/>
        <v>8.2060386410359662E-3</v>
      </c>
      <c r="M74" s="30">
        <f t="shared" si="12"/>
        <v>2.5291670685055421E-2</v>
      </c>
      <c r="N74" s="30">
        <f t="shared" si="13"/>
        <v>2.7280635279962177E-3</v>
      </c>
      <c r="O74" s="30">
        <f t="shared" si="14"/>
        <v>-4.6838493124263143E-3</v>
      </c>
    </row>
    <row r="75" spans="1:15" s="30" customFormat="1">
      <c r="A75" s="27">
        <v>46003</v>
      </c>
      <c r="B75" s="28" t="s">
        <v>78</v>
      </c>
      <c r="C75" s="28">
        <v>541.25</v>
      </c>
      <c r="D75" s="28" t="s">
        <v>1280</v>
      </c>
      <c r="E75" s="28">
        <v>223.5</v>
      </c>
      <c r="F75" s="28">
        <v>60.25</v>
      </c>
      <c r="G75" s="28" t="s">
        <v>2452</v>
      </c>
      <c r="H75" s="28">
        <v>474.15</v>
      </c>
      <c r="I75" s="30">
        <f t="shared" si="8"/>
        <v>-5.5545679332556679E-3</v>
      </c>
      <c r="J75" s="30">
        <f t="shared" si="9"/>
        <v>2.1269717178540415E-3</v>
      </c>
      <c r="K75" s="30">
        <f t="shared" si="10"/>
        <v>-7.6696779307490149E-3</v>
      </c>
      <c r="L75" s="30">
        <f t="shared" si="11"/>
        <v>-1.2759414661410989E-2</v>
      </c>
      <c r="M75" s="30">
        <f t="shared" si="12"/>
        <v>2.3340829565437735E-2</v>
      </c>
      <c r="N75" s="30">
        <f t="shared" si="13"/>
        <v>-9.0393284565445323E-3</v>
      </c>
      <c r="O75" s="30">
        <f t="shared" si="14"/>
        <v>-1.0698654596017449E-2</v>
      </c>
    </row>
    <row r="76" spans="1:15" s="30" customFormat="1">
      <c r="A76" s="27">
        <v>46002</v>
      </c>
      <c r="B76" s="28" t="s">
        <v>79</v>
      </c>
      <c r="C76" s="28">
        <v>539.5</v>
      </c>
      <c r="D76" s="28" t="s">
        <v>1281</v>
      </c>
      <c r="E76" s="28">
        <v>223.26</v>
      </c>
      <c r="F76" s="28">
        <v>60.66</v>
      </c>
      <c r="G76" s="28" t="s">
        <v>2453</v>
      </c>
      <c r="H76" s="28">
        <v>471.05</v>
      </c>
      <c r="I76" s="30">
        <f t="shared" si="8"/>
        <v>5.2667774427450865E-3</v>
      </c>
      <c r="J76" s="30">
        <f t="shared" si="9"/>
        <v>-3.2384946185102068E-3</v>
      </c>
      <c r="K76" s="30">
        <f t="shared" si="10"/>
        <v>-1.4598542738656281E-3</v>
      </c>
      <c r="L76" s="30">
        <f t="shared" si="11"/>
        <v>-1.0744024670374622E-3</v>
      </c>
      <c r="M76" s="30">
        <f t="shared" si="12"/>
        <v>6.7819298896706036E-3</v>
      </c>
      <c r="N76" s="30">
        <f t="shared" si="13"/>
        <v>-1.4375859380075511E-2</v>
      </c>
      <c r="O76" s="30">
        <f t="shared" si="14"/>
        <v>-6.5594818350595786E-3</v>
      </c>
    </row>
    <row r="77" spans="1:15" s="30" customFormat="1">
      <c r="A77" s="27">
        <v>46001</v>
      </c>
      <c r="B77" s="28" t="s">
        <v>80</v>
      </c>
      <c r="C77" s="28">
        <v>549.1</v>
      </c>
      <c r="D77" s="28" t="s">
        <v>1282</v>
      </c>
      <c r="E77" s="28">
        <v>224.62</v>
      </c>
      <c r="F77" s="28">
        <v>60.08</v>
      </c>
      <c r="G77" s="28" t="s">
        <v>2454</v>
      </c>
      <c r="H77" s="28">
        <v>460.2</v>
      </c>
      <c r="I77" s="30">
        <f t="shared" si="8"/>
        <v>8.9901928959099219E-3</v>
      </c>
      <c r="J77" s="30">
        <f t="shared" si="9"/>
        <v>1.7637789586637604E-2</v>
      </c>
      <c r="K77" s="30">
        <f t="shared" si="10"/>
        <v>-4.4739164387392269E-3</v>
      </c>
      <c r="L77" s="30">
        <f t="shared" si="11"/>
        <v>6.0730739483038955E-3</v>
      </c>
      <c r="M77" s="30">
        <f t="shared" si="12"/>
        <v>-9.6074948045556784E-3</v>
      </c>
      <c r="N77" s="30">
        <f t="shared" si="13"/>
        <v>-9.4250871061732182E-3</v>
      </c>
      <c r="O77" s="30">
        <f t="shared" si="14"/>
        <v>-2.33030678934113E-2</v>
      </c>
    </row>
    <row r="78" spans="1:15" s="30" customFormat="1">
      <c r="A78" s="27">
        <v>46000</v>
      </c>
      <c r="B78" s="28" t="s">
        <v>81</v>
      </c>
      <c r="C78" s="28">
        <v>539.95000000000005</v>
      </c>
      <c r="D78" s="28" t="s">
        <v>1283</v>
      </c>
      <c r="E78" s="28">
        <v>221.91</v>
      </c>
      <c r="F78" s="28">
        <v>60.12</v>
      </c>
      <c r="G78" s="28" t="s">
        <v>2455</v>
      </c>
      <c r="H78" s="28">
        <v>469.9</v>
      </c>
      <c r="I78" s="30">
        <f t="shared" si="8"/>
        <v>-3.0354455946907137E-3</v>
      </c>
      <c r="J78" s="30">
        <f t="shared" si="9"/>
        <v>-1.6804031606058149E-2</v>
      </c>
      <c r="K78" s="30">
        <f t="shared" si="10"/>
        <v>-2.1174838525245546E-2</v>
      </c>
      <c r="L78" s="30">
        <f t="shared" si="11"/>
        <v>-1.2138191267004122E-2</v>
      </c>
      <c r="M78" s="30">
        <f t="shared" si="12"/>
        <v>6.6555742889448243E-4</v>
      </c>
      <c r="N78" s="30">
        <f t="shared" si="13"/>
        <v>1.3950299657021336E-2</v>
      </c>
      <c r="O78" s="30">
        <f t="shared" si="14"/>
        <v>2.0858728507504486E-2</v>
      </c>
    </row>
    <row r="79" spans="1:15" s="30" customFormat="1">
      <c r="A79" s="27">
        <v>45999</v>
      </c>
      <c r="B79" s="28" t="s">
        <v>82</v>
      </c>
      <c r="C79" s="28">
        <v>539.1</v>
      </c>
      <c r="D79" s="28" t="s">
        <v>1284</v>
      </c>
      <c r="E79" s="28">
        <v>221.85</v>
      </c>
      <c r="F79" s="28">
        <v>59.97</v>
      </c>
      <c r="G79" s="28" t="s">
        <v>2456</v>
      </c>
      <c r="H79" s="28">
        <v>469.6</v>
      </c>
      <c r="I79" s="30">
        <f t="shared" si="8"/>
        <v>4.6232225495328197E-2</v>
      </c>
      <c r="J79" s="30">
        <f t="shared" si="9"/>
        <v>-1.5754602211456947E-3</v>
      </c>
      <c r="K79" s="30">
        <f t="shared" si="10"/>
        <v>2.4119444470326531E-3</v>
      </c>
      <c r="L79" s="30">
        <f t="shared" si="11"/>
        <v>-2.7041644296751585E-4</v>
      </c>
      <c r="M79" s="30">
        <f t="shared" si="12"/>
        <v>-2.4981277043553646E-3</v>
      </c>
      <c r="N79" s="30">
        <f t="shared" si="13"/>
        <v>-2.1600703788771013E-2</v>
      </c>
      <c r="O79" s="30">
        <f t="shared" si="14"/>
        <v>-6.386375948832136E-4</v>
      </c>
    </row>
    <row r="80" spans="1:15" s="30" customFormat="1">
      <c r="A80" s="27">
        <v>45996</v>
      </c>
      <c r="B80" s="28" t="s">
        <v>83</v>
      </c>
      <c r="C80" s="28">
        <v>554.5</v>
      </c>
      <c r="D80" s="28" t="s">
        <v>1285</v>
      </c>
      <c r="E80" s="28">
        <v>228.11</v>
      </c>
      <c r="F80" s="28">
        <v>61.86</v>
      </c>
      <c r="G80" s="28" t="s">
        <v>2457</v>
      </c>
      <c r="H80" s="28">
        <v>501.45</v>
      </c>
      <c r="I80" s="30">
        <f t="shared" si="8"/>
        <v>1.3634724861700996E-2</v>
      </c>
      <c r="J80" s="30">
        <f t="shared" si="9"/>
        <v>2.8165724332798663E-2</v>
      </c>
      <c r="K80" s="30">
        <f t="shared" si="10"/>
        <v>2.5992526314994401E-2</v>
      </c>
      <c r="L80" s="30">
        <f t="shared" si="11"/>
        <v>2.7826490925328896E-2</v>
      </c>
      <c r="M80" s="30">
        <f t="shared" si="12"/>
        <v>3.1029330076505265E-2</v>
      </c>
      <c r="N80" s="30">
        <f t="shared" si="13"/>
        <v>6.7684569629592488E-3</v>
      </c>
      <c r="O80" s="30">
        <f t="shared" si="14"/>
        <v>6.5622633020330445E-2</v>
      </c>
    </row>
    <row r="81" spans="1:15" s="30" customFormat="1">
      <c r="A81" s="27">
        <v>45995</v>
      </c>
      <c r="B81" s="28" t="s">
        <v>84</v>
      </c>
      <c r="C81" s="28">
        <v>556.15</v>
      </c>
      <c r="D81" s="28" t="s">
        <v>1286</v>
      </c>
      <c r="E81" s="28">
        <v>229.66</v>
      </c>
      <c r="F81" s="28">
        <v>64.09</v>
      </c>
      <c r="G81" s="28" t="s">
        <v>2458</v>
      </c>
      <c r="H81" s="28">
        <v>501.3</v>
      </c>
      <c r="I81" s="30">
        <f t="shared" si="8"/>
        <v>-3.8139000277851755E-3</v>
      </c>
      <c r="J81" s="30">
        <f t="shared" si="9"/>
        <v>2.9712352476165089E-3</v>
      </c>
      <c r="K81" s="30">
        <f t="shared" si="10"/>
        <v>5.0888518020963239E-2</v>
      </c>
      <c r="L81" s="30">
        <f t="shared" si="11"/>
        <v>6.771985597796017E-3</v>
      </c>
      <c r="M81" s="30">
        <f t="shared" si="12"/>
        <v>3.5414578259211883E-2</v>
      </c>
      <c r="N81" s="30">
        <f t="shared" si="13"/>
        <v>8.0226082656407027E-3</v>
      </c>
      <c r="O81" s="30">
        <f t="shared" si="14"/>
        <v>-2.9917726475958884E-4</v>
      </c>
    </row>
    <row r="82" spans="1:15" s="30" customFormat="1">
      <c r="A82" s="27">
        <v>45994</v>
      </c>
      <c r="B82" s="28" t="s">
        <v>85</v>
      </c>
      <c r="C82" s="28">
        <v>558.29999999999995</v>
      </c>
      <c r="D82" s="28" t="s">
        <v>1287</v>
      </c>
      <c r="E82" s="28">
        <v>232.67</v>
      </c>
      <c r="F82" s="28">
        <v>64.42</v>
      </c>
      <c r="G82" s="28" t="s">
        <v>2459</v>
      </c>
      <c r="H82" s="28">
        <v>505.4</v>
      </c>
      <c r="I82" s="30">
        <f t="shared" si="8"/>
        <v>-1.2519669356550016E-3</v>
      </c>
      <c r="J82" s="30">
        <f t="shared" si="9"/>
        <v>3.8584102782764575E-3</v>
      </c>
      <c r="K82" s="30">
        <f t="shared" si="10"/>
        <v>-1.1138729026325293E-2</v>
      </c>
      <c r="L82" s="30">
        <f t="shared" si="11"/>
        <v>1.3021186291158449E-2</v>
      </c>
      <c r="M82" s="30">
        <f t="shared" si="12"/>
        <v>5.1357983869173649E-3</v>
      </c>
      <c r="N82" s="30">
        <f t="shared" si="13"/>
        <v>-3.4222877857400052E-3</v>
      </c>
      <c r="O82" s="30">
        <f t="shared" si="14"/>
        <v>8.1454706846361084E-3</v>
      </c>
    </row>
    <row r="83" spans="1:15" s="30" customFormat="1">
      <c r="A83" s="27">
        <v>45993</v>
      </c>
      <c r="B83" s="28" t="s">
        <v>86</v>
      </c>
      <c r="C83" s="28">
        <v>559.04999999999995</v>
      </c>
      <c r="D83" s="28" t="s">
        <v>1288</v>
      </c>
      <c r="E83" s="28">
        <v>230.65</v>
      </c>
      <c r="F83" s="28">
        <v>65.27</v>
      </c>
      <c r="G83" s="28" t="s">
        <v>2460</v>
      </c>
      <c r="H83" s="28">
        <v>501.45</v>
      </c>
      <c r="I83" s="30">
        <f t="shared" si="8"/>
        <v>3.0467679106365965E-4</v>
      </c>
      <c r="J83" s="30">
        <f t="shared" si="9"/>
        <v>1.3424622770622672E-3</v>
      </c>
      <c r="K83" s="30">
        <f t="shared" si="10"/>
        <v>-5.0688298179554165E-3</v>
      </c>
      <c r="L83" s="30">
        <f t="shared" si="11"/>
        <v>-8.7197306353721925E-3</v>
      </c>
      <c r="M83" s="30">
        <f t="shared" si="12"/>
        <v>1.3108368744073225E-2</v>
      </c>
      <c r="N83" s="30">
        <f t="shared" si="13"/>
        <v>-1.3347982104722688E-2</v>
      </c>
      <c r="O83" s="30">
        <f t="shared" si="14"/>
        <v>-7.8462934198764919E-3</v>
      </c>
    </row>
    <row r="84" spans="1:15" s="30" customFormat="1">
      <c r="A84" s="27">
        <v>45992</v>
      </c>
      <c r="B84" s="28" t="s">
        <v>87</v>
      </c>
      <c r="C84" s="28">
        <v>556.1</v>
      </c>
      <c r="D84" s="28" t="s">
        <v>1289</v>
      </c>
      <c r="E84" s="28">
        <v>232.11</v>
      </c>
      <c r="F84" s="28">
        <v>65.95</v>
      </c>
      <c r="G84" s="28" t="s">
        <v>2461</v>
      </c>
      <c r="H84" s="28">
        <v>503.6</v>
      </c>
      <c r="I84" s="30">
        <f t="shared" si="8"/>
        <v>-2.9820141559636307E-2</v>
      </c>
      <c r="J84" s="30">
        <f t="shared" si="9"/>
        <v>-5.2907803998586394E-3</v>
      </c>
      <c r="K84" s="30">
        <f t="shared" si="10"/>
        <v>5.6131744793223286E-3</v>
      </c>
      <c r="L84" s="30">
        <f t="shared" si="11"/>
        <v>6.3099872256433239E-3</v>
      </c>
      <c r="M84" s="30">
        <f t="shared" si="12"/>
        <v>1.0364366516197567E-2</v>
      </c>
      <c r="N84" s="30">
        <f t="shared" si="13"/>
        <v>-5.4065626130984271E-2</v>
      </c>
      <c r="O84" s="30">
        <f t="shared" si="14"/>
        <v>4.2784006359749662E-3</v>
      </c>
    </row>
    <row r="85" spans="1:15" s="30" customFormat="1">
      <c r="A85" s="27">
        <v>45989</v>
      </c>
      <c r="B85" s="28" t="s">
        <v>88</v>
      </c>
      <c r="C85" s="28">
        <v>564.6</v>
      </c>
      <c r="D85" s="28" t="s">
        <v>1290</v>
      </c>
      <c r="E85" s="28">
        <v>236.49</v>
      </c>
      <c r="F85" s="28">
        <v>66.790000000000006</v>
      </c>
      <c r="G85" s="28" t="s">
        <v>2462</v>
      </c>
      <c r="H85" s="28">
        <v>519.6</v>
      </c>
      <c r="I85" s="30">
        <f t="shared" si="8"/>
        <v>2.368513820591838E-3</v>
      </c>
      <c r="J85" s="30">
        <f t="shared" si="9"/>
        <v>1.5169381625870709E-2</v>
      </c>
      <c r="K85" s="30">
        <f t="shared" si="10"/>
        <v>-2.062297662771505E-3</v>
      </c>
      <c r="L85" s="30">
        <f t="shared" si="11"/>
        <v>1.8694526510453682E-2</v>
      </c>
      <c r="M85" s="30">
        <f t="shared" si="12"/>
        <v>1.2656489574221145E-2</v>
      </c>
      <c r="N85" s="30">
        <f t="shared" si="13"/>
        <v>3.4189101877643607E-3</v>
      </c>
      <c r="O85" s="30">
        <f t="shared" si="14"/>
        <v>3.1276982626252295E-2</v>
      </c>
    </row>
    <row r="86" spans="1:15" s="30" customFormat="1">
      <c r="A86" s="27">
        <v>45988</v>
      </c>
      <c r="B86" s="28" t="s">
        <v>89</v>
      </c>
      <c r="C86" s="28">
        <v>570.85</v>
      </c>
      <c r="D86" s="28" t="s">
        <v>1291</v>
      </c>
      <c r="E86" s="28">
        <v>236.73</v>
      </c>
      <c r="F86" s="28">
        <v>66.94</v>
      </c>
      <c r="G86" s="28" t="s">
        <v>2463</v>
      </c>
      <c r="H86" s="28">
        <v>523.95000000000005</v>
      </c>
      <c r="I86" s="30">
        <f t="shared" si="8"/>
        <v>1.6337884923827289E-3</v>
      </c>
      <c r="J86" s="30">
        <f t="shared" si="9"/>
        <v>1.1008962302947293E-2</v>
      </c>
      <c r="K86" s="30">
        <f t="shared" si="10"/>
        <v>-2.1836624001734307E-3</v>
      </c>
      <c r="L86" s="30">
        <f t="shared" si="11"/>
        <v>1.0143274611265755E-3</v>
      </c>
      <c r="M86" s="30">
        <f t="shared" si="12"/>
        <v>2.2433270456357133E-3</v>
      </c>
      <c r="N86" s="30">
        <f t="shared" si="13"/>
        <v>2.6762034612144603E-2</v>
      </c>
      <c r="O86" s="30">
        <f t="shared" si="14"/>
        <v>8.3369751245063392E-3</v>
      </c>
    </row>
    <row r="87" spans="1:15" s="30" customFormat="1">
      <c r="A87" s="27">
        <v>45987</v>
      </c>
      <c r="B87" s="28" t="s">
        <v>90</v>
      </c>
      <c r="C87" s="28">
        <v>575.65</v>
      </c>
      <c r="D87" s="28" t="s">
        <v>1292</v>
      </c>
      <c r="E87" s="28">
        <v>234.01</v>
      </c>
      <c r="F87" s="28">
        <v>67.2</v>
      </c>
      <c r="G87" s="28" t="s">
        <v>2464</v>
      </c>
      <c r="H87" s="28">
        <v>523.45000000000005</v>
      </c>
      <c r="I87" s="30">
        <f t="shared" si="8"/>
        <v>-1.7729576527214139E-3</v>
      </c>
      <c r="J87" s="30">
        <f t="shared" si="9"/>
        <v>8.3733589973372224E-3</v>
      </c>
      <c r="K87" s="30">
        <f t="shared" si="10"/>
        <v>1.9942689911285907E-2</v>
      </c>
      <c r="L87" s="30">
        <f t="shared" si="11"/>
        <v>-1.1556401713732794E-2</v>
      </c>
      <c r="M87" s="30">
        <f t="shared" si="12"/>
        <v>3.8765517459232947E-3</v>
      </c>
      <c r="N87" s="30">
        <f t="shared" si="13"/>
        <v>5.3377256684776168E-3</v>
      </c>
      <c r="O87" s="30">
        <f t="shared" si="14"/>
        <v>-9.5474515558670499E-4</v>
      </c>
    </row>
    <row r="88" spans="1:15" s="30" customFormat="1">
      <c r="A88" s="27">
        <v>45986</v>
      </c>
      <c r="B88" s="28" t="s">
        <v>91</v>
      </c>
      <c r="C88" s="28">
        <v>569.15</v>
      </c>
      <c r="D88" s="28" t="s">
        <v>1293</v>
      </c>
      <c r="E88" s="28">
        <v>231.02</v>
      </c>
      <c r="F88" s="28">
        <v>66.42</v>
      </c>
      <c r="G88" s="28" t="s">
        <v>2465</v>
      </c>
      <c r="H88" s="28">
        <v>513.5</v>
      </c>
      <c r="I88" s="30">
        <f t="shared" si="8"/>
        <v>6.2610875467035768E-4</v>
      </c>
      <c r="J88" s="30">
        <f t="shared" si="9"/>
        <v>-1.1355817348447799E-2</v>
      </c>
      <c r="K88" s="30">
        <f t="shared" si="10"/>
        <v>-2.3344652251472295E-2</v>
      </c>
      <c r="L88" s="30">
        <f t="shared" si="11"/>
        <v>-1.2859562626786161E-2</v>
      </c>
      <c r="M88" s="30">
        <f t="shared" si="12"/>
        <v>-1.1675031580503419E-2</v>
      </c>
      <c r="N88" s="30">
        <f t="shared" si="13"/>
        <v>-6.249745266564217E-3</v>
      </c>
      <c r="O88" s="30">
        <f t="shared" si="14"/>
        <v>-1.9191485396751175E-2</v>
      </c>
    </row>
    <row r="89" spans="1:15" s="30" customFormat="1">
      <c r="A89" s="27">
        <v>45985</v>
      </c>
      <c r="B89" s="28" t="s">
        <v>92</v>
      </c>
      <c r="C89" s="28">
        <v>579.29999999999995</v>
      </c>
      <c r="D89" s="28" t="s">
        <v>1294</v>
      </c>
      <c r="E89" s="28">
        <v>231.99</v>
      </c>
      <c r="F89" s="28">
        <v>67.2</v>
      </c>
      <c r="G89" s="28" t="s">
        <v>877</v>
      </c>
      <c r="H89" s="28">
        <v>516.79999999999995</v>
      </c>
      <c r="I89" s="30">
        <f t="shared" si="8"/>
        <v>1.1815813711801575E-3</v>
      </c>
      <c r="J89" s="30">
        <f t="shared" si="9"/>
        <v>1.7676458331352674E-2</v>
      </c>
      <c r="K89" s="30">
        <f t="shared" si="10"/>
        <v>-1.1751571786258183E-4</v>
      </c>
      <c r="L89" s="30">
        <f t="shared" si="11"/>
        <v>4.1899804285195404E-3</v>
      </c>
      <c r="M89" s="30">
        <f t="shared" si="12"/>
        <v>1.1675031580503448E-2</v>
      </c>
      <c r="N89" s="30">
        <f t="shared" si="13"/>
        <v>-1.2111310151219957E-2</v>
      </c>
      <c r="O89" s="30">
        <f t="shared" si="14"/>
        <v>6.4059230997791389E-3</v>
      </c>
    </row>
    <row r="90" spans="1:15" s="30" customFormat="1">
      <c r="A90" s="27">
        <v>45982</v>
      </c>
      <c r="B90" s="28" t="s">
        <v>93</v>
      </c>
      <c r="C90" s="28">
        <v>579.54999999999995</v>
      </c>
      <c r="D90" s="28" t="s">
        <v>1295</v>
      </c>
      <c r="E90" s="28">
        <v>232.8</v>
      </c>
      <c r="F90" s="28">
        <v>68.34</v>
      </c>
      <c r="G90" s="28" t="s">
        <v>2466</v>
      </c>
      <c r="H90" s="28">
        <v>521.6</v>
      </c>
      <c r="I90" s="30">
        <f t="shared" si="8"/>
        <v>-9.0343659503200661E-4</v>
      </c>
      <c r="J90" s="30">
        <f t="shared" si="9"/>
        <v>4.3146223217547836E-4</v>
      </c>
      <c r="K90" s="30">
        <f t="shared" si="10"/>
        <v>3.7926967713272372E-3</v>
      </c>
      <c r="L90" s="30">
        <f t="shared" si="11"/>
        <v>3.4854485682289651E-3</v>
      </c>
      <c r="M90" s="30">
        <f t="shared" si="12"/>
        <v>1.6821999158041962E-2</v>
      </c>
      <c r="N90" s="30">
        <f t="shared" si="13"/>
        <v>8.4253494722965512E-3</v>
      </c>
      <c r="O90" s="30">
        <f t="shared" si="14"/>
        <v>9.2450581440512089E-3</v>
      </c>
    </row>
    <row r="91" spans="1:15" s="30" customFormat="1">
      <c r="A91" s="27">
        <v>45981</v>
      </c>
      <c r="B91" s="28" t="s">
        <v>94</v>
      </c>
      <c r="C91" s="28">
        <v>590.1</v>
      </c>
      <c r="D91" s="28" t="s">
        <v>1296</v>
      </c>
      <c r="E91" s="28">
        <v>239.78</v>
      </c>
      <c r="F91" s="28">
        <v>69.72</v>
      </c>
      <c r="G91" s="28" t="s">
        <v>2467</v>
      </c>
      <c r="H91" s="28">
        <v>529.85</v>
      </c>
      <c r="I91" s="30">
        <f t="shared" si="8"/>
        <v>-5.8573488710418602E-3</v>
      </c>
      <c r="J91" s="30">
        <f t="shared" si="9"/>
        <v>1.8040073728369261E-2</v>
      </c>
      <c r="K91" s="30">
        <f t="shared" si="10"/>
        <v>1.9860781867987287E-2</v>
      </c>
      <c r="L91" s="30">
        <f t="shared" si="11"/>
        <v>2.9542120422224698E-2</v>
      </c>
      <c r="M91" s="30">
        <f t="shared" si="12"/>
        <v>1.9991973964674288E-2</v>
      </c>
      <c r="N91" s="30">
        <f t="shared" si="13"/>
        <v>2.6257962541555084E-3</v>
      </c>
      <c r="O91" s="30">
        <f t="shared" si="14"/>
        <v>1.5692937008401801E-2</v>
      </c>
    </row>
    <row r="92" spans="1:15" s="30" customFormat="1">
      <c r="A92" s="27">
        <v>45980</v>
      </c>
      <c r="B92" s="28" t="s">
        <v>95</v>
      </c>
      <c r="C92" s="28">
        <v>588.95000000000005</v>
      </c>
      <c r="D92" s="28" t="s">
        <v>1297</v>
      </c>
      <c r="E92" s="28">
        <v>244.87</v>
      </c>
      <c r="F92" s="28">
        <v>70.09</v>
      </c>
      <c r="G92" s="28" t="s">
        <v>2468</v>
      </c>
      <c r="H92" s="28">
        <v>532.6</v>
      </c>
      <c r="I92" s="30">
        <f t="shared" si="8"/>
        <v>1.178426776880963E-2</v>
      </c>
      <c r="J92" s="30">
        <f t="shared" si="9"/>
        <v>-1.9507236583295E-3</v>
      </c>
      <c r="K92" s="30">
        <f t="shared" si="10"/>
        <v>-1.0267543911460324E-2</v>
      </c>
      <c r="L92" s="30">
        <f t="shared" si="11"/>
        <v>2.1005621195826697E-2</v>
      </c>
      <c r="M92" s="30">
        <f t="shared" si="12"/>
        <v>5.2929098604132209E-3</v>
      </c>
      <c r="N92" s="30">
        <f t="shared" si="13"/>
        <v>-6.5922934772038068E-3</v>
      </c>
      <c r="O92" s="30">
        <f t="shared" si="14"/>
        <v>5.1767257589867841E-3</v>
      </c>
    </row>
    <row r="93" spans="1:15" s="30" customFormat="1">
      <c r="A93" s="27">
        <v>45979</v>
      </c>
      <c r="B93" s="28" t="s">
        <v>96</v>
      </c>
      <c r="C93" s="28">
        <v>586.6</v>
      </c>
      <c r="D93" s="28" t="s">
        <v>1298</v>
      </c>
      <c r="E93" s="28">
        <v>246.97</v>
      </c>
      <c r="F93" s="28">
        <v>69.39</v>
      </c>
      <c r="G93" s="28" t="s">
        <v>2469</v>
      </c>
      <c r="H93" s="28">
        <v>534.6</v>
      </c>
      <c r="I93" s="30">
        <f t="shared" si="8"/>
        <v>4.2416050626716065E-3</v>
      </c>
      <c r="J93" s="30">
        <f t="shared" si="9"/>
        <v>-3.9981338614428746E-3</v>
      </c>
      <c r="K93" s="30">
        <f t="shared" si="10"/>
        <v>2.4776515054277876E-2</v>
      </c>
      <c r="L93" s="30">
        <f t="shared" si="11"/>
        <v>8.5394142862061755E-3</v>
      </c>
      <c r="M93" s="30">
        <f t="shared" si="12"/>
        <v>-1.0037365600775968E-2</v>
      </c>
      <c r="N93" s="30">
        <f t="shared" si="13"/>
        <v>2.9911324923471007E-3</v>
      </c>
      <c r="O93" s="30">
        <f t="shared" si="14"/>
        <v>3.7481303249868566E-3</v>
      </c>
    </row>
    <row r="94" spans="1:15" s="30" customFormat="1">
      <c r="A94" s="27">
        <v>45978</v>
      </c>
      <c r="B94" s="28" t="s">
        <v>97</v>
      </c>
      <c r="C94" s="28">
        <v>578.1</v>
      </c>
      <c r="D94" s="28" t="s">
        <v>1299</v>
      </c>
      <c r="E94" s="28">
        <v>247.69</v>
      </c>
      <c r="F94" s="28">
        <v>70.209999999999994</v>
      </c>
      <c r="G94" s="28" t="s">
        <v>2470</v>
      </c>
      <c r="H94" s="28">
        <v>529.25</v>
      </c>
      <c r="I94" s="30">
        <f t="shared" si="8"/>
        <v>-6.2479707557875751E-3</v>
      </c>
      <c r="J94" s="30">
        <f t="shared" si="9"/>
        <v>-1.4596292454920303E-2</v>
      </c>
      <c r="K94" s="30">
        <f t="shared" si="10"/>
        <v>-3.5507913256366125E-3</v>
      </c>
      <c r="L94" s="30">
        <f t="shared" si="11"/>
        <v>2.9110925017892019E-3</v>
      </c>
      <c r="M94" s="30">
        <f t="shared" si="12"/>
        <v>1.1747986117699848E-2</v>
      </c>
      <c r="N94" s="30">
        <f t="shared" si="13"/>
        <v>-1.6007018674574974E-2</v>
      </c>
      <c r="O94" s="30">
        <f t="shared" si="14"/>
        <v>-1.0057893689844126E-2</v>
      </c>
    </row>
    <row r="95" spans="1:15" s="30" customFormat="1">
      <c r="A95" s="27">
        <v>45975</v>
      </c>
      <c r="B95" s="28" t="s">
        <v>98</v>
      </c>
      <c r="C95" s="28">
        <v>579.54999999999995</v>
      </c>
      <c r="D95" s="28" t="s">
        <v>1300</v>
      </c>
      <c r="E95" s="28">
        <v>248.8</v>
      </c>
      <c r="F95" s="28">
        <v>71.14</v>
      </c>
      <c r="G95" s="28" t="s">
        <v>2471</v>
      </c>
      <c r="H95" s="28">
        <v>520.1</v>
      </c>
      <c r="I95" s="30">
        <f t="shared" si="8"/>
        <v>6.3856075325516891E-3</v>
      </c>
      <c r="J95" s="30">
        <f t="shared" si="9"/>
        <v>2.5050762463235308E-3</v>
      </c>
      <c r="K95" s="30">
        <f t="shared" si="10"/>
        <v>-1.7175339191480347E-2</v>
      </c>
      <c r="L95" s="30">
        <f t="shared" si="11"/>
        <v>4.471396601694896E-3</v>
      </c>
      <c r="M95" s="30">
        <f t="shared" si="12"/>
        <v>1.3159015491151692E-2</v>
      </c>
      <c r="N95" s="30">
        <f t="shared" si="13"/>
        <v>9.3610959784140701E-3</v>
      </c>
      <c r="O95" s="30">
        <f t="shared" si="14"/>
        <v>-1.7439809235947661E-2</v>
      </c>
    </row>
    <row r="96" spans="1:15" s="30" customFormat="1">
      <c r="A96" s="27">
        <v>45974</v>
      </c>
      <c r="B96" s="28" t="s">
        <v>99</v>
      </c>
      <c r="C96" s="28">
        <v>577.9</v>
      </c>
      <c r="D96" s="28" t="s">
        <v>1301</v>
      </c>
      <c r="E96" s="28">
        <v>249.34</v>
      </c>
      <c r="F96" s="28">
        <v>73.239999999999995</v>
      </c>
      <c r="G96" s="28" t="s">
        <v>2472</v>
      </c>
      <c r="H96" s="28">
        <v>512.35</v>
      </c>
      <c r="I96" s="30">
        <f t="shared" si="8"/>
        <v>-9.3332628147373628E-3</v>
      </c>
      <c r="J96" s="30">
        <f t="shared" si="9"/>
        <v>-2.8510970110216358E-3</v>
      </c>
      <c r="K96" s="30">
        <f t="shared" si="10"/>
        <v>-6.4885134176916283E-3</v>
      </c>
      <c r="L96" s="30">
        <f t="shared" si="11"/>
        <v>2.1680660518044589E-3</v>
      </c>
      <c r="M96" s="30">
        <f t="shared" si="12"/>
        <v>2.9091953286000678E-2</v>
      </c>
      <c r="N96" s="30">
        <f t="shared" si="13"/>
        <v>-2.7424227996570819E-3</v>
      </c>
      <c r="O96" s="30">
        <f t="shared" si="14"/>
        <v>-1.5013115533299889E-2</v>
      </c>
    </row>
    <row r="97" spans="1:15" s="30" customFormat="1">
      <c r="A97" s="27">
        <v>45973</v>
      </c>
      <c r="B97" s="28" t="s">
        <v>100</v>
      </c>
      <c r="C97" s="28">
        <v>560.1</v>
      </c>
      <c r="D97" s="28" t="s">
        <v>1302</v>
      </c>
      <c r="E97" s="28">
        <v>245.53</v>
      </c>
      <c r="F97" s="28">
        <v>77.040000000000006</v>
      </c>
      <c r="G97" s="28" t="s">
        <v>2473</v>
      </c>
      <c r="H97" s="28">
        <v>512.4</v>
      </c>
      <c r="I97" s="30">
        <f t="shared" si="8"/>
        <v>-3.8806823683637449E-2</v>
      </c>
      <c r="J97" s="30">
        <f t="shared" si="9"/>
        <v>-3.128550410794563E-2</v>
      </c>
      <c r="K97" s="30">
        <f t="shared" si="10"/>
        <v>-4.5907620894154011E-2</v>
      </c>
      <c r="L97" s="30">
        <f t="shared" si="11"/>
        <v>-1.5398287555347672E-2</v>
      </c>
      <c r="M97" s="30">
        <f t="shared" si="12"/>
        <v>5.0583047683560249E-2</v>
      </c>
      <c r="N97" s="30">
        <f t="shared" si="13"/>
        <v>-1.1951376414712674E-2</v>
      </c>
      <c r="O97" s="30">
        <f t="shared" si="14"/>
        <v>9.7584776852223276E-5</v>
      </c>
    </row>
    <row r="98" spans="1:15" s="30" customFormat="1">
      <c r="A98" s="27">
        <v>45972</v>
      </c>
      <c r="B98" s="28" t="s">
        <v>101</v>
      </c>
      <c r="C98" s="28">
        <v>546.20000000000005</v>
      </c>
      <c r="D98" s="28" t="s">
        <v>1303</v>
      </c>
      <c r="E98" s="28">
        <v>243.85</v>
      </c>
      <c r="F98" s="28">
        <v>74.540000000000006</v>
      </c>
      <c r="G98" s="28" t="s">
        <v>2474</v>
      </c>
      <c r="H98" s="28">
        <v>515</v>
      </c>
      <c r="I98" s="30">
        <f t="shared" si="8"/>
        <v>-4.1502178617531339E-2</v>
      </c>
      <c r="J98" s="30">
        <f t="shared" si="9"/>
        <v>-2.513013017618192E-2</v>
      </c>
      <c r="K98" s="30">
        <f t="shared" si="10"/>
        <v>-2.4600324759774906E-2</v>
      </c>
      <c r="L98" s="30">
        <f t="shared" si="11"/>
        <v>-6.8658572054197007E-3</v>
      </c>
      <c r="M98" s="30">
        <f t="shared" si="12"/>
        <v>-3.298887343875772E-2</v>
      </c>
      <c r="N98" s="30">
        <f t="shared" si="13"/>
        <v>-1.2090803395374662E-3</v>
      </c>
      <c r="O98" s="30">
        <f t="shared" si="14"/>
        <v>5.0613306411570816E-3</v>
      </c>
    </row>
    <row r="99" spans="1:15" s="30" customFormat="1">
      <c r="A99" s="27">
        <v>45971</v>
      </c>
      <c r="B99" s="28" t="s">
        <v>102</v>
      </c>
      <c r="C99" s="28">
        <v>535.6</v>
      </c>
      <c r="D99" s="28" t="s">
        <v>1304</v>
      </c>
      <c r="E99" s="28">
        <v>245.82</v>
      </c>
      <c r="F99" s="28">
        <v>73.55</v>
      </c>
      <c r="G99" s="28" t="s">
        <v>2475</v>
      </c>
      <c r="H99" s="28">
        <v>526.65</v>
      </c>
      <c r="I99" s="30">
        <f t="shared" si="8"/>
        <v>-2.5623648053999517E-3</v>
      </c>
      <c r="J99" s="30">
        <f t="shared" si="9"/>
        <v>-1.9597595222587187E-2</v>
      </c>
      <c r="K99" s="30">
        <f t="shared" si="10"/>
        <v>-4.0040973802555044E-2</v>
      </c>
      <c r="L99" s="30">
        <f t="shared" si="11"/>
        <v>8.0462786307731217E-3</v>
      </c>
      <c r="M99" s="30">
        <f t="shared" si="12"/>
        <v>-1.3370447003665948E-2</v>
      </c>
      <c r="N99" s="30">
        <f t="shared" si="13"/>
        <v>-2.0891056237819258E-3</v>
      </c>
      <c r="O99" s="30">
        <f t="shared" si="14"/>
        <v>2.2369290618814711E-2</v>
      </c>
    </row>
    <row r="100" spans="1:15" s="30" customFormat="1">
      <c r="A100" s="27">
        <v>45968</v>
      </c>
      <c r="B100" s="28" t="s">
        <v>103</v>
      </c>
      <c r="C100" s="28">
        <v>531.04999999999995</v>
      </c>
      <c r="D100" s="28" t="s">
        <v>1305</v>
      </c>
      <c r="E100" s="28">
        <v>246.32</v>
      </c>
      <c r="F100" s="28">
        <v>75.11</v>
      </c>
      <c r="G100" s="28" t="s">
        <v>2476</v>
      </c>
      <c r="H100" s="28">
        <v>510.2</v>
      </c>
      <c r="I100" s="30">
        <f t="shared" si="8"/>
        <v>-1.3905470822750583E-2</v>
      </c>
      <c r="J100" s="30">
        <f t="shared" si="9"/>
        <v>-8.5314350494689797E-3</v>
      </c>
      <c r="K100" s="30">
        <f t="shared" si="10"/>
        <v>-0.14031171046912458</v>
      </c>
      <c r="L100" s="30">
        <f t="shared" si="11"/>
        <v>2.0319428294102177E-3</v>
      </c>
      <c r="M100" s="30">
        <f t="shared" si="12"/>
        <v>2.0988258650473813E-2</v>
      </c>
      <c r="N100" s="30">
        <f t="shared" si="13"/>
        <v>-1.1308165671953667E-2</v>
      </c>
      <c r="O100" s="30">
        <f t="shared" si="14"/>
        <v>-3.1733385574839915E-2</v>
      </c>
    </row>
    <row r="101" spans="1:15" s="30" customFormat="1">
      <c r="A101" s="27">
        <v>45967</v>
      </c>
      <c r="B101" s="28" t="s">
        <v>104</v>
      </c>
      <c r="C101" s="28">
        <v>544.45000000000005</v>
      </c>
      <c r="D101" s="28" t="s">
        <v>1306</v>
      </c>
      <c r="E101" s="28">
        <v>248.18</v>
      </c>
      <c r="F101" s="28">
        <v>74.680000000000007</v>
      </c>
      <c r="G101" s="28" t="s">
        <v>2477</v>
      </c>
      <c r="H101" s="28">
        <v>504.1</v>
      </c>
      <c r="I101" s="30">
        <f t="shared" si="8"/>
        <v>-4.1788931172406672E-3</v>
      </c>
      <c r="J101" s="30">
        <f t="shared" si="9"/>
        <v>2.4919932024521588E-2</v>
      </c>
      <c r="K101" s="30">
        <f t="shared" si="10"/>
        <v>-1.3334199270186187E-2</v>
      </c>
      <c r="L101" s="30">
        <f t="shared" si="11"/>
        <v>7.5227857302285605E-3</v>
      </c>
      <c r="M101" s="30">
        <f t="shared" si="12"/>
        <v>-5.7413870243984552E-3</v>
      </c>
      <c r="N101" s="30">
        <f t="shared" si="13"/>
        <v>-1.3858888113662817E-2</v>
      </c>
      <c r="O101" s="30">
        <f t="shared" si="14"/>
        <v>-1.2028144619125767E-2</v>
      </c>
    </row>
    <row r="102" spans="1:15" s="30" customFormat="1">
      <c r="A102" s="27">
        <v>45965</v>
      </c>
      <c r="B102" s="28" t="s">
        <v>105</v>
      </c>
      <c r="C102" s="28">
        <v>537.45000000000005</v>
      </c>
      <c r="D102" s="28" t="s">
        <v>1307</v>
      </c>
      <c r="E102" s="28">
        <v>248.54</v>
      </c>
      <c r="F102" s="28">
        <v>77.2</v>
      </c>
      <c r="G102" s="28" t="s">
        <v>2478</v>
      </c>
      <c r="H102" s="28">
        <v>506.55</v>
      </c>
      <c r="I102" s="30">
        <f t="shared" si="8"/>
        <v>-4.5669677780104841E-2</v>
      </c>
      <c r="J102" s="30">
        <f t="shared" si="9"/>
        <v>-1.2940378372997503E-2</v>
      </c>
      <c r="K102" s="30">
        <f t="shared" si="10"/>
        <v>4.4310243697105204E-3</v>
      </c>
      <c r="L102" s="30">
        <f t="shared" si="11"/>
        <v>1.4495090313748845E-3</v>
      </c>
      <c r="M102" s="30">
        <f t="shared" si="12"/>
        <v>3.3187138357208504E-2</v>
      </c>
      <c r="N102" s="30">
        <f t="shared" si="13"/>
        <v>6.8762854186272234E-3</v>
      </c>
      <c r="O102" s="30">
        <f t="shared" si="14"/>
        <v>4.8483744111012146E-3</v>
      </c>
    </row>
    <row r="103" spans="1:15" s="30" customFormat="1">
      <c r="A103" s="27">
        <v>45964</v>
      </c>
      <c r="B103" s="28" t="s">
        <v>106</v>
      </c>
      <c r="C103" s="28">
        <v>539</v>
      </c>
      <c r="D103" s="28" t="s">
        <v>1308</v>
      </c>
      <c r="E103" s="28">
        <v>249.15</v>
      </c>
      <c r="F103" s="28">
        <v>78.09</v>
      </c>
      <c r="G103" s="28" t="s">
        <v>2479</v>
      </c>
      <c r="H103" s="28">
        <v>522.25</v>
      </c>
      <c r="I103" s="30">
        <f t="shared" si="8"/>
        <v>1.0202332987562341E-2</v>
      </c>
      <c r="J103" s="30">
        <f t="shared" si="9"/>
        <v>2.8798384899245528E-3</v>
      </c>
      <c r="K103" s="30">
        <f t="shared" si="10"/>
        <v>8.7537762298458902E-3</v>
      </c>
      <c r="L103" s="30">
        <f t="shared" si="11"/>
        <v>2.4513263495651526E-3</v>
      </c>
      <c r="M103" s="30">
        <f t="shared" si="12"/>
        <v>1.1462550643853165E-2</v>
      </c>
      <c r="N103" s="30">
        <f t="shared" si="13"/>
        <v>6.6453604139209361E-3</v>
      </c>
      <c r="O103" s="30">
        <f t="shared" si="14"/>
        <v>3.0523364936988803E-2</v>
      </c>
    </row>
    <row r="104" spans="1:15" s="30" customFormat="1">
      <c r="A104" s="27">
        <v>45961</v>
      </c>
      <c r="B104" s="28" t="s">
        <v>107</v>
      </c>
      <c r="C104" s="28">
        <v>542.1</v>
      </c>
      <c r="D104" s="28" t="s">
        <v>1309</v>
      </c>
      <c r="E104" s="28">
        <v>247.96</v>
      </c>
      <c r="F104" s="28">
        <v>78.31</v>
      </c>
      <c r="G104" s="28" t="s">
        <v>2480</v>
      </c>
      <c r="H104" s="28">
        <v>519.1</v>
      </c>
      <c r="I104" s="30">
        <f t="shared" si="8"/>
        <v>-5.5743580977580772E-4</v>
      </c>
      <c r="J104" s="30">
        <f t="shared" si="9"/>
        <v>5.7349153572954347E-3</v>
      </c>
      <c r="K104" s="30">
        <f t="shared" si="10"/>
        <v>-4.0422242329572425E-3</v>
      </c>
      <c r="L104" s="30">
        <f t="shared" si="11"/>
        <v>-4.7876818936948787E-3</v>
      </c>
      <c r="M104" s="30">
        <f t="shared" si="12"/>
        <v>2.8133010882625251E-3</v>
      </c>
      <c r="N104" s="30">
        <f t="shared" si="13"/>
        <v>-5.9973422467360987E-3</v>
      </c>
      <c r="O104" s="30">
        <f t="shared" si="14"/>
        <v>-6.0498576034917432E-3</v>
      </c>
    </row>
    <row r="105" spans="1:15" s="30" customFormat="1">
      <c r="A105" s="27">
        <v>45960</v>
      </c>
      <c r="B105" s="28" t="s">
        <v>108</v>
      </c>
      <c r="C105" s="28">
        <v>544.75</v>
      </c>
      <c r="D105" s="28" t="s">
        <v>1310</v>
      </c>
      <c r="E105" s="28">
        <v>250.49</v>
      </c>
      <c r="F105" s="28">
        <v>77.569999999999993</v>
      </c>
      <c r="G105" s="28" t="s">
        <v>2481</v>
      </c>
      <c r="H105" s="28">
        <v>514</v>
      </c>
      <c r="I105" s="30">
        <f t="shared" si="8"/>
        <v>5.0453993369404225E-3</v>
      </c>
      <c r="J105" s="30">
        <f t="shared" si="9"/>
        <v>4.8764875584366065E-3</v>
      </c>
      <c r="K105" s="30">
        <f t="shared" si="10"/>
        <v>1.1138852115549739E-2</v>
      </c>
      <c r="L105" s="30">
        <f t="shared" si="11"/>
        <v>1.0151556734689322E-2</v>
      </c>
      <c r="M105" s="30">
        <f t="shared" si="12"/>
        <v>-9.4945542600662295E-3</v>
      </c>
      <c r="N105" s="30">
        <f t="shared" si="13"/>
        <v>8.8449948592480097E-3</v>
      </c>
      <c r="O105" s="30">
        <f t="shared" si="14"/>
        <v>-9.873277378018297E-3</v>
      </c>
    </row>
    <row r="106" spans="1:15" s="30" customFormat="1">
      <c r="A106" s="27">
        <v>45959</v>
      </c>
      <c r="B106" s="28" t="s">
        <v>109</v>
      </c>
      <c r="C106" s="28">
        <v>545.04999999999995</v>
      </c>
      <c r="D106" s="28" t="s">
        <v>1311</v>
      </c>
      <c r="E106" s="28">
        <v>252.68</v>
      </c>
      <c r="F106" s="28">
        <v>78.819999999999993</v>
      </c>
      <c r="G106" s="28" t="s">
        <v>2482</v>
      </c>
      <c r="H106" s="28">
        <v>511.75</v>
      </c>
      <c r="I106" s="30">
        <f t="shared" si="8"/>
        <v>6.0053121886742286E-3</v>
      </c>
      <c r="J106" s="30">
        <f t="shared" si="9"/>
        <v>5.5055974963809167E-4</v>
      </c>
      <c r="K106" s="30">
        <f t="shared" si="10"/>
        <v>2.5681562910005429E-3</v>
      </c>
      <c r="L106" s="30">
        <f t="shared" si="11"/>
        <v>8.7048664620915824E-3</v>
      </c>
      <c r="M106" s="30">
        <f t="shared" si="12"/>
        <v>1.5986017264077456E-2</v>
      </c>
      <c r="N106" s="30">
        <f t="shared" si="13"/>
        <v>1.0130442719772845E-2</v>
      </c>
      <c r="O106" s="30">
        <f t="shared" si="14"/>
        <v>-4.3870409137661817E-3</v>
      </c>
    </row>
    <row r="107" spans="1:15" s="30" customFormat="1">
      <c r="A107" s="27">
        <v>45958</v>
      </c>
      <c r="B107" s="28" t="s">
        <v>110</v>
      </c>
      <c r="C107" s="28">
        <v>544.9</v>
      </c>
      <c r="D107" s="28" t="s">
        <v>1312</v>
      </c>
      <c r="E107" s="28">
        <v>249.5</v>
      </c>
      <c r="F107" s="28">
        <v>77.349999999999994</v>
      </c>
      <c r="G107" s="28" t="s">
        <v>2483</v>
      </c>
      <c r="H107" s="28">
        <v>510.05</v>
      </c>
      <c r="I107" s="30">
        <f t="shared" si="8"/>
        <v>-1.1648309200816371E-2</v>
      </c>
      <c r="J107" s="30">
        <f t="shared" si="9"/>
        <v>-2.7524198531488585E-4</v>
      </c>
      <c r="K107" s="30">
        <f t="shared" si="10"/>
        <v>-8.6194618951778955E-3</v>
      </c>
      <c r="L107" s="30">
        <f t="shared" si="11"/>
        <v>-1.2664950838926358E-2</v>
      </c>
      <c r="M107" s="30">
        <f t="shared" si="12"/>
        <v>-1.8826194747782458E-2</v>
      </c>
      <c r="N107" s="30">
        <f t="shared" si="13"/>
        <v>-5.9502300633033451E-3</v>
      </c>
      <c r="O107" s="30">
        <f t="shared" si="14"/>
        <v>-3.3274644128710351E-3</v>
      </c>
    </row>
    <row r="108" spans="1:15" s="30" customFormat="1">
      <c r="A108" s="27">
        <v>45957</v>
      </c>
      <c r="B108" s="28" t="s">
        <v>111</v>
      </c>
      <c r="C108" s="28">
        <v>541.20000000000005</v>
      </c>
      <c r="D108" s="28" t="s">
        <v>1313</v>
      </c>
      <c r="E108" s="28">
        <v>253.18</v>
      </c>
      <c r="F108" s="28">
        <v>78.23</v>
      </c>
      <c r="G108" s="28" t="s">
        <v>2484</v>
      </c>
      <c r="H108" s="28">
        <v>502.55</v>
      </c>
      <c r="I108" s="30">
        <f t="shared" si="8"/>
        <v>3.778767846412838E-3</v>
      </c>
      <c r="J108" s="30">
        <f t="shared" si="9"/>
        <v>-6.8133952924195607E-3</v>
      </c>
      <c r="K108" s="30">
        <f t="shared" si="10"/>
        <v>5.3587505431053045E-3</v>
      </c>
      <c r="L108" s="30">
        <f t="shared" si="11"/>
        <v>1.4641783017108797E-2</v>
      </c>
      <c r="M108" s="30">
        <f t="shared" si="12"/>
        <v>1.1312628677914313E-2</v>
      </c>
      <c r="N108" s="30">
        <f t="shared" si="13"/>
        <v>-1.0560406686878795E-2</v>
      </c>
      <c r="O108" s="30">
        <f t="shared" si="14"/>
        <v>-1.4813622657779021E-2</v>
      </c>
    </row>
    <row r="109" spans="1:15" s="30" customFormat="1">
      <c r="A109" s="27">
        <v>45954</v>
      </c>
      <c r="B109" s="28" t="s">
        <v>112</v>
      </c>
      <c r="C109" s="28">
        <v>545.65</v>
      </c>
      <c r="D109" s="28" t="s">
        <v>1314</v>
      </c>
      <c r="E109" s="28">
        <v>253.97</v>
      </c>
      <c r="F109" s="28">
        <v>79.05</v>
      </c>
      <c r="G109" s="28" t="s">
        <v>2485</v>
      </c>
      <c r="H109" s="28">
        <v>501.9</v>
      </c>
      <c r="I109" s="30">
        <f t="shared" si="8"/>
        <v>-6.8520704709562489E-3</v>
      </c>
      <c r="J109" s="30">
        <f t="shared" si="9"/>
        <v>8.1888482624657075E-3</v>
      </c>
      <c r="K109" s="30">
        <f t="shared" si="10"/>
        <v>2.1733601409267292E-2</v>
      </c>
      <c r="L109" s="30">
        <f t="shared" si="11"/>
        <v>3.1154515980705605E-3</v>
      </c>
      <c r="M109" s="30">
        <f t="shared" si="12"/>
        <v>1.0427357958491611E-2</v>
      </c>
      <c r="N109" s="30">
        <f t="shared" si="13"/>
        <v>1.0347242260169181E-2</v>
      </c>
      <c r="O109" s="30">
        <f t="shared" si="14"/>
        <v>-1.2942408098609805E-3</v>
      </c>
    </row>
    <row r="110" spans="1:15" s="30" customFormat="1">
      <c r="A110" s="27">
        <v>45953</v>
      </c>
      <c r="B110" s="28" t="s">
        <v>113</v>
      </c>
      <c r="C110" s="28">
        <v>542.35</v>
      </c>
      <c r="D110" s="28" t="s">
        <v>1315</v>
      </c>
      <c r="E110" s="28">
        <v>255.43</v>
      </c>
      <c r="F110" s="28">
        <v>79.010000000000005</v>
      </c>
      <c r="G110" s="28" t="s">
        <v>2486</v>
      </c>
      <c r="H110" s="28">
        <v>503.7</v>
      </c>
      <c r="I110" s="30">
        <f t="shared" si="8"/>
        <v>3.197442073603844E-4</v>
      </c>
      <c r="J110" s="30">
        <f t="shared" si="9"/>
        <v>-6.0661950728721614E-3</v>
      </c>
      <c r="K110" s="30">
        <f t="shared" si="10"/>
        <v>5.6011735042770846E-3</v>
      </c>
      <c r="L110" s="30">
        <f t="shared" si="11"/>
        <v>5.7322496969167084E-3</v>
      </c>
      <c r="M110" s="30">
        <f t="shared" si="12"/>
        <v>-5.0613692083898798E-4</v>
      </c>
      <c r="N110" s="30">
        <f t="shared" si="13"/>
        <v>1.5292851231100654E-2</v>
      </c>
      <c r="O110" s="30">
        <f t="shared" si="14"/>
        <v>3.5799560907169045E-3</v>
      </c>
    </row>
    <row r="111" spans="1:15" s="30" customFormat="1">
      <c r="A111" s="27">
        <v>45951</v>
      </c>
      <c r="B111" s="28" t="s">
        <v>114</v>
      </c>
      <c r="C111" s="28">
        <v>541.4</v>
      </c>
      <c r="D111" s="28" t="s">
        <v>1316</v>
      </c>
      <c r="E111" s="28">
        <v>256.85000000000002</v>
      </c>
      <c r="F111" s="28">
        <v>81.66</v>
      </c>
      <c r="G111" s="28" t="s">
        <v>2487</v>
      </c>
      <c r="H111" s="28">
        <v>496.05</v>
      </c>
      <c r="I111" s="30">
        <f t="shared" si="8"/>
        <v>8.7876977894010995E-4</v>
      </c>
      <c r="J111" s="30">
        <f t="shared" si="9"/>
        <v>-1.7531723060258109E-3</v>
      </c>
      <c r="K111" s="30">
        <f t="shared" si="10"/>
        <v>5.7764514940169165E-4</v>
      </c>
      <c r="L111" s="30">
        <f t="shared" si="11"/>
        <v>5.5438574096073768E-3</v>
      </c>
      <c r="M111" s="30">
        <f t="shared" si="12"/>
        <v>3.2989859156787718E-2</v>
      </c>
      <c r="N111" s="30">
        <f t="shared" si="13"/>
        <v>1.0917660048008985E-2</v>
      </c>
      <c r="O111" s="30">
        <f t="shared" si="14"/>
        <v>-1.5304124655693252E-2</v>
      </c>
    </row>
    <row r="112" spans="1:15" s="30" customFormat="1">
      <c r="A112" s="27">
        <v>45950</v>
      </c>
      <c r="B112" s="28" t="s">
        <v>115</v>
      </c>
      <c r="C112" s="28">
        <v>539.75</v>
      </c>
      <c r="D112" s="28" t="s">
        <v>1317</v>
      </c>
      <c r="E112" s="28">
        <v>253.54</v>
      </c>
      <c r="F112" s="28">
        <v>80.81</v>
      </c>
      <c r="G112" s="28" t="s">
        <v>2488</v>
      </c>
      <c r="H112" s="28">
        <v>493.15</v>
      </c>
      <c r="I112" s="30">
        <f t="shared" si="8"/>
        <v>4.5412976903991603E-3</v>
      </c>
      <c r="J112" s="30">
        <f t="shared" si="9"/>
        <v>-3.0523077852840147E-3</v>
      </c>
      <c r="K112" s="30">
        <f t="shared" si="10"/>
        <v>-1.8358050410754119E-2</v>
      </c>
      <c r="L112" s="30">
        <f t="shared" si="11"/>
        <v>-1.2970655402696374E-2</v>
      </c>
      <c r="M112" s="30">
        <f t="shared" si="12"/>
        <v>-1.0463565646073397E-2</v>
      </c>
      <c r="N112" s="30">
        <f t="shared" si="13"/>
        <v>-5.9810036507050241E-3</v>
      </c>
      <c r="O112" s="30">
        <f t="shared" si="14"/>
        <v>-5.8633406959090455E-3</v>
      </c>
    </row>
    <row r="113" spans="1:15" s="30" customFormat="1">
      <c r="A113" s="27">
        <v>45947</v>
      </c>
      <c r="B113" s="28" t="s">
        <v>116</v>
      </c>
      <c r="C113" s="28">
        <v>544.9</v>
      </c>
      <c r="D113" s="28" t="s">
        <v>1318</v>
      </c>
      <c r="E113" s="28">
        <v>253.26</v>
      </c>
      <c r="F113" s="28">
        <v>80.27</v>
      </c>
      <c r="G113" s="28" t="s">
        <v>862</v>
      </c>
      <c r="H113" s="28">
        <v>493.65</v>
      </c>
      <c r="I113" s="30">
        <f t="shared" si="8"/>
        <v>-3.2644640638935869E-3</v>
      </c>
      <c r="J113" s="30">
        <f t="shared" si="9"/>
        <v>9.4962221941357738E-3</v>
      </c>
      <c r="K113" s="30">
        <f t="shared" si="10"/>
        <v>8.2979926523425833E-3</v>
      </c>
      <c r="L113" s="30">
        <f t="shared" si="11"/>
        <v>-1.1049724881182148E-3</v>
      </c>
      <c r="M113" s="30">
        <f t="shared" si="12"/>
        <v>-6.7047681018709039E-3</v>
      </c>
      <c r="N113" s="30">
        <f t="shared" si="13"/>
        <v>1.328214011710132E-2</v>
      </c>
      <c r="O113" s="30">
        <f t="shared" si="14"/>
        <v>1.0133766574560246E-3</v>
      </c>
    </row>
    <row r="114" spans="1:15" s="30" customFormat="1">
      <c r="A114" s="27">
        <v>45946</v>
      </c>
      <c r="B114" s="28" t="s">
        <v>117</v>
      </c>
      <c r="C114" s="28">
        <v>532.9</v>
      </c>
      <c r="D114" s="28" t="s">
        <v>1319</v>
      </c>
      <c r="E114" s="28">
        <v>245.16</v>
      </c>
      <c r="F114" s="28">
        <v>79.48</v>
      </c>
      <c r="G114" s="28" t="s">
        <v>2489</v>
      </c>
      <c r="H114" s="28">
        <v>500.2</v>
      </c>
      <c r="I114" s="30">
        <f t="shared" si="8"/>
        <v>-3.9903616347981237E-2</v>
      </c>
      <c r="J114" s="30">
        <f t="shared" si="9"/>
        <v>-2.2268502286316064E-2</v>
      </c>
      <c r="K114" s="30">
        <f t="shared" si="10"/>
        <v>2.2335527615233337E-3</v>
      </c>
      <c r="L114" s="30">
        <f t="shared" si="11"/>
        <v>-3.2505570404931412E-2</v>
      </c>
      <c r="M114" s="30">
        <f t="shared" si="12"/>
        <v>-9.8905344598692897E-3</v>
      </c>
      <c r="N114" s="30">
        <f t="shared" si="13"/>
        <v>-1.650651792579059E-3</v>
      </c>
      <c r="O114" s="30">
        <f t="shared" si="14"/>
        <v>1.3181254386060132E-2</v>
      </c>
    </row>
    <row r="115" spans="1:15" s="30" customFormat="1">
      <c r="A115" s="27">
        <v>45945</v>
      </c>
      <c r="B115" s="28" t="s">
        <v>118</v>
      </c>
      <c r="C115" s="28">
        <v>526.25</v>
      </c>
      <c r="D115" s="28" t="s">
        <v>1320</v>
      </c>
      <c r="E115" s="28">
        <v>245.66</v>
      </c>
      <c r="F115" s="28">
        <v>80.13</v>
      </c>
      <c r="G115" s="28" t="s">
        <v>2490</v>
      </c>
      <c r="H115" s="28">
        <v>501.55</v>
      </c>
      <c r="I115" s="30">
        <f t="shared" si="8"/>
        <v>-1.4462716562958576E-2</v>
      </c>
      <c r="J115" s="30">
        <f t="shared" si="9"/>
        <v>-1.2557404306145357E-2</v>
      </c>
      <c r="K115" s="30">
        <f t="shared" si="10"/>
        <v>-9.2579718887955652E-3</v>
      </c>
      <c r="L115" s="30">
        <f t="shared" si="11"/>
        <v>2.037407493417387E-3</v>
      </c>
      <c r="M115" s="30">
        <f t="shared" si="12"/>
        <v>8.1448981063629196E-3</v>
      </c>
      <c r="N115" s="30">
        <f t="shared" si="13"/>
        <v>7.0775585378453527E-4</v>
      </c>
      <c r="O115" s="30">
        <f t="shared" si="14"/>
        <v>2.6952848859755044E-3</v>
      </c>
    </row>
    <row r="116" spans="1:15" s="30" customFormat="1">
      <c r="A116" s="27">
        <v>45944</v>
      </c>
      <c r="B116" s="28" t="s">
        <v>119</v>
      </c>
      <c r="C116" s="28">
        <v>533.95000000000005</v>
      </c>
      <c r="D116" s="28" t="s">
        <v>1321</v>
      </c>
      <c r="E116" s="28">
        <v>245.44</v>
      </c>
      <c r="F116" s="28">
        <v>79.489999999999995</v>
      </c>
      <c r="G116" s="28" t="s">
        <v>2491</v>
      </c>
      <c r="H116" s="28">
        <v>503.1</v>
      </c>
      <c r="I116" s="30">
        <f t="shared" si="8"/>
        <v>-2.4291657237849904E-2</v>
      </c>
      <c r="J116" s="30">
        <f t="shared" si="9"/>
        <v>1.4525816620963175E-2</v>
      </c>
      <c r="K116" s="30">
        <f t="shared" si="10"/>
        <v>2.0543358120461867E-2</v>
      </c>
      <c r="L116" s="30">
        <f t="shared" si="11"/>
        <v>-8.9594793205695366E-4</v>
      </c>
      <c r="M116" s="30">
        <f t="shared" si="12"/>
        <v>-8.019088204957928E-3</v>
      </c>
      <c r="N116" s="30">
        <f t="shared" si="13"/>
        <v>-1.1474101897946716E-2</v>
      </c>
      <c r="O116" s="30">
        <f t="shared" si="14"/>
        <v>3.0856541677788114E-3</v>
      </c>
    </row>
    <row r="117" spans="1:15" s="30" customFormat="1">
      <c r="A117" s="27">
        <v>45943</v>
      </c>
      <c r="B117" s="28" t="s">
        <v>120</v>
      </c>
      <c r="C117" s="28">
        <v>534.1</v>
      </c>
      <c r="D117" s="28" t="s">
        <v>1322</v>
      </c>
      <c r="E117" s="28">
        <v>245.7</v>
      </c>
      <c r="F117" s="28">
        <v>81.13</v>
      </c>
      <c r="G117" s="28" t="s">
        <v>1102</v>
      </c>
      <c r="H117" s="28">
        <v>501.15</v>
      </c>
      <c r="I117" s="30">
        <f t="shared" si="8"/>
        <v>1.0470850504929448E-2</v>
      </c>
      <c r="J117" s="30">
        <f t="shared" si="9"/>
        <v>2.8088572817033716E-4</v>
      </c>
      <c r="K117" s="30">
        <f t="shared" si="10"/>
        <v>-1.1516316052066534E-3</v>
      </c>
      <c r="L117" s="30">
        <f t="shared" si="11"/>
        <v>1.0587613482421182E-3</v>
      </c>
      <c r="M117" s="30">
        <f t="shared" si="12"/>
        <v>2.0421578821952384E-2</v>
      </c>
      <c r="N117" s="30">
        <f t="shared" si="13"/>
        <v>-4.3931155632102974E-3</v>
      </c>
      <c r="O117" s="30">
        <f t="shared" si="14"/>
        <v>-3.8835000263977445E-3</v>
      </c>
    </row>
    <row r="118" spans="1:15" s="30" customFormat="1">
      <c r="A118" s="27">
        <v>45940</v>
      </c>
      <c r="B118" s="28" t="s">
        <v>121</v>
      </c>
      <c r="C118" s="28">
        <v>535.15</v>
      </c>
      <c r="D118" s="28" t="s">
        <v>1323</v>
      </c>
      <c r="E118" s="28">
        <v>247.5</v>
      </c>
      <c r="F118" s="28">
        <v>80.900000000000006</v>
      </c>
      <c r="G118" s="28" t="s">
        <v>2492</v>
      </c>
      <c r="H118" s="28">
        <v>488.5</v>
      </c>
      <c r="I118" s="30">
        <f t="shared" si="8"/>
        <v>-9.8233932771981444E-4</v>
      </c>
      <c r="J118" s="30">
        <f t="shared" si="9"/>
        <v>1.9639940846598006E-3</v>
      </c>
      <c r="K118" s="30">
        <f t="shared" si="10"/>
        <v>9.5566476565488809E-3</v>
      </c>
      <c r="L118" s="30">
        <f t="shared" si="11"/>
        <v>7.2993024816115351E-3</v>
      </c>
      <c r="M118" s="30">
        <f t="shared" si="12"/>
        <v>-2.8389823425274676E-3</v>
      </c>
      <c r="N118" s="30">
        <f t="shared" si="13"/>
        <v>1.8253367726536419E-3</v>
      </c>
      <c r="O118" s="30">
        <f t="shared" si="14"/>
        <v>-2.556598598803771E-2</v>
      </c>
    </row>
    <row r="119" spans="1:15" s="30" customFormat="1">
      <c r="A119" s="27">
        <v>45939</v>
      </c>
      <c r="B119" s="28" t="s">
        <v>122</v>
      </c>
      <c r="C119" s="28">
        <v>533</v>
      </c>
      <c r="D119" s="28" t="s">
        <v>1324</v>
      </c>
      <c r="E119" s="28">
        <v>245.35</v>
      </c>
      <c r="F119" s="28">
        <v>82.1</v>
      </c>
      <c r="G119" s="28" t="s">
        <v>2493</v>
      </c>
      <c r="H119" s="28">
        <v>479.8</v>
      </c>
      <c r="I119" s="30">
        <f t="shared" si="8"/>
        <v>-1.6251126187030696E-3</v>
      </c>
      <c r="J119" s="30">
        <f t="shared" si="9"/>
        <v>-4.0256572645400333E-3</v>
      </c>
      <c r="K119" s="30">
        <f t="shared" si="10"/>
        <v>-2.2852799890506264E-3</v>
      </c>
      <c r="L119" s="30">
        <f t="shared" si="11"/>
        <v>-8.7248194728326463E-3</v>
      </c>
      <c r="M119" s="30">
        <f t="shared" si="12"/>
        <v>1.4724192393936443E-2</v>
      </c>
      <c r="N119" s="30">
        <f t="shared" si="13"/>
        <v>-4.5846211098652416E-3</v>
      </c>
      <c r="O119" s="30">
        <f t="shared" si="14"/>
        <v>-1.7970121077243238E-2</v>
      </c>
    </row>
    <row r="120" spans="1:15" s="30" customFormat="1">
      <c r="A120" s="27">
        <v>45938</v>
      </c>
      <c r="B120" s="28" t="s">
        <v>123</v>
      </c>
      <c r="C120" s="28">
        <v>526.20000000000005</v>
      </c>
      <c r="D120" s="28" t="s">
        <v>1325</v>
      </c>
      <c r="E120" s="28">
        <v>244.6</v>
      </c>
      <c r="F120" s="28">
        <v>82.79</v>
      </c>
      <c r="G120" s="28" t="s">
        <v>2494</v>
      </c>
      <c r="H120" s="28">
        <v>476.3</v>
      </c>
      <c r="I120" s="30">
        <f t="shared" si="8"/>
        <v>-3.3869997437224416E-3</v>
      </c>
      <c r="J120" s="30">
        <f t="shared" si="9"/>
        <v>-1.2840055559652142E-2</v>
      </c>
      <c r="K120" s="30">
        <f t="shared" si="10"/>
        <v>-5.4485629223735912E-3</v>
      </c>
      <c r="L120" s="30">
        <f t="shared" si="11"/>
        <v>-3.0615392828404354E-3</v>
      </c>
      <c r="M120" s="30">
        <f t="shared" si="12"/>
        <v>8.3692646923321286E-3</v>
      </c>
      <c r="N120" s="30">
        <f t="shared" si="13"/>
        <v>5.5408441021945727E-3</v>
      </c>
      <c r="O120" s="30">
        <f t="shared" si="14"/>
        <v>-7.3214425987794636E-3</v>
      </c>
    </row>
    <row r="121" spans="1:15" s="30" customFormat="1">
      <c r="A121" s="27">
        <v>45937</v>
      </c>
      <c r="B121" s="28" t="s">
        <v>124</v>
      </c>
      <c r="C121" s="28">
        <v>536.1</v>
      </c>
      <c r="D121" s="28" t="s">
        <v>1326</v>
      </c>
      <c r="E121" s="28">
        <v>246.48</v>
      </c>
      <c r="F121" s="28">
        <v>82.74</v>
      </c>
      <c r="G121" s="28" t="s">
        <v>2495</v>
      </c>
      <c r="H121" s="28">
        <v>481.45</v>
      </c>
      <c r="I121" s="30">
        <f t="shared" si="8"/>
        <v>1.0381824817353521E-2</v>
      </c>
      <c r="J121" s="30">
        <f t="shared" si="9"/>
        <v>1.8639342227299616E-2</v>
      </c>
      <c r="K121" s="30">
        <f t="shared" si="10"/>
        <v>1.3707972860083706E-2</v>
      </c>
      <c r="L121" s="30">
        <f t="shared" si="11"/>
        <v>7.6566310353404915E-3</v>
      </c>
      <c r="M121" s="30">
        <f t="shared" si="12"/>
        <v>-6.0412011744918155E-4</v>
      </c>
      <c r="N121" s="30">
        <f t="shared" si="13"/>
        <v>-4.2802262325768161E-3</v>
      </c>
      <c r="O121" s="30">
        <f t="shared" si="14"/>
        <v>1.0754475879478141E-2</v>
      </c>
    </row>
    <row r="122" spans="1:15" s="30" customFormat="1">
      <c r="A122" s="27">
        <v>45936</v>
      </c>
      <c r="B122" s="28" t="s">
        <v>125</v>
      </c>
      <c r="C122" s="28">
        <v>532.20000000000005</v>
      </c>
      <c r="D122" s="28" t="s">
        <v>1327</v>
      </c>
      <c r="E122" s="28">
        <v>250.99</v>
      </c>
      <c r="F122" s="28">
        <v>82.57</v>
      </c>
      <c r="G122" s="28" t="s">
        <v>2496</v>
      </c>
      <c r="H122" s="28">
        <v>496.15</v>
      </c>
      <c r="I122" s="30">
        <f t="shared" si="8"/>
        <v>8.4968991432107625E-4</v>
      </c>
      <c r="J122" s="30">
        <f t="shared" si="9"/>
        <v>-7.3013522899032131E-3</v>
      </c>
      <c r="K122" s="30">
        <f t="shared" si="10"/>
        <v>2.1974796068285351E-2</v>
      </c>
      <c r="L122" s="30">
        <f t="shared" si="11"/>
        <v>1.8132243412262064E-2</v>
      </c>
      <c r="M122" s="30">
        <f t="shared" si="12"/>
        <v>-2.0567426039283052E-3</v>
      </c>
      <c r="N122" s="30">
        <f t="shared" si="13"/>
        <v>-6.3794149909337412E-3</v>
      </c>
      <c r="O122" s="30">
        <f t="shared" si="14"/>
        <v>3.007591667395763E-2</v>
      </c>
    </row>
    <row r="123" spans="1:15" s="30" customFormat="1">
      <c r="A123" s="27">
        <v>45933</v>
      </c>
      <c r="B123" s="28" t="s">
        <v>126</v>
      </c>
      <c r="C123" s="28">
        <v>542.6</v>
      </c>
      <c r="D123" s="28" t="s">
        <v>1328</v>
      </c>
      <c r="E123" s="28">
        <v>252.36</v>
      </c>
      <c r="F123" s="28">
        <v>84.29</v>
      </c>
      <c r="G123" s="28" t="s">
        <v>2497</v>
      </c>
      <c r="H123" s="28">
        <v>490.8</v>
      </c>
      <c r="I123" s="30">
        <f t="shared" si="8"/>
        <v>1.2731827039207937E-3</v>
      </c>
      <c r="J123" s="30">
        <f t="shared" si="9"/>
        <v>1.9353041681242411E-2</v>
      </c>
      <c r="K123" s="30">
        <f t="shared" si="10"/>
        <v>2.6786142649534829E-3</v>
      </c>
      <c r="L123" s="30">
        <f t="shared" si="11"/>
        <v>5.4435418019343762E-3</v>
      </c>
      <c r="M123" s="30">
        <f t="shared" si="12"/>
        <v>2.0616815580053821E-2</v>
      </c>
      <c r="N123" s="30">
        <f t="shared" si="13"/>
        <v>9.3745052854918055E-3</v>
      </c>
      <c r="O123" s="30">
        <f t="shared" si="14"/>
        <v>-1.0841587523494072E-2</v>
      </c>
    </row>
    <row r="124" spans="1:15" s="30" customFormat="1">
      <c r="A124" s="27">
        <v>45931</v>
      </c>
      <c r="B124" s="28" t="s">
        <v>127</v>
      </c>
      <c r="C124" s="28">
        <v>529.65</v>
      </c>
      <c r="D124" s="28" t="s">
        <v>1329</v>
      </c>
      <c r="E124" s="28">
        <v>249.22</v>
      </c>
      <c r="F124" s="28">
        <v>85.06</v>
      </c>
      <c r="G124" s="28" t="s">
        <v>2498</v>
      </c>
      <c r="H124" s="28">
        <v>481.95</v>
      </c>
      <c r="I124" s="30">
        <f t="shared" si="8"/>
        <v>-9.3745360135619876E-3</v>
      </c>
      <c r="J124" s="30">
        <f t="shared" si="9"/>
        <v>-2.4155989182326386E-2</v>
      </c>
      <c r="K124" s="30">
        <f t="shared" si="10"/>
        <v>-1.0664542118421274E-2</v>
      </c>
      <c r="L124" s="30">
        <f t="shared" si="11"/>
        <v>-1.2520598987887219E-2</v>
      </c>
      <c r="M124" s="30">
        <f t="shared" si="12"/>
        <v>9.0936558160966165E-3</v>
      </c>
      <c r="N124" s="30">
        <f t="shared" si="13"/>
        <v>-8.2883357362735083E-3</v>
      </c>
      <c r="O124" s="30">
        <f t="shared" si="14"/>
        <v>-1.8196338606779234E-2</v>
      </c>
    </row>
    <row r="125" spans="1:15" s="30" customFormat="1">
      <c r="A125" s="27">
        <v>45930</v>
      </c>
      <c r="B125" s="28" t="s">
        <v>128</v>
      </c>
      <c r="C125" s="28">
        <v>515.20000000000005</v>
      </c>
      <c r="D125" s="28" t="s">
        <v>1330</v>
      </c>
      <c r="E125" s="28">
        <v>247.38</v>
      </c>
      <c r="F125" s="28">
        <v>86.2</v>
      </c>
      <c r="G125" s="28" t="s">
        <v>2499</v>
      </c>
      <c r="H125" s="28">
        <v>476.55</v>
      </c>
      <c r="I125" s="30">
        <f t="shared" si="8"/>
        <v>6.0608832937394559E-3</v>
      </c>
      <c r="J125" s="30">
        <f t="shared" si="9"/>
        <v>-2.7661236252361072E-2</v>
      </c>
      <c r="K125" s="30">
        <f t="shared" si="10"/>
        <v>-1.9202397252117864E-2</v>
      </c>
      <c r="L125" s="30">
        <f t="shared" si="11"/>
        <v>-7.4104245678579123E-3</v>
      </c>
      <c r="M125" s="30">
        <f t="shared" si="12"/>
        <v>1.3313287844159858E-2</v>
      </c>
      <c r="N125" s="30">
        <f t="shared" si="13"/>
        <v>-2.022428508294676E-3</v>
      </c>
      <c r="O125" s="30">
        <f t="shared" si="14"/>
        <v>-1.1267724846342269E-2</v>
      </c>
    </row>
    <row r="126" spans="1:15" s="30" customFormat="1">
      <c r="A126" s="27">
        <v>45929</v>
      </c>
      <c r="B126" s="28" t="s">
        <v>129</v>
      </c>
      <c r="C126" s="28">
        <v>516.70000000000005</v>
      </c>
      <c r="D126" s="28" t="s">
        <v>1331</v>
      </c>
      <c r="E126" s="28">
        <v>245.12</v>
      </c>
      <c r="F126" s="28">
        <v>83.38</v>
      </c>
      <c r="G126" s="28" t="s">
        <v>2500</v>
      </c>
      <c r="H126" s="28">
        <v>480</v>
      </c>
      <c r="I126" s="30">
        <f t="shared" si="8"/>
        <v>-3.1539045024304387E-3</v>
      </c>
      <c r="J126" s="30">
        <f t="shared" si="9"/>
        <v>2.907260502994966E-3</v>
      </c>
      <c r="K126" s="30">
        <f t="shared" si="10"/>
        <v>1.630803922575344E-2</v>
      </c>
      <c r="L126" s="30">
        <f t="shared" si="11"/>
        <v>-9.1777293946370755E-3</v>
      </c>
      <c r="M126" s="30">
        <f t="shared" si="12"/>
        <v>-3.3261705216996659E-2</v>
      </c>
      <c r="N126" s="30">
        <f t="shared" si="13"/>
        <v>-5.5752651763377242E-3</v>
      </c>
      <c r="O126" s="30">
        <f t="shared" si="14"/>
        <v>7.2134545183018305E-3</v>
      </c>
    </row>
    <row r="127" spans="1:15" s="30" customFormat="1">
      <c r="A127" s="27">
        <v>45926</v>
      </c>
      <c r="B127" s="28" t="s">
        <v>130</v>
      </c>
      <c r="C127" s="28">
        <v>521.45000000000005</v>
      </c>
      <c r="D127" s="28" t="s">
        <v>1332</v>
      </c>
      <c r="E127" s="28">
        <v>246.58</v>
      </c>
      <c r="F127" s="28">
        <v>76.180000000000007</v>
      </c>
      <c r="G127" s="28" t="s">
        <v>2501</v>
      </c>
      <c r="H127" s="28">
        <v>483.75</v>
      </c>
      <c r="I127" s="30">
        <f t="shared" si="8"/>
        <v>8.5371579853090097E-5</v>
      </c>
      <c r="J127" s="30">
        <f t="shared" si="9"/>
        <v>9.1509572740829052E-3</v>
      </c>
      <c r="K127" s="30">
        <f t="shared" si="10"/>
        <v>1.9536753969500824E-2</v>
      </c>
      <c r="L127" s="30">
        <f t="shared" si="11"/>
        <v>5.9385978881803126E-3</v>
      </c>
      <c r="M127" s="30">
        <f t="shared" si="12"/>
        <v>-9.0309511402192649E-2</v>
      </c>
      <c r="N127" s="30">
        <f t="shared" si="13"/>
        <v>1.911068287801479E-2</v>
      </c>
      <c r="O127" s="30">
        <f t="shared" si="14"/>
        <v>7.782140442054949E-3</v>
      </c>
    </row>
    <row r="128" spans="1:15" s="30" customFormat="1">
      <c r="A128" s="27">
        <v>45925</v>
      </c>
      <c r="B128" s="28" t="s">
        <v>131</v>
      </c>
      <c r="C128" s="28">
        <v>531.20000000000005</v>
      </c>
      <c r="D128" s="28" t="s">
        <v>1333</v>
      </c>
      <c r="E128" s="28">
        <v>245.24</v>
      </c>
      <c r="F128" s="28">
        <v>78.22</v>
      </c>
      <c r="G128" s="28" t="s">
        <v>2502</v>
      </c>
      <c r="H128" s="28">
        <v>499.25</v>
      </c>
      <c r="I128" s="30">
        <f t="shared" si="8"/>
        <v>2.5787221439470816E-2</v>
      </c>
      <c r="J128" s="30">
        <f t="shared" si="9"/>
        <v>1.8525205595002297E-2</v>
      </c>
      <c r="K128" s="30">
        <f t="shared" si="10"/>
        <v>7.0355263023391644E-3</v>
      </c>
      <c r="L128" s="30">
        <f t="shared" si="11"/>
        <v>-5.4491615459194998E-3</v>
      </c>
      <c r="M128" s="30">
        <f t="shared" si="12"/>
        <v>2.6426408276909934E-2</v>
      </c>
      <c r="N128" s="30">
        <f t="shared" si="13"/>
        <v>1.2766193845894985E-2</v>
      </c>
      <c r="O128" s="30">
        <f t="shared" si="14"/>
        <v>3.1538727951932986E-2</v>
      </c>
    </row>
    <row r="129" spans="1:15" s="30" customFormat="1">
      <c r="A129" s="27">
        <v>45924</v>
      </c>
      <c r="B129" s="28" t="s">
        <v>132</v>
      </c>
      <c r="C129" s="28">
        <v>535.79999999999995</v>
      </c>
      <c r="D129" s="28" t="s">
        <v>1334</v>
      </c>
      <c r="E129" s="28">
        <v>245.28</v>
      </c>
      <c r="F129" s="28">
        <v>79.680000000000007</v>
      </c>
      <c r="G129" s="28" t="s">
        <v>2503</v>
      </c>
      <c r="H129" s="28">
        <v>507.55</v>
      </c>
      <c r="I129" s="30">
        <f t="shared" si="8"/>
        <v>2.1888473634673996E-2</v>
      </c>
      <c r="J129" s="30">
        <f t="shared" si="9"/>
        <v>8.6223589482839896E-3</v>
      </c>
      <c r="K129" s="30">
        <f t="shared" si="10"/>
        <v>1.2738855225885536E-3</v>
      </c>
      <c r="L129" s="30">
        <f t="shared" si="11"/>
        <v>1.6309222901682253E-4</v>
      </c>
      <c r="M129" s="30">
        <f t="shared" si="12"/>
        <v>1.8493243948974909E-2</v>
      </c>
      <c r="N129" s="30">
        <f t="shared" si="13"/>
        <v>-2.2393126420527788E-3</v>
      </c>
      <c r="O129" s="30">
        <f t="shared" si="14"/>
        <v>1.6488255934515479E-2</v>
      </c>
    </row>
    <row r="130" spans="1:15" s="30" customFormat="1">
      <c r="A130" s="27">
        <v>45923</v>
      </c>
      <c r="B130" s="28" t="s">
        <v>133</v>
      </c>
      <c r="C130" s="28">
        <v>532.6</v>
      </c>
      <c r="D130" s="28" t="s">
        <v>1335</v>
      </c>
      <c r="E130" s="28">
        <v>246.21</v>
      </c>
      <c r="F130" s="28">
        <v>80.98</v>
      </c>
      <c r="G130" s="28" t="s">
        <v>2504</v>
      </c>
      <c r="H130" s="28">
        <v>501.45</v>
      </c>
      <c r="I130" s="30">
        <f t="shared" si="8"/>
        <v>-4.2005730491332539E-3</v>
      </c>
      <c r="J130" s="30">
        <f t="shared" si="9"/>
        <v>-5.9902837306763579E-3</v>
      </c>
      <c r="K130" s="30">
        <f t="shared" si="10"/>
        <v>-1.0918024922239339E-3</v>
      </c>
      <c r="L130" s="30">
        <f t="shared" si="11"/>
        <v>3.7844151862260937E-3</v>
      </c>
      <c r="M130" s="30">
        <f t="shared" si="12"/>
        <v>1.618359732767214E-2</v>
      </c>
      <c r="N130" s="30">
        <f t="shared" si="13"/>
        <v>7.6664508089410461E-4</v>
      </c>
      <c r="O130" s="30">
        <f t="shared" si="14"/>
        <v>-1.209132669622277E-2</v>
      </c>
    </row>
    <row r="131" spans="1:15" s="30" customFormat="1">
      <c r="A131" s="27">
        <v>45922</v>
      </c>
      <c r="B131" s="28" t="s">
        <v>134</v>
      </c>
      <c r="C131" s="28">
        <v>531.54999999999995</v>
      </c>
      <c r="D131" s="28" t="s">
        <v>1336</v>
      </c>
      <c r="E131" s="28">
        <v>253</v>
      </c>
      <c r="F131" s="28">
        <v>82.42</v>
      </c>
      <c r="G131" s="28" t="s">
        <v>2505</v>
      </c>
      <c r="H131" s="28">
        <v>489.05</v>
      </c>
      <c r="I131" s="30">
        <f t="shared" si="8"/>
        <v>1.4524760381221491E-2</v>
      </c>
      <c r="J131" s="30">
        <f t="shared" si="9"/>
        <v>-1.9734066452178128E-3</v>
      </c>
      <c r="K131" s="30">
        <f t="shared" si="10"/>
        <v>1.7281372257546912E-3</v>
      </c>
      <c r="L131" s="30">
        <f t="shared" si="11"/>
        <v>2.7204658417790302E-2</v>
      </c>
      <c r="M131" s="30">
        <f t="shared" si="12"/>
        <v>1.7625915306656238E-2</v>
      </c>
      <c r="N131" s="30">
        <f t="shared" si="13"/>
        <v>-4.8456292183447682E-3</v>
      </c>
      <c r="O131" s="30">
        <f t="shared" si="14"/>
        <v>-2.5039167797715391E-2</v>
      </c>
    </row>
    <row r="132" spans="1:15" s="30" customFormat="1">
      <c r="A132" s="27">
        <v>45919</v>
      </c>
      <c r="B132" s="28" t="s">
        <v>135</v>
      </c>
      <c r="C132" s="28">
        <v>531.6</v>
      </c>
      <c r="D132" s="28" t="s">
        <v>1337</v>
      </c>
      <c r="E132" s="28">
        <v>251.85</v>
      </c>
      <c r="F132" s="28">
        <v>85.86</v>
      </c>
      <c r="G132" s="28" t="s">
        <v>2506</v>
      </c>
      <c r="H132" s="28">
        <v>489.7</v>
      </c>
      <c r="I132" s="30">
        <f t="shared" ref="I132:I195" si="15">LN(B132/B131)</f>
        <v>-4.0286842862192112E-4</v>
      </c>
      <c r="J132" s="30">
        <f t="shared" ref="J132:J195" si="16">LN(C132/C131)</f>
        <v>9.4060104476219753E-5</v>
      </c>
      <c r="K132" s="30">
        <f t="shared" ref="K132:K195" si="17">LN(D132/D131)</f>
        <v>2.0329925688023665E-2</v>
      </c>
      <c r="L132" s="30">
        <f t="shared" ref="L132:L195" si="18">LN(E132/E131)</f>
        <v>-4.5558165358606907E-3</v>
      </c>
      <c r="M132" s="30">
        <f t="shared" ref="M132:M195" si="19">LN(F132/F131)</f>
        <v>4.0889936885743244E-2</v>
      </c>
      <c r="N132" s="30">
        <f t="shared" ref="N132:N195" si="20">LN(G132/G131)</f>
        <v>-4.4437203557449155E-4</v>
      </c>
      <c r="O132" s="30">
        <f t="shared" ref="O132:O195" si="21">LN(H132/H131)</f>
        <v>1.3282249717696956E-3</v>
      </c>
    </row>
    <row r="133" spans="1:15" s="30" customFormat="1">
      <c r="A133" s="27">
        <v>45918</v>
      </c>
      <c r="B133" s="28" t="s">
        <v>136</v>
      </c>
      <c r="C133" s="28">
        <v>535.35</v>
      </c>
      <c r="D133" s="28" t="s">
        <v>1338</v>
      </c>
      <c r="E133" s="28">
        <v>253.25</v>
      </c>
      <c r="F133" s="28">
        <v>84.4</v>
      </c>
      <c r="G133" s="28" t="s">
        <v>2507</v>
      </c>
      <c r="H133" s="28">
        <v>488.3</v>
      </c>
      <c r="I133" s="30">
        <f t="shared" si="15"/>
        <v>-1.2095800200673393E-3</v>
      </c>
      <c r="J133" s="30">
        <f t="shared" si="16"/>
        <v>7.0294117651887042E-3</v>
      </c>
      <c r="K133" s="30">
        <f t="shared" si="17"/>
        <v>1.690467060337179E-3</v>
      </c>
      <c r="L133" s="30">
        <f t="shared" si="18"/>
        <v>5.5434709371333111E-3</v>
      </c>
      <c r="M133" s="30">
        <f t="shared" si="19"/>
        <v>-1.7150661194503012E-2</v>
      </c>
      <c r="N133" s="30">
        <f t="shared" si="20"/>
        <v>6.8803885833057885E-3</v>
      </c>
      <c r="O133" s="30">
        <f t="shared" si="21"/>
        <v>-2.862987640657076E-3</v>
      </c>
    </row>
    <row r="134" spans="1:15" s="30" customFormat="1">
      <c r="A134" s="27">
        <v>45917</v>
      </c>
      <c r="B134" s="28" t="s">
        <v>137</v>
      </c>
      <c r="C134" s="28">
        <v>534.25</v>
      </c>
      <c r="D134" s="28" t="s">
        <v>1339</v>
      </c>
      <c r="E134" s="28">
        <v>249.49</v>
      </c>
      <c r="F134" s="28">
        <v>73.48</v>
      </c>
      <c r="G134" s="28" t="s">
        <v>2508</v>
      </c>
      <c r="H134" s="28">
        <v>486.85</v>
      </c>
      <c r="I134" s="30">
        <f t="shared" si="15"/>
        <v>5.9932202799559547E-3</v>
      </c>
      <c r="J134" s="30">
        <f t="shared" si="16"/>
        <v>-2.0568444050220462E-3</v>
      </c>
      <c r="K134" s="30">
        <f t="shared" si="17"/>
        <v>2.3973374411770812E-3</v>
      </c>
      <c r="L134" s="30">
        <f t="shared" si="18"/>
        <v>-1.4958308900771057E-2</v>
      </c>
      <c r="M134" s="30">
        <f t="shared" si="19"/>
        <v>-0.13855414125498661</v>
      </c>
      <c r="N134" s="30">
        <f t="shared" si="20"/>
        <v>-5.6070500437958729E-3</v>
      </c>
      <c r="O134" s="30">
        <f t="shared" si="21"/>
        <v>-2.9739036428492959E-3</v>
      </c>
    </row>
    <row r="135" spans="1:15" s="30" customFormat="1">
      <c r="A135" s="27">
        <v>45916</v>
      </c>
      <c r="B135" s="28" t="s">
        <v>138</v>
      </c>
      <c r="C135" s="28">
        <v>536.75</v>
      </c>
      <c r="D135" s="28" t="s">
        <v>1340</v>
      </c>
      <c r="E135" s="28">
        <v>245.07</v>
      </c>
      <c r="F135" s="28">
        <v>73.16</v>
      </c>
      <c r="G135" s="28" t="s">
        <v>2509</v>
      </c>
      <c r="H135" s="28">
        <v>484</v>
      </c>
      <c r="I135" s="30">
        <f t="shared" si="15"/>
        <v>-5.1060519017415776E-3</v>
      </c>
      <c r="J135" s="30">
        <f t="shared" si="16"/>
        <v>4.6685425596333287E-3</v>
      </c>
      <c r="K135" s="30">
        <f t="shared" si="17"/>
        <v>6.8054529305305277E-3</v>
      </c>
      <c r="L135" s="30">
        <f t="shared" si="18"/>
        <v>-1.7874950206134117E-2</v>
      </c>
      <c r="M135" s="30">
        <f t="shared" si="19"/>
        <v>-4.3644368242600198E-3</v>
      </c>
      <c r="N135" s="30">
        <f t="shared" si="20"/>
        <v>4.1422569975096577E-4</v>
      </c>
      <c r="O135" s="30">
        <f t="shared" si="21"/>
        <v>-5.871160708133559E-3</v>
      </c>
    </row>
    <row r="136" spans="1:15" s="30" customFormat="1">
      <c r="A136" s="27">
        <v>45915</v>
      </c>
      <c r="B136" s="28" t="s">
        <v>139</v>
      </c>
      <c r="C136" s="28">
        <v>544.25</v>
      </c>
      <c r="D136" s="28" t="s">
        <v>1341</v>
      </c>
      <c r="E136" s="28">
        <v>246.15</v>
      </c>
      <c r="F136" s="28">
        <v>73.959999999999994</v>
      </c>
      <c r="G136" s="28" t="s">
        <v>2510</v>
      </c>
      <c r="H136" s="28">
        <v>482.1</v>
      </c>
      <c r="I136" s="30">
        <f t="shared" si="15"/>
        <v>8.7087938795689258E-3</v>
      </c>
      <c r="J136" s="30">
        <f t="shared" si="16"/>
        <v>1.3876263355766421E-2</v>
      </c>
      <c r="K136" s="30">
        <f t="shared" si="17"/>
        <v>-2.5576589327432841E-3</v>
      </c>
      <c r="L136" s="30">
        <f t="shared" si="18"/>
        <v>4.3972221823219311E-3</v>
      </c>
      <c r="M136" s="30">
        <f t="shared" si="19"/>
        <v>1.0875582996259037E-2</v>
      </c>
      <c r="N136" s="30">
        <f t="shared" si="20"/>
        <v>1.4484402242642559E-3</v>
      </c>
      <c r="O136" s="30">
        <f t="shared" si="21"/>
        <v>-3.9333453050551057E-3</v>
      </c>
    </row>
    <row r="137" spans="1:15" s="30" customFormat="1">
      <c r="A137" s="27">
        <v>45912</v>
      </c>
      <c r="B137" s="28" t="s">
        <v>140</v>
      </c>
      <c r="C137" s="28">
        <v>539.35</v>
      </c>
      <c r="D137" s="28" t="s">
        <v>1342</v>
      </c>
      <c r="E137" s="28">
        <v>247.54</v>
      </c>
      <c r="F137" s="28">
        <v>72.91</v>
      </c>
      <c r="G137" s="28" t="s">
        <v>2511</v>
      </c>
      <c r="H137" s="28">
        <v>465.9</v>
      </c>
      <c r="I137" s="30">
        <f t="shared" si="15"/>
        <v>1.7311133637930857E-2</v>
      </c>
      <c r="J137" s="30">
        <f t="shared" si="16"/>
        <v>-9.043989293218712E-3</v>
      </c>
      <c r="K137" s="30">
        <f t="shared" si="17"/>
        <v>1.2374549060214539E-2</v>
      </c>
      <c r="L137" s="30">
        <f t="shared" si="18"/>
        <v>5.6310789076666782E-3</v>
      </c>
      <c r="M137" s="30">
        <f t="shared" si="19"/>
        <v>-1.4298602700585174E-2</v>
      </c>
      <c r="N137" s="30">
        <f t="shared" si="20"/>
        <v>-5.6875560629310613E-3</v>
      </c>
      <c r="O137" s="30">
        <f t="shared" si="21"/>
        <v>-3.418054258882567E-2</v>
      </c>
    </row>
    <row r="138" spans="1:15" s="30" customFormat="1">
      <c r="A138" s="27">
        <v>45911</v>
      </c>
      <c r="B138" s="28" t="s">
        <v>141</v>
      </c>
      <c r="C138" s="28">
        <v>551.35</v>
      </c>
      <c r="D138" s="28" t="s">
        <v>1343</v>
      </c>
      <c r="E138" s="28">
        <v>246.61</v>
      </c>
      <c r="F138" s="28">
        <v>73.73</v>
      </c>
      <c r="G138" s="28" t="s">
        <v>2512</v>
      </c>
      <c r="H138" s="28">
        <v>459.9</v>
      </c>
      <c r="I138" s="30">
        <f t="shared" si="15"/>
        <v>3.7630870325179792E-3</v>
      </c>
      <c r="J138" s="30">
        <f t="shared" si="16"/>
        <v>2.2005105383249391E-2</v>
      </c>
      <c r="K138" s="30">
        <f t="shared" si="17"/>
        <v>-2.6200888351233156E-3</v>
      </c>
      <c r="L138" s="30">
        <f t="shared" si="18"/>
        <v>-3.7640437034165758E-3</v>
      </c>
      <c r="M138" s="30">
        <f t="shared" si="19"/>
        <v>1.1183968183220464E-2</v>
      </c>
      <c r="N138" s="30">
        <f t="shared" si="20"/>
        <v>-8.0241322640532871E-4</v>
      </c>
      <c r="O138" s="30">
        <f t="shared" si="21"/>
        <v>-1.2961944276872944E-2</v>
      </c>
    </row>
    <row r="139" spans="1:15" s="30" customFormat="1">
      <c r="A139" s="27">
        <v>45910</v>
      </c>
      <c r="B139" s="28" t="s">
        <v>142</v>
      </c>
      <c r="C139" s="28">
        <v>535.65</v>
      </c>
      <c r="D139" s="28" t="s">
        <v>1344</v>
      </c>
      <c r="E139" s="28">
        <v>244.3</v>
      </c>
      <c r="F139" s="28">
        <v>73.72</v>
      </c>
      <c r="G139" s="28" t="s">
        <v>2513</v>
      </c>
      <c r="H139" s="28">
        <v>462.45</v>
      </c>
      <c r="I139" s="30">
        <f t="shared" si="15"/>
        <v>-4.9419617367918982E-3</v>
      </c>
      <c r="J139" s="30">
        <f t="shared" si="16"/>
        <v>-2.8888853496120397E-2</v>
      </c>
      <c r="K139" s="30">
        <f t="shared" si="17"/>
        <v>-1.0461174035423817E-2</v>
      </c>
      <c r="L139" s="30">
        <f t="shared" si="18"/>
        <v>-9.4111631447647472E-3</v>
      </c>
      <c r="M139" s="30">
        <f t="shared" si="19"/>
        <v>-1.3563919993679168E-4</v>
      </c>
      <c r="N139" s="30">
        <f t="shared" si="20"/>
        <v>8.2017425727668718E-3</v>
      </c>
      <c r="O139" s="30">
        <f t="shared" si="21"/>
        <v>5.5293684543908398E-3</v>
      </c>
    </row>
    <row r="140" spans="1:15" s="30" customFormat="1">
      <c r="A140" s="27">
        <v>45909</v>
      </c>
      <c r="B140" s="28" t="s">
        <v>143</v>
      </c>
      <c r="C140" s="28">
        <v>529.35</v>
      </c>
      <c r="D140" s="28" t="s">
        <v>1345</v>
      </c>
      <c r="E140" s="28">
        <v>248.67</v>
      </c>
      <c r="F140" s="28">
        <v>73.42</v>
      </c>
      <c r="G140" s="28" t="s">
        <v>2514</v>
      </c>
      <c r="H140" s="28">
        <v>481</v>
      </c>
      <c r="I140" s="30">
        <f t="shared" si="15"/>
        <v>-2.3619268548395744E-3</v>
      </c>
      <c r="J140" s="30">
        <f t="shared" si="16"/>
        <v>-1.1831123919178314E-2</v>
      </c>
      <c r="K140" s="30">
        <f t="shared" si="17"/>
        <v>-3.4524001891699787E-3</v>
      </c>
      <c r="L140" s="30">
        <f t="shared" si="18"/>
        <v>1.7729738007849667E-2</v>
      </c>
      <c r="M140" s="30">
        <f t="shared" si="19"/>
        <v>-4.0777547329342665E-3</v>
      </c>
      <c r="N140" s="30">
        <f t="shared" si="20"/>
        <v>1.2671845154188291E-3</v>
      </c>
      <c r="O140" s="30">
        <f t="shared" si="21"/>
        <v>3.9328827105492244E-2</v>
      </c>
    </row>
    <row r="141" spans="1:15" s="30" customFormat="1">
      <c r="A141" s="27">
        <v>45908</v>
      </c>
      <c r="B141" s="28" t="s">
        <v>144</v>
      </c>
      <c r="C141" s="28">
        <v>539.70000000000005</v>
      </c>
      <c r="D141" s="28" t="s">
        <v>1346</v>
      </c>
      <c r="E141" s="28">
        <v>243.31</v>
      </c>
      <c r="F141" s="28">
        <v>72.8</v>
      </c>
      <c r="G141" s="28" t="s">
        <v>2515</v>
      </c>
      <c r="H141" s="28">
        <v>465.25</v>
      </c>
      <c r="I141" s="30">
        <f t="shared" si="15"/>
        <v>-2.5650652370425857E-3</v>
      </c>
      <c r="J141" s="30">
        <f t="shared" si="16"/>
        <v>1.9363590835208461E-2</v>
      </c>
      <c r="K141" s="30">
        <f t="shared" si="17"/>
        <v>1.2250626924384453E-2</v>
      </c>
      <c r="L141" s="30">
        <f t="shared" si="18"/>
        <v>-2.1790365805955635E-2</v>
      </c>
      <c r="M141" s="30">
        <f t="shared" si="19"/>
        <v>-8.4804228660480454E-3</v>
      </c>
      <c r="N141" s="30">
        <f t="shared" si="20"/>
        <v>6.3412125707394762E-3</v>
      </c>
      <c r="O141" s="30">
        <f t="shared" si="21"/>
        <v>-3.3292374583401056E-2</v>
      </c>
    </row>
    <row r="142" spans="1:15" s="30" customFormat="1">
      <c r="A142" s="27">
        <v>45905</v>
      </c>
      <c r="B142" s="28" t="s">
        <v>145</v>
      </c>
      <c r="C142" s="28">
        <v>538.70000000000005</v>
      </c>
      <c r="D142" s="28" t="s">
        <v>1347</v>
      </c>
      <c r="E142" s="28">
        <v>242.88</v>
      </c>
      <c r="F142" s="28">
        <v>72.58</v>
      </c>
      <c r="G142" s="28" t="s">
        <v>2516</v>
      </c>
      <c r="H142" s="28">
        <v>467.75</v>
      </c>
      <c r="I142" s="30">
        <f t="shared" si="15"/>
        <v>1.9215180201835113E-2</v>
      </c>
      <c r="J142" s="30">
        <f t="shared" si="16"/>
        <v>-1.8545999381090336E-3</v>
      </c>
      <c r="K142" s="30">
        <f t="shared" si="17"/>
        <v>3.3231337971304526E-3</v>
      </c>
      <c r="L142" s="30">
        <f t="shared" si="18"/>
        <v>-1.7688562583237258E-3</v>
      </c>
      <c r="M142" s="30">
        <f t="shared" si="19"/>
        <v>-3.0265534177160002E-3</v>
      </c>
      <c r="N142" s="30">
        <f t="shared" si="20"/>
        <v>-1.008846921651833E-2</v>
      </c>
      <c r="O142" s="30">
        <f t="shared" si="21"/>
        <v>5.3590696318387603E-3</v>
      </c>
    </row>
    <row r="143" spans="1:15" s="30" customFormat="1">
      <c r="A143" s="27">
        <v>45904</v>
      </c>
      <c r="B143" s="28" t="s">
        <v>146</v>
      </c>
      <c r="C143" s="28">
        <v>541.1</v>
      </c>
      <c r="D143" s="28" t="s">
        <v>1348</v>
      </c>
      <c r="E143" s="28">
        <v>243.24</v>
      </c>
      <c r="F143" s="28">
        <v>73.180000000000007</v>
      </c>
      <c r="G143" s="28" t="s">
        <v>2517</v>
      </c>
      <c r="H143" s="28">
        <v>463.95</v>
      </c>
      <c r="I143" s="30">
        <f t="shared" si="15"/>
        <v>-4.3896350956090287E-3</v>
      </c>
      <c r="J143" s="30">
        <f t="shared" si="16"/>
        <v>4.4452749622014469E-3</v>
      </c>
      <c r="K143" s="30">
        <f t="shared" si="17"/>
        <v>6.4398447255553659E-3</v>
      </c>
      <c r="L143" s="30">
        <f t="shared" si="18"/>
        <v>1.4811160446440306E-3</v>
      </c>
      <c r="M143" s="30">
        <f t="shared" si="19"/>
        <v>8.2327578061366195E-3</v>
      </c>
      <c r="N143" s="30">
        <f t="shared" si="20"/>
        <v>1.0117733369396283E-2</v>
      </c>
      <c r="O143" s="30">
        <f t="shared" si="21"/>
        <v>-8.1571773550106821E-3</v>
      </c>
    </row>
    <row r="144" spans="1:15" s="30" customFormat="1">
      <c r="A144" s="27">
        <v>45903</v>
      </c>
      <c r="B144" s="28" t="s">
        <v>147</v>
      </c>
      <c r="C144" s="28">
        <v>542.85</v>
      </c>
      <c r="D144" s="28" t="s">
        <v>1349</v>
      </c>
      <c r="E144" s="28">
        <v>244.57</v>
      </c>
      <c r="F144" s="28">
        <v>73.98</v>
      </c>
      <c r="G144" s="28" t="s">
        <v>551</v>
      </c>
      <c r="H144" s="28">
        <v>462.1</v>
      </c>
      <c r="I144" s="30">
        <f t="shared" si="15"/>
        <v>-5.7394008208342716E-3</v>
      </c>
      <c r="J144" s="30">
        <f t="shared" si="16"/>
        <v>3.2289340291715941E-3</v>
      </c>
      <c r="K144" s="30">
        <f t="shared" si="17"/>
        <v>-8.6248737817599119E-3</v>
      </c>
      <c r="L144" s="30">
        <f t="shared" si="18"/>
        <v>5.4529562559103191E-3</v>
      </c>
      <c r="M144" s="30">
        <f t="shared" si="19"/>
        <v>1.0872626813247063E-2</v>
      </c>
      <c r="N144" s="30">
        <f t="shared" si="20"/>
        <v>-1.2841078845113461E-2</v>
      </c>
      <c r="O144" s="30">
        <f t="shared" si="21"/>
        <v>-3.9954699229674965E-3</v>
      </c>
    </row>
    <row r="145" spans="1:15" s="30" customFormat="1">
      <c r="A145" s="27">
        <v>45902</v>
      </c>
      <c r="B145" s="28" t="s">
        <v>148</v>
      </c>
      <c r="C145" s="28">
        <v>543.79999999999995</v>
      </c>
      <c r="D145" s="28" t="s">
        <v>1350</v>
      </c>
      <c r="E145" s="28">
        <v>241.99</v>
      </c>
      <c r="F145" s="28">
        <v>74.260000000000005</v>
      </c>
      <c r="G145" s="28" t="s">
        <v>2518</v>
      </c>
      <c r="H145" s="28">
        <v>464.6</v>
      </c>
      <c r="I145" s="30">
        <f t="shared" si="15"/>
        <v>-5.4575215455387911E-3</v>
      </c>
      <c r="J145" s="30">
        <f t="shared" si="16"/>
        <v>1.7484935205091857E-3</v>
      </c>
      <c r="K145" s="30">
        <f t="shared" si="17"/>
        <v>-1.9615401845569976E-2</v>
      </c>
      <c r="L145" s="30">
        <f t="shared" si="18"/>
        <v>-1.0605163518972774E-2</v>
      </c>
      <c r="M145" s="30">
        <f t="shared" si="19"/>
        <v>3.7776623446261113E-3</v>
      </c>
      <c r="N145" s="30">
        <f t="shared" si="20"/>
        <v>1.4186304958198058E-2</v>
      </c>
      <c r="O145" s="30">
        <f t="shared" si="21"/>
        <v>5.3955024600880761E-3</v>
      </c>
    </row>
    <row r="146" spans="1:15" s="30" customFormat="1">
      <c r="A146" s="27">
        <v>45901</v>
      </c>
      <c r="B146" s="28" t="s">
        <v>149</v>
      </c>
      <c r="C146" s="28">
        <v>547</v>
      </c>
      <c r="D146" s="28" t="s">
        <v>1351</v>
      </c>
      <c r="E146" s="28">
        <v>241.63</v>
      </c>
      <c r="F146" s="28">
        <v>71.209999999999994</v>
      </c>
      <c r="G146" s="28" t="s">
        <v>2519</v>
      </c>
      <c r="H146" s="28">
        <v>468.25</v>
      </c>
      <c r="I146" s="30">
        <f t="shared" si="15"/>
        <v>1.181963586045841E-2</v>
      </c>
      <c r="J146" s="30">
        <f t="shared" si="16"/>
        <v>5.8672702236109882E-3</v>
      </c>
      <c r="K146" s="30">
        <f t="shared" si="17"/>
        <v>-2.046314698850641E-2</v>
      </c>
      <c r="L146" s="30">
        <f t="shared" si="18"/>
        <v>-1.4887724514838999E-3</v>
      </c>
      <c r="M146" s="30">
        <f t="shared" si="19"/>
        <v>-4.1939190754900789E-2</v>
      </c>
      <c r="N146" s="30">
        <f t="shared" si="20"/>
        <v>-4.1584972218628542E-3</v>
      </c>
      <c r="O146" s="30">
        <f t="shared" si="21"/>
        <v>7.8255209878890283E-3</v>
      </c>
    </row>
    <row r="147" spans="1:15" s="30" customFormat="1">
      <c r="A147" s="27">
        <v>45898</v>
      </c>
      <c r="B147" s="28" t="s">
        <v>150</v>
      </c>
      <c r="C147" s="28">
        <v>533</v>
      </c>
      <c r="D147" s="28" t="s">
        <v>1334</v>
      </c>
      <c r="E147" s="28">
        <v>239.99</v>
      </c>
      <c r="F147" s="28">
        <v>71.73</v>
      </c>
      <c r="G147" s="28" t="s">
        <v>2520</v>
      </c>
      <c r="H147" s="28">
        <v>462.75</v>
      </c>
      <c r="I147" s="30">
        <f t="shared" si="15"/>
        <v>-2.0280525301294771E-2</v>
      </c>
      <c r="J147" s="30">
        <f t="shared" si="16"/>
        <v>-2.5927378256136668E-2</v>
      </c>
      <c r="K147" s="30">
        <f t="shared" si="17"/>
        <v>1.5470722474128426E-3</v>
      </c>
      <c r="L147" s="30">
        <f t="shared" si="18"/>
        <v>-6.8103747301175863E-3</v>
      </c>
      <c r="M147" s="30">
        <f t="shared" si="19"/>
        <v>7.2758121443098804E-3</v>
      </c>
      <c r="N147" s="30">
        <f t="shared" si="20"/>
        <v>8.7999771012836983E-4</v>
      </c>
      <c r="O147" s="30">
        <f t="shared" si="21"/>
        <v>-1.1815389870591017E-2</v>
      </c>
    </row>
    <row r="148" spans="1:15" s="30" customFormat="1">
      <c r="A148" s="27">
        <v>45897</v>
      </c>
      <c r="B148" s="28" t="s">
        <v>151</v>
      </c>
      <c r="C148" s="28">
        <v>528.5</v>
      </c>
      <c r="D148" s="28" t="s">
        <v>1352</v>
      </c>
      <c r="E148" s="28">
        <v>238.04</v>
      </c>
      <c r="F148" s="28">
        <v>72.77</v>
      </c>
      <c r="G148" s="28" t="s">
        <v>2521</v>
      </c>
      <c r="H148" s="28">
        <v>451.55</v>
      </c>
      <c r="I148" s="30">
        <f t="shared" si="15"/>
        <v>-1.1822168204153939E-2</v>
      </c>
      <c r="J148" s="30">
        <f t="shared" si="16"/>
        <v>-8.4786188555522318E-3</v>
      </c>
      <c r="K148" s="30">
        <f t="shared" si="17"/>
        <v>-2.1847983201354428E-3</v>
      </c>
      <c r="L148" s="30">
        <f t="shared" si="18"/>
        <v>-8.158529030593737E-3</v>
      </c>
      <c r="M148" s="30">
        <f t="shared" si="19"/>
        <v>1.4394712220652021E-2</v>
      </c>
      <c r="N148" s="30">
        <f t="shared" si="20"/>
        <v>1.5593496857365895E-2</v>
      </c>
      <c r="O148" s="30">
        <f t="shared" si="21"/>
        <v>-2.4500842756799108E-2</v>
      </c>
    </row>
    <row r="149" spans="1:15" s="30" customFormat="1">
      <c r="A149" s="27">
        <v>45895</v>
      </c>
      <c r="B149" s="28" t="s">
        <v>152</v>
      </c>
      <c r="C149" s="28">
        <v>525.1</v>
      </c>
      <c r="D149" s="28" t="s">
        <v>1353</v>
      </c>
      <c r="E149" s="28">
        <v>234.07</v>
      </c>
      <c r="F149" s="28">
        <v>74.099999999999994</v>
      </c>
      <c r="G149" s="28" t="s">
        <v>2522</v>
      </c>
      <c r="H149" s="28">
        <v>456.8</v>
      </c>
      <c r="I149" s="30">
        <f t="shared" si="15"/>
        <v>-3.0581063588207735E-3</v>
      </c>
      <c r="J149" s="30">
        <f t="shared" si="16"/>
        <v>-6.4540846664787139E-3</v>
      </c>
      <c r="K149" s="30">
        <f t="shared" si="17"/>
        <v>5.906155008647376E-3</v>
      </c>
      <c r="L149" s="30">
        <f t="shared" si="18"/>
        <v>-1.6818510854838268E-2</v>
      </c>
      <c r="M149" s="30">
        <f t="shared" si="19"/>
        <v>1.8111749943046103E-2</v>
      </c>
      <c r="N149" s="30">
        <f t="shared" si="20"/>
        <v>-1.1263472537911223E-2</v>
      </c>
      <c r="O149" s="30">
        <f t="shared" si="21"/>
        <v>1.1559549644992714E-2</v>
      </c>
    </row>
    <row r="150" spans="1:15" s="30" customFormat="1">
      <c r="A150" s="27">
        <v>45894</v>
      </c>
      <c r="B150" s="28" t="s">
        <v>153</v>
      </c>
      <c r="C150" s="28">
        <v>534.54999999999995</v>
      </c>
      <c r="D150" s="28" t="s">
        <v>1354</v>
      </c>
      <c r="E150" s="28">
        <v>234.54</v>
      </c>
      <c r="F150" s="28">
        <v>72.53</v>
      </c>
      <c r="G150" s="28" t="s">
        <v>1027</v>
      </c>
      <c r="H150" s="28">
        <v>456.5</v>
      </c>
      <c r="I150" s="30">
        <f t="shared" si="15"/>
        <v>4.6237743957857113E-3</v>
      </c>
      <c r="J150" s="30">
        <f t="shared" si="16"/>
        <v>1.7836550815695074E-2</v>
      </c>
      <c r="K150" s="30">
        <f t="shared" si="17"/>
        <v>2.0267934398377194E-2</v>
      </c>
      <c r="L150" s="30">
        <f t="shared" si="18"/>
        <v>2.0059331111054392E-3</v>
      </c>
      <c r="M150" s="30">
        <f t="shared" si="19"/>
        <v>-2.1415262926720063E-2</v>
      </c>
      <c r="N150" s="30">
        <f t="shared" si="20"/>
        <v>-8.7619387012727486E-4</v>
      </c>
      <c r="O150" s="30">
        <f t="shared" si="21"/>
        <v>-6.5695830677733674E-4</v>
      </c>
    </row>
    <row r="151" spans="1:15" s="30" customFormat="1">
      <c r="A151" s="27">
        <v>45891</v>
      </c>
      <c r="B151" s="28" t="s">
        <v>154</v>
      </c>
      <c r="C151" s="28">
        <v>527</v>
      </c>
      <c r="D151" s="28" t="s">
        <v>1355</v>
      </c>
      <c r="E151" s="28">
        <v>232.62</v>
      </c>
      <c r="F151" s="28">
        <v>73</v>
      </c>
      <c r="G151" s="28" t="s">
        <v>2523</v>
      </c>
      <c r="H151" s="28">
        <v>458.85</v>
      </c>
      <c r="I151" s="30">
        <f t="shared" si="15"/>
        <v>4.6424223931145377E-3</v>
      </c>
      <c r="J151" s="30">
        <f t="shared" si="16"/>
        <v>-1.4224722918146524E-2</v>
      </c>
      <c r="K151" s="30">
        <f t="shared" si="17"/>
        <v>6.2834845438055498E-3</v>
      </c>
      <c r="L151" s="30">
        <f t="shared" si="18"/>
        <v>-8.2199281220256253E-3</v>
      </c>
      <c r="M151" s="30">
        <f t="shared" si="19"/>
        <v>6.4591717730702013E-3</v>
      </c>
      <c r="N151" s="30">
        <f t="shared" si="20"/>
        <v>-6.6842817036700808E-3</v>
      </c>
      <c r="O151" s="30">
        <f t="shared" si="21"/>
        <v>5.134659229999043E-3</v>
      </c>
    </row>
    <row r="152" spans="1:15" s="30" customFormat="1">
      <c r="A152" s="27">
        <v>45890</v>
      </c>
      <c r="B152" s="28" t="s">
        <v>155</v>
      </c>
      <c r="C152" s="28">
        <v>530.29999999999995</v>
      </c>
      <c r="D152" s="28" t="s">
        <v>1356</v>
      </c>
      <c r="E152" s="28">
        <v>238.13</v>
      </c>
      <c r="F152" s="28">
        <v>73.349999999999994</v>
      </c>
      <c r="G152" s="28" t="s">
        <v>2524</v>
      </c>
      <c r="H152" s="28">
        <v>454.15</v>
      </c>
      <c r="I152" s="30">
        <f t="shared" si="15"/>
        <v>2.4492952012689216E-2</v>
      </c>
      <c r="J152" s="30">
        <f t="shared" si="16"/>
        <v>6.2423356017218389E-3</v>
      </c>
      <c r="K152" s="30">
        <f t="shared" si="17"/>
        <v>4.9282859582826339E-3</v>
      </c>
      <c r="L152" s="30">
        <f t="shared" si="18"/>
        <v>2.3410522124958907E-2</v>
      </c>
      <c r="M152" s="30">
        <f t="shared" si="19"/>
        <v>4.783063440599547E-3</v>
      </c>
      <c r="N152" s="30">
        <f t="shared" si="20"/>
        <v>-3.530450169060869E-4</v>
      </c>
      <c r="O152" s="30">
        <f t="shared" si="21"/>
        <v>-1.0295819316799659E-2</v>
      </c>
    </row>
    <row r="153" spans="1:15" s="30" customFormat="1">
      <c r="A153" s="27">
        <v>45889</v>
      </c>
      <c r="B153" s="28" t="s">
        <v>156</v>
      </c>
      <c r="C153" s="28">
        <v>543.5</v>
      </c>
      <c r="D153" s="28" t="s">
        <v>1357</v>
      </c>
      <c r="E153" s="28">
        <v>244.21</v>
      </c>
      <c r="F153" s="28">
        <v>73.27</v>
      </c>
      <c r="G153" s="28" t="s">
        <v>2525</v>
      </c>
      <c r="H153" s="28">
        <v>449.2</v>
      </c>
      <c r="I153" s="30">
        <f t="shared" si="15"/>
        <v>1.3627428277473087E-3</v>
      </c>
      <c r="J153" s="30">
        <f t="shared" si="16"/>
        <v>2.4586822418179857E-2</v>
      </c>
      <c r="K153" s="30">
        <f t="shared" si="17"/>
        <v>1.9215476244608676E-2</v>
      </c>
      <c r="L153" s="30">
        <f t="shared" si="18"/>
        <v>2.5211767843272753E-2</v>
      </c>
      <c r="M153" s="30">
        <f t="shared" si="19"/>
        <v>-1.0912564171181678E-3</v>
      </c>
      <c r="N153" s="30">
        <f t="shared" si="20"/>
        <v>-1.0590248362737193E-2</v>
      </c>
      <c r="O153" s="30">
        <f t="shared" si="21"/>
        <v>-1.0959317083934418E-2</v>
      </c>
    </row>
    <row r="154" spans="1:15" s="30" customFormat="1">
      <c r="A154" s="27">
        <v>45888</v>
      </c>
      <c r="B154" s="28" t="s">
        <v>157</v>
      </c>
      <c r="C154" s="28">
        <v>547.1</v>
      </c>
      <c r="D154" s="28" t="s">
        <v>1358</v>
      </c>
      <c r="E154" s="28">
        <v>242.87</v>
      </c>
      <c r="F154" s="28">
        <v>71.73</v>
      </c>
      <c r="G154" s="28" t="s">
        <v>554</v>
      </c>
      <c r="H154" s="28">
        <v>464.6</v>
      </c>
      <c r="I154" s="30">
        <f t="shared" si="15"/>
        <v>3.6120050921829598E-3</v>
      </c>
      <c r="J154" s="30">
        <f t="shared" si="16"/>
        <v>6.6018945085161186E-3</v>
      </c>
      <c r="K154" s="30">
        <f t="shared" si="17"/>
        <v>8.7456615052070707E-3</v>
      </c>
      <c r="L154" s="30">
        <f t="shared" si="18"/>
        <v>-5.5021901149941736E-3</v>
      </c>
      <c r="M154" s="30">
        <f t="shared" si="19"/>
        <v>-2.124217803352928E-2</v>
      </c>
      <c r="N154" s="30">
        <f t="shared" si="20"/>
        <v>1.1766580694595933E-2</v>
      </c>
      <c r="O154" s="30">
        <f t="shared" si="21"/>
        <v>3.3708597472020652E-2</v>
      </c>
    </row>
    <row r="155" spans="1:15" s="30" customFormat="1">
      <c r="A155" s="27">
        <v>45887</v>
      </c>
      <c r="B155" s="28" t="s">
        <v>158</v>
      </c>
      <c r="C155" s="28">
        <v>551.35</v>
      </c>
      <c r="D155" s="28" t="s">
        <v>1359</v>
      </c>
      <c r="E155" s="28">
        <v>236.86</v>
      </c>
      <c r="F155" s="28">
        <v>73.14</v>
      </c>
      <c r="G155" s="28" t="s">
        <v>2526</v>
      </c>
      <c r="H155" s="28">
        <v>469.35</v>
      </c>
      <c r="I155" s="30">
        <f t="shared" si="15"/>
        <v>3.0966967535106366E-3</v>
      </c>
      <c r="J155" s="30">
        <f t="shared" si="16"/>
        <v>7.7382151349073601E-3</v>
      </c>
      <c r="K155" s="30">
        <f t="shared" si="17"/>
        <v>-2.7083636816008016E-2</v>
      </c>
      <c r="L155" s="30">
        <f t="shared" si="18"/>
        <v>-2.5057071470781064E-2</v>
      </c>
      <c r="M155" s="30">
        <f t="shared" si="19"/>
        <v>1.9466342582892059E-2</v>
      </c>
      <c r="N155" s="30">
        <f t="shared" si="20"/>
        <v>1.334228974378629E-2</v>
      </c>
      <c r="O155" s="30">
        <f t="shared" si="21"/>
        <v>1.0171938446692163E-2</v>
      </c>
    </row>
    <row r="156" spans="1:15" s="30" customFormat="1">
      <c r="A156" s="27">
        <v>45883</v>
      </c>
      <c r="B156" s="28" t="s">
        <v>159</v>
      </c>
      <c r="C156" s="28">
        <v>533.45000000000005</v>
      </c>
      <c r="D156" s="28" t="s">
        <v>1360</v>
      </c>
      <c r="E156" s="28">
        <v>235.45</v>
      </c>
      <c r="F156" s="28">
        <v>70.239999999999995</v>
      </c>
      <c r="G156" s="28" t="s">
        <v>2527</v>
      </c>
      <c r="H156" s="28">
        <v>464.5</v>
      </c>
      <c r="I156" s="30">
        <f t="shared" si="15"/>
        <v>-2.2948173812255505E-2</v>
      </c>
      <c r="J156" s="30">
        <f t="shared" si="16"/>
        <v>-3.3004470567217219E-2</v>
      </c>
      <c r="K156" s="30">
        <f t="shared" si="17"/>
        <v>-2.9281671976268898E-2</v>
      </c>
      <c r="L156" s="30">
        <f t="shared" si="18"/>
        <v>-5.9706726037854667E-3</v>
      </c>
      <c r="M156" s="30">
        <f t="shared" si="19"/>
        <v>-4.0457463394373998E-2</v>
      </c>
      <c r="N156" s="30">
        <f t="shared" si="20"/>
        <v>-7.8904487056054469E-3</v>
      </c>
      <c r="O156" s="30">
        <f t="shared" si="21"/>
        <v>-1.0387200529107635E-2</v>
      </c>
    </row>
    <row r="157" spans="1:15" s="30" customFormat="1">
      <c r="A157" s="27">
        <v>45882</v>
      </c>
      <c r="B157" s="28" t="s">
        <v>160</v>
      </c>
      <c r="C157" s="28">
        <v>537.4</v>
      </c>
      <c r="D157" s="28" t="s">
        <v>1361</v>
      </c>
      <c r="E157" s="28">
        <v>236.48</v>
      </c>
      <c r="F157" s="28">
        <v>71.53</v>
      </c>
      <c r="G157" s="28" t="s">
        <v>2528</v>
      </c>
      <c r="H157" s="28">
        <v>464.65</v>
      </c>
      <c r="I157" s="30">
        <f t="shared" si="15"/>
        <v>-1.1334608015083382E-2</v>
      </c>
      <c r="J157" s="30">
        <f t="shared" si="16"/>
        <v>7.3773505439205132E-3</v>
      </c>
      <c r="K157" s="30">
        <f t="shared" si="17"/>
        <v>-7.251663395320236E-3</v>
      </c>
      <c r="L157" s="30">
        <f t="shared" si="18"/>
        <v>4.3650610702732984E-3</v>
      </c>
      <c r="M157" s="30">
        <f t="shared" si="19"/>
        <v>1.8198992793431429E-2</v>
      </c>
      <c r="N157" s="30">
        <f t="shared" si="20"/>
        <v>3.0062921230644287E-3</v>
      </c>
      <c r="O157" s="30">
        <f t="shared" si="21"/>
        <v>3.2287574945495993E-4</v>
      </c>
    </row>
    <row r="158" spans="1:15" s="30" customFormat="1">
      <c r="A158" s="27">
        <v>45881</v>
      </c>
      <c r="B158" s="28" t="s">
        <v>161</v>
      </c>
      <c r="C158" s="28">
        <v>537.4</v>
      </c>
      <c r="D158" s="28" t="s">
        <v>1362</v>
      </c>
      <c r="E158" s="28">
        <v>238.36</v>
      </c>
      <c r="F158" s="28">
        <v>73.36</v>
      </c>
      <c r="G158" s="28" t="s">
        <v>2529</v>
      </c>
      <c r="H158" s="28">
        <v>462.45</v>
      </c>
      <c r="I158" s="30">
        <f t="shared" si="15"/>
        <v>-8.7978874198932997E-3</v>
      </c>
      <c r="J158" s="30">
        <f t="shared" si="16"/>
        <v>0</v>
      </c>
      <c r="K158" s="30">
        <f t="shared" si="17"/>
        <v>-9.097939323027443E-5</v>
      </c>
      <c r="L158" s="30">
        <f t="shared" si="18"/>
        <v>7.9184981189413424E-3</v>
      </c>
      <c r="M158" s="30">
        <f t="shared" si="19"/>
        <v>2.5261885827916997E-2</v>
      </c>
      <c r="N158" s="30">
        <f t="shared" si="20"/>
        <v>-1.7793339486322961E-3</v>
      </c>
      <c r="O158" s="30">
        <f t="shared" si="21"/>
        <v>-4.745991003079212E-3</v>
      </c>
    </row>
    <row r="159" spans="1:15" s="30" customFormat="1">
      <c r="A159" s="27">
        <v>45880</v>
      </c>
      <c r="B159" s="28" t="s">
        <v>162</v>
      </c>
      <c r="C159" s="28">
        <v>546.1</v>
      </c>
      <c r="D159" s="28" t="s">
        <v>1363</v>
      </c>
      <c r="E159" s="28">
        <v>235.02</v>
      </c>
      <c r="F159" s="28">
        <v>74</v>
      </c>
      <c r="G159" s="28" t="s">
        <v>2530</v>
      </c>
      <c r="H159" s="28">
        <v>458.85</v>
      </c>
      <c r="I159" s="30">
        <f t="shared" si="15"/>
        <v>4.3483581017799249E-3</v>
      </c>
      <c r="J159" s="30">
        <f t="shared" si="16"/>
        <v>1.6059412976717178E-2</v>
      </c>
      <c r="K159" s="30">
        <f t="shared" si="17"/>
        <v>-1.8642350809279718E-2</v>
      </c>
      <c r="L159" s="30">
        <f t="shared" si="18"/>
        <v>-1.4111518972983229E-2</v>
      </c>
      <c r="M159" s="30">
        <f t="shared" si="19"/>
        <v>8.6862652559604528E-3</v>
      </c>
      <c r="N159" s="30">
        <f t="shared" si="20"/>
        <v>8.0256319117786041E-3</v>
      </c>
      <c r="O159" s="30">
        <f t="shared" si="21"/>
        <v>-7.8150837352467944E-3</v>
      </c>
    </row>
    <row r="160" spans="1:15" s="30" customFormat="1">
      <c r="A160" s="27">
        <v>45877</v>
      </c>
      <c r="B160" s="28" t="s">
        <v>163</v>
      </c>
      <c r="C160" s="28">
        <v>551.04999999999995</v>
      </c>
      <c r="D160" s="28" t="s">
        <v>1364</v>
      </c>
      <c r="E160" s="28">
        <v>232.89</v>
      </c>
      <c r="F160" s="28">
        <v>75.14</v>
      </c>
      <c r="G160" s="28" t="s">
        <v>2531</v>
      </c>
      <c r="H160" s="28">
        <v>453.1</v>
      </c>
      <c r="I160" s="30">
        <f t="shared" si="15"/>
        <v>-5.4384084731428084E-3</v>
      </c>
      <c r="J160" s="30">
        <f t="shared" si="16"/>
        <v>9.0234399794428769E-3</v>
      </c>
      <c r="K160" s="30">
        <f t="shared" si="17"/>
        <v>6.5997411944798551E-2</v>
      </c>
      <c r="L160" s="30">
        <f t="shared" si="18"/>
        <v>-9.1043778200963713E-3</v>
      </c>
      <c r="M160" s="30">
        <f t="shared" si="19"/>
        <v>1.5287946941653039E-2</v>
      </c>
      <c r="N160" s="30">
        <f t="shared" si="20"/>
        <v>1.0315013520218786E-2</v>
      </c>
      <c r="O160" s="30">
        <f t="shared" si="21"/>
        <v>-1.2610507591929696E-2</v>
      </c>
    </row>
    <row r="161" spans="1:15" s="30" customFormat="1">
      <c r="A161" s="27">
        <v>45876</v>
      </c>
      <c r="B161" s="28" t="s">
        <v>164</v>
      </c>
      <c r="C161" s="28">
        <v>545.95000000000005</v>
      </c>
      <c r="D161" s="28" t="s">
        <v>1365</v>
      </c>
      <c r="E161" s="28">
        <v>233.37</v>
      </c>
      <c r="F161" s="28">
        <v>75.87</v>
      </c>
      <c r="G161" s="28" t="s">
        <v>2532</v>
      </c>
      <c r="H161" s="28">
        <v>443.95</v>
      </c>
      <c r="I161" s="30">
        <f t="shared" si="15"/>
        <v>1.2404566838351772E-2</v>
      </c>
      <c r="J161" s="30">
        <f t="shared" si="16"/>
        <v>-9.298152677475505E-3</v>
      </c>
      <c r="K161" s="30">
        <f t="shared" si="17"/>
        <v>4.8856276593633223E-2</v>
      </c>
      <c r="L161" s="30">
        <f t="shared" si="18"/>
        <v>2.0589378010937832E-3</v>
      </c>
      <c r="M161" s="30">
        <f t="shared" si="19"/>
        <v>9.6683092041605859E-3</v>
      </c>
      <c r="N161" s="30">
        <f t="shared" si="20"/>
        <v>-5.4208464042595052E-3</v>
      </c>
      <c r="O161" s="30">
        <f t="shared" si="21"/>
        <v>-2.0400908194756769E-2</v>
      </c>
    </row>
    <row r="162" spans="1:15" s="30" customFormat="1">
      <c r="A162" s="27">
        <v>45875</v>
      </c>
      <c r="B162" s="28" t="s">
        <v>165</v>
      </c>
      <c r="C162" s="28">
        <v>565.29999999999995</v>
      </c>
      <c r="D162" s="28" t="s">
        <v>1366</v>
      </c>
      <c r="E162" s="28">
        <v>234.9</v>
      </c>
      <c r="F162" s="28">
        <v>76.680000000000007</v>
      </c>
      <c r="G162" s="28" t="s">
        <v>2533</v>
      </c>
      <c r="H162" s="28">
        <v>441.65</v>
      </c>
      <c r="I162" s="30">
        <f t="shared" si="15"/>
        <v>-6.1228356238242927E-3</v>
      </c>
      <c r="J162" s="30">
        <f t="shared" si="16"/>
        <v>3.4829167221169799E-2</v>
      </c>
      <c r="K162" s="30">
        <f t="shared" si="17"/>
        <v>6.671358598377447E-3</v>
      </c>
      <c r="L162" s="30">
        <f t="shared" si="18"/>
        <v>6.5347147780747943E-3</v>
      </c>
      <c r="M162" s="30">
        <f t="shared" si="19"/>
        <v>1.0619568827460351E-2</v>
      </c>
      <c r="N162" s="30">
        <f t="shared" si="20"/>
        <v>1.9425401829632243E-2</v>
      </c>
      <c r="O162" s="30">
        <f t="shared" si="21"/>
        <v>-5.194230287194612E-3</v>
      </c>
    </row>
    <row r="163" spans="1:15" s="30" customFormat="1">
      <c r="A163" s="27">
        <v>45874</v>
      </c>
      <c r="B163" s="28" t="s">
        <v>166</v>
      </c>
      <c r="C163" s="28">
        <v>571.70000000000005</v>
      </c>
      <c r="D163" s="28" t="s">
        <v>1367</v>
      </c>
      <c r="E163" s="28">
        <v>242.17</v>
      </c>
      <c r="F163" s="28">
        <v>78.28</v>
      </c>
      <c r="G163" s="28" t="s">
        <v>2534</v>
      </c>
      <c r="H163" s="28">
        <v>448.8</v>
      </c>
      <c r="I163" s="30">
        <f t="shared" si="15"/>
        <v>-2.2078818938836346E-2</v>
      </c>
      <c r="J163" s="30">
        <f t="shared" si="16"/>
        <v>1.1257814588680696E-2</v>
      </c>
      <c r="K163" s="30">
        <f t="shared" si="17"/>
        <v>-1.0894792477628958E-2</v>
      </c>
      <c r="L163" s="30">
        <f t="shared" si="18"/>
        <v>3.0480067207543014E-2</v>
      </c>
      <c r="M163" s="30">
        <f t="shared" si="19"/>
        <v>2.0651224350431742E-2</v>
      </c>
      <c r="N163" s="30">
        <f t="shared" si="20"/>
        <v>-1.2190139376889275E-3</v>
      </c>
      <c r="O163" s="30">
        <f t="shared" si="21"/>
        <v>1.6059641017345399E-2</v>
      </c>
    </row>
    <row r="164" spans="1:15" s="30" customFormat="1">
      <c r="A164" s="27">
        <v>45873</v>
      </c>
      <c r="B164" s="28" t="s">
        <v>167</v>
      </c>
      <c r="C164" s="28">
        <v>570</v>
      </c>
      <c r="D164" s="28" t="s">
        <v>1368</v>
      </c>
      <c r="E164" s="28">
        <v>243.97</v>
      </c>
      <c r="F164" s="28">
        <v>78.42</v>
      </c>
      <c r="G164" s="28" t="s">
        <v>2535</v>
      </c>
      <c r="H164" s="28">
        <v>441.2</v>
      </c>
      <c r="I164" s="30">
        <f t="shared" si="15"/>
        <v>5.3206854126876917E-3</v>
      </c>
      <c r="J164" s="30">
        <f t="shared" si="16"/>
        <v>-2.9780174413298896E-3</v>
      </c>
      <c r="K164" s="30">
        <f t="shared" si="17"/>
        <v>-9.1705519722079416E-3</v>
      </c>
      <c r="L164" s="30">
        <f t="shared" si="18"/>
        <v>7.4053080420479053E-3</v>
      </c>
      <c r="M164" s="30">
        <f t="shared" si="19"/>
        <v>1.7868543363101796E-3</v>
      </c>
      <c r="N164" s="30">
        <f t="shared" si="20"/>
        <v>8.2298264163493898E-3</v>
      </c>
      <c r="O164" s="30">
        <f t="shared" si="21"/>
        <v>-1.7079066829139185E-2</v>
      </c>
    </row>
    <row r="165" spans="1:15" s="30" customFormat="1">
      <c r="A165" s="27">
        <v>45870</v>
      </c>
      <c r="B165" s="28" t="s">
        <v>168</v>
      </c>
      <c r="C165" s="28">
        <v>566.9</v>
      </c>
      <c r="D165" s="28" t="s">
        <v>1369</v>
      </c>
      <c r="E165" s="28">
        <v>250.05</v>
      </c>
      <c r="F165" s="28">
        <v>78.239999999999995</v>
      </c>
      <c r="G165" s="28" t="s">
        <v>2536</v>
      </c>
      <c r="H165" s="28">
        <v>434.55</v>
      </c>
      <c r="I165" s="30">
        <f t="shared" si="15"/>
        <v>-7.7036932374617839E-3</v>
      </c>
      <c r="J165" s="30">
        <f t="shared" si="16"/>
        <v>-5.4534394983378849E-3</v>
      </c>
      <c r="K165" s="30">
        <f t="shared" si="17"/>
        <v>8.8385466570732058E-3</v>
      </c>
      <c r="L165" s="30">
        <f t="shared" si="18"/>
        <v>2.4615630950454586E-2</v>
      </c>
      <c r="M165" s="30">
        <f t="shared" si="19"/>
        <v>-2.2979711376237568E-3</v>
      </c>
      <c r="N165" s="30">
        <f t="shared" si="20"/>
        <v>2.0340795680819309E-2</v>
      </c>
      <c r="O165" s="30">
        <f t="shared" si="21"/>
        <v>-1.5187274495878299E-2</v>
      </c>
    </row>
    <row r="166" spans="1:15" s="30" customFormat="1">
      <c r="A166" s="27">
        <v>45869</v>
      </c>
      <c r="B166" s="28" t="s">
        <v>169</v>
      </c>
      <c r="C166" s="28">
        <v>564.9</v>
      </c>
      <c r="D166" s="28" t="s">
        <v>1370</v>
      </c>
      <c r="E166" s="28">
        <v>244.9</v>
      </c>
      <c r="F166" s="28">
        <v>81.709999999999994</v>
      </c>
      <c r="G166" s="28" t="s">
        <v>2537</v>
      </c>
      <c r="H166" s="28">
        <v>434.95</v>
      </c>
      <c r="I166" s="30">
        <f t="shared" si="15"/>
        <v>-1.4460279724670419E-2</v>
      </c>
      <c r="J166" s="30">
        <f t="shared" si="16"/>
        <v>-3.5341969990415854E-3</v>
      </c>
      <c r="K166" s="30">
        <f t="shared" si="17"/>
        <v>-3.8260048335288918E-3</v>
      </c>
      <c r="L166" s="30">
        <f t="shared" si="18"/>
        <v>-2.0810933906790643E-2</v>
      </c>
      <c r="M166" s="30">
        <f t="shared" si="19"/>
        <v>4.3395367670054259E-2</v>
      </c>
      <c r="N166" s="30">
        <f t="shared" si="20"/>
        <v>3.6589612123935439E-2</v>
      </c>
      <c r="O166" s="30">
        <f t="shared" si="21"/>
        <v>9.2006907008052507E-4</v>
      </c>
    </row>
    <row r="167" spans="1:15" s="30" customFormat="1">
      <c r="A167" s="27">
        <v>45868</v>
      </c>
      <c r="B167" s="28" t="s">
        <v>170</v>
      </c>
      <c r="C167" s="28">
        <v>574.95000000000005</v>
      </c>
      <c r="D167" s="28" t="s">
        <v>1371</v>
      </c>
      <c r="E167" s="28">
        <v>245.6</v>
      </c>
      <c r="F167" s="28">
        <v>81.239999999999995</v>
      </c>
      <c r="G167" s="28" t="s">
        <v>2538</v>
      </c>
      <c r="H167" s="28">
        <v>430.1</v>
      </c>
      <c r="I167" s="30">
        <f t="shared" si="15"/>
        <v>8.1880795797252392E-3</v>
      </c>
      <c r="J167" s="30">
        <f t="shared" si="16"/>
        <v>1.7634356163457463E-2</v>
      </c>
      <c r="K167" s="30">
        <f t="shared" si="17"/>
        <v>2.3306153382822896E-3</v>
      </c>
      <c r="L167" s="30">
        <f t="shared" si="18"/>
        <v>2.8542323148652354E-3</v>
      </c>
      <c r="M167" s="30">
        <f t="shared" si="19"/>
        <v>-5.7686566844320983E-3</v>
      </c>
      <c r="N167" s="30">
        <f t="shared" si="20"/>
        <v>1.2228055173979126E-2</v>
      </c>
      <c r="O167" s="30">
        <f t="shared" si="21"/>
        <v>-1.1213342163859096E-2</v>
      </c>
    </row>
    <row r="168" spans="1:15" s="30" customFormat="1">
      <c r="A168" s="27">
        <v>45867</v>
      </c>
      <c r="B168" s="28" t="s">
        <v>171</v>
      </c>
      <c r="C168" s="28">
        <v>571.5</v>
      </c>
      <c r="D168" s="28" t="s">
        <v>1372</v>
      </c>
      <c r="E168" s="28">
        <v>242</v>
      </c>
      <c r="F168" s="28">
        <v>82.14</v>
      </c>
      <c r="G168" s="28" t="s">
        <v>2539</v>
      </c>
      <c r="H168" s="28">
        <v>418.2</v>
      </c>
      <c r="I168" s="30">
        <f t="shared" si="15"/>
        <v>-5.936953066299073E-3</v>
      </c>
      <c r="J168" s="30">
        <f t="shared" si="16"/>
        <v>-6.0185972598084947E-3</v>
      </c>
      <c r="K168" s="30">
        <f t="shared" si="17"/>
        <v>5.4721967247387416E-3</v>
      </c>
      <c r="L168" s="30">
        <f t="shared" si="18"/>
        <v>-1.4766470116301007E-2</v>
      </c>
      <c r="M168" s="30">
        <f t="shared" si="19"/>
        <v>1.1017371816228584E-2</v>
      </c>
      <c r="N168" s="30">
        <f t="shared" si="20"/>
        <v>-8.760562717579426E-3</v>
      </c>
      <c r="O168" s="30">
        <f t="shared" si="21"/>
        <v>-2.8057952795157496E-2</v>
      </c>
    </row>
    <row r="169" spans="1:15" s="30" customFormat="1">
      <c r="A169" s="27">
        <v>45866</v>
      </c>
      <c r="B169" s="28" t="s">
        <v>172</v>
      </c>
      <c r="C169" s="28">
        <v>560.1</v>
      </c>
      <c r="D169" s="28" t="s">
        <v>1373</v>
      </c>
      <c r="E169" s="28">
        <v>240.7</v>
      </c>
      <c r="F169" s="28">
        <v>83.24</v>
      </c>
      <c r="G169" s="28" t="s">
        <v>2540</v>
      </c>
      <c r="H169" s="28">
        <v>413.8</v>
      </c>
      <c r="I169" s="30">
        <f t="shared" si="15"/>
        <v>-1.7601428975958861E-2</v>
      </c>
      <c r="J169" s="30">
        <f t="shared" si="16"/>
        <v>-2.0149144019078698E-2</v>
      </c>
      <c r="K169" s="30">
        <f t="shared" si="17"/>
        <v>-5.6993056253792605E-2</v>
      </c>
      <c r="L169" s="30">
        <f t="shared" si="18"/>
        <v>-5.3863813676601913E-3</v>
      </c>
      <c r="M169" s="30">
        <f t="shared" si="19"/>
        <v>1.3302892997021133E-2</v>
      </c>
      <c r="N169" s="30">
        <f t="shared" si="20"/>
        <v>-6.2554873055959961E-3</v>
      </c>
      <c r="O169" s="30">
        <f t="shared" si="21"/>
        <v>-1.0577021683090524E-2</v>
      </c>
    </row>
    <row r="170" spans="1:15" s="30" customFormat="1">
      <c r="A170" s="27">
        <v>45863</v>
      </c>
      <c r="B170" s="28" t="s">
        <v>173</v>
      </c>
      <c r="C170" s="28">
        <v>558</v>
      </c>
      <c r="D170" s="28" t="s">
        <v>1374</v>
      </c>
      <c r="E170" s="28">
        <v>244.95</v>
      </c>
      <c r="F170" s="28">
        <v>84.52</v>
      </c>
      <c r="G170" s="28" t="s">
        <v>2541</v>
      </c>
      <c r="H170" s="28">
        <v>417.35</v>
      </c>
      <c r="I170" s="30">
        <f t="shared" si="15"/>
        <v>-9.9664354073244945E-3</v>
      </c>
      <c r="J170" s="30">
        <f t="shared" si="16"/>
        <v>-3.7563768344757685E-3</v>
      </c>
      <c r="K170" s="30">
        <f t="shared" si="17"/>
        <v>-1.7522345468030062E-3</v>
      </c>
      <c r="L170" s="30">
        <f t="shared" si="18"/>
        <v>1.7502763295557618E-2</v>
      </c>
      <c r="M170" s="30">
        <f t="shared" si="19"/>
        <v>1.5260191222422319E-2</v>
      </c>
      <c r="N170" s="30">
        <f t="shared" si="20"/>
        <v>1.5675441922821636E-3</v>
      </c>
      <c r="O170" s="30">
        <f t="shared" si="21"/>
        <v>8.542432985303005E-3</v>
      </c>
    </row>
    <row r="171" spans="1:15" s="30" customFormat="1">
      <c r="A171" s="27">
        <v>45862</v>
      </c>
      <c r="B171" s="28" t="s">
        <v>174</v>
      </c>
      <c r="C171" s="28">
        <v>577.04999999999995</v>
      </c>
      <c r="D171" s="28" t="s">
        <v>1375</v>
      </c>
      <c r="E171" s="28">
        <v>249.45</v>
      </c>
      <c r="F171" s="28">
        <v>92.29</v>
      </c>
      <c r="G171" s="28" t="s">
        <v>2542</v>
      </c>
      <c r="H171" s="28">
        <v>420.4</v>
      </c>
      <c r="I171" s="30">
        <f t="shared" si="15"/>
        <v>6.7828683999021323E-3</v>
      </c>
      <c r="J171" s="30">
        <f t="shared" si="16"/>
        <v>3.35699554851027E-2</v>
      </c>
      <c r="K171" s="30">
        <f t="shared" si="17"/>
        <v>3.4220102593186009E-2</v>
      </c>
      <c r="L171" s="30">
        <f t="shared" si="18"/>
        <v>1.8204386222462531E-2</v>
      </c>
      <c r="M171" s="30">
        <f t="shared" si="19"/>
        <v>8.7947600529629494E-2</v>
      </c>
      <c r="N171" s="30">
        <f t="shared" si="20"/>
        <v>2.7674458655115558E-2</v>
      </c>
      <c r="O171" s="30">
        <f t="shared" si="21"/>
        <v>7.2814407060502314E-3</v>
      </c>
    </row>
    <row r="172" spans="1:15" s="30" customFormat="1">
      <c r="A172" s="27">
        <v>45861</v>
      </c>
      <c r="B172" s="28" t="s">
        <v>175</v>
      </c>
      <c r="C172" s="28">
        <v>576.20000000000005</v>
      </c>
      <c r="D172" s="28" t="s">
        <v>1376</v>
      </c>
      <c r="E172" s="28">
        <v>247.05</v>
      </c>
      <c r="F172" s="28">
        <v>93.28</v>
      </c>
      <c r="G172" s="28" t="s">
        <v>2543</v>
      </c>
      <c r="H172" s="28">
        <v>418.45</v>
      </c>
      <c r="I172" s="30">
        <f t="shared" si="15"/>
        <v>9.8572982186419852E-3</v>
      </c>
      <c r="J172" s="30">
        <f t="shared" si="16"/>
        <v>-1.4740952159855202E-3</v>
      </c>
      <c r="K172" s="30">
        <f t="shared" si="17"/>
        <v>1.7055653934509283E-2</v>
      </c>
      <c r="L172" s="30">
        <f t="shared" si="18"/>
        <v>-9.6677490152872417E-3</v>
      </c>
      <c r="M172" s="30">
        <f t="shared" si="19"/>
        <v>1.0669929324696776E-2</v>
      </c>
      <c r="N172" s="30">
        <f t="shared" si="20"/>
        <v>-2.783375773948267E-2</v>
      </c>
      <c r="O172" s="30">
        <f t="shared" si="21"/>
        <v>-4.6492305239129224E-3</v>
      </c>
    </row>
    <row r="173" spans="1:15" s="30" customFormat="1">
      <c r="A173" s="27">
        <v>45860</v>
      </c>
      <c r="B173" s="28" t="s">
        <v>176</v>
      </c>
      <c r="C173" s="28">
        <v>570.5</v>
      </c>
      <c r="D173" s="28" t="s">
        <v>1258</v>
      </c>
      <c r="E173" s="28">
        <v>246.35</v>
      </c>
      <c r="F173" s="28">
        <v>95.76</v>
      </c>
      <c r="G173" s="28" t="s">
        <v>2544</v>
      </c>
      <c r="H173" s="28">
        <v>418.4</v>
      </c>
      <c r="I173" s="30">
        <f t="shared" si="15"/>
        <v>-4.303259393465265E-3</v>
      </c>
      <c r="J173" s="30">
        <f t="shared" si="16"/>
        <v>-9.9416533482978471E-3</v>
      </c>
      <c r="K173" s="30">
        <f t="shared" si="17"/>
        <v>-2.4994792881648638E-4</v>
      </c>
      <c r="L173" s="30">
        <f t="shared" si="18"/>
        <v>-2.8374563017870163E-3</v>
      </c>
      <c r="M173" s="30">
        <f t="shared" si="19"/>
        <v>2.6239338647535426E-2</v>
      </c>
      <c r="N173" s="30">
        <f t="shared" si="20"/>
        <v>1.5779472064751027E-2</v>
      </c>
      <c r="O173" s="30">
        <f t="shared" si="21"/>
        <v>-1.1949572816996063E-4</v>
      </c>
    </row>
    <row r="174" spans="1:15" s="30" customFormat="1">
      <c r="A174" s="27">
        <v>45859</v>
      </c>
      <c r="B174" s="28" t="s">
        <v>175</v>
      </c>
      <c r="C174" s="28">
        <v>566.65</v>
      </c>
      <c r="D174" s="28" t="s">
        <v>1377</v>
      </c>
      <c r="E174" s="28">
        <v>247.65</v>
      </c>
      <c r="F174" s="28">
        <v>96.21</v>
      </c>
      <c r="G174" s="28" t="s">
        <v>2545</v>
      </c>
      <c r="H174" s="28">
        <v>417.8</v>
      </c>
      <c r="I174" s="30">
        <f t="shared" si="15"/>
        <v>4.3032593934651878E-3</v>
      </c>
      <c r="J174" s="30">
        <f t="shared" si="16"/>
        <v>-6.7713401231729604E-3</v>
      </c>
      <c r="K174" s="30">
        <f t="shared" si="17"/>
        <v>8.3322918016980629E-5</v>
      </c>
      <c r="L174" s="30">
        <f t="shared" si="18"/>
        <v>5.2631700442746909E-3</v>
      </c>
      <c r="M174" s="30">
        <f t="shared" si="19"/>
        <v>4.6882411234553181E-3</v>
      </c>
      <c r="N174" s="30">
        <f t="shared" si="20"/>
        <v>-3.5975676882058966E-2</v>
      </c>
      <c r="O174" s="30">
        <f t="shared" si="21"/>
        <v>-1.4350636282476094E-3</v>
      </c>
    </row>
    <row r="175" spans="1:15" s="30" customFormat="1">
      <c r="A175" s="27">
        <v>45856</v>
      </c>
      <c r="B175" s="28" t="s">
        <v>177</v>
      </c>
      <c r="C175" s="28">
        <v>576.79999999999995</v>
      </c>
      <c r="D175" s="28" t="s">
        <v>1378</v>
      </c>
      <c r="E175" s="28">
        <v>248.1</v>
      </c>
      <c r="F175" s="28">
        <v>96.62</v>
      </c>
      <c r="G175" s="28" t="s">
        <v>2546</v>
      </c>
      <c r="H175" s="28">
        <v>422.05</v>
      </c>
      <c r="I175" s="30">
        <f t="shared" si="15"/>
        <v>2.9425385896046136E-3</v>
      </c>
      <c r="J175" s="30">
        <f t="shared" si="16"/>
        <v>1.7753756791781816E-2</v>
      </c>
      <c r="K175" s="30">
        <f t="shared" si="17"/>
        <v>7.4959400503195957E-4</v>
      </c>
      <c r="L175" s="30">
        <f t="shared" si="18"/>
        <v>1.8154316635085263E-3</v>
      </c>
      <c r="M175" s="30">
        <f t="shared" si="19"/>
        <v>4.252456753087411E-3</v>
      </c>
      <c r="N175" s="30">
        <f t="shared" si="20"/>
        <v>-1.5921685418889945E-2</v>
      </c>
      <c r="O175" s="30">
        <f t="shared" si="21"/>
        <v>1.0120941307263624E-2</v>
      </c>
    </row>
    <row r="176" spans="1:15" s="30" customFormat="1">
      <c r="A176" s="27">
        <v>45855</v>
      </c>
      <c r="B176" s="28" t="s">
        <v>178</v>
      </c>
      <c r="C176" s="28">
        <v>579.25</v>
      </c>
      <c r="D176" s="28" t="s">
        <v>1379</v>
      </c>
      <c r="E176" s="28">
        <v>249.75</v>
      </c>
      <c r="F176" s="28">
        <v>97.4</v>
      </c>
      <c r="G176" s="28" t="s">
        <v>2547</v>
      </c>
      <c r="H176" s="28">
        <v>422.35</v>
      </c>
      <c r="I176" s="30">
        <f t="shared" si="15"/>
        <v>6.9019160061318035E-3</v>
      </c>
      <c r="J176" s="30">
        <f t="shared" si="16"/>
        <v>4.238577341746293E-3</v>
      </c>
      <c r="K176" s="30">
        <f t="shared" si="17"/>
        <v>9.1540804461714748E-4</v>
      </c>
      <c r="L176" s="30">
        <f t="shared" si="18"/>
        <v>6.6285268309075199E-3</v>
      </c>
      <c r="M176" s="30">
        <f t="shared" si="19"/>
        <v>8.0404515222288701E-3</v>
      </c>
      <c r="N176" s="30">
        <f t="shared" si="20"/>
        <v>-3.9996191621903829E-3</v>
      </c>
      <c r="O176" s="30">
        <f t="shared" si="21"/>
        <v>7.1056374377673475E-4</v>
      </c>
    </row>
    <row r="177" spans="1:15" s="30" customFormat="1">
      <c r="A177" s="27">
        <v>45854</v>
      </c>
      <c r="B177" s="28" t="s">
        <v>37</v>
      </c>
      <c r="C177" s="28">
        <v>564.9</v>
      </c>
      <c r="D177" s="28" t="s">
        <v>1261</v>
      </c>
      <c r="E177" s="28">
        <v>247.25</v>
      </c>
      <c r="F177" s="28">
        <v>97.89</v>
      </c>
      <c r="G177" s="28" t="s">
        <v>2548</v>
      </c>
      <c r="H177" s="28">
        <v>417.45</v>
      </c>
      <c r="I177" s="30">
        <f t="shared" si="15"/>
        <v>4.8238959098005308E-3</v>
      </c>
      <c r="J177" s="30">
        <f t="shared" si="16"/>
        <v>-2.5085438981269251E-2</v>
      </c>
      <c r="K177" s="30">
        <f t="shared" si="17"/>
        <v>-1.5816860737626938E-3</v>
      </c>
      <c r="L177" s="30">
        <f t="shared" si="18"/>
        <v>-1.00604470258414E-2</v>
      </c>
      <c r="M177" s="30">
        <f t="shared" si="19"/>
        <v>5.0181886248493908E-3</v>
      </c>
      <c r="N177" s="30">
        <f t="shared" si="20"/>
        <v>-3.1530286364706263E-2</v>
      </c>
      <c r="O177" s="30">
        <f t="shared" si="21"/>
        <v>-1.1669577533496284E-2</v>
      </c>
    </row>
    <row r="178" spans="1:15" s="30" customFormat="1">
      <c r="A178" s="27">
        <v>45853</v>
      </c>
      <c r="B178" s="28" t="s">
        <v>179</v>
      </c>
      <c r="C178" s="28">
        <v>561.20000000000005</v>
      </c>
      <c r="D178" s="28" t="s">
        <v>1380</v>
      </c>
      <c r="E178" s="28">
        <v>249.8</v>
      </c>
      <c r="F178" s="28">
        <v>97.37</v>
      </c>
      <c r="G178" s="28" t="s">
        <v>2549</v>
      </c>
      <c r="H178" s="28">
        <v>413.85</v>
      </c>
      <c r="I178" s="30">
        <f t="shared" si="15"/>
        <v>-7.0774650131132308E-3</v>
      </c>
      <c r="J178" s="30">
        <f t="shared" si="16"/>
        <v>-6.5713761029104114E-3</v>
      </c>
      <c r="K178" s="30">
        <f t="shared" si="17"/>
        <v>2.4990628644367546E-4</v>
      </c>
      <c r="L178" s="30">
        <f t="shared" si="18"/>
        <v>1.0260627188655742E-2</v>
      </c>
      <c r="M178" s="30">
        <f t="shared" si="19"/>
        <v>-5.3262442826740941E-3</v>
      </c>
      <c r="N178" s="30">
        <f t="shared" si="20"/>
        <v>2.7348091959646822E-2</v>
      </c>
      <c r="O178" s="30">
        <f t="shared" si="21"/>
        <v>-8.6611873086045732E-3</v>
      </c>
    </row>
    <row r="179" spans="1:15" s="30" customFormat="1">
      <c r="A179" s="27">
        <v>45852</v>
      </c>
      <c r="B179" s="28" t="s">
        <v>180</v>
      </c>
      <c r="C179" s="28">
        <v>556.85</v>
      </c>
      <c r="D179" s="28" t="s">
        <v>1381</v>
      </c>
      <c r="E179" s="28">
        <v>245.95</v>
      </c>
      <c r="F179" s="28">
        <v>96.24</v>
      </c>
      <c r="G179" s="28" t="s">
        <v>2550</v>
      </c>
      <c r="H179" s="28">
        <v>418.3</v>
      </c>
      <c r="I179" s="30">
        <f t="shared" si="15"/>
        <v>3.3784520466338319E-3</v>
      </c>
      <c r="J179" s="30">
        <f t="shared" si="16"/>
        <v>-7.7814443891967532E-3</v>
      </c>
      <c r="K179" s="30">
        <f t="shared" si="17"/>
        <v>-8.3295156434777263E-5</v>
      </c>
      <c r="L179" s="30">
        <f t="shared" si="18"/>
        <v>-1.5532334450128556E-2</v>
      </c>
      <c r="M179" s="30">
        <f t="shared" si="19"/>
        <v>-1.167308332424148E-2</v>
      </c>
      <c r="N179" s="30">
        <f t="shared" si="20"/>
        <v>9.1723485370792356E-3</v>
      </c>
      <c r="O179" s="30">
        <f t="shared" si="21"/>
        <v>1.069528911674795E-2</v>
      </c>
    </row>
    <row r="180" spans="1:15" s="30" customFormat="1">
      <c r="A180" s="27">
        <v>45849</v>
      </c>
      <c r="B180" s="28" t="s">
        <v>181</v>
      </c>
      <c r="C180" s="28">
        <v>572.54999999999995</v>
      </c>
      <c r="D180" s="28" t="s">
        <v>1377</v>
      </c>
      <c r="E180" s="28">
        <v>246.25</v>
      </c>
      <c r="F180" s="28">
        <v>96.68</v>
      </c>
      <c r="G180" s="28" t="s">
        <v>2551</v>
      </c>
      <c r="H180" s="28">
        <v>424.6</v>
      </c>
      <c r="I180" s="30">
        <f t="shared" si="15"/>
        <v>1.5534934794847428E-2</v>
      </c>
      <c r="J180" s="30">
        <f t="shared" si="16"/>
        <v>2.780416402023923E-2</v>
      </c>
      <c r="K180" s="30">
        <f t="shared" si="17"/>
        <v>-2.4992710589537975E-4</v>
      </c>
      <c r="L180" s="30">
        <f t="shared" si="18"/>
        <v>1.2190168108495614E-3</v>
      </c>
      <c r="M180" s="30">
        <f t="shared" si="19"/>
        <v>4.5614841688588915E-3</v>
      </c>
      <c r="N180" s="30">
        <f t="shared" si="20"/>
        <v>1.7585320792709047E-3</v>
      </c>
      <c r="O180" s="30">
        <f t="shared" si="21"/>
        <v>1.4948670821003041E-2</v>
      </c>
    </row>
    <row r="181" spans="1:15" s="30" customFormat="1">
      <c r="A181" s="27">
        <v>45848</v>
      </c>
      <c r="B181" s="28" t="s">
        <v>182</v>
      </c>
      <c r="C181" s="28">
        <v>578.20000000000005</v>
      </c>
      <c r="D181" s="28" t="s">
        <v>1377</v>
      </c>
      <c r="E181" s="28">
        <v>249.1</v>
      </c>
      <c r="F181" s="28">
        <v>98.52</v>
      </c>
      <c r="G181" s="28" t="s">
        <v>2552</v>
      </c>
      <c r="H181" s="28">
        <v>423.8</v>
      </c>
      <c r="I181" s="30">
        <f t="shared" si="15"/>
        <v>4.9075838722271057E-3</v>
      </c>
      <c r="J181" s="30">
        <f t="shared" si="16"/>
        <v>9.8197617228973303E-3</v>
      </c>
      <c r="K181" s="30">
        <f t="shared" si="17"/>
        <v>0</v>
      </c>
      <c r="L181" s="30">
        <f t="shared" si="18"/>
        <v>1.1507142215936557E-2</v>
      </c>
      <c r="M181" s="30">
        <f t="shared" si="19"/>
        <v>1.8853017417054849E-2</v>
      </c>
      <c r="N181" s="30">
        <f t="shared" si="20"/>
        <v>-1.1458358037278047E-2</v>
      </c>
      <c r="O181" s="30">
        <f t="shared" si="21"/>
        <v>-1.8859034349570224E-3</v>
      </c>
    </row>
    <row r="182" spans="1:15" s="30" customFormat="1">
      <c r="A182" s="27">
        <v>45847</v>
      </c>
      <c r="B182" s="28" t="s">
        <v>183</v>
      </c>
      <c r="C182" s="28">
        <v>585</v>
      </c>
      <c r="D182" s="28" t="s">
        <v>1261</v>
      </c>
      <c r="E182" s="28">
        <v>250.35</v>
      </c>
      <c r="F182" s="28">
        <v>95.91</v>
      </c>
      <c r="G182" s="28" t="s">
        <v>2553</v>
      </c>
      <c r="H182" s="28">
        <v>417.6</v>
      </c>
      <c r="I182" s="30">
        <f t="shared" si="15"/>
        <v>1.9272934481615944E-2</v>
      </c>
      <c r="J182" s="30">
        <f t="shared" si="16"/>
        <v>1.1692017649610772E-2</v>
      </c>
      <c r="K182" s="30">
        <f t="shared" si="17"/>
        <v>8.3315975886566921E-5</v>
      </c>
      <c r="L182" s="30">
        <f t="shared" si="18"/>
        <v>5.0055165078191372E-3</v>
      </c>
      <c r="M182" s="30">
        <f t="shared" si="19"/>
        <v>-2.6849321512477386E-2</v>
      </c>
      <c r="N182" s="30">
        <f t="shared" si="20"/>
        <v>1.3158992070325561E-2</v>
      </c>
      <c r="O182" s="30">
        <f t="shared" si="21"/>
        <v>-1.473760926576969E-2</v>
      </c>
    </row>
    <row r="183" spans="1:15" s="30" customFormat="1">
      <c r="A183" s="27">
        <v>45846</v>
      </c>
      <c r="B183" s="28" t="s">
        <v>184</v>
      </c>
      <c r="C183" s="28">
        <v>582.54999999999995</v>
      </c>
      <c r="D183" s="28" t="s">
        <v>1261</v>
      </c>
      <c r="E183" s="28">
        <v>249.95</v>
      </c>
      <c r="F183" s="28">
        <v>95.72</v>
      </c>
      <c r="G183" s="28" t="s">
        <v>2554</v>
      </c>
      <c r="H183" s="28">
        <v>411.65</v>
      </c>
      <c r="I183" s="30">
        <f t="shared" si="15"/>
        <v>-5.7389542483116266E-3</v>
      </c>
      <c r="J183" s="30">
        <f t="shared" si="16"/>
        <v>-4.1968285659064394E-3</v>
      </c>
      <c r="K183" s="30">
        <f t="shared" si="17"/>
        <v>0</v>
      </c>
      <c r="L183" s="30">
        <f t="shared" si="18"/>
        <v>-1.5990409163744179E-3</v>
      </c>
      <c r="M183" s="30">
        <f t="shared" si="19"/>
        <v>-1.9829886996871222E-3</v>
      </c>
      <c r="N183" s="30">
        <f t="shared" si="20"/>
        <v>9.7636251659177584E-3</v>
      </c>
      <c r="O183" s="30">
        <f t="shared" si="21"/>
        <v>-1.435056282399404E-2</v>
      </c>
    </row>
    <row r="184" spans="1:15" s="30" customFormat="1">
      <c r="A184" s="27">
        <v>45845</v>
      </c>
      <c r="B184" s="28" t="s">
        <v>185</v>
      </c>
      <c r="C184" s="28">
        <v>585.9</v>
      </c>
      <c r="D184" s="28" t="s">
        <v>1382</v>
      </c>
      <c r="E184" s="28">
        <v>249.75</v>
      </c>
      <c r="F184" s="28">
        <v>95.77</v>
      </c>
      <c r="G184" s="28" t="s">
        <v>2555</v>
      </c>
      <c r="H184" s="28">
        <v>405.95</v>
      </c>
      <c r="I184" s="30">
        <f t="shared" si="15"/>
        <v>-1.6966758430596824E-2</v>
      </c>
      <c r="J184" s="30">
        <f t="shared" si="16"/>
        <v>5.7341078847928887E-3</v>
      </c>
      <c r="K184" s="30">
        <f t="shared" si="17"/>
        <v>4.1647578795306339E-4</v>
      </c>
      <c r="L184" s="30">
        <f t="shared" si="18"/>
        <v>-8.0048033091640171E-4</v>
      </c>
      <c r="M184" s="30">
        <f t="shared" si="19"/>
        <v>5.2222049335543354E-4</v>
      </c>
      <c r="N184" s="30">
        <f t="shared" si="20"/>
        <v>-2.0731245920619912E-2</v>
      </c>
      <c r="O184" s="30">
        <f t="shared" si="21"/>
        <v>-1.3943474435979564E-2</v>
      </c>
    </row>
    <row r="185" spans="1:15" s="30" customFormat="1">
      <c r="A185" s="27">
        <v>45842</v>
      </c>
      <c r="B185" s="28" t="s">
        <v>186</v>
      </c>
      <c r="C185" s="28">
        <v>596</v>
      </c>
      <c r="D185" s="28" t="s">
        <v>1383</v>
      </c>
      <c r="E185" s="28">
        <v>250.05</v>
      </c>
      <c r="F185" s="28">
        <v>95.93</v>
      </c>
      <c r="G185" s="28" t="s">
        <v>2556</v>
      </c>
      <c r="H185" s="28">
        <v>382</v>
      </c>
      <c r="I185" s="30">
        <f t="shared" si="15"/>
        <v>-7.6433493125682359E-3</v>
      </c>
      <c r="J185" s="30">
        <f t="shared" si="16"/>
        <v>1.7091540514606911E-2</v>
      </c>
      <c r="K185" s="30">
        <f t="shared" si="17"/>
        <v>-1.0831980395028583E-3</v>
      </c>
      <c r="L185" s="30">
        <f t="shared" si="18"/>
        <v>1.2004803362498618E-3</v>
      </c>
      <c r="M185" s="30">
        <f t="shared" si="19"/>
        <v>1.6692752963282781E-3</v>
      </c>
      <c r="N185" s="30">
        <f t="shared" si="20"/>
        <v>-4.7523302804369685E-2</v>
      </c>
      <c r="O185" s="30">
        <f t="shared" si="21"/>
        <v>-6.0809390701880218E-2</v>
      </c>
    </row>
    <row r="186" spans="1:15" s="30" customFormat="1">
      <c r="A186" s="27">
        <v>45841</v>
      </c>
      <c r="B186" s="28" t="s">
        <v>187</v>
      </c>
      <c r="C186" s="28">
        <v>600.15</v>
      </c>
      <c r="D186" s="28" t="s">
        <v>1384</v>
      </c>
      <c r="E186" s="28">
        <v>250.25</v>
      </c>
      <c r="F186" s="28">
        <v>96.44</v>
      </c>
      <c r="G186" s="28" t="s">
        <v>2557</v>
      </c>
      <c r="H186" s="28">
        <v>372.65</v>
      </c>
      <c r="I186" s="30">
        <f t="shared" si="15"/>
        <v>2.7599860983776648E-3</v>
      </c>
      <c r="J186" s="30">
        <f t="shared" si="16"/>
        <v>6.9389569060039936E-3</v>
      </c>
      <c r="K186" s="30">
        <f t="shared" si="17"/>
        <v>1.4995004475801331E-3</v>
      </c>
      <c r="L186" s="30">
        <f t="shared" si="18"/>
        <v>7.9952033041718023E-4</v>
      </c>
      <c r="M186" s="30">
        <f t="shared" si="19"/>
        <v>5.3022944831139091E-3</v>
      </c>
      <c r="N186" s="30">
        <f t="shared" si="20"/>
        <v>-7.1444497231270086E-3</v>
      </c>
      <c r="O186" s="30">
        <f t="shared" si="21"/>
        <v>-2.4780967278872447E-2</v>
      </c>
    </row>
    <row r="187" spans="1:15" s="30" customFormat="1">
      <c r="A187" s="27">
        <v>45840</v>
      </c>
      <c r="B187" s="28" t="s">
        <v>188</v>
      </c>
      <c r="C187" s="28">
        <v>594.85</v>
      </c>
      <c r="D187" s="28" t="s">
        <v>1385</v>
      </c>
      <c r="E187" s="28">
        <v>248.45</v>
      </c>
      <c r="F187" s="28">
        <v>97.35</v>
      </c>
      <c r="G187" s="28" t="s">
        <v>2558</v>
      </c>
      <c r="H187" s="28">
        <v>370.2</v>
      </c>
      <c r="I187" s="30">
        <f t="shared" si="15"/>
        <v>-4.7419836090414049E-3</v>
      </c>
      <c r="J187" s="30">
        <f t="shared" si="16"/>
        <v>-8.8703510488186733E-3</v>
      </c>
      <c r="K187" s="30">
        <f t="shared" si="17"/>
        <v>-6.3465766263366601E-3</v>
      </c>
      <c r="L187" s="30">
        <f t="shared" si="18"/>
        <v>-7.2188001470004284E-3</v>
      </c>
      <c r="M187" s="30">
        <f t="shared" si="19"/>
        <v>9.3916785052384332E-3</v>
      </c>
      <c r="N187" s="30">
        <f t="shared" si="20"/>
        <v>5.2539525411579501E-3</v>
      </c>
      <c r="O187" s="30">
        <f t="shared" si="21"/>
        <v>-6.5962411883057201E-3</v>
      </c>
    </row>
    <row r="188" spans="1:15" s="30" customFormat="1">
      <c r="A188" s="27">
        <v>45839</v>
      </c>
      <c r="B188" s="28" t="s">
        <v>189</v>
      </c>
      <c r="C188" s="28">
        <v>594.04999999999995</v>
      </c>
      <c r="D188" s="28" t="s">
        <v>1386</v>
      </c>
      <c r="E188" s="28">
        <v>250.15</v>
      </c>
      <c r="F188" s="28">
        <v>96.77</v>
      </c>
      <c r="G188" s="28" t="s">
        <v>2559</v>
      </c>
      <c r="H188" s="28">
        <v>375.55</v>
      </c>
      <c r="I188" s="30">
        <f t="shared" si="15"/>
        <v>-2.0840613118104957E-2</v>
      </c>
      <c r="J188" s="30">
        <f t="shared" si="16"/>
        <v>-1.3457820182387135E-3</v>
      </c>
      <c r="K188" s="30">
        <f t="shared" si="17"/>
        <v>-1.1119649575425059E-2</v>
      </c>
      <c r="L188" s="30">
        <f t="shared" si="18"/>
        <v>6.8191198858845439E-3</v>
      </c>
      <c r="M188" s="30">
        <f t="shared" si="19"/>
        <v>-5.9757029253574741E-3</v>
      </c>
      <c r="N188" s="30">
        <f t="shared" si="20"/>
        <v>-4.6688150171484231E-3</v>
      </c>
      <c r="O188" s="30">
        <f t="shared" si="21"/>
        <v>1.4348217992623796E-2</v>
      </c>
    </row>
    <row r="189" spans="1:15" s="30" customFormat="1">
      <c r="A189" s="27">
        <v>45838</v>
      </c>
      <c r="B189" s="28" t="s">
        <v>190</v>
      </c>
      <c r="C189" s="28">
        <v>592.65</v>
      </c>
      <c r="D189" s="28" t="s">
        <v>1387</v>
      </c>
      <c r="E189" s="28">
        <v>252.15</v>
      </c>
      <c r="F189" s="28">
        <v>96.97</v>
      </c>
      <c r="G189" s="28" t="s">
        <v>2560</v>
      </c>
      <c r="H189" s="28">
        <v>380.8</v>
      </c>
      <c r="I189" s="30">
        <f t="shared" si="15"/>
        <v>-1.2058058041370718E-2</v>
      </c>
      <c r="J189" s="30">
        <f t="shared" si="16"/>
        <v>-2.3594853787868991E-3</v>
      </c>
      <c r="K189" s="30">
        <f t="shared" si="17"/>
        <v>-1.5623316884562375E-2</v>
      </c>
      <c r="L189" s="30">
        <f t="shared" si="18"/>
        <v>7.9634105885202644E-3</v>
      </c>
      <c r="M189" s="30">
        <f t="shared" si="19"/>
        <v>2.0646234236037899E-3</v>
      </c>
      <c r="N189" s="30">
        <f t="shared" si="20"/>
        <v>-1.0827737621963741E-3</v>
      </c>
      <c r="O189" s="30">
        <f t="shared" si="21"/>
        <v>1.3882684785189529E-2</v>
      </c>
    </row>
    <row r="190" spans="1:15" s="30" customFormat="1">
      <c r="A190" s="27">
        <v>45835</v>
      </c>
      <c r="B190" s="28" t="s">
        <v>191</v>
      </c>
      <c r="C190" s="28">
        <v>583.95000000000005</v>
      </c>
      <c r="D190" s="28" t="s">
        <v>1388</v>
      </c>
      <c r="E190" s="28">
        <v>248.1</v>
      </c>
      <c r="F190" s="28">
        <v>96.01</v>
      </c>
      <c r="G190" s="28" t="s">
        <v>2561</v>
      </c>
      <c r="H190" s="28">
        <v>382.2</v>
      </c>
      <c r="I190" s="30">
        <f t="shared" si="15"/>
        <v>7.4897154235573958E-3</v>
      </c>
      <c r="J190" s="30">
        <f t="shared" si="16"/>
        <v>-1.4788642800934889E-2</v>
      </c>
      <c r="K190" s="30">
        <f t="shared" si="17"/>
        <v>-9.4692900804490242E-4</v>
      </c>
      <c r="L190" s="30">
        <f t="shared" si="18"/>
        <v>-1.6192257824979052E-2</v>
      </c>
      <c r="M190" s="30">
        <f t="shared" si="19"/>
        <v>-9.9492996069223873E-3</v>
      </c>
      <c r="N190" s="30">
        <f t="shared" si="20"/>
        <v>9.6577364506291916E-4</v>
      </c>
      <c r="O190" s="30">
        <f t="shared" si="21"/>
        <v>3.6697288889624017E-3</v>
      </c>
    </row>
    <row r="191" spans="1:15" s="30" customFormat="1">
      <c r="A191" s="27">
        <v>45834</v>
      </c>
      <c r="B191" s="28" t="s">
        <v>192</v>
      </c>
      <c r="C191" s="28">
        <v>570</v>
      </c>
      <c r="D191" s="28" t="s">
        <v>1389</v>
      </c>
      <c r="E191" s="28">
        <v>244.1</v>
      </c>
      <c r="F191" s="28">
        <v>97.05</v>
      </c>
      <c r="G191" s="28" t="s">
        <v>2562</v>
      </c>
      <c r="H191" s="28">
        <v>381.35</v>
      </c>
      <c r="I191" s="30">
        <f t="shared" si="15"/>
        <v>-2.9646142300117594E-2</v>
      </c>
      <c r="J191" s="30">
        <f t="shared" si="16"/>
        <v>-2.4179001895978634E-2</v>
      </c>
      <c r="K191" s="30">
        <f t="shared" si="17"/>
        <v>4.125489306285421E-3</v>
      </c>
      <c r="L191" s="30">
        <f t="shared" si="18"/>
        <v>-1.6253913298840923E-2</v>
      </c>
      <c r="M191" s="30">
        <f t="shared" si="19"/>
        <v>1.07739569054868E-2</v>
      </c>
      <c r="N191" s="30">
        <f t="shared" si="20"/>
        <v>-6.94296535594984E-2</v>
      </c>
      <c r="O191" s="30">
        <f t="shared" si="21"/>
        <v>-2.2264431959249909E-3</v>
      </c>
    </row>
    <row r="192" spans="1:15" s="30" customFormat="1">
      <c r="A192" s="27">
        <v>45833</v>
      </c>
      <c r="B192" s="28" t="s">
        <v>193</v>
      </c>
      <c r="C192" s="28">
        <v>568.29999999999995</v>
      </c>
      <c r="D192" s="28" t="s">
        <v>1390</v>
      </c>
      <c r="E192" s="28">
        <v>243.75</v>
      </c>
      <c r="F192" s="28">
        <v>97.99</v>
      </c>
      <c r="G192" s="28" t="s">
        <v>2563</v>
      </c>
      <c r="H192" s="28">
        <v>382.95</v>
      </c>
      <c r="I192" s="30">
        <f t="shared" si="15"/>
        <v>-4.3328951522108895E-3</v>
      </c>
      <c r="J192" s="30">
        <f t="shared" si="16"/>
        <v>-2.9869125255201261E-3</v>
      </c>
      <c r="K192" s="30">
        <f t="shared" si="17"/>
        <v>7.8599294006493521E-3</v>
      </c>
      <c r="L192" s="30">
        <f t="shared" si="18"/>
        <v>-1.4348675209577486E-3</v>
      </c>
      <c r="M192" s="30">
        <f t="shared" si="19"/>
        <v>9.6391230327077682E-3</v>
      </c>
      <c r="N192" s="30">
        <f t="shared" si="20"/>
        <v>1.632727411540582E-2</v>
      </c>
      <c r="O192" s="30">
        <f t="shared" si="21"/>
        <v>4.1868437453549141E-3</v>
      </c>
    </row>
    <row r="193" spans="1:15" s="30" customFormat="1">
      <c r="A193" s="27">
        <v>45832</v>
      </c>
      <c r="B193" s="28" t="s">
        <v>194</v>
      </c>
      <c r="C193" s="28">
        <v>553.29999999999995</v>
      </c>
      <c r="D193" s="28" t="s">
        <v>1391</v>
      </c>
      <c r="E193" s="28">
        <v>241.85</v>
      </c>
      <c r="F193" s="28">
        <v>97.56</v>
      </c>
      <c r="G193" s="28" t="s">
        <v>2564</v>
      </c>
      <c r="H193" s="28">
        <v>379.5</v>
      </c>
      <c r="I193" s="30">
        <f t="shared" si="15"/>
        <v>-2.0196705144199805E-3</v>
      </c>
      <c r="J193" s="30">
        <f t="shared" si="16"/>
        <v>-2.6749098399011705E-2</v>
      </c>
      <c r="K193" s="30">
        <f t="shared" si="17"/>
        <v>-1.0522360655174383E-2</v>
      </c>
      <c r="L193" s="30">
        <f t="shared" si="18"/>
        <v>-7.8254106089643716E-3</v>
      </c>
      <c r="M193" s="30">
        <f t="shared" si="19"/>
        <v>-4.3978593000074733E-3</v>
      </c>
      <c r="N193" s="30">
        <f t="shared" si="20"/>
        <v>-3.4298990751302611E-3</v>
      </c>
      <c r="O193" s="30">
        <f t="shared" si="21"/>
        <v>-9.0498355199179273E-3</v>
      </c>
    </row>
    <row r="194" spans="1:15" s="30" customFormat="1">
      <c r="A194" s="27">
        <v>45831</v>
      </c>
      <c r="B194" s="28" t="s">
        <v>195</v>
      </c>
      <c r="C194" s="28">
        <v>553.35</v>
      </c>
      <c r="D194" s="28" t="s">
        <v>1357</v>
      </c>
      <c r="E194" s="28">
        <v>238.9</v>
      </c>
      <c r="F194" s="28">
        <v>96.26</v>
      </c>
      <c r="G194" s="28" t="s">
        <v>2565</v>
      </c>
      <c r="H194" s="28">
        <v>376.6</v>
      </c>
      <c r="I194" s="30">
        <f t="shared" si="15"/>
        <v>-4.9345828641488114E-3</v>
      </c>
      <c r="J194" s="30">
        <f t="shared" si="16"/>
        <v>9.0362806730359815E-5</v>
      </c>
      <c r="K194" s="30">
        <f t="shared" si="17"/>
        <v>-1.376936534245985E-3</v>
      </c>
      <c r="L194" s="30">
        <f t="shared" si="18"/>
        <v>-1.2272644937228287E-2</v>
      </c>
      <c r="M194" s="30">
        <f t="shared" si="19"/>
        <v>-1.3414709472756154E-2</v>
      </c>
      <c r="N194" s="30">
        <f t="shared" si="20"/>
        <v>9.5190405020988481E-3</v>
      </c>
      <c r="O194" s="30">
        <f t="shared" si="21"/>
        <v>-7.6709806126324985E-3</v>
      </c>
    </row>
    <row r="195" spans="1:15" s="30" customFormat="1">
      <c r="A195" s="27">
        <v>45828</v>
      </c>
      <c r="B195" s="28" t="s">
        <v>196</v>
      </c>
      <c r="C195" s="28">
        <v>535.75</v>
      </c>
      <c r="D195" s="28" t="s">
        <v>1392</v>
      </c>
      <c r="E195" s="28">
        <v>238.55</v>
      </c>
      <c r="F195" s="28">
        <v>95.33</v>
      </c>
      <c r="G195" s="28" t="s">
        <v>2566</v>
      </c>
      <c r="H195" s="28">
        <v>378.2</v>
      </c>
      <c r="I195" s="30">
        <f t="shared" si="15"/>
        <v>9.4949941881412973E-3</v>
      </c>
      <c r="J195" s="30">
        <f t="shared" si="16"/>
        <v>-3.2323078357107932E-2</v>
      </c>
      <c r="K195" s="30">
        <f t="shared" si="17"/>
        <v>-3.5232809078314997E-2</v>
      </c>
      <c r="L195" s="30">
        <f t="shared" si="18"/>
        <v>-1.4661223696477612E-3</v>
      </c>
      <c r="M195" s="30">
        <f t="shared" si="19"/>
        <v>-9.7083073694766431E-3</v>
      </c>
      <c r="N195" s="30">
        <f t="shared" si="20"/>
        <v>-5.0977064363069494E-2</v>
      </c>
      <c r="O195" s="30">
        <f t="shared" si="21"/>
        <v>4.2395400013050342E-3</v>
      </c>
    </row>
    <row r="196" spans="1:15" s="30" customFormat="1">
      <c r="A196" s="27">
        <v>45827</v>
      </c>
      <c r="B196" s="28" t="s">
        <v>197</v>
      </c>
      <c r="C196" s="28">
        <v>544.5</v>
      </c>
      <c r="D196" s="28" t="s">
        <v>1393</v>
      </c>
      <c r="E196" s="28">
        <v>239.45</v>
      </c>
      <c r="F196" s="28">
        <v>96.14</v>
      </c>
      <c r="G196" s="28" t="s">
        <v>2567</v>
      </c>
      <c r="H196" s="28">
        <v>376.5</v>
      </c>
      <c r="I196" s="30">
        <f t="shared" ref="I196:I259" si="22">LN(B196/B195)</f>
        <v>-7.7739372994309252E-3</v>
      </c>
      <c r="J196" s="30">
        <f t="shared" ref="J196:J259" si="23">LN(C196/C195)</f>
        <v>1.6200308019328754E-2</v>
      </c>
      <c r="K196" s="30">
        <f t="shared" ref="K196:K259" si="24">LN(D196/D195)</f>
        <v>-3.5688794097584348E-4</v>
      </c>
      <c r="L196" s="30">
        <f t="shared" ref="L196:L259" si="25">LN(E196/E195)</f>
        <v>3.7656948265021735E-3</v>
      </c>
      <c r="M196" s="30">
        <f t="shared" ref="M196:M259" si="26">LN(F196/F195)</f>
        <v>8.4609059603278046E-3</v>
      </c>
      <c r="N196" s="30">
        <f t="shared" ref="N196:N259" si="27">LN(G196/G195)</f>
        <v>2.8874148102214371E-2</v>
      </c>
      <c r="O196" s="30">
        <f t="shared" ref="O196:O259" si="28">LN(H196/H195)</f>
        <v>-4.5051089844088494E-3</v>
      </c>
    </row>
    <row r="197" spans="1:15" s="30" customFormat="1">
      <c r="A197" s="27">
        <v>45826</v>
      </c>
      <c r="B197" s="28" t="s">
        <v>198</v>
      </c>
      <c r="C197" s="28">
        <v>557.65</v>
      </c>
      <c r="D197" s="28" t="s">
        <v>1394</v>
      </c>
      <c r="E197" s="28">
        <v>242.58</v>
      </c>
      <c r="F197" s="28">
        <v>96.31</v>
      </c>
      <c r="G197" s="28" t="s">
        <v>2568</v>
      </c>
      <c r="H197" s="28">
        <v>382.85</v>
      </c>
      <c r="I197" s="30">
        <f t="shared" si="22"/>
        <v>5.8909037461549107E-3</v>
      </c>
      <c r="J197" s="30">
        <f t="shared" si="23"/>
        <v>2.3863583067530621E-2</v>
      </c>
      <c r="K197" s="30">
        <f t="shared" si="24"/>
        <v>-1.7463761862731811E-2</v>
      </c>
      <c r="L197" s="30">
        <f t="shared" si="25"/>
        <v>1.2986926092116127E-2</v>
      </c>
      <c r="M197" s="30">
        <f t="shared" si="26"/>
        <v>1.7666931069583549E-3</v>
      </c>
      <c r="N197" s="30">
        <f t="shared" si="27"/>
        <v>1.3975793581963604E-2</v>
      </c>
      <c r="O197" s="30">
        <f t="shared" si="28"/>
        <v>1.6725220319184209E-2</v>
      </c>
    </row>
    <row r="198" spans="1:15" s="30" customFormat="1">
      <c r="A198" s="27">
        <v>45825</v>
      </c>
      <c r="B198" s="28" t="s">
        <v>199</v>
      </c>
      <c r="C198" s="28">
        <v>561.25</v>
      </c>
      <c r="D198" s="28" t="s">
        <v>1395</v>
      </c>
      <c r="E198" s="28">
        <v>242.13</v>
      </c>
      <c r="F198" s="28">
        <v>98.66</v>
      </c>
      <c r="G198" s="28" t="s">
        <v>2569</v>
      </c>
      <c r="H198" s="28">
        <v>385.8</v>
      </c>
      <c r="I198" s="30">
        <f t="shared" si="22"/>
        <v>-7.3028347961076445E-3</v>
      </c>
      <c r="J198" s="30">
        <f t="shared" si="23"/>
        <v>6.4349136159181624E-3</v>
      </c>
      <c r="K198" s="30">
        <f t="shared" si="24"/>
        <v>-4.0209214636572836E-2</v>
      </c>
      <c r="L198" s="30">
        <f t="shared" si="25"/>
        <v>-1.85678087634389E-3</v>
      </c>
      <c r="M198" s="30">
        <f t="shared" si="26"/>
        <v>2.4107440232819147E-2</v>
      </c>
      <c r="N198" s="30">
        <f t="shared" si="27"/>
        <v>-2.5378367741904343E-3</v>
      </c>
      <c r="O198" s="30">
        <f t="shared" si="28"/>
        <v>7.6758329124962171E-3</v>
      </c>
    </row>
    <row r="199" spans="1:15" s="30" customFormat="1">
      <c r="A199" s="27">
        <v>45824</v>
      </c>
      <c r="B199" s="28" t="s">
        <v>200</v>
      </c>
      <c r="C199" s="28">
        <v>569.6</v>
      </c>
      <c r="D199" s="28" t="s">
        <v>1396</v>
      </c>
      <c r="E199" s="28">
        <v>240.64</v>
      </c>
      <c r="F199" s="28">
        <v>98.85</v>
      </c>
      <c r="G199" s="28" t="s">
        <v>2570</v>
      </c>
      <c r="H199" s="28">
        <v>386.05</v>
      </c>
      <c r="I199" s="30">
        <f t="shared" si="22"/>
        <v>-8.8700244494933043E-3</v>
      </c>
      <c r="J199" s="30">
        <f t="shared" si="23"/>
        <v>1.4767921041301894E-2</v>
      </c>
      <c r="K199" s="30">
        <f t="shared" si="24"/>
        <v>1.640841276460115E-2</v>
      </c>
      <c r="L199" s="30">
        <f t="shared" si="25"/>
        <v>-6.1727312429156874E-3</v>
      </c>
      <c r="M199" s="30">
        <f t="shared" si="26"/>
        <v>1.9239538110336662E-3</v>
      </c>
      <c r="N199" s="30">
        <f t="shared" si="27"/>
        <v>6.0553818247826973E-3</v>
      </c>
      <c r="O199" s="30">
        <f t="shared" si="28"/>
        <v>6.4779428319608002E-4</v>
      </c>
    </row>
    <row r="200" spans="1:15" s="30" customFormat="1">
      <c r="A200" s="27">
        <v>45821</v>
      </c>
      <c r="B200" s="28" t="s">
        <v>201</v>
      </c>
      <c r="C200" s="28">
        <v>570.15</v>
      </c>
      <c r="D200" s="28" t="s">
        <v>1397</v>
      </c>
      <c r="E200" s="28">
        <v>242.45</v>
      </c>
      <c r="F200" s="28">
        <v>100.11</v>
      </c>
      <c r="G200" s="28" t="s">
        <v>2571</v>
      </c>
      <c r="H200" s="28">
        <v>383</v>
      </c>
      <c r="I200" s="30">
        <f t="shared" si="22"/>
        <v>-1.3725265922830208E-2</v>
      </c>
      <c r="J200" s="30">
        <f t="shared" si="23"/>
        <v>9.6512400560137563E-4</v>
      </c>
      <c r="K200" s="30">
        <f t="shared" si="24"/>
        <v>1.7789307313337221E-2</v>
      </c>
      <c r="L200" s="30">
        <f t="shared" si="25"/>
        <v>7.4934627898862573E-3</v>
      </c>
      <c r="M200" s="30">
        <f t="shared" si="26"/>
        <v>1.2666031814766488E-2</v>
      </c>
      <c r="N200" s="30">
        <f t="shared" si="27"/>
        <v>-2.5597941470730441E-3</v>
      </c>
      <c r="O200" s="30">
        <f t="shared" si="28"/>
        <v>-7.93190557417877E-3</v>
      </c>
    </row>
    <row r="201" spans="1:15" s="30" customFormat="1">
      <c r="A201" s="27">
        <v>45820</v>
      </c>
      <c r="B201" s="28" t="s">
        <v>202</v>
      </c>
      <c r="C201" s="28">
        <v>568.54999999999995</v>
      </c>
      <c r="D201" s="28" t="s">
        <v>1398</v>
      </c>
      <c r="E201" s="28">
        <v>249.85</v>
      </c>
      <c r="F201" s="28">
        <v>102.5</v>
      </c>
      <c r="G201" s="28" t="s">
        <v>2572</v>
      </c>
      <c r="H201" s="28">
        <v>381.05</v>
      </c>
      <c r="I201" s="30">
        <f t="shared" si="22"/>
        <v>2.3457246410968887E-3</v>
      </c>
      <c r="J201" s="30">
        <f t="shared" si="23"/>
        <v>-2.8102240326356525E-3</v>
      </c>
      <c r="K201" s="30">
        <f t="shared" si="24"/>
        <v>1.8644761296441738E-2</v>
      </c>
      <c r="L201" s="30">
        <f t="shared" si="25"/>
        <v>3.0065234238852771E-2</v>
      </c>
      <c r="M201" s="30">
        <f t="shared" si="26"/>
        <v>2.3593217147070588E-2</v>
      </c>
      <c r="N201" s="30">
        <f t="shared" si="27"/>
        <v>-2.9069787913092726E-3</v>
      </c>
      <c r="O201" s="30">
        <f t="shared" si="28"/>
        <v>-5.1043890685195485E-3</v>
      </c>
    </row>
    <row r="202" spans="1:15" s="30" customFormat="1">
      <c r="A202" s="27">
        <v>45819</v>
      </c>
      <c r="B202" s="28" t="s">
        <v>203</v>
      </c>
      <c r="C202" s="28">
        <v>567.20000000000005</v>
      </c>
      <c r="D202" s="28" t="s">
        <v>1399</v>
      </c>
      <c r="E202" s="28">
        <v>250.8</v>
      </c>
      <c r="F202" s="28">
        <v>101.46</v>
      </c>
      <c r="G202" s="28" t="s">
        <v>2573</v>
      </c>
      <c r="H202" s="28">
        <v>385.8</v>
      </c>
      <c r="I202" s="30">
        <f t="shared" si="22"/>
        <v>-4.7875074505185347E-3</v>
      </c>
      <c r="J202" s="30">
        <f t="shared" si="23"/>
        <v>-2.3772848528139032E-3</v>
      </c>
      <c r="K202" s="30">
        <f t="shared" si="24"/>
        <v>1.2032766955321286E-2</v>
      </c>
      <c r="L202" s="30">
        <f t="shared" si="25"/>
        <v>3.7950709685517555E-3</v>
      </c>
      <c r="M202" s="30">
        <f t="shared" si="26"/>
        <v>-1.0198166439918947E-2</v>
      </c>
      <c r="N202" s="30">
        <f t="shared" si="27"/>
        <v>-1.2085717084894595E-3</v>
      </c>
      <c r="O202" s="30">
        <f t="shared" si="28"/>
        <v>1.2388500359502263E-2</v>
      </c>
    </row>
    <row r="203" spans="1:15" s="30" customFormat="1">
      <c r="A203" s="27">
        <v>45818</v>
      </c>
      <c r="B203" s="28" t="s">
        <v>204</v>
      </c>
      <c r="C203" s="28">
        <v>572.9</v>
      </c>
      <c r="D203" s="28" t="s">
        <v>1400</v>
      </c>
      <c r="E203" s="28">
        <v>253.85</v>
      </c>
      <c r="F203" s="28">
        <v>101.06</v>
      </c>
      <c r="G203" s="28" t="s">
        <v>2574</v>
      </c>
      <c r="H203" s="28">
        <v>383.65</v>
      </c>
      <c r="I203" s="30">
        <f t="shared" si="22"/>
        <v>4.5621959564260857E-3</v>
      </c>
      <c r="J203" s="30">
        <f t="shared" si="23"/>
        <v>9.999206196614225E-3</v>
      </c>
      <c r="K203" s="30">
        <f t="shared" si="24"/>
        <v>-6.7561818020328455E-3</v>
      </c>
      <c r="L203" s="30">
        <f t="shared" si="25"/>
        <v>1.2087732634637608E-2</v>
      </c>
      <c r="M203" s="30">
        <f t="shared" si="26"/>
        <v>-3.9502322747813432E-3</v>
      </c>
      <c r="N203" s="30">
        <f t="shared" si="27"/>
        <v>5.8897380769217737E-4</v>
      </c>
      <c r="O203" s="30">
        <f t="shared" si="28"/>
        <v>-5.5884218479545006E-3</v>
      </c>
    </row>
    <row r="204" spans="1:15" s="30" customFormat="1">
      <c r="A204" s="27">
        <v>45817</v>
      </c>
      <c r="B204" s="28" t="s">
        <v>205</v>
      </c>
      <c r="C204" s="28">
        <v>571.5</v>
      </c>
      <c r="D204" s="28" t="s">
        <v>1401</v>
      </c>
      <c r="E204" s="28">
        <v>250.1</v>
      </c>
      <c r="F204" s="28">
        <v>99.6</v>
      </c>
      <c r="G204" s="28" t="s">
        <v>2575</v>
      </c>
      <c r="H204" s="28">
        <v>373.2</v>
      </c>
      <c r="I204" s="30">
        <f t="shared" si="22"/>
        <v>1.2984869466003794E-2</v>
      </c>
      <c r="J204" s="30">
        <f t="shared" si="23"/>
        <v>-2.4466981796667279E-3</v>
      </c>
      <c r="K204" s="30">
        <f t="shared" si="24"/>
        <v>-3.3099090752587643E-2</v>
      </c>
      <c r="L204" s="30">
        <f t="shared" si="25"/>
        <v>-1.4882703509829993E-2</v>
      </c>
      <c r="M204" s="30">
        <f t="shared" si="26"/>
        <v>-1.455223527321005E-2</v>
      </c>
      <c r="N204" s="30">
        <f t="shared" si="27"/>
        <v>1.1339597057581665E-2</v>
      </c>
      <c r="O204" s="30">
        <f t="shared" si="28"/>
        <v>-2.7616209650485477E-2</v>
      </c>
    </row>
    <row r="205" spans="1:15" s="30" customFormat="1">
      <c r="A205" s="27">
        <v>45814</v>
      </c>
      <c r="B205" s="28" t="s">
        <v>206</v>
      </c>
      <c r="C205" s="28">
        <v>581.5</v>
      </c>
      <c r="D205" s="28" t="s">
        <v>1402</v>
      </c>
      <c r="E205" s="28">
        <v>249.15</v>
      </c>
      <c r="F205" s="28">
        <v>98.97</v>
      </c>
      <c r="G205" s="28" t="s">
        <v>2576</v>
      </c>
      <c r="H205" s="28">
        <v>367.3</v>
      </c>
      <c r="I205" s="30">
        <f t="shared" si="22"/>
        <v>-1.2018429703305831E-3</v>
      </c>
      <c r="J205" s="30">
        <f t="shared" si="23"/>
        <v>1.7346488723853786E-2</v>
      </c>
      <c r="K205" s="30">
        <f t="shared" si="24"/>
        <v>-8.9836214279422778E-3</v>
      </c>
      <c r="L205" s="30">
        <f t="shared" si="25"/>
        <v>-3.8057131561597939E-3</v>
      </c>
      <c r="M205" s="30">
        <f t="shared" si="26"/>
        <v>-6.345390681952748E-3</v>
      </c>
      <c r="N205" s="30">
        <f t="shared" si="27"/>
        <v>-7.3807881883229554E-3</v>
      </c>
      <c r="O205" s="30">
        <f t="shared" si="28"/>
        <v>-1.5935516147567066E-2</v>
      </c>
    </row>
    <row r="206" spans="1:15" s="30" customFormat="1">
      <c r="A206" s="27">
        <v>45813</v>
      </c>
      <c r="B206" s="28" t="s">
        <v>207</v>
      </c>
      <c r="C206" s="28">
        <v>582</v>
      </c>
      <c r="D206" s="28" t="s">
        <v>1402</v>
      </c>
      <c r="E206" s="28">
        <v>248.3</v>
      </c>
      <c r="F206" s="28">
        <v>99.53</v>
      </c>
      <c r="G206" s="28" t="s">
        <v>2577</v>
      </c>
      <c r="H206" s="28">
        <v>363.25</v>
      </c>
      <c r="I206" s="30">
        <f t="shared" si="22"/>
        <v>-7.5745765200612531E-4</v>
      </c>
      <c r="J206" s="30">
        <f t="shared" si="23"/>
        <v>8.594757727187018E-4</v>
      </c>
      <c r="K206" s="30">
        <f t="shared" si="24"/>
        <v>0</v>
      </c>
      <c r="L206" s="30">
        <f t="shared" si="25"/>
        <v>-3.4174322132925826E-3</v>
      </c>
      <c r="M206" s="30">
        <f t="shared" si="26"/>
        <v>5.642332349372379E-3</v>
      </c>
      <c r="N206" s="30">
        <f t="shared" si="27"/>
        <v>1.6986131215047159E-2</v>
      </c>
      <c r="O206" s="30">
        <f t="shared" si="28"/>
        <v>-1.1087650375229323E-2</v>
      </c>
    </row>
    <row r="207" spans="1:15" s="30" customFormat="1">
      <c r="A207" s="27">
        <v>45812</v>
      </c>
      <c r="B207" s="28" t="s">
        <v>208</v>
      </c>
      <c r="C207" s="28">
        <v>569.25</v>
      </c>
      <c r="D207" s="28" t="s">
        <v>1396</v>
      </c>
      <c r="E207" s="28">
        <v>248.7</v>
      </c>
      <c r="F207" s="28">
        <v>97.07</v>
      </c>
      <c r="G207" s="28" t="s">
        <v>2578</v>
      </c>
      <c r="H207" s="28">
        <v>359.5</v>
      </c>
      <c r="I207" s="30">
        <f t="shared" si="22"/>
        <v>2.448526543277593E-3</v>
      </c>
      <c r="J207" s="30">
        <f t="shared" si="23"/>
        <v>-2.215074278758886E-2</v>
      </c>
      <c r="K207" s="30">
        <f t="shared" si="24"/>
        <v>3.7205841746268815E-4</v>
      </c>
      <c r="L207" s="30">
        <f t="shared" si="25"/>
        <v>1.6096582952380247E-3</v>
      </c>
      <c r="M207" s="30">
        <f t="shared" si="26"/>
        <v>-2.5026738533837377E-2</v>
      </c>
      <c r="N207" s="30">
        <f t="shared" si="27"/>
        <v>3.9373706862497479E-3</v>
      </c>
      <c r="O207" s="30">
        <f t="shared" si="28"/>
        <v>-1.0377125289290872E-2</v>
      </c>
    </row>
    <row r="208" spans="1:15" s="30" customFormat="1">
      <c r="A208" s="27">
        <v>45811</v>
      </c>
      <c r="B208" s="28" t="s">
        <v>209</v>
      </c>
      <c r="C208" s="28">
        <v>558</v>
      </c>
      <c r="D208" s="28" t="s">
        <v>1403</v>
      </c>
      <c r="E208" s="28">
        <v>250.35</v>
      </c>
      <c r="F208" s="28">
        <v>98.89</v>
      </c>
      <c r="G208" s="28" t="s">
        <v>2579</v>
      </c>
      <c r="H208" s="28">
        <v>354.95</v>
      </c>
      <c r="I208" s="30">
        <f t="shared" si="22"/>
        <v>2.9746730927750591E-3</v>
      </c>
      <c r="J208" s="30">
        <f t="shared" si="23"/>
        <v>-1.9960742562538058E-2</v>
      </c>
      <c r="K208" s="30">
        <f t="shared" si="24"/>
        <v>-1.7354218188365089E-2</v>
      </c>
      <c r="L208" s="30">
        <f t="shared" si="25"/>
        <v>6.61258796659477E-3</v>
      </c>
      <c r="M208" s="30">
        <f t="shared" si="26"/>
        <v>1.8575753557764661E-2</v>
      </c>
      <c r="N208" s="30">
        <f t="shared" si="27"/>
        <v>7.8285357058098977E-3</v>
      </c>
      <c r="O208" s="30">
        <f t="shared" si="28"/>
        <v>-1.2737242675706553E-2</v>
      </c>
    </row>
    <row r="209" spans="1:15" s="30" customFormat="1">
      <c r="A209" s="27">
        <v>45810</v>
      </c>
      <c r="B209" s="28" t="s">
        <v>210</v>
      </c>
      <c r="C209" s="28">
        <v>556.9</v>
      </c>
      <c r="D209" s="28" t="s">
        <v>1404</v>
      </c>
      <c r="E209" s="28">
        <v>252</v>
      </c>
      <c r="F209" s="28">
        <v>99.79</v>
      </c>
      <c r="G209" s="28" t="s">
        <v>2580</v>
      </c>
      <c r="H209" s="28">
        <v>354.25</v>
      </c>
      <c r="I209" s="30">
        <f t="shared" si="22"/>
        <v>4.8646832182198821E-3</v>
      </c>
      <c r="J209" s="30">
        <f t="shared" si="23"/>
        <v>-1.973271785688074E-3</v>
      </c>
      <c r="K209" s="30">
        <f t="shared" si="24"/>
        <v>1.3253942198713802E-2</v>
      </c>
      <c r="L209" s="30">
        <f t="shared" si="25"/>
        <v>6.5691487354694912E-3</v>
      </c>
      <c r="M209" s="30">
        <f t="shared" si="26"/>
        <v>9.0598566143217877E-3</v>
      </c>
      <c r="N209" s="30">
        <f t="shared" si="27"/>
        <v>-7.3450059290875395E-3</v>
      </c>
      <c r="O209" s="30">
        <f t="shared" si="28"/>
        <v>-1.9740559146050594E-3</v>
      </c>
    </row>
    <row r="210" spans="1:15" s="30" customFormat="1">
      <c r="A210" s="27">
        <v>45807</v>
      </c>
      <c r="B210" s="28" t="s">
        <v>211</v>
      </c>
      <c r="C210" s="28">
        <v>568.29999999999995</v>
      </c>
      <c r="D210" s="28" t="s">
        <v>1405</v>
      </c>
      <c r="E210" s="28">
        <v>253.7</v>
      </c>
      <c r="F210" s="28">
        <v>99.93</v>
      </c>
      <c r="G210" s="28" t="s">
        <v>2581</v>
      </c>
      <c r="H210" s="28">
        <v>349.05</v>
      </c>
      <c r="I210" s="30">
        <f t="shared" si="22"/>
        <v>-3.3585254071342159E-3</v>
      </c>
      <c r="J210" s="30">
        <f t="shared" si="23"/>
        <v>2.0263757707452781E-2</v>
      </c>
      <c r="K210" s="30">
        <f t="shared" si="24"/>
        <v>7.9522357356388157E-3</v>
      </c>
      <c r="L210" s="30">
        <f t="shared" si="25"/>
        <v>6.7233790938128592E-3</v>
      </c>
      <c r="M210" s="30">
        <f t="shared" si="26"/>
        <v>1.4019629774767906E-3</v>
      </c>
      <c r="N210" s="30">
        <f t="shared" si="27"/>
        <v>1.0818063312337381E-2</v>
      </c>
      <c r="O210" s="30">
        <f t="shared" si="28"/>
        <v>-1.4787700154379389E-2</v>
      </c>
    </row>
    <row r="211" spans="1:15" s="30" customFormat="1">
      <c r="A211" s="27">
        <v>45806</v>
      </c>
      <c r="B211" s="28" t="s">
        <v>212</v>
      </c>
      <c r="C211" s="28">
        <v>561.20000000000005</v>
      </c>
      <c r="D211" s="28" t="s">
        <v>1406</v>
      </c>
      <c r="E211" s="28">
        <v>253.5</v>
      </c>
      <c r="F211" s="28">
        <v>100.32</v>
      </c>
      <c r="G211" s="28" t="s">
        <v>2582</v>
      </c>
      <c r="H211" s="28">
        <v>343.4</v>
      </c>
      <c r="I211" s="30">
        <f t="shared" si="22"/>
        <v>1.5461282212939676E-2</v>
      </c>
      <c r="J211" s="30">
        <f t="shared" si="23"/>
        <v>-1.2572100074769726E-2</v>
      </c>
      <c r="K211" s="30">
        <f t="shared" si="24"/>
        <v>-2.1064250080773086E-2</v>
      </c>
      <c r="L211" s="30">
        <f t="shared" si="25"/>
        <v>-7.8864357399823567E-4</v>
      </c>
      <c r="M211" s="30">
        <f t="shared" si="26"/>
        <v>3.8951360109125382E-3</v>
      </c>
      <c r="N211" s="30">
        <f t="shared" si="27"/>
        <v>1.1649616730845815E-3</v>
      </c>
      <c r="O211" s="30">
        <f t="shared" si="28"/>
        <v>-1.6319229953035339E-2</v>
      </c>
    </row>
    <row r="212" spans="1:15" s="30" customFormat="1">
      <c r="A212" s="27">
        <v>45805</v>
      </c>
      <c r="B212" s="28" t="s">
        <v>213</v>
      </c>
      <c r="C212" s="28">
        <v>552.85</v>
      </c>
      <c r="D212" s="28" t="s">
        <v>1407</v>
      </c>
      <c r="E212" s="28">
        <v>254.4</v>
      </c>
      <c r="F212" s="28">
        <v>101.23</v>
      </c>
      <c r="G212" s="28" t="s">
        <v>2583</v>
      </c>
      <c r="H212" s="28">
        <v>338.9</v>
      </c>
      <c r="I212" s="30">
        <f t="shared" si="22"/>
        <v>3.8716742218498231E-3</v>
      </c>
      <c r="J212" s="30">
        <f t="shared" si="23"/>
        <v>-1.4990631239895151E-2</v>
      </c>
      <c r="K212" s="30">
        <f t="shared" si="24"/>
        <v>5.3783862430050828E-3</v>
      </c>
      <c r="L212" s="30">
        <f t="shared" si="25"/>
        <v>3.5440084347293315E-3</v>
      </c>
      <c r="M212" s="30">
        <f t="shared" si="26"/>
        <v>9.0300787260498092E-3</v>
      </c>
      <c r="N212" s="30">
        <f t="shared" si="27"/>
        <v>7.2281945356486672E-3</v>
      </c>
      <c r="O212" s="30">
        <f t="shared" si="28"/>
        <v>-1.319086985036951E-2</v>
      </c>
    </row>
    <row r="213" spans="1:15" s="30" customFormat="1">
      <c r="A213" s="27">
        <v>45804</v>
      </c>
      <c r="B213" s="28" t="s">
        <v>214</v>
      </c>
      <c r="C213" s="28">
        <v>551.35</v>
      </c>
      <c r="D213" s="28" t="s">
        <v>1408</v>
      </c>
      <c r="E213" s="28">
        <v>257.05</v>
      </c>
      <c r="F213" s="28">
        <v>102.28</v>
      </c>
      <c r="G213" s="28" t="s">
        <v>2584</v>
      </c>
      <c r="H213" s="28">
        <v>338.4</v>
      </c>
      <c r="I213" s="30">
        <f t="shared" si="22"/>
        <v>1.053823348454885E-2</v>
      </c>
      <c r="J213" s="30">
        <f t="shared" si="23"/>
        <v>-2.7169007837232442E-3</v>
      </c>
      <c r="K213" s="30">
        <f t="shared" si="24"/>
        <v>-1.601055154591396E-3</v>
      </c>
      <c r="L213" s="30">
        <f t="shared" si="25"/>
        <v>1.0362787035546658E-2</v>
      </c>
      <c r="M213" s="30">
        <f t="shared" si="26"/>
        <v>1.0318994812325441E-2</v>
      </c>
      <c r="N213" s="30">
        <f t="shared" si="27"/>
        <v>1.4506014002830019E-2</v>
      </c>
      <c r="O213" s="30">
        <f t="shared" si="28"/>
        <v>-1.4764508809373999E-3</v>
      </c>
    </row>
    <row r="214" spans="1:15" s="30" customFormat="1">
      <c r="A214" s="27">
        <v>45803</v>
      </c>
      <c r="B214" s="28" t="s">
        <v>215</v>
      </c>
      <c r="C214" s="28">
        <v>547.9</v>
      </c>
      <c r="D214" s="28" t="s">
        <v>1409</v>
      </c>
      <c r="E214" s="28">
        <v>254.7</v>
      </c>
      <c r="F214" s="28">
        <v>103.59</v>
      </c>
      <c r="G214" s="28" t="s">
        <v>2585</v>
      </c>
      <c r="H214" s="28">
        <v>328.8</v>
      </c>
      <c r="I214" s="30">
        <f t="shared" si="22"/>
        <v>-1.7186560152303605E-4</v>
      </c>
      <c r="J214" s="30">
        <f t="shared" si="23"/>
        <v>-6.2770276603175273E-3</v>
      </c>
      <c r="K214" s="30">
        <f t="shared" si="24"/>
        <v>-1.471731843267648E-2</v>
      </c>
      <c r="L214" s="30">
        <f t="shared" si="25"/>
        <v>-9.1842365161024613E-3</v>
      </c>
      <c r="M214" s="30">
        <f t="shared" si="26"/>
        <v>1.2726649647024725E-2</v>
      </c>
      <c r="N214" s="30">
        <f t="shared" si="27"/>
        <v>1.2944225312513257E-2</v>
      </c>
      <c r="O214" s="30">
        <f t="shared" si="28"/>
        <v>-2.8778964550043289E-2</v>
      </c>
    </row>
    <row r="215" spans="1:15" s="30" customFormat="1">
      <c r="A215" s="27">
        <v>45800</v>
      </c>
      <c r="B215" s="28" t="s">
        <v>216</v>
      </c>
      <c r="C215" s="28">
        <v>554.9</v>
      </c>
      <c r="D215" s="28" t="s">
        <v>1410</v>
      </c>
      <c r="E215" s="28">
        <v>260.2</v>
      </c>
      <c r="F215" s="28">
        <v>102.78</v>
      </c>
      <c r="G215" s="28" t="s">
        <v>2586</v>
      </c>
      <c r="H215" s="28">
        <v>315</v>
      </c>
      <c r="I215" s="30">
        <f t="shared" si="22"/>
        <v>-5.0401812601851021E-3</v>
      </c>
      <c r="J215" s="30">
        <f t="shared" si="23"/>
        <v>1.2695128787485526E-2</v>
      </c>
      <c r="K215" s="30">
        <f t="shared" si="24"/>
        <v>-1.3142564906882651E-2</v>
      </c>
      <c r="L215" s="30">
        <f t="shared" si="25"/>
        <v>2.1364184092993656E-2</v>
      </c>
      <c r="M215" s="30">
        <f t="shared" si="26"/>
        <v>-7.850018505927172E-3</v>
      </c>
      <c r="N215" s="30">
        <f t="shared" si="27"/>
        <v>3.6272893170253957E-2</v>
      </c>
      <c r="O215" s="30">
        <f t="shared" si="28"/>
        <v>-4.2877024356391881E-2</v>
      </c>
    </row>
    <row r="216" spans="1:15" s="30" customFormat="1">
      <c r="A216" s="27">
        <v>45799</v>
      </c>
      <c r="B216" s="28" t="s">
        <v>217</v>
      </c>
      <c r="C216" s="28">
        <v>566.4</v>
      </c>
      <c r="D216" s="28" t="s">
        <v>1411</v>
      </c>
      <c r="E216" s="28">
        <v>262.10000000000002</v>
      </c>
      <c r="F216" s="28">
        <v>100.68</v>
      </c>
      <c r="G216" s="28" t="s">
        <v>2587</v>
      </c>
      <c r="H216" s="28">
        <v>302.75</v>
      </c>
      <c r="I216" s="30">
        <f t="shared" si="22"/>
        <v>-7.064410596046255E-3</v>
      </c>
      <c r="J216" s="30">
        <f t="shared" si="23"/>
        <v>2.0512625047654418E-2</v>
      </c>
      <c r="K216" s="30">
        <f t="shared" si="24"/>
        <v>-1.9475098074835218E-2</v>
      </c>
      <c r="L216" s="30">
        <f t="shared" si="25"/>
        <v>7.2755442509558959E-3</v>
      </c>
      <c r="M216" s="30">
        <f t="shared" si="26"/>
        <v>-2.06436112969684E-2</v>
      </c>
      <c r="N216" s="30">
        <f t="shared" si="27"/>
        <v>2.7215435165889876E-3</v>
      </c>
      <c r="O216" s="30">
        <f t="shared" si="28"/>
        <v>-3.9665256392431403E-2</v>
      </c>
    </row>
    <row r="217" spans="1:15" s="30" customFormat="1">
      <c r="A217" s="27">
        <v>45798</v>
      </c>
      <c r="B217" s="28" t="s">
        <v>218</v>
      </c>
      <c r="C217" s="28">
        <v>548.6</v>
      </c>
      <c r="D217" s="28" t="s">
        <v>1412</v>
      </c>
      <c r="E217" s="28">
        <v>264.7</v>
      </c>
      <c r="F217" s="28">
        <v>100.97</v>
      </c>
      <c r="G217" s="28" t="s">
        <v>2588</v>
      </c>
      <c r="H217" s="28">
        <v>298.3</v>
      </c>
      <c r="I217" s="30">
        <f t="shared" si="22"/>
        <v>5.7247098835607121E-3</v>
      </c>
      <c r="J217" s="30">
        <f t="shared" si="23"/>
        <v>-3.1930963876007044E-2</v>
      </c>
      <c r="K217" s="30">
        <f t="shared" si="24"/>
        <v>7.6787146344657253E-3</v>
      </c>
      <c r="L217" s="30">
        <f t="shared" si="25"/>
        <v>9.8709989036948713E-3</v>
      </c>
      <c r="M217" s="30">
        <f t="shared" si="26"/>
        <v>2.876272749114376E-3</v>
      </c>
      <c r="N217" s="30">
        <f t="shared" si="27"/>
        <v>-1.1932347786823318E-3</v>
      </c>
      <c r="O217" s="30">
        <f t="shared" si="28"/>
        <v>-1.4807690912498816E-2</v>
      </c>
    </row>
    <row r="218" spans="1:15" s="30" customFormat="1">
      <c r="A218" s="27">
        <v>45797</v>
      </c>
      <c r="B218" s="28" t="s">
        <v>219</v>
      </c>
      <c r="C218" s="28">
        <v>557.1</v>
      </c>
      <c r="D218" s="28" t="s">
        <v>1413</v>
      </c>
      <c r="E218" s="28">
        <v>263.7</v>
      </c>
      <c r="F218" s="28">
        <v>101.15</v>
      </c>
      <c r="G218" s="28" t="s">
        <v>2589</v>
      </c>
      <c r="H218" s="28">
        <v>295.95</v>
      </c>
      <c r="I218" s="30">
        <f t="shared" si="22"/>
        <v>-7.2916989741136432E-3</v>
      </c>
      <c r="J218" s="30">
        <f t="shared" si="23"/>
        <v>1.5375178523267004E-2</v>
      </c>
      <c r="K218" s="30">
        <f t="shared" si="24"/>
        <v>-6.5428839980198952E-3</v>
      </c>
      <c r="L218" s="30">
        <f t="shared" si="25"/>
        <v>-3.7850158738145304E-3</v>
      </c>
      <c r="M218" s="30">
        <f t="shared" si="26"/>
        <v>1.7811205975248169E-3</v>
      </c>
      <c r="N218" s="30">
        <f t="shared" si="27"/>
        <v>-9.1670492689853943E-4</v>
      </c>
      <c r="O218" s="30">
        <f t="shared" si="28"/>
        <v>-7.9091703839688342E-3</v>
      </c>
    </row>
    <row r="219" spans="1:15" s="30" customFormat="1">
      <c r="A219" s="27">
        <v>45796</v>
      </c>
      <c r="B219" s="28" t="s">
        <v>220</v>
      </c>
      <c r="C219" s="28">
        <v>563.35</v>
      </c>
      <c r="D219" s="28" t="s">
        <v>1414</v>
      </c>
      <c r="E219" s="28">
        <v>264.2</v>
      </c>
      <c r="F219" s="28">
        <v>102.88</v>
      </c>
      <c r="G219" s="28" t="s">
        <v>2590</v>
      </c>
      <c r="H219" s="28">
        <v>290.7</v>
      </c>
      <c r="I219" s="30">
        <f t="shared" si="22"/>
        <v>1.547469825152456E-2</v>
      </c>
      <c r="J219" s="30">
        <f t="shared" si="23"/>
        <v>1.1156347583405142E-2</v>
      </c>
      <c r="K219" s="30">
        <f t="shared" si="24"/>
        <v>2.3414561702727273E-2</v>
      </c>
      <c r="L219" s="30">
        <f t="shared" si="25"/>
        <v>1.8942987289839184E-3</v>
      </c>
      <c r="M219" s="30">
        <f t="shared" si="26"/>
        <v>1.69586968755547E-2</v>
      </c>
      <c r="N219" s="30">
        <f t="shared" si="27"/>
        <v>4.6028086252817716E-3</v>
      </c>
      <c r="O219" s="30">
        <f t="shared" si="28"/>
        <v>-1.7898713571903813E-2</v>
      </c>
    </row>
    <row r="220" spans="1:15" s="30" customFormat="1">
      <c r="A220" s="27">
        <v>45793</v>
      </c>
      <c r="B220" s="28" t="s">
        <v>221</v>
      </c>
      <c r="C220" s="28">
        <v>576.1</v>
      </c>
      <c r="D220" s="28" t="s">
        <v>1415</v>
      </c>
      <c r="E220" s="28">
        <v>263.60000000000002</v>
      </c>
      <c r="F220" s="28">
        <v>102.03</v>
      </c>
      <c r="G220" s="28" t="s">
        <v>2591</v>
      </c>
      <c r="H220" s="28">
        <v>273.35000000000002</v>
      </c>
      <c r="I220" s="30">
        <f t="shared" si="22"/>
        <v>9.4771253614411143E-3</v>
      </c>
      <c r="J220" s="30">
        <f t="shared" si="23"/>
        <v>2.2380152128162516E-2</v>
      </c>
      <c r="K220" s="30">
        <f t="shared" si="24"/>
        <v>-8.5704434534831352E-3</v>
      </c>
      <c r="L220" s="30">
        <f t="shared" si="25"/>
        <v>-2.2735894598726329E-3</v>
      </c>
      <c r="M220" s="30">
        <f t="shared" si="26"/>
        <v>-8.2963728020953899E-3</v>
      </c>
      <c r="N220" s="30">
        <f t="shared" si="27"/>
        <v>-4.5472268227495696E-3</v>
      </c>
      <c r="O220" s="30">
        <f t="shared" si="28"/>
        <v>-6.1538782223821843E-2</v>
      </c>
    </row>
    <row r="221" spans="1:15" s="30" customFormat="1">
      <c r="A221" s="27">
        <v>45792</v>
      </c>
      <c r="B221" s="28" t="s">
        <v>222</v>
      </c>
      <c r="C221" s="28">
        <v>572.25</v>
      </c>
      <c r="D221" s="28" t="s">
        <v>1416</v>
      </c>
      <c r="E221" s="28">
        <v>266.35000000000002</v>
      </c>
      <c r="F221" s="28">
        <v>100.84</v>
      </c>
      <c r="G221" s="28" t="s">
        <v>2592</v>
      </c>
      <c r="H221" s="28">
        <v>267.55</v>
      </c>
      <c r="I221" s="30">
        <f t="shared" si="22"/>
        <v>-1.0120722663385618E-2</v>
      </c>
      <c r="J221" s="30">
        <f t="shared" si="23"/>
        <v>-6.705297905661425E-3</v>
      </c>
      <c r="K221" s="30">
        <f t="shared" si="24"/>
        <v>-2.3917285923923459E-2</v>
      </c>
      <c r="L221" s="30">
        <f t="shared" si="25"/>
        <v>1.0378430734656011E-2</v>
      </c>
      <c r="M221" s="30">
        <f t="shared" si="26"/>
        <v>-1.1731785367494689E-2</v>
      </c>
      <c r="N221" s="30">
        <f t="shared" si="27"/>
        <v>-3.4290689185108671E-2</v>
      </c>
      <c r="O221" s="30">
        <f t="shared" si="28"/>
        <v>-2.1446560583694645E-2</v>
      </c>
    </row>
    <row r="222" spans="1:15" s="30" customFormat="1">
      <c r="A222" s="27">
        <v>45791</v>
      </c>
      <c r="B222" s="28" t="s">
        <v>223</v>
      </c>
      <c r="C222" s="28">
        <v>552.95000000000005</v>
      </c>
      <c r="D222" s="28" t="s">
        <v>1417</v>
      </c>
      <c r="E222" s="28">
        <v>260.2</v>
      </c>
      <c r="F222" s="28">
        <v>100.96</v>
      </c>
      <c r="G222" s="28" t="s">
        <v>2593</v>
      </c>
      <c r="H222" s="28">
        <v>268.2</v>
      </c>
      <c r="I222" s="30">
        <f t="shared" si="22"/>
        <v>-2.0641641773955749E-2</v>
      </c>
      <c r="J222" s="30">
        <f t="shared" si="23"/>
        <v>-3.4308377311307016E-2</v>
      </c>
      <c r="K222" s="30">
        <f t="shared" si="24"/>
        <v>-1.8853779855504051E-2</v>
      </c>
      <c r="L222" s="30">
        <f t="shared" si="25"/>
        <v>-2.3360667284603322E-2</v>
      </c>
      <c r="M222" s="30">
        <f t="shared" si="26"/>
        <v>1.1892964731839602E-3</v>
      </c>
      <c r="N222" s="30">
        <f t="shared" si="27"/>
        <v>1.0442539855214122E-2</v>
      </c>
      <c r="O222" s="30">
        <f t="shared" si="28"/>
        <v>2.4265060902644753E-3</v>
      </c>
    </row>
    <row r="223" spans="1:15" s="30" customFormat="1">
      <c r="A223" s="27">
        <v>45790</v>
      </c>
      <c r="B223" s="28" t="s">
        <v>224</v>
      </c>
      <c r="C223" s="28">
        <v>542.9</v>
      </c>
      <c r="D223" s="28" t="s">
        <v>1418</v>
      </c>
      <c r="E223" s="28">
        <v>260.3</v>
      </c>
      <c r="F223" s="28">
        <v>104.89</v>
      </c>
      <c r="G223" s="28" t="s">
        <v>2594</v>
      </c>
      <c r="H223" s="28">
        <v>267.60000000000002</v>
      </c>
      <c r="I223" s="30">
        <f t="shared" si="22"/>
        <v>1.8364274799775964E-2</v>
      </c>
      <c r="J223" s="30">
        <f t="shared" si="23"/>
        <v>-1.8342440609963664E-2</v>
      </c>
      <c r="K223" s="30">
        <f t="shared" si="24"/>
        <v>5.365471466713229E-3</v>
      </c>
      <c r="L223" s="30">
        <f t="shared" si="25"/>
        <v>3.8424592211484527E-4</v>
      </c>
      <c r="M223" s="30">
        <f t="shared" si="26"/>
        <v>3.8187783180609502E-2</v>
      </c>
      <c r="N223" s="30">
        <f t="shared" si="27"/>
        <v>-8.1157215180250319E-3</v>
      </c>
      <c r="O223" s="30">
        <f t="shared" si="28"/>
        <v>-2.2396425935046868E-3</v>
      </c>
    </row>
    <row r="224" spans="1:15" s="30" customFormat="1">
      <c r="A224" s="27">
        <v>45789</v>
      </c>
      <c r="B224" s="28" t="s">
        <v>225</v>
      </c>
      <c r="C224" s="28">
        <v>540.95000000000005</v>
      </c>
      <c r="D224" s="28" t="s">
        <v>1419</v>
      </c>
      <c r="E224" s="28">
        <v>260.14999999999998</v>
      </c>
      <c r="F224" s="28">
        <v>101.56</v>
      </c>
      <c r="G224" s="28" t="s">
        <v>2595</v>
      </c>
      <c r="H224" s="28">
        <v>262.2</v>
      </c>
      <c r="I224" s="30">
        <f t="shared" si="22"/>
        <v>1.3587049437924697E-2</v>
      </c>
      <c r="J224" s="30">
        <f t="shared" si="23"/>
        <v>-3.5982877778228776E-3</v>
      </c>
      <c r="K224" s="30">
        <f t="shared" si="24"/>
        <v>-6.431867403750278E-3</v>
      </c>
      <c r="L224" s="30">
        <f t="shared" si="25"/>
        <v>-5.7642426420732743E-4</v>
      </c>
      <c r="M224" s="30">
        <f t="shared" si="26"/>
        <v>-3.2262425137034777E-2</v>
      </c>
      <c r="N224" s="30">
        <f t="shared" si="27"/>
        <v>4.8088024886654762E-3</v>
      </c>
      <c r="O224" s="30">
        <f t="shared" si="28"/>
        <v>-2.0385756924474089E-2</v>
      </c>
    </row>
    <row r="225" spans="1:15" s="30" customFormat="1">
      <c r="A225" s="27">
        <v>45786</v>
      </c>
      <c r="B225" s="28" t="s">
        <v>226</v>
      </c>
      <c r="C225" s="28">
        <v>536.6</v>
      </c>
      <c r="D225" s="28" t="s">
        <v>1420</v>
      </c>
      <c r="E225" s="28">
        <v>257.75</v>
      </c>
      <c r="F225" s="28">
        <v>96.69</v>
      </c>
      <c r="G225" s="28" t="s">
        <v>2596</v>
      </c>
      <c r="H225" s="28">
        <v>260.3</v>
      </c>
      <c r="I225" s="30">
        <f t="shared" si="22"/>
        <v>-2.4399835898396557E-2</v>
      </c>
      <c r="J225" s="30">
        <f t="shared" si="23"/>
        <v>-8.0739151420586644E-3</v>
      </c>
      <c r="K225" s="30">
        <f t="shared" si="24"/>
        <v>-3.4897180108093243E-2</v>
      </c>
      <c r="L225" s="30">
        <f t="shared" si="25"/>
        <v>-9.2682648392431333E-3</v>
      </c>
      <c r="M225" s="30">
        <f t="shared" si="26"/>
        <v>-4.9139772341021591E-2</v>
      </c>
      <c r="N225" s="30">
        <f t="shared" si="27"/>
        <v>-2.0890597562029874E-2</v>
      </c>
      <c r="O225" s="30">
        <f t="shared" si="28"/>
        <v>-7.2727593290796968E-3</v>
      </c>
    </row>
    <row r="226" spans="1:15" s="30" customFormat="1">
      <c r="A226" s="27">
        <v>45785</v>
      </c>
      <c r="B226" s="28" t="s">
        <v>227</v>
      </c>
      <c r="C226" s="28">
        <v>538.15</v>
      </c>
      <c r="D226" s="28" t="s">
        <v>1421</v>
      </c>
      <c r="E226" s="28">
        <v>252.35</v>
      </c>
      <c r="F226" s="28">
        <v>98.1</v>
      </c>
      <c r="G226" s="28" t="s">
        <v>2597</v>
      </c>
      <c r="H226" s="28">
        <v>261.35000000000002</v>
      </c>
      <c r="I226" s="30">
        <f t="shared" si="22"/>
        <v>1.3037244904283269E-3</v>
      </c>
      <c r="J226" s="30">
        <f t="shared" si="23"/>
        <v>2.8843937187833417E-3</v>
      </c>
      <c r="K226" s="30">
        <f t="shared" si="24"/>
        <v>1.6954421614137096E-2</v>
      </c>
      <c r="L226" s="30">
        <f t="shared" si="25"/>
        <v>-2.1173110110797932E-2</v>
      </c>
      <c r="M226" s="30">
        <f t="shared" si="26"/>
        <v>1.4477382075861241E-2</v>
      </c>
      <c r="N226" s="30">
        <f t="shared" si="27"/>
        <v>3.0278350836767907E-3</v>
      </c>
      <c r="O226" s="30">
        <f t="shared" si="28"/>
        <v>4.0256931584111257E-3</v>
      </c>
    </row>
    <row r="227" spans="1:15" s="30" customFormat="1">
      <c r="A227" s="27">
        <v>45784</v>
      </c>
      <c r="B227" s="28" t="s">
        <v>228</v>
      </c>
      <c r="C227" s="28">
        <v>541.35</v>
      </c>
      <c r="D227" s="28" t="s">
        <v>1422</v>
      </c>
      <c r="E227" s="28">
        <v>254.85</v>
      </c>
      <c r="F227" s="28">
        <v>99.98</v>
      </c>
      <c r="G227" s="28" t="s">
        <v>2598</v>
      </c>
      <c r="H227" s="28">
        <v>266.14999999999998</v>
      </c>
      <c r="I227" s="30">
        <f t="shared" si="22"/>
        <v>1.3587458590577398E-2</v>
      </c>
      <c r="J227" s="30">
        <f t="shared" si="23"/>
        <v>5.9286880466001652E-3</v>
      </c>
      <c r="K227" s="30">
        <f t="shared" si="24"/>
        <v>1.4073887856696684E-2</v>
      </c>
      <c r="L227" s="30">
        <f t="shared" si="25"/>
        <v>9.8581239997794241E-3</v>
      </c>
      <c r="M227" s="30">
        <f t="shared" si="26"/>
        <v>1.8982799414106917E-2</v>
      </c>
      <c r="N227" s="30">
        <f t="shared" si="27"/>
        <v>1.0353196963189482E-2</v>
      </c>
      <c r="O227" s="30">
        <f t="shared" si="28"/>
        <v>1.8199554459835416E-2</v>
      </c>
    </row>
    <row r="228" spans="1:15" s="30" customFormat="1">
      <c r="A228" s="27">
        <v>45783</v>
      </c>
      <c r="B228" s="28" t="s">
        <v>229</v>
      </c>
      <c r="C228" s="28">
        <v>543.25</v>
      </c>
      <c r="D228" s="28" t="s">
        <v>1423</v>
      </c>
      <c r="E228" s="28">
        <v>253.35</v>
      </c>
      <c r="F228" s="28">
        <v>100.13</v>
      </c>
      <c r="G228" s="28" t="s">
        <v>2599</v>
      </c>
      <c r="H228" s="28">
        <v>264.85000000000002</v>
      </c>
      <c r="I228" s="30">
        <f t="shared" si="22"/>
        <v>3.5314374344596562E-2</v>
      </c>
      <c r="J228" s="30">
        <f t="shared" si="23"/>
        <v>3.5035993796316495E-3</v>
      </c>
      <c r="K228" s="30">
        <f t="shared" si="24"/>
        <v>-9.2232668593955642E-3</v>
      </c>
      <c r="L228" s="30">
        <f t="shared" si="25"/>
        <v>-5.9032048641319817E-3</v>
      </c>
      <c r="M228" s="30">
        <f t="shared" si="26"/>
        <v>1.4991757342871198E-3</v>
      </c>
      <c r="N228" s="30">
        <f t="shared" si="27"/>
        <v>6.2523506515859278E-3</v>
      </c>
      <c r="O228" s="30">
        <f t="shared" si="28"/>
        <v>-4.8964316282304968E-3</v>
      </c>
    </row>
    <row r="229" spans="1:15" s="30" customFormat="1">
      <c r="A229" s="27">
        <v>45782</v>
      </c>
      <c r="B229" s="28" t="s">
        <v>230</v>
      </c>
      <c r="C229" s="28">
        <v>554.1</v>
      </c>
      <c r="D229" s="28" t="s">
        <v>1424</v>
      </c>
      <c r="E229" s="28">
        <v>255.4</v>
      </c>
      <c r="F229" s="28">
        <v>103.37</v>
      </c>
      <c r="G229" s="28" t="s">
        <v>2600</v>
      </c>
      <c r="H229" s="28">
        <v>278.64999999999998</v>
      </c>
      <c r="I229" s="30">
        <f t="shared" si="22"/>
        <v>7.7859875502798584E-3</v>
      </c>
      <c r="J229" s="30">
        <f t="shared" si="23"/>
        <v>1.9775556736764951E-2</v>
      </c>
      <c r="K229" s="30">
        <f t="shared" si="24"/>
        <v>2.6215685426462472E-2</v>
      </c>
      <c r="L229" s="30">
        <f t="shared" si="25"/>
        <v>8.0590116765202544E-3</v>
      </c>
      <c r="M229" s="30">
        <f t="shared" si="26"/>
        <v>3.184544286068202E-2</v>
      </c>
      <c r="N229" s="30">
        <f t="shared" si="27"/>
        <v>4.4787477339818544E-3</v>
      </c>
      <c r="O229" s="30">
        <f t="shared" si="28"/>
        <v>5.079288602500958E-2</v>
      </c>
    </row>
    <row r="230" spans="1:15" s="30" customFormat="1">
      <c r="A230" s="27">
        <v>45779</v>
      </c>
      <c r="B230" s="28" t="s">
        <v>231</v>
      </c>
      <c r="C230" s="28">
        <v>543.6</v>
      </c>
      <c r="D230" s="28" t="s">
        <v>1425</v>
      </c>
      <c r="E230" s="28">
        <v>254.75</v>
      </c>
      <c r="F230" s="28">
        <v>102.57</v>
      </c>
      <c r="G230" s="28" t="s">
        <v>2601</v>
      </c>
      <c r="H230" s="28">
        <v>284.60000000000002</v>
      </c>
      <c r="I230" s="30">
        <f t="shared" si="22"/>
        <v>-1.1182983235841782E-2</v>
      </c>
      <c r="J230" s="30">
        <f t="shared" si="23"/>
        <v>-1.9131493596315344E-2</v>
      </c>
      <c r="K230" s="30">
        <f t="shared" si="24"/>
        <v>-8.763591720292294E-3</v>
      </c>
      <c r="L230" s="30">
        <f t="shared" si="25"/>
        <v>-2.5482714956047057E-3</v>
      </c>
      <c r="M230" s="30">
        <f t="shared" si="26"/>
        <v>-7.7692922610738385E-3</v>
      </c>
      <c r="N230" s="30">
        <f t="shared" si="27"/>
        <v>-1.818153569079594E-2</v>
      </c>
      <c r="O230" s="30">
        <f t="shared" si="28"/>
        <v>2.1128171640206885E-2</v>
      </c>
    </row>
    <row r="231" spans="1:15" s="30" customFormat="1">
      <c r="A231" s="27">
        <v>45777</v>
      </c>
      <c r="B231" s="28" t="s">
        <v>232</v>
      </c>
      <c r="C231" s="28">
        <v>544.20000000000005</v>
      </c>
      <c r="D231" s="28" t="s">
        <v>1426</v>
      </c>
      <c r="E231" s="28">
        <v>257.17</v>
      </c>
      <c r="F231" s="28">
        <v>104.99</v>
      </c>
      <c r="G231" s="28" t="s">
        <v>2602</v>
      </c>
      <c r="H231" s="28">
        <v>289.45999999999998</v>
      </c>
      <c r="I231" s="30">
        <f t="shared" si="22"/>
        <v>6.5763860219993087E-3</v>
      </c>
      <c r="J231" s="30">
        <f t="shared" si="23"/>
        <v>1.1031440721573898E-3</v>
      </c>
      <c r="K231" s="30">
        <f t="shared" si="24"/>
        <v>-1.3906446251748307E-2</v>
      </c>
      <c r="L231" s="30">
        <f t="shared" si="25"/>
        <v>9.4546727110684931E-3</v>
      </c>
      <c r="M231" s="30">
        <f t="shared" si="26"/>
        <v>2.3319615207530224E-2</v>
      </c>
      <c r="N231" s="30">
        <f t="shared" si="27"/>
        <v>1.2456007288101133E-3</v>
      </c>
      <c r="O231" s="30">
        <f t="shared" si="28"/>
        <v>1.6932432553706269E-2</v>
      </c>
    </row>
    <row r="232" spans="1:15" s="30" customFormat="1">
      <c r="A232" s="27">
        <v>45776</v>
      </c>
      <c r="B232" s="28" t="s">
        <v>233</v>
      </c>
      <c r="C232" s="28">
        <v>545.95000000000005</v>
      </c>
      <c r="D232" s="28" t="s">
        <v>1427</v>
      </c>
      <c r="E232" s="28">
        <v>266.91000000000003</v>
      </c>
      <c r="F232" s="28">
        <v>107.66</v>
      </c>
      <c r="G232" s="28" t="s">
        <v>2603</v>
      </c>
      <c r="H232" s="28">
        <v>290.48</v>
      </c>
      <c r="I232" s="30">
        <f t="shared" si="22"/>
        <v>1.04167608582558E-2</v>
      </c>
      <c r="J232" s="30">
        <f t="shared" si="23"/>
        <v>3.2105701109294039E-3</v>
      </c>
      <c r="K232" s="30">
        <f t="shared" si="24"/>
        <v>2.0109345688362906E-2</v>
      </c>
      <c r="L232" s="30">
        <f t="shared" si="25"/>
        <v>3.7174178110883117E-2</v>
      </c>
      <c r="M232" s="30">
        <f t="shared" si="26"/>
        <v>2.511300560596131E-2</v>
      </c>
      <c r="N232" s="30">
        <f t="shared" si="27"/>
        <v>2.6115769932089049E-2</v>
      </c>
      <c r="O232" s="30">
        <f t="shared" si="28"/>
        <v>3.5176088966218867E-3</v>
      </c>
    </row>
    <row r="233" spans="1:15" s="30" customFormat="1">
      <c r="A233" s="27">
        <v>45775</v>
      </c>
      <c r="B233" s="28" t="s">
        <v>234</v>
      </c>
      <c r="C233" s="28">
        <v>553.54999999999995</v>
      </c>
      <c r="D233" s="28" t="s">
        <v>1428</v>
      </c>
      <c r="E233" s="28">
        <v>261.70999999999998</v>
      </c>
      <c r="F233" s="28">
        <v>108.05</v>
      </c>
      <c r="G233" s="28" t="s">
        <v>2604</v>
      </c>
      <c r="H233" s="28">
        <v>286.83999999999997</v>
      </c>
      <c r="I233" s="30">
        <f t="shared" si="22"/>
        <v>4.4867742885547893E-4</v>
      </c>
      <c r="J233" s="30">
        <f t="shared" si="23"/>
        <v>1.382468584540042E-2</v>
      </c>
      <c r="K233" s="30">
        <f t="shared" si="24"/>
        <v>3.5630981414710191E-3</v>
      </c>
      <c r="L233" s="30">
        <f t="shared" si="25"/>
        <v>-1.967450242595584E-2</v>
      </c>
      <c r="M233" s="30">
        <f t="shared" si="26"/>
        <v>3.6159698200836908E-3</v>
      </c>
      <c r="N233" s="30">
        <f t="shared" si="27"/>
        <v>5.4845515702577003E-3</v>
      </c>
      <c r="O233" s="30">
        <f t="shared" si="28"/>
        <v>-1.2610158091706403E-2</v>
      </c>
    </row>
    <row r="234" spans="1:15" s="30" customFormat="1">
      <c r="A234" s="27">
        <v>45772</v>
      </c>
      <c r="B234" s="28" t="s">
        <v>235</v>
      </c>
      <c r="C234" s="28">
        <v>552.5</v>
      </c>
      <c r="D234" s="28" t="s">
        <v>1429</v>
      </c>
      <c r="E234" s="28">
        <v>262.20999999999998</v>
      </c>
      <c r="F234" s="28">
        <v>109.57</v>
      </c>
      <c r="G234" s="28" t="s">
        <v>2605</v>
      </c>
      <c r="H234" s="28">
        <v>283.2</v>
      </c>
      <c r="I234" s="30">
        <f t="shared" si="22"/>
        <v>-8.4361039237191553E-3</v>
      </c>
      <c r="J234" s="30">
        <f t="shared" si="23"/>
        <v>-1.8986489135678893E-3</v>
      </c>
      <c r="K234" s="30">
        <f t="shared" si="24"/>
        <v>7.4364627880709536E-3</v>
      </c>
      <c r="L234" s="30">
        <f t="shared" si="25"/>
        <v>1.9086889288270207E-3</v>
      </c>
      <c r="M234" s="30">
        <f t="shared" si="26"/>
        <v>1.3969531464406836E-2</v>
      </c>
      <c r="N234" s="30">
        <f t="shared" si="27"/>
        <v>8.411136840407393E-4</v>
      </c>
      <c r="O234" s="30">
        <f t="shared" si="28"/>
        <v>-1.277120719480938E-2</v>
      </c>
    </row>
    <row r="235" spans="1:15" s="30" customFormat="1">
      <c r="A235" s="27">
        <v>45771</v>
      </c>
      <c r="B235" s="28" t="s">
        <v>236</v>
      </c>
      <c r="C235" s="28">
        <v>584.95000000000005</v>
      </c>
      <c r="D235" s="28" t="s">
        <v>1430</v>
      </c>
      <c r="E235" s="28">
        <v>265.89999999999998</v>
      </c>
      <c r="F235" s="28">
        <v>114.24</v>
      </c>
      <c r="G235" s="28" t="s">
        <v>2606</v>
      </c>
      <c r="H235" s="28">
        <v>293.56</v>
      </c>
      <c r="I235" s="30">
        <f t="shared" si="22"/>
        <v>1.3398893265848213E-2</v>
      </c>
      <c r="J235" s="30">
        <f t="shared" si="23"/>
        <v>5.7072940101702774E-2</v>
      </c>
      <c r="K235" s="30">
        <f t="shared" si="24"/>
        <v>2.9446313396770573E-2</v>
      </c>
      <c r="L235" s="30">
        <f t="shared" si="25"/>
        <v>1.3974588821317089E-2</v>
      </c>
      <c r="M235" s="30">
        <f t="shared" si="26"/>
        <v>4.1737884173972284E-2</v>
      </c>
      <c r="N235" s="30">
        <f t="shared" si="27"/>
        <v>-1.7442877963637846E-2</v>
      </c>
      <c r="O235" s="30">
        <f t="shared" si="28"/>
        <v>3.5928685857297395E-2</v>
      </c>
    </row>
    <row r="236" spans="1:15" s="30" customFormat="1">
      <c r="A236" s="27">
        <v>45770</v>
      </c>
      <c r="B236" s="28" t="s">
        <v>237</v>
      </c>
      <c r="C236" s="28">
        <v>589.1</v>
      </c>
      <c r="D236" s="28" t="s">
        <v>1431</v>
      </c>
      <c r="E236" s="28">
        <v>267.95</v>
      </c>
      <c r="F236" s="28">
        <v>115.67</v>
      </c>
      <c r="G236" s="28" t="s">
        <v>2607</v>
      </c>
      <c r="H236" s="28">
        <v>300.36</v>
      </c>
      <c r="I236" s="30">
        <f t="shared" si="22"/>
        <v>-4.5958393043744111E-3</v>
      </c>
      <c r="J236" s="30">
        <f t="shared" si="23"/>
        <v>7.0695750340311727E-3</v>
      </c>
      <c r="K236" s="30">
        <f t="shared" si="24"/>
        <v>1.4094868751347144E-2</v>
      </c>
      <c r="L236" s="30">
        <f t="shared" si="25"/>
        <v>7.680097691885217E-3</v>
      </c>
      <c r="M236" s="30">
        <f t="shared" si="26"/>
        <v>1.2439810716035971E-2</v>
      </c>
      <c r="N236" s="30">
        <f t="shared" si="27"/>
        <v>-2.6616606869530907E-2</v>
      </c>
      <c r="O236" s="30">
        <f t="shared" si="28"/>
        <v>2.2899707554821101E-2</v>
      </c>
    </row>
    <row r="237" spans="1:15" s="30" customFormat="1">
      <c r="A237" s="27">
        <v>45769</v>
      </c>
      <c r="B237" s="28" t="s">
        <v>238</v>
      </c>
      <c r="C237" s="28">
        <v>579.20000000000005</v>
      </c>
      <c r="D237" s="28" t="s">
        <v>1432</v>
      </c>
      <c r="E237" s="28">
        <v>269.95</v>
      </c>
      <c r="F237" s="28">
        <v>113.28</v>
      </c>
      <c r="G237" s="28" t="s">
        <v>2608</v>
      </c>
      <c r="H237" s="28">
        <v>301.2</v>
      </c>
      <c r="I237" s="30">
        <f t="shared" si="22"/>
        <v>-8.6385667499836172E-3</v>
      </c>
      <c r="J237" s="30">
        <f t="shared" si="23"/>
        <v>-1.6948107456134957E-2</v>
      </c>
      <c r="K237" s="30">
        <f t="shared" si="24"/>
        <v>-7.9338943154174061E-3</v>
      </c>
      <c r="L237" s="30">
        <f t="shared" si="25"/>
        <v>7.436360723436692E-3</v>
      </c>
      <c r="M237" s="30">
        <f t="shared" si="26"/>
        <v>-2.0878679361900482E-2</v>
      </c>
      <c r="N237" s="30">
        <f t="shared" si="27"/>
        <v>1.9116714842036472E-2</v>
      </c>
      <c r="O237" s="30">
        <f t="shared" si="28"/>
        <v>2.7927406940553511E-3</v>
      </c>
    </row>
    <row r="238" spans="1:15" s="30" customFormat="1">
      <c r="A238" s="27">
        <v>45768</v>
      </c>
      <c r="B238" s="28" t="s">
        <v>239</v>
      </c>
      <c r="C238" s="28">
        <v>553.35</v>
      </c>
      <c r="D238" s="28" t="s">
        <v>1433</v>
      </c>
      <c r="E238" s="28">
        <v>265.68</v>
      </c>
      <c r="F238" s="28">
        <v>113.82</v>
      </c>
      <c r="G238" s="28" t="s">
        <v>2609</v>
      </c>
      <c r="H238" s="28">
        <v>307.61</v>
      </c>
      <c r="I238" s="30">
        <f t="shared" si="22"/>
        <v>5.3311588229147042E-3</v>
      </c>
      <c r="J238" s="30">
        <f t="shared" si="23"/>
        <v>-4.5657128360712292E-2</v>
      </c>
      <c r="K238" s="30">
        <f t="shared" si="24"/>
        <v>-1.5620406101097566E-2</v>
      </c>
      <c r="L238" s="30">
        <f t="shared" si="25"/>
        <v>-1.5944179595804828E-2</v>
      </c>
      <c r="M238" s="30">
        <f t="shared" si="26"/>
        <v>4.7556232295682226E-3</v>
      </c>
      <c r="N238" s="30">
        <f t="shared" si="27"/>
        <v>1.3208524288700857E-3</v>
      </c>
      <c r="O238" s="30">
        <f t="shared" si="28"/>
        <v>2.1058250930245888E-2</v>
      </c>
    </row>
    <row r="239" spans="1:15" s="30" customFormat="1">
      <c r="A239" s="27">
        <v>45764</v>
      </c>
      <c r="B239" s="28" t="s">
        <v>240</v>
      </c>
      <c r="C239" s="28">
        <v>543.6</v>
      </c>
      <c r="D239" s="28" t="s">
        <v>1434</v>
      </c>
      <c r="E239" s="28">
        <v>258.12</v>
      </c>
      <c r="F239" s="28">
        <v>112.2</v>
      </c>
      <c r="G239" s="28" t="s">
        <v>2610</v>
      </c>
      <c r="H239" s="28">
        <v>291.14999999999998</v>
      </c>
      <c r="I239" s="30">
        <f t="shared" si="22"/>
        <v>9.322463656830083E-3</v>
      </c>
      <c r="J239" s="30">
        <f t="shared" si="23"/>
        <v>-1.7777030433805723E-2</v>
      </c>
      <c r="K239" s="30">
        <f t="shared" si="24"/>
        <v>-8.2220401520164202E-3</v>
      </c>
      <c r="L239" s="30">
        <f t="shared" si="25"/>
        <v>-2.8867984000852127E-2</v>
      </c>
      <c r="M239" s="30">
        <f t="shared" si="26"/>
        <v>-1.4335260086381862E-2</v>
      </c>
      <c r="N239" s="30">
        <f t="shared" si="27"/>
        <v>2.7509545388427915E-3</v>
      </c>
      <c r="O239" s="30">
        <f t="shared" si="28"/>
        <v>-5.4994148572855422E-2</v>
      </c>
    </row>
    <row r="240" spans="1:15" s="30" customFormat="1">
      <c r="A240" s="27">
        <v>45763</v>
      </c>
      <c r="B240" s="28" t="s">
        <v>241</v>
      </c>
      <c r="C240" s="28">
        <v>542.04999999999995</v>
      </c>
      <c r="D240" s="28" t="s">
        <v>1435</v>
      </c>
      <c r="E240" s="28">
        <v>259.87</v>
      </c>
      <c r="F240" s="28">
        <v>112.35</v>
      </c>
      <c r="G240" s="28" t="s">
        <v>2611</v>
      </c>
      <c r="H240" s="28">
        <v>282.70999999999998</v>
      </c>
      <c r="I240" s="30">
        <f t="shared" si="22"/>
        <v>-3.2468878721481826E-3</v>
      </c>
      <c r="J240" s="30">
        <f t="shared" si="23"/>
        <v>-2.8554341696880063E-3</v>
      </c>
      <c r="K240" s="30">
        <f t="shared" si="24"/>
        <v>6.0263282254355574E-3</v>
      </c>
      <c r="L240" s="30">
        <f t="shared" si="25"/>
        <v>6.7569129062065234E-3</v>
      </c>
      <c r="M240" s="30">
        <f t="shared" si="26"/>
        <v>1.3360055427421298E-3</v>
      </c>
      <c r="N240" s="30">
        <f t="shared" si="27"/>
        <v>5.9345661920061797E-3</v>
      </c>
      <c r="O240" s="30">
        <f t="shared" si="28"/>
        <v>-2.9416961022076513E-2</v>
      </c>
    </row>
    <row r="241" spans="1:15" s="30" customFormat="1">
      <c r="A241" s="27">
        <v>45762</v>
      </c>
      <c r="B241" s="28" t="s">
        <v>242</v>
      </c>
      <c r="C241" s="28">
        <v>526.4</v>
      </c>
      <c r="D241" s="28" t="s">
        <v>1436</v>
      </c>
      <c r="E241" s="28">
        <v>255.81</v>
      </c>
      <c r="F241" s="28">
        <v>114.08</v>
      </c>
      <c r="G241" s="28" t="s">
        <v>2612</v>
      </c>
      <c r="H241" s="28">
        <v>274.02999999999997</v>
      </c>
      <c r="I241" s="30">
        <f t="shared" si="22"/>
        <v>-1.8131598534383349E-2</v>
      </c>
      <c r="J241" s="30">
        <f t="shared" si="23"/>
        <v>-2.929686809619329E-2</v>
      </c>
      <c r="K241" s="30">
        <f t="shared" si="24"/>
        <v>-2.1627268667915221E-2</v>
      </c>
      <c r="L241" s="30">
        <f t="shared" si="25"/>
        <v>-1.5746524551777559E-2</v>
      </c>
      <c r="M241" s="30">
        <f t="shared" si="26"/>
        <v>1.5280958034647666E-2</v>
      </c>
      <c r="N241" s="30">
        <f t="shared" si="27"/>
        <v>-9.460592176691842E-3</v>
      </c>
      <c r="O241" s="30">
        <f t="shared" si="28"/>
        <v>-3.1184047815376016E-2</v>
      </c>
    </row>
    <row r="242" spans="1:15" s="30" customFormat="1">
      <c r="A242" s="27">
        <v>45758</v>
      </c>
      <c r="B242" s="28" t="s">
        <v>39</v>
      </c>
      <c r="C242" s="28">
        <v>530.5</v>
      </c>
      <c r="D242" s="28" t="s">
        <v>1437</v>
      </c>
      <c r="E242" s="28">
        <v>249.58</v>
      </c>
      <c r="F242" s="28">
        <v>107.33</v>
      </c>
      <c r="G242" s="28" t="s">
        <v>2613</v>
      </c>
      <c r="H242" s="28">
        <v>260.02999999999997</v>
      </c>
      <c r="I242" s="30">
        <f t="shared" si="22"/>
        <v>-9.1905913791128675E-3</v>
      </c>
      <c r="J242" s="30">
        <f t="shared" si="23"/>
        <v>7.7585780429304278E-3</v>
      </c>
      <c r="K242" s="30">
        <f t="shared" si="24"/>
        <v>-1.6101786946325223E-2</v>
      </c>
      <c r="L242" s="30">
        <f t="shared" si="25"/>
        <v>-2.4655476342359636E-2</v>
      </c>
      <c r="M242" s="30">
        <f t="shared" si="26"/>
        <v>-6.0991756172552793E-2</v>
      </c>
      <c r="N242" s="30">
        <f t="shared" si="27"/>
        <v>8.0799564380434983E-3</v>
      </c>
      <c r="O242" s="30">
        <f t="shared" si="28"/>
        <v>-5.2440580471056791E-2</v>
      </c>
    </row>
    <row r="243" spans="1:15" s="30" customFormat="1">
      <c r="A243" s="27">
        <v>45756</v>
      </c>
      <c r="B243" s="28" t="s">
        <v>243</v>
      </c>
      <c r="C243" s="28">
        <v>537.6</v>
      </c>
      <c r="D243" s="28" t="s">
        <v>1438</v>
      </c>
      <c r="E243" s="28">
        <v>244.84</v>
      </c>
      <c r="F243" s="28">
        <v>107.52</v>
      </c>
      <c r="G243" s="28" t="s">
        <v>2614</v>
      </c>
      <c r="H243" s="28">
        <v>254.75</v>
      </c>
      <c r="I243" s="30">
        <f t="shared" si="22"/>
        <v>7.3053033143600449E-3</v>
      </c>
      <c r="J243" s="30">
        <f t="shared" si="23"/>
        <v>1.3294831154902058E-2</v>
      </c>
      <c r="K243" s="30">
        <f t="shared" si="24"/>
        <v>-3.2517049279770383E-3</v>
      </c>
      <c r="L243" s="30">
        <f t="shared" si="25"/>
        <v>-1.9174569096839268E-2</v>
      </c>
      <c r="M243" s="30">
        <f t="shared" si="26"/>
        <v>1.7686762814062922E-3</v>
      </c>
      <c r="N243" s="30">
        <f t="shared" si="27"/>
        <v>-5.0477267851754971E-2</v>
      </c>
      <c r="O243" s="30">
        <f t="shared" si="28"/>
        <v>-2.0514336871785308E-2</v>
      </c>
    </row>
    <row r="244" spans="1:15" s="30" customFormat="1">
      <c r="A244" s="27">
        <v>45755</v>
      </c>
      <c r="B244" s="28" t="s">
        <v>244</v>
      </c>
      <c r="C244" s="28">
        <v>535.54999999999995</v>
      </c>
      <c r="D244" s="28" t="s">
        <v>1439</v>
      </c>
      <c r="E244" s="28">
        <v>244.27</v>
      </c>
      <c r="F244" s="28">
        <v>103.3</v>
      </c>
      <c r="G244" s="28" t="s">
        <v>2612</v>
      </c>
      <c r="H244" s="28">
        <v>252.21</v>
      </c>
      <c r="I244" s="30">
        <f t="shared" si="22"/>
        <v>-7.0546662772487823E-3</v>
      </c>
      <c r="J244" s="30">
        <f t="shared" si="23"/>
        <v>-3.8205329983012591E-3</v>
      </c>
      <c r="K244" s="30">
        <f t="shared" si="24"/>
        <v>-1.2237422626316023E-2</v>
      </c>
      <c r="L244" s="30">
        <f t="shared" si="25"/>
        <v>-2.3307650959583639E-3</v>
      </c>
      <c r="M244" s="30">
        <f t="shared" si="26"/>
        <v>-4.0039500649246509E-2</v>
      </c>
      <c r="N244" s="30">
        <f t="shared" si="27"/>
        <v>4.2397311413711641E-2</v>
      </c>
      <c r="O244" s="30">
        <f t="shared" si="28"/>
        <v>-1.0020598287519009E-2</v>
      </c>
    </row>
    <row r="245" spans="1:15" s="30" customFormat="1">
      <c r="A245" s="27">
        <v>45754</v>
      </c>
      <c r="B245" s="28" t="s">
        <v>245</v>
      </c>
      <c r="C245" s="28">
        <v>511.95</v>
      </c>
      <c r="D245" s="28" t="s">
        <v>1440</v>
      </c>
      <c r="E245" s="28">
        <v>234.97</v>
      </c>
      <c r="F245" s="28">
        <v>93.91</v>
      </c>
      <c r="G245" s="28" t="s">
        <v>2615</v>
      </c>
      <c r="H245" s="28">
        <v>242.36</v>
      </c>
      <c r="I245" s="30">
        <f t="shared" si="22"/>
        <v>-2.2321459744737593E-2</v>
      </c>
      <c r="J245" s="30">
        <f t="shared" si="23"/>
        <v>-4.5067292189812903E-2</v>
      </c>
      <c r="K245" s="30">
        <f t="shared" si="24"/>
        <v>-4.2678334969798656E-2</v>
      </c>
      <c r="L245" s="30">
        <f t="shared" si="25"/>
        <v>-3.8816324466396906E-2</v>
      </c>
      <c r="M245" s="30">
        <f t="shared" si="26"/>
        <v>-9.5300499309070696E-2</v>
      </c>
      <c r="N245" s="30">
        <f t="shared" si="27"/>
        <v>-2.2977497027320472E-2</v>
      </c>
      <c r="O245" s="30">
        <f t="shared" si="28"/>
        <v>-3.9837849738526818E-2</v>
      </c>
    </row>
    <row r="246" spans="1:15" s="30" customFormat="1">
      <c r="A246" s="27">
        <v>45751</v>
      </c>
      <c r="B246" s="28" t="s">
        <v>246</v>
      </c>
      <c r="C246" s="28">
        <v>512.04999999999995</v>
      </c>
      <c r="D246" s="28" t="s">
        <v>1441</v>
      </c>
      <c r="E246" s="28">
        <v>239.54</v>
      </c>
      <c r="F246" s="28">
        <v>101.94</v>
      </c>
      <c r="G246" s="28" t="s">
        <v>2616</v>
      </c>
      <c r="H246" s="28">
        <v>258.52</v>
      </c>
      <c r="I246" s="30">
        <f t="shared" si="22"/>
        <v>6.2588018846192273E-3</v>
      </c>
      <c r="J246" s="30">
        <f t="shared" si="23"/>
        <v>1.9531250062084903E-4</v>
      </c>
      <c r="K246" s="30">
        <f t="shared" si="24"/>
        <v>3.507648840725492E-2</v>
      </c>
      <c r="L246" s="30">
        <f t="shared" si="25"/>
        <v>1.926257109884684E-2</v>
      </c>
      <c r="M246" s="30">
        <f t="shared" si="26"/>
        <v>8.2047528095373384E-2</v>
      </c>
      <c r="N246" s="30">
        <f t="shared" si="27"/>
        <v>2.9132772047451842E-2</v>
      </c>
      <c r="O246" s="30">
        <f t="shared" si="28"/>
        <v>6.4548836317906214E-2</v>
      </c>
    </row>
    <row r="247" spans="1:15" s="30" customFormat="1">
      <c r="A247" s="27">
        <v>45750</v>
      </c>
      <c r="B247" s="28" t="s">
        <v>247</v>
      </c>
      <c r="C247" s="28">
        <v>511.3</v>
      </c>
      <c r="D247" s="28" t="s">
        <v>1442</v>
      </c>
      <c r="E247" s="28">
        <v>242.82</v>
      </c>
      <c r="F247" s="28">
        <v>102.66</v>
      </c>
      <c r="G247" s="28" t="s">
        <v>2617</v>
      </c>
      <c r="H247" s="28">
        <v>256.47000000000003</v>
      </c>
      <c r="I247" s="30">
        <f t="shared" si="22"/>
        <v>-2.8265115673654756E-3</v>
      </c>
      <c r="J247" s="30">
        <f t="shared" si="23"/>
        <v>-1.4657744354929494E-3</v>
      </c>
      <c r="K247" s="30">
        <f t="shared" si="24"/>
        <v>1.7852564172291575E-2</v>
      </c>
      <c r="L247" s="30">
        <f t="shared" si="25"/>
        <v>1.3600010596468532E-2</v>
      </c>
      <c r="M247" s="30">
        <f t="shared" si="26"/>
        <v>7.0381522202614469E-3</v>
      </c>
      <c r="N247" s="30">
        <f t="shared" si="27"/>
        <v>1.4226039056032534E-2</v>
      </c>
      <c r="O247" s="30">
        <f t="shared" si="28"/>
        <v>-7.9613616884425236E-3</v>
      </c>
    </row>
    <row r="248" spans="1:15" s="30" customFormat="1">
      <c r="A248" s="27">
        <v>45749</v>
      </c>
      <c r="B248" s="28" t="s">
        <v>248</v>
      </c>
      <c r="C248" s="28">
        <v>505.1</v>
      </c>
      <c r="D248" s="28" t="s">
        <v>1443</v>
      </c>
      <c r="E248" s="28">
        <v>240.28</v>
      </c>
      <c r="F248" s="28">
        <v>100.97</v>
      </c>
      <c r="G248" s="28" t="s">
        <v>2618</v>
      </c>
      <c r="H248" s="28">
        <v>258.01</v>
      </c>
      <c r="I248" s="30">
        <f t="shared" si="22"/>
        <v>-1.8363720905809622E-2</v>
      </c>
      <c r="J248" s="30">
        <f t="shared" si="23"/>
        <v>-1.2200072611946612E-2</v>
      </c>
      <c r="K248" s="30">
        <f t="shared" si="24"/>
        <v>6.9109477764704762E-3</v>
      </c>
      <c r="L248" s="30">
        <f t="shared" si="25"/>
        <v>-1.0515518133868532E-2</v>
      </c>
      <c r="M248" s="30">
        <f t="shared" si="26"/>
        <v>-1.6599114115927446E-2</v>
      </c>
      <c r="N248" s="30">
        <f t="shared" si="27"/>
        <v>-1.8559414924287348E-2</v>
      </c>
      <c r="O248" s="30">
        <f t="shared" si="28"/>
        <v>5.9866451541504525E-3</v>
      </c>
    </row>
    <row r="249" spans="1:15" s="30" customFormat="1">
      <c r="A249" s="27">
        <v>45748</v>
      </c>
      <c r="B249" s="28" t="s">
        <v>249</v>
      </c>
      <c r="C249" s="28">
        <v>493.5</v>
      </c>
      <c r="D249" s="28" t="s">
        <v>1444</v>
      </c>
      <c r="E249" s="28">
        <v>237.83</v>
      </c>
      <c r="F249" s="28">
        <v>103.57</v>
      </c>
      <c r="G249" s="28" t="s">
        <v>2619</v>
      </c>
      <c r="H249" s="28">
        <v>247.85</v>
      </c>
      <c r="I249" s="30">
        <f t="shared" si="22"/>
        <v>4.0453042089097667E-3</v>
      </c>
      <c r="J249" s="30">
        <f t="shared" si="23"/>
        <v>-2.323357060047071E-2</v>
      </c>
      <c r="K249" s="30">
        <f t="shared" si="24"/>
        <v>-1.6543650225176766E-2</v>
      </c>
      <c r="L249" s="30">
        <f t="shared" si="25"/>
        <v>-1.024877724835474E-2</v>
      </c>
      <c r="M249" s="30">
        <f t="shared" si="26"/>
        <v>2.5424269584557659E-2</v>
      </c>
      <c r="N249" s="30">
        <f t="shared" si="27"/>
        <v>1.1981651070807878E-2</v>
      </c>
      <c r="O249" s="30">
        <f t="shared" si="28"/>
        <v>-4.0174619393819638E-2</v>
      </c>
    </row>
    <row r="250" spans="1:15" s="30" customFormat="1">
      <c r="A250" s="27">
        <v>45744</v>
      </c>
      <c r="B250" s="28" t="s">
        <v>250</v>
      </c>
      <c r="C250" s="28">
        <v>500.2</v>
      </c>
      <c r="D250" s="28" t="s">
        <v>1445</v>
      </c>
      <c r="E250" s="28">
        <v>232.9</v>
      </c>
      <c r="F250" s="28">
        <v>98.71</v>
      </c>
      <c r="G250" s="28" t="s">
        <v>2620</v>
      </c>
      <c r="H250" s="28">
        <v>241.7</v>
      </c>
      <c r="I250" s="30">
        <f t="shared" si="22"/>
        <v>1.0587108863535125E-2</v>
      </c>
      <c r="J250" s="30">
        <f t="shared" si="23"/>
        <v>1.3485159569982409E-2</v>
      </c>
      <c r="K250" s="30">
        <f t="shared" si="24"/>
        <v>-2.9732837876037182E-2</v>
      </c>
      <c r="L250" s="30">
        <f t="shared" si="25"/>
        <v>-2.0946955843310609E-2</v>
      </c>
      <c r="M250" s="30">
        <f t="shared" si="26"/>
        <v>-4.8061454170990899E-2</v>
      </c>
      <c r="N250" s="30">
        <f t="shared" si="27"/>
        <v>1.8910307355295804E-2</v>
      </c>
      <c r="O250" s="30">
        <f t="shared" si="28"/>
        <v>-2.5126436757145629E-2</v>
      </c>
    </row>
    <row r="251" spans="1:15" s="30" customFormat="1">
      <c r="A251" s="27">
        <v>45743</v>
      </c>
      <c r="B251" s="28" t="s">
        <v>251</v>
      </c>
      <c r="C251" s="28">
        <v>501.75</v>
      </c>
      <c r="D251" s="28" t="s">
        <v>1446</v>
      </c>
      <c r="E251" s="28">
        <v>232.59</v>
      </c>
      <c r="F251" s="28">
        <v>99.85</v>
      </c>
      <c r="G251" s="28" t="s">
        <v>2621</v>
      </c>
      <c r="H251" s="28">
        <v>241.2</v>
      </c>
      <c r="I251" s="30">
        <f t="shared" si="22"/>
        <v>-1.0900348394282499E-3</v>
      </c>
      <c r="J251" s="30">
        <f t="shared" si="23"/>
        <v>3.0939692329288765E-3</v>
      </c>
      <c r="K251" s="30">
        <f t="shared" si="24"/>
        <v>1.8546490757239728E-3</v>
      </c>
      <c r="L251" s="30">
        <f t="shared" si="25"/>
        <v>-1.3319299913180311E-3</v>
      </c>
      <c r="M251" s="30">
        <f t="shared" si="26"/>
        <v>1.1482801432027623E-2</v>
      </c>
      <c r="N251" s="30">
        <f t="shared" si="27"/>
        <v>3.2659813834255154E-2</v>
      </c>
      <c r="O251" s="30">
        <f t="shared" si="28"/>
        <v>-2.0708228564069639E-3</v>
      </c>
    </row>
    <row r="252" spans="1:15" s="30" customFormat="1">
      <c r="A252" s="27">
        <v>45742</v>
      </c>
      <c r="B252" s="28" t="s">
        <v>252</v>
      </c>
      <c r="C252" s="28">
        <v>501.45</v>
      </c>
      <c r="D252" s="28" t="s">
        <v>1447</v>
      </c>
      <c r="E252" s="28">
        <v>238.07</v>
      </c>
      <c r="F252" s="28">
        <v>99.27</v>
      </c>
      <c r="G252" s="28" t="s">
        <v>2622</v>
      </c>
      <c r="H252" s="28">
        <v>244.45</v>
      </c>
      <c r="I252" s="30">
        <f t="shared" si="22"/>
        <v>-6.4146103566856344E-3</v>
      </c>
      <c r="J252" s="30">
        <f t="shared" si="23"/>
        <v>-5.9808614223020174E-4</v>
      </c>
      <c r="K252" s="30">
        <f t="shared" si="24"/>
        <v>2.4009312911054029E-2</v>
      </c>
      <c r="L252" s="30">
        <f t="shared" si="25"/>
        <v>2.3287501175440071E-2</v>
      </c>
      <c r="M252" s="30">
        <f t="shared" si="26"/>
        <v>-5.825649260193729E-3</v>
      </c>
      <c r="N252" s="30">
        <f t="shared" si="27"/>
        <v>-0.11165850488925999</v>
      </c>
      <c r="O252" s="30">
        <f t="shared" si="28"/>
        <v>1.3384324171624275E-2</v>
      </c>
    </row>
    <row r="253" spans="1:15" s="30" customFormat="1">
      <c r="A253" s="27">
        <v>45741</v>
      </c>
      <c r="B253" s="28" t="s">
        <v>253</v>
      </c>
      <c r="C253" s="28">
        <v>501</v>
      </c>
      <c r="D253" s="28" t="s">
        <v>1448</v>
      </c>
      <c r="E253" s="28">
        <v>237.84</v>
      </c>
      <c r="F253" s="28">
        <v>104.48</v>
      </c>
      <c r="G253" s="28" t="s">
        <v>2488</v>
      </c>
      <c r="H253" s="28">
        <v>256.55</v>
      </c>
      <c r="I253" s="30">
        <f t="shared" si="22"/>
        <v>3.2660808164958082E-3</v>
      </c>
      <c r="J253" s="30">
        <f t="shared" si="23"/>
        <v>-8.9780044935251443E-4</v>
      </c>
      <c r="K253" s="30">
        <f t="shared" si="24"/>
        <v>2.0209943181355064E-2</v>
      </c>
      <c r="L253" s="30">
        <f t="shared" si="25"/>
        <v>-9.6656938457515451E-4</v>
      </c>
      <c r="M253" s="30">
        <f t="shared" si="26"/>
        <v>5.1152254926490462E-2</v>
      </c>
      <c r="N253" s="30">
        <f t="shared" si="27"/>
        <v>7.7599898039583393E-3</v>
      </c>
      <c r="O253" s="30">
        <f t="shared" si="28"/>
        <v>4.8312788363319245E-2</v>
      </c>
    </row>
    <row r="254" spans="1:15" s="30" customFormat="1">
      <c r="A254" s="27">
        <v>45740</v>
      </c>
      <c r="B254" s="28" t="s">
        <v>254</v>
      </c>
      <c r="C254" s="28">
        <v>511.6</v>
      </c>
      <c r="D254" s="28" t="s">
        <v>1449</v>
      </c>
      <c r="E254" s="28">
        <v>243.63</v>
      </c>
      <c r="F254" s="28">
        <v>108.65</v>
      </c>
      <c r="G254" s="28" t="s">
        <v>2623</v>
      </c>
      <c r="H254" s="28">
        <v>269.64999999999998</v>
      </c>
      <c r="I254" s="30">
        <f t="shared" si="22"/>
        <v>-3.5459124888094534E-3</v>
      </c>
      <c r="J254" s="30">
        <f t="shared" si="23"/>
        <v>2.093696861982294E-2</v>
      </c>
      <c r="K254" s="30">
        <f t="shared" si="24"/>
        <v>1.4182494812331191E-2</v>
      </c>
      <c r="L254" s="30">
        <f t="shared" si="25"/>
        <v>2.4052502272587022E-2</v>
      </c>
      <c r="M254" s="30">
        <f t="shared" si="26"/>
        <v>3.9136041174317682E-2</v>
      </c>
      <c r="N254" s="30">
        <f t="shared" si="27"/>
        <v>9.2477968495774236E-4</v>
      </c>
      <c r="O254" s="30">
        <f t="shared" si="28"/>
        <v>4.9801244395262012E-2</v>
      </c>
    </row>
    <row r="255" spans="1:15" s="30" customFormat="1">
      <c r="A255" s="27">
        <v>45737</v>
      </c>
      <c r="B255" s="28" t="s">
        <v>255</v>
      </c>
      <c r="C255" s="28">
        <v>500.3</v>
      </c>
      <c r="D255" s="28" t="s">
        <v>1450</v>
      </c>
      <c r="E255" s="28">
        <v>244.93</v>
      </c>
      <c r="F255" s="28">
        <v>107.34</v>
      </c>
      <c r="G255" s="28" t="s">
        <v>2624</v>
      </c>
      <c r="H255" s="28">
        <v>269.85000000000002</v>
      </c>
      <c r="I255" s="30">
        <f t="shared" si="22"/>
        <v>-9.561170848394366E-3</v>
      </c>
      <c r="J255" s="30">
        <f t="shared" si="23"/>
        <v>-2.2335151210528304E-2</v>
      </c>
      <c r="K255" s="30">
        <f t="shared" si="24"/>
        <v>-6.8146778733134804E-3</v>
      </c>
      <c r="L255" s="30">
        <f t="shared" si="25"/>
        <v>5.3217744724809012E-3</v>
      </c>
      <c r="M255" s="30">
        <f t="shared" si="26"/>
        <v>-1.2130339953755891E-2</v>
      </c>
      <c r="N255" s="30">
        <f t="shared" si="27"/>
        <v>6.4348086890867436E-3</v>
      </c>
      <c r="O255" s="30">
        <f t="shared" si="28"/>
        <v>7.4142728141604781E-4</v>
      </c>
    </row>
    <row r="256" spans="1:15" s="30" customFormat="1">
      <c r="A256" s="27">
        <v>45736</v>
      </c>
      <c r="B256" s="28" t="s">
        <v>256</v>
      </c>
      <c r="C256" s="28">
        <v>507.85</v>
      </c>
      <c r="D256" s="28" t="s">
        <v>1451</v>
      </c>
      <c r="E256" s="28">
        <v>237.3</v>
      </c>
      <c r="F256" s="28">
        <v>106.7</v>
      </c>
      <c r="G256" s="28" t="s">
        <v>2625</v>
      </c>
      <c r="H256" s="28">
        <v>270.25</v>
      </c>
      <c r="I256" s="30">
        <f t="shared" si="22"/>
        <v>-5.7546588314972315E-3</v>
      </c>
      <c r="J256" s="30">
        <f t="shared" si="23"/>
        <v>1.497820989135081E-2</v>
      </c>
      <c r="K256" s="30">
        <f t="shared" si="24"/>
        <v>8.7603493694006513E-3</v>
      </c>
      <c r="L256" s="30">
        <f t="shared" si="25"/>
        <v>-3.164729199319205E-2</v>
      </c>
      <c r="M256" s="30">
        <f t="shared" si="26"/>
        <v>-5.9802084409751131E-3</v>
      </c>
      <c r="N256" s="30">
        <f t="shared" si="27"/>
        <v>-2.2622009757448699E-2</v>
      </c>
      <c r="O256" s="30">
        <f t="shared" si="28"/>
        <v>1.4812074546658521E-3</v>
      </c>
    </row>
    <row r="257" spans="1:15" s="30" customFormat="1">
      <c r="A257" s="27">
        <v>45735</v>
      </c>
      <c r="B257" s="28" t="s">
        <v>257</v>
      </c>
      <c r="C257" s="28">
        <v>501.4</v>
      </c>
      <c r="D257" s="28" t="s">
        <v>1452</v>
      </c>
      <c r="E257" s="28">
        <v>236.01</v>
      </c>
      <c r="F257" s="28">
        <v>106.34</v>
      </c>
      <c r="G257" s="28" t="s">
        <v>2626</v>
      </c>
      <c r="H257" s="28">
        <v>243.35</v>
      </c>
      <c r="I257" s="30">
        <f t="shared" si="22"/>
        <v>-2.8459486359978504E-3</v>
      </c>
      <c r="J257" s="30">
        <f t="shared" si="23"/>
        <v>-1.2781942661317226E-2</v>
      </c>
      <c r="K257" s="30">
        <f t="shared" si="24"/>
        <v>-5.0466042599936131E-3</v>
      </c>
      <c r="L257" s="30">
        <f t="shared" si="25"/>
        <v>-5.4509864324571045E-3</v>
      </c>
      <c r="M257" s="30">
        <f t="shared" si="26"/>
        <v>-3.3796502315152775E-3</v>
      </c>
      <c r="N257" s="30">
        <f t="shared" si="27"/>
        <v>-2.3843691997518891E-2</v>
      </c>
      <c r="O257" s="30">
        <f t="shared" si="28"/>
        <v>-0.10484672023985438</v>
      </c>
    </row>
    <row r="258" spans="1:15" s="30" customFormat="1">
      <c r="A258" s="27">
        <v>45734</v>
      </c>
      <c r="B258" s="28" t="s">
        <v>258</v>
      </c>
      <c r="C258" s="28">
        <v>505.6</v>
      </c>
      <c r="D258" s="28" t="s">
        <v>1453</v>
      </c>
      <c r="E258" s="28">
        <v>229.85</v>
      </c>
      <c r="F258" s="28">
        <v>102.77</v>
      </c>
      <c r="G258" s="28" t="s">
        <v>2627</v>
      </c>
      <c r="H258" s="28">
        <v>239.75</v>
      </c>
      <c r="I258" s="30">
        <f t="shared" si="22"/>
        <v>-2.9640059902509047E-3</v>
      </c>
      <c r="J258" s="30">
        <f t="shared" si="23"/>
        <v>8.3416571084546764E-3</v>
      </c>
      <c r="K258" s="30">
        <f t="shared" si="24"/>
        <v>1.7017021123492621E-3</v>
      </c>
      <c r="L258" s="30">
        <f t="shared" si="25"/>
        <v>-2.6447254757023801E-2</v>
      </c>
      <c r="M258" s="30">
        <f t="shared" si="26"/>
        <v>-3.4148026439210763E-2</v>
      </c>
      <c r="N258" s="30">
        <f t="shared" si="27"/>
        <v>4.9225343590713951E-3</v>
      </c>
      <c r="O258" s="30">
        <f t="shared" si="28"/>
        <v>-1.4904022515915709E-2</v>
      </c>
    </row>
    <row r="259" spans="1:15" s="30" customFormat="1">
      <c r="A259" s="27">
        <v>45733</v>
      </c>
      <c r="B259" s="28" t="s">
        <v>259</v>
      </c>
      <c r="C259" s="28">
        <v>502.65</v>
      </c>
      <c r="D259" s="28" t="s">
        <v>1454</v>
      </c>
      <c r="E259" s="28">
        <v>225.05</v>
      </c>
      <c r="F259" s="28">
        <v>103.94</v>
      </c>
      <c r="G259" s="28" t="s">
        <v>2628</v>
      </c>
      <c r="H259" s="28">
        <v>245.25</v>
      </c>
      <c r="I259" s="30">
        <f t="shared" si="22"/>
        <v>-2.421393476520016E-2</v>
      </c>
      <c r="J259" s="30">
        <f t="shared" si="23"/>
        <v>-5.8517399812186141E-3</v>
      </c>
      <c r="K259" s="30">
        <f t="shared" si="24"/>
        <v>-2.0563030346416555E-2</v>
      </c>
      <c r="L259" s="30">
        <f t="shared" si="25"/>
        <v>-2.1104322513295259E-2</v>
      </c>
      <c r="M259" s="30">
        <f t="shared" si="26"/>
        <v>1.1320327943314033E-2</v>
      </c>
      <c r="N259" s="30">
        <f t="shared" si="27"/>
        <v>-3.3779091069241866E-2</v>
      </c>
      <c r="O259" s="30">
        <f t="shared" si="28"/>
        <v>2.2681384681924835E-2</v>
      </c>
    </row>
    <row r="260" spans="1:15" s="30" customFormat="1">
      <c r="A260" s="27">
        <v>45729</v>
      </c>
      <c r="B260" s="28" t="s">
        <v>260</v>
      </c>
      <c r="C260" s="28">
        <v>488.2</v>
      </c>
      <c r="D260" s="28" t="s">
        <v>1455</v>
      </c>
      <c r="E260" s="28">
        <v>224.65</v>
      </c>
      <c r="F260" s="28">
        <v>105.82</v>
      </c>
      <c r="G260" s="28" t="s">
        <v>2629</v>
      </c>
      <c r="H260" s="28">
        <v>254</v>
      </c>
      <c r="I260" s="30">
        <f t="shared" ref="I260:I323" si="29">LN(B260/B259)</f>
        <v>5.2799026238046732E-3</v>
      </c>
      <c r="J260" s="30">
        <f t="shared" ref="J260:J323" si="30">LN(C260/C259)</f>
        <v>-2.9168944892569392E-2</v>
      </c>
      <c r="K260" s="30">
        <f t="shared" ref="K260:K323" si="31">LN(D260/D259)</f>
        <v>1.091519911743051E-2</v>
      </c>
      <c r="L260" s="30">
        <f t="shared" ref="L260:L323" si="32">LN(E260/E259)</f>
        <v>-1.7789642227728181E-3</v>
      </c>
      <c r="M260" s="30">
        <f t="shared" ref="M260:M323" si="33">LN(F260/F259)</f>
        <v>1.7925727895689834E-2</v>
      </c>
      <c r="N260" s="30">
        <f t="shared" ref="N260:N323" si="34">LN(G260/G259)</f>
        <v>-1.9024937992021865E-3</v>
      </c>
      <c r="O260" s="30">
        <f t="shared" ref="O260:O323" si="35">LN(H260/H259)</f>
        <v>3.5056168573064081E-2</v>
      </c>
    </row>
    <row r="261" spans="1:15" s="30" customFormat="1">
      <c r="A261" s="27">
        <v>45728</v>
      </c>
      <c r="B261" s="28" t="s">
        <v>261</v>
      </c>
      <c r="C261" s="28">
        <v>482.6</v>
      </c>
      <c r="D261" s="28" t="s">
        <v>1456</v>
      </c>
      <c r="E261" s="28">
        <v>228.07</v>
      </c>
      <c r="F261" s="28">
        <v>104.12</v>
      </c>
      <c r="G261" s="28" t="s">
        <v>2630</v>
      </c>
      <c r="H261" s="28">
        <v>245.4</v>
      </c>
      <c r="I261" s="30">
        <f t="shared" si="29"/>
        <v>8.9234518864705539E-3</v>
      </c>
      <c r="J261" s="30">
        <f t="shared" si="30"/>
        <v>-1.1537004767928263E-2</v>
      </c>
      <c r="K261" s="30">
        <f t="shared" si="31"/>
        <v>1.3839663306442609E-2</v>
      </c>
      <c r="L261" s="30">
        <f t="shared" si="32"/>
        <v>1.5108963861889519E-2</v>
      </c>
      <c r="M261" s="30">
        <f t="shared" si="33"/>
        <v>-1.6195457349620954E-2</v>
      </c>
      <c r="N261" s="30">
        <f t="shared" si="34"/>
        <v>1.6977797727524988E-2</v>
      </c>
      <c r="O261" s="30">
        <f t="shared" si="35"/>
        <v>-3.4444734741725526E-2</v>
      </c>
    </row>
    <row r="262" spans="1:15" s="30" customFormat="1">
      <c r="A262" s="27">
        <v>45727</v>
      </c>
      <c r="B262" s="28" t="s">
        <v>262</v>
      </c>
      <c r="C262" s="28">
        <v>498.05</v>
      </c>
      <c r="D262" s="28" t="s">
        <v>1457</v>
      </c>
      <c r="E262" s="28">
        <v>232.73</v>
      </c>
      <c r="F262" s="28">
        <v>104.96</v>
      </c>
      <c r="G262" s="28" t="s">
        <v>2631</v>
      </c>
      <c r="H262" s="28">
        <v>249.5</v>
      </c>
      <c r="I262" s="30">
        <f t="shared" si="29"/>
        <v>1.5907974220188238E-2</v>
      </c>
      <c r="J262" s="30">
        <f t="shared" si="30"/>
        <v>3.1512320400243231E-2</v>
      </c>
      <c r="K262" s="30">
        <f t="shared" si="31"/>
        <v>3.1325323010959728E-2</v>
      </c>
      <c r="L262" s="30">
        <f t="shared" si="32"/>
        <v>2.0226383978514936E-2</v>
      </c>
      <c r="M262" s="30">
        <f t="shared" si="33"/>
        <v>8.0352450694142225E-3</v>
      </c>
      <c r="N262" s="30">
        <f t="shared" si="34"/>
        <v>1.0236913789738717E-2</v>
      </c>
      <c r="O262" s="30">
        <f t="shared" si="35"/>
        <v>1.6569382914762343E-2</v>
      </c>
    </row>
    <row r="263" spans="1:15" s="30" customFormat="1">
      <c r="A263" s="27">
        <v>45726</v>
      </c>
      <c r="B263" s="28" t="s">
        <v>263</v>
      </c>
      <c r="C263" s="28">
        <v>504.45</v>
      </c>
      <c r="D263" s="28" t="s">
        <v>1458</v>
      </c>
      <c r="E263" s="28">
        <v>230.68</v>
      </c>
      <c r="F263" s="28">
        <v>107.72</v>
      </c>
      <c r="G263" s="28" t="s">
        <v>2632</v>
      </c>
      <c r="H263" s="28">
        <v>260.75</v>
      </c>
      <c r="I263" s="30">
        <f t="shared" si="29"/>
        <v>-3.8545820831010959E-3</v>
      </c>
      <c r="J263" s="30">
        <f t="shared" si="30"/>
        <v>1.276825326321367E-2</v>
      </c>
      <c r="K263" s="30">
        <f t="shared" si="31"/>
        <v>-7.6547052707555867E-3</v>
      </c>
      <c r="L263" s="30">
        <f t="shared" si="32"/>
        <v>-8.8475146093616609E-3</v>
      </c>
      <c r="M263" s="30">
        <f t="shared" si="33"/>
        <v>2.5955942747619313E-2</v>
      </c>
      <c r="N263" s="30">
        <f t="shared" si="34"/>
        <v>2.5401119678691689E-2</v>
      </c>
      <c r="O263" s="30">
        <f t="shared" si="35"/>
        <v>4.4103178689308568E-2</v>
      </c>
    </row>
    <row r="264" spans="1:15" s="30" customFormat="1">
      <c r="A264" s="27">
        <v>45723</v>
      </c>
      <c r="B264" s="28" t="s">
        <v>264</v>
      </c>
      <c r="C264" s="28">
        <v>509.35</v>
      </c>
      <c r="D264" s="28" t="s">
        <v>1459</v>
      </c>
      <c r="E264" s="28">
        <v>235.65</v>
      </c>
      <c r="F264" s="28">
        <v>110.98</v>
      </c>
      <c r="G264" s="28" t="s">
        <v>2633</v>
      </c>
      <c r="H264" s="28">
        <v>263.89999999999998</v>
      </c>
      <c r="I264" s="30">
        <f t="shared" si="29"/>
        <v>-3.7813877885670122E-3</v>
      </c>
      <c r="J264" s="30">
        <f t="shared" si="30"/>
        <v>9.6666761816872095E-3</v>
      </c>
      <c r="K264" s="30">
        <f t="shared" si="31"/>
        <v>3.3852917091619229E-2</v>
      </c>
      <c r="L264" s="30">
        <f t="shared" si="32"/>
        <v>2.1316184622527996E-2</v>
      </c>
      <c r="M264" s="30">
        <f t="shared" si="33"/>
        <v>2.9814736954356984E-2</v>
      </c>
      <c r="N264" s="30">
        <f t="shared" si="34"/>
        <v>-1.1545240390390605E-3</v>
      </c>
      <c r="O264" s="30">
        <f t="shared" si="35"/>
        <v>1.2008149628396561E-2</v>
      </c>
    </row>
    <row r="265" spans="1:15" s="30" customFormat="1">
      <c r="A265" s="27">
        <v>45722</v>
      </c>
      <c r="B265" s="28" t="s">
        <v>265</v>
      </c>
      <c r="C265" s="28">
        <v>500.6</v>
      </c>
      <c r="D265" s="28" t="s">
        <v>1460</v>
      </c>
      <c r="E265" s="28">
        <v>234.38</v>
      </c>
      <c r="F265" s="28">
        <v>109.1</v>
      </c>
      <c r="G265" s="28" t="s">
        <v>2634</v>
      </c>
      <c r="H265" s="28">
        <v>263.8</v>
      </c>
      <c r="I265" s="30">
        <f t="shared" si="29"/>
        <v>-1.0137295092077243E-3</v>
      </c>
      <c r="J265" s="30">
        <f t="shared" si="30"/>
        <v>-1.7328024038401547E-2</v>
      </c>
      <c r="K265" s="30">
        <f t="shared" si="31"/>
        <v>-3.0599776401274752E-2</v>
      </c>
      <c r="L265" s="30">
        <f t="shared" si="32"/>
        <v>-5.4039235392836556E-3</v>
      </c>
      <c r="M265" s="30">
        <f t="shared" si="33"/>
        <v>-1.7085112058730152E-2</v>
      </c>
      <c r="N265" s="30">
        <f t="shared" si="34"/>
        <v>-8.0119462571534173E-3</v>
      </c>
      <c r="O265" s="30">
        <f t="shared" si="35"/>
        <v>-3.7900322606404031E-4</v>
      </c>
    </row>
    <row r="266" spans="1:15" s="30" customFormat="1">
      <c r="A266" s="27">
        <v>45721</v>
      </c>
      <c r="B266" s="28" t="s">
        <v>266</v>
      </c>
      <c r="C266" s="28">
        <v>484</v>
      </c>
      <c r="D266" s="28" t="s">
        <v>1461</v>
      </c>
      <c r="E266" s="28">
        <v>229.11</v>
      </c>
      <c r="F266" s="28">
        <v>106.76</v>
      </c>
      <c r="G266" s="28" t="s">
        <v>992</v>
      </c>
      <c r="H266" s="28">
        <v>259.45</v>
      </c>
      <c r="I266" s="30">
        <f t="shared" si="29"/>
        <v>-4.6738427320786133E-2</v>
      </c>
      <c r="J266" s="30">
        <f t="shared" si="30"/>
        <v>-3.3722472281042137E-2</v>
      </c>
      <c r="K266" s="30">
        <f t="shared" si="31"/>
        <v>-1.072187277983754E-2</v>
      </c>
      <c r="L266" s="30">
        <f t="shared" si="32"/>
        <v>-2.2741492262053749E-2</v>
      </c>
      <c r="M266" s="30">
        <f t="shared" si="33"/>
        <v>-2.1681568302701629E-2</v>
      </c>
      <c r="N266" s="30">
        <f t="shared" si="34"/>
        <v>-2.752624123903824E-2</v>
      </c>
      <c r="O266" s="30">
        <f t="shared" si="35"/>
        <v>-1.6627234469465721E-2</v>
      </c>
    </row>
    <row r="267" spans="1:15" s="30" customFormat="1">
      <c r="A267" s="27">
        <v>45720</v>
      </c>
      <c r="B267" s="28" t="s">
        <v>267</v>
      </c>
      <c r="C267" s="28">
        <v>481.6</v>
      </c>
      <c r="D267" s="28" t="s">
        <v>1462</v>
      </c>
      <c r="E267" s="28">
        <v>223.74</v>
      </c>
      <c r="F267" s="28">
        <v>105.1</v>
      </c>
      <c r="G267" s="28" t="s">
        <v>1050</v>
      </c>
      <c r="H267" s="28">
        <v>260.64999999999998</v>
      </c>
      <c r="I267" s="30">
        <f t="shared" si="29"/>
        <v>-1.4920265144495423E-2</v>
      </c>
      <c r="J267" s="30">
        <f t="shared" si="30"/>
        <v>-4.9710127220203857E-3</v>
      </c>
      <c r="K267" s="30">
        <f t="shared" si="31"/>
        <v>-3.2113879047529874E-2</v>
      </c>
      <c r="L267" s="30">
        <f t="shared" si="32"/>
        <v>-2.3717574149618031E-2</v>
      </c>
      <c r="M267" s="30">
        <f t="shared" si="33"/>
        <v>-1.567104665341805E-2</v>
      </c>
      <c r="N267" s="30">
        <f t="shared" si="34"/>
        <v>-9.9878160028320159E-3</v>
      </c>
      <c r="O267" s="30">
        <f t="shared" si="35"/>
        <v>4.6145054003663361E-3</v>
      </c>
    </row>
    <row r="268" spans="1:15" s="30" customFormat="1">
      <c r="A268" s="27">
        <v>45719</v>
      </c>
      <c r="B268" s="28" t="s">
        <v>268</v>
      </c>
      <c r="C268" s="28">
        <v>488.65</v>
      </c>
      <c r="D268" s="28" t="s">
        <v>1463</v>
      </c>
      <c r="E268" s="28">
        <v>221.99</v>
      </c>
      <c r="F268" s="28">
        <v>103.92</v>
      </c>
      <c r="G268" s="28" t="s">
        <v>2635</v>
      </c>
      <c r="H268" s="28">
        <v>266.39999999999998</v>
      </c>
      <c r="I268" s="30">
        <f t="shared" si="29"/>
        <v>1.5959394216996711E-2</v>
      </c>
      <c r="J268" s="30">
        <f t="shared" si="30"/>
        <v>1.4532592790233478E-2</v>
      </c>
      <c r="K268" s="30">
        <f t="shared" si="31"/>
        <v>-1.0989121575595317E-2</v>
      </c>
      <c r="L268" s="30">
        <f t="shared" si="32"/>
        <v>-7.8523276061085324E-3</v>
      </c>
      <c r="M268" s="30">
        <f t="shared" si="33"/>
        <v>-1.1290905520561258E-2</v>
      </c>
      <c r="N268" s="30">
        <f t="shared" si="34"/>
        <v>-1.0458238760908975E-2</v>
      </c>
      <c r="O268" s="30">
        <f t="shared" si="35"/>
        <v>2.1820427452119179E-2</v>
      </c>
    </row>
    <row r="269" spans="1:15" s="30" customFormat="1">
      <c r="A269" s="27">
        <v>45716</v>
      </c>
      <c r="B269" s="28" t="s">
        <v>269</v>
      </c>
      <c r="C269" s="28">
        <v>488.55</v>
      </c>
      <c r="D269" s="28" t="s">
        <v>1464</v>
      </c>
      <c r="E269" s="28">
        <v>226.66</v>
      </c>
      <c r="F269" s="28">
        <v>107.83</v>
      </c>
      <c r="G269" s="28" t="s">
        <v>2636</v>
      </c>
      <c r="H269" s="28">
        <v>269.85000000000002</v>
      </c>
      <c r="I269" s="30">
        <f t="shared" si="29"/>
        <v>6.1433875899684692E-3</v>
      </c>
      <c r="J269" s="30">
        <f t="shared" si="30"/>
        <v>-2.0466639449253824E-4</v>
      </c>
      <c r="K269" s="30">
        <f t="shared" si="31"/>
        <v>4.2514851804524023E-2</v>
      </c>
      <c r="L269" s="30">
        <f t="shared" si="32"/>
        <v>2.0818761492126484E-2</v>
      </c>
      <c r="M269" s="30">
        <f t="shared" si="33"/>
        <v>3.6934540531636771E-2</v>
      </c>
      <c r="N269" s="30">
        <f t="shared" si="34"/>
        <v>-4.8226471519597397E-5</v>
      </c>
      <c r="O269" s="30">
        <f t="shared" si="35"/>
        <v>1.2867310398417792E-2</v>
      </c>
    </row>
    <row r="270" spans="1:15" s="30" customFormat="1">
      <c r="A270" s="27">
        <v>45715</v>
      </c>
      <c r="B270" s="28" t="s">
        <v>270</v>
      </c>
      <c r="C270" s="28">
        <v>505.25</v>
      </c>
      <c r="D270" s="28" t="s">
        <v>1465</v>
      </c>
      <c r="E270" s="28">
        <v>230.75</v>
      </c>
      <c r="F270" s="28">
        <v>104.96</v>
      </c>
      <c r="G270" s="28" t="s">
        <v>2637</v>
      </c>
      <c r="H270" s="28">
        <v>274.95</v>
      </c>
      <c r="I270" s="30">
        <f t="shared" si="29"/>
        <v>1.5432545549738209E-2</v>
      </c>
      <c r="J270" s="30">
        <f t="shared" si="30"/>
        <v>3.3611535893378182E-2</v>
      </c>
      <c r="K270" s="30">
        <f t="shared" si="31"/>
        <v>4.2943584098078504E-2</v>
      </c>
      <c r="L270" s="30">
        <f t="shared" si="32"/>
        <v>1.7883776078159139E-2</v>
      </c>
      <c r="M270" s="30">
        <f t="shared" si="33"/>
        <v>-2.6976587698202083E-2</v>
      </c>
      <c r="N270" s="30">
        <f t="shared" si="34"/>
        <v>3.9248536401461864E-2</v>
      </c>
      <c r="O270" s="30">
        <f t="shared" si="35"/>
        <v>1.8723013889171844E-2</v>
      </c>
    </row>
    <row r="271" spans="1:15" s="30" customFormat="1">
      <c r="A271" s="27">
        <v>45713</v>
      </c>
      <c r="B271" s="28" t="s">
        <v>271</v>
      </c>
      <c r="C271" s="28">
        <v>500.95</v>
      </c>
      <c r="D271" s="28" t="s">
        <v>1466</v>
      </c>
      <c r="E271" s="28">
        <v>231.13</v>
      </c>
      <c r="F271" s="28">
        <v>109.46</v>
      </c>
      <c r="G271" s="28" t="s">
        <v>2638</v>
      </c>
      <c r="H271" s="28">
        <v>275.5</v>
      </c>
      <c r="I271" s="30">
        <f t="shared" si="29"/>
        <v>5.0018128793090219E-3</v>
      </c>
      <c r="J271" s="30">
        <f t="shared" si="30"/>
        <v>-8.5470605784584083E-3</v>
      </c>
      <c r="K271" s="30">
        <f t="shared" si="31"/>
        <v>9.0236019164474743E-3</v>
      </c>
      <c r="L271" s="30">
        <f t="shared" si="32"/>
        <v>1.645449405636144E-3</v>
      </c>
      <c r="M271" s="30">
        <f t="shared" si="33"/>
        <v>4.1979860519993265E-2</v>
      </c>
      <c r="N271" s="30">
        <f t="shared" si="34"/>
        <v>2.595289493605683E-2</v>
      </c>
      <c r="O271" s="30">
        <f t="shared" si="35"/>
        <v>1.9983656391455622E-3</v>
      </c>
    </row>
    <row r="272" spans="1:15" s="30" customFormat="1">
      <c r="A272" s="27">
        <v>45712</v>
      </c>
      <c r="B272" s="28" t="s">
        <v>272</v>
      </c>
      <c r="C272" s="28">
        <v>502.85</v>
      </c>
      <c r="D272" s="28" t="s">
        <v>1402</v>
      </c>
      <c r="E272" s="28">
        <v>235.4</v>
      </c>
      <c r="F272" s="28">
        <v>112.79</v>
      </c>
      <c r="G272" s="28" t="s">
        <v>2639</v>
      </c>
      <c r="H272" s="28">
        <v>280.45</v>
      </c>
      <c r="I272" s="30">
        <f t="shared" si="29"/>
        <v>9.5953497919639974E-3</v>
      </c>
      <c r="J272" s="30">
        <f t="shared" si="30"/>
        <v>3.7856191852174534E-3</v>
      </c>
      <c r="K272" s="30">
        <f t="shared" si="31"/>
        <v>6.0489032391345689E-4</v>
      </c>
      <c r="L272" s="30">
        <f t="shared" si="32"/>
        <v>1.8305872037578618E-2</v>
      </c>
      <c r="M272" s="30">
        <f t="shared" si="33"/>
        <v>2.9968496936053496E-2</v>
      </c>
      <c r="N272" s="30">
        <f t="shared" si="34"/>
        <v>-1.3968423310197434E-2</v>
      </c>
      <c r="O272" s="30">
        <f t="shared" si="35"/>
        <v>1.7807827361376715E-2</v>
      </c>
    </row>
    <row r="273" spans="1:15" s="30" customFormat="1">
      <c r="A273" s="27">
        <v>45709</v>
      </c>
      <c r="B273" s="28" t="s">
        <v>273</v>
      </c>
      <c r="C273" s="28">
        <v>491.25</v>
      </c>
      <c r="D273" s="28" t="s">
        <v>1467</v>
      </c>
      <c r="E273" s="28">
        <v>241.63</v>
      </c>
      <c r="F273" s="28">
        <v>108.02</v>
      </c>
      <c r="G273" s="28" t="s">
        <v>2640</v>
      </c>
      <c r="H273" s="28">
        <v>279.3</v>
      </c>
      <c r="I273" s="30">
        <f t="shared" si="29"/>
        <v>5.0624025696138471E-3</v>
      </c>
      <c r="J273" s="30">
        <f t="shared" si="30"/>
        <v>-2.3338751707018483E-2</v>
      </c>
      <c r="K273" s="30">
        <f t="shared" si="31"/>
        <v>3.0189753776569419E-3</v>
      </c>
      <c r="L273" s="30">
        <f t="shared" si="32"/>
        <v>2.6121435711186344E-2</v>
      </c>
      <c r="M273" s="30">
        <f t="shared" si="33"/>
        <v>-4.3211287487080426E-2</v>
      </c>
      <c r="N273" s="30">
        <f t="shared" si="34"/>
        <v>-5.1142391130153059E-3</v>
      </c>
      <c r="O273" s="30">
        <f t="shared" si="35"/>
        <v>-4.1089830032147627E-3</v>
      </c>
    </row>
    <row r="274" spans="1:15" s="30" customFormat="1">
      <c r="A274" s="27">
        <v>45708</v>
      </c>
      <c r="B274" s="28" t="s">
        <v>274</v>
      </c>
      <c r="C274" s="28">
        <v>492.05</v>
      </c>
      <c r="D274" s="28" t="s">
        <v>1468</v>
      </c>
      <c r="E274" s="28">
        <v>235.48</v>
      </c>
      <c r="F274" s="28">
        <v>110.42</v>
      </c>
      <c r="G274" s="28" t="s">
        <v>2641</v>
      </c>
      <c r="H274" s="28">
        <v>274.14999999999998</v>
      </c>
      <c r="I274" s="30">
        <f t="shared" si="29"/>
        <v>-3.7943972832063253E-3</v>
      </c>
      <c r="J274" s="30">
        <f t="shared" si="30"/>
        <v>1.6271741615234534E-3</v>
      </c>
      <c r="K274" s="30">
        <f t="shared" si="31"/>
        <v>1.1587218278677688E-3</v>
      </c>
      <c r="L274" s="30">
        <f t="shared" si="32"/>
        <v>-2.578164637730207E-2</v>
      </c>
      <c r="M274" s="30">
        <f t="shared" si="33"/>
        <v>2.1974881691153594E-2</v>
      </c>
      <c r="N274" s="30">
        <f t="shared" si="34"/>
        <v>9.8984998232258588E-3</v>
      </c>
      <c r="O274" s="30">
        <f t="shared" si="35"/>
        <v>-1.8611071101073726E-2</v>
      </c>
    </row>
    <row r="275" spans="1:15" s="30" customFormat="1">
      <c r="A275" s="27">
        <v>45707</v>
      </c>
      <c r="B275" s="28" t="s">
        <v>275</v>
      </c>
      <c r="C275" s="28">
        <v>489</v>
      </c>
      <c r="D275" s="28" t="s">
        <v>1469</v>
      </c>
      <c r="E275" s="28">
        <v>230.21</v>
      </c>
      <c r="F275" s="28">
        <v>110.27</v>
      </c>
      <c r="G275" s="28" t="s">
        <v>2642</v>
      </c>
      <c r="H275" s="28">
        <v>276.8</v>
      </c>
      <c r="I275" s="30">
        <f t="shared" si="29"/>
        <v>-4.4339054180503983E-3</v>
      </c>
      <c r="J275" s="30">
        <f t="shared" si="30"/>
        <v>-6.2178478701224796E-3</v>
      </c>
      <c r="K275" s="30">
        <f t="shared" si="31"/>
        <v>-8.980354887616282E-3</v>
      </c>
      <c r="L275" s="30">
        <f t="shared" si="32"/>
        <v>-2.2634048329255457E-2</v>
      </c>
      <c r="M275" s="30">
        <f t="shared" si="33"/>
        <v>-1.3593730853114839E-3</v>
      </c>
      <c r="N275" s="30">
        <f t="shared" si="34"/>
        <v>1.2152700154320478E-3</v>
      </c>
      <c r="O275" s="30">
        <f t="shared" si="35"/>
        <v>9.6198218934571769E-3</v>
      </c>
    </row>
    <row r="276" spans="1:15" s="30" customFormat="1">
      <c r="A276" s="27">
        <v>45706</v>
      </c>
      <c r="B276" s="28" t="s">
        <v>276</v>
      </c>
      <c r="C276" s="28">
        <v>491.95</v>
      </c>
      <c r="D276" s="28" t="s">
        <v>1470</v>
      </c>
      <c r="E276" s="28">
        <v>228.42</v>
      </c>
      <c r="F276" s="28">
        <v>109.35</v>
      </c>
      <c r="G276" s="28" t="s">
        <v>2643</v>
      </c>
      <c r="H276" s="28">
        <v>267.60000000000002</v>
      </c>
      <c r="I276" s="30">
        <f t="shared" si="29"/>
        <v>-6.7013650954294191E-4</v>
      </c>
      <c r="J276" s="30">
        <f t="shared" si="30"/>
        <v>6.0145958369023783E-3</v>
      </c>
      <c r="K276" s="30">
        <f t="shared" si="31"/>
        <v>-8.6373348317009616E-3</v>
      </c>
      <c r="L276" s="30">
        <f t="shared" si="32"/>
        <v>-7.8058962083441645E-3</v>
      </c>
      <c r="M276" s="30">
        <f t="shared" si="33"/>
        <v>-8.3781566478102597E-3</v>
      </c>
      <c r="N276" s="30">
        <f t="shared" si="34"/>
        <v>9.4738743573440087E-3</v>
      </c>
      <c r="O276" s="30">
        <f t="shared" si="35"/>
        <v>-3.3801895489441028E-2</v>
      </c>
    </row>
    <row r="277" spans="1:15" s="30" customFormat="1">
      <c r="A277" s="27">
        <v>45705</v>
      </c>
      <c r="B277" s="28" t="s">
        <v>277</v>
      </c>
      <c r="C277" s="28">
        <v>483.7</v>
      </c>
      <c r="D277" s="28" t="s">
        <v>1471</v>
      </c>
      <c r="E277" s="28">
        <v>229.73</v>
      </c>
      <c r="F277" s="28">
        <v>120.76</v>
      </c>
      <c r="G277" s="28" t="s">
        <v>2644</v>
      </c>
      <c r="H277" s="28">
        <v>270.5</v>
      </c>
      <c r="I277" s="30">
        <f t="shared" si="29"/>
        <v>5.9040597484355407E-3</v>
      </c>
      <c r="J277" s="30">
        <f t="shared" si="30"/>
        <v>-1.6912205482836951E-2</v>
      </c>
      <c r="K277" s="30">
        <f t="shared" si="31"/>
        <v>1.5531022759210904E-2</v>
      </c>
      <c r="L277" s="30">
        <f t="shared" si="32"/>
        <v>5.7186666816186754E-3</v>
      </c>
      <c r="M277" s="30">
        <f t="shared" si="33"/>
        <v>9.925135771586123E-2</v>
      </c>
      <c r="N277" s="30">
        <f t="shared" si="34"/>
        <v>5.3992572223728651E-3</v>
      </c>
      <c r="O277" s="30">
        <f t="shared" si="35"/>
        <v>1.077877003246273E-2</v>
      </c>
    </row>
    <row r="278" spans="1:15" s="30" customFormat="1">
      <c r="A278" s="27">
        <v>45702</v>
      </c>
      <c r="B278" s="28" t="s">
        <v>260</v>
      </c>
      <c r="C278" s="28">
        <v>478.3</v>
      </c>
      <c r="D278" s="28" t="s">
        <v>1472</v>
      </c>
      <c r="E278" s="28">
        <v>231.4</v>
      </c>
      <c r="F278" s="28">
        <v>119.23</v>
      </c>
      <c r="G278" s="28" t="s">
        <v>2645</v>
      </c>
      <c r="H278" s="28">
        <v>285.75</v>
      </c>
      <c r="I278" s="30">
        <f t="shared" si="29"/>
        <v>-8.7235473957277716E-3</v>
      </c>
      <c r="J278" s="30">
        <f t="shared" si="30"/>
        <v>-1.1226729142686208E-2</v>
      </c>
      <c r="K278" s="30">
        <f t="shared" si="31"/>
        <v>7.9523281904950154E-3</v>
      </c>
      <c r="L278" s="30">
        <f t="shared" si="32"/>
        <v>7.2431084554967573E-3</v>
      </c>
      <c r="M278" s="30">
        <f t="shared" si="33"/>
        <v>-1.2750704020597426E-2</v>
      </c>
      <c r="N278" s="30">
        <f t="shared" si="34"/>
        <v>-2.8338415231631203E-2</v>
      </c>
      <c r="O278" s="30">
        <f t="shared" si="35"/>
        <v>5.4845204388383764E-2</v>
      </c>
    </row>
    <row r="279" spans="1:15" s="30" customFormat="1">
      <c r="A279" s="27">
        <v>45701</v>
      </c>
      <c r="B279" s="28" t="s">
        <v>278</v>
      </c>
      <c r="C279" s="28">
        <v>485.25</v>
      </c>
      <c r="D279" s="28" t="s">
        <v>1473</v>
      </c>
      <c r="E279" s="28">
        <v>234.71</v>
      </c>
      <c r="F279" s="28">
        <v>123.44</v>
      </c>
      <c r="G279" s="28" t="s">
        <v>2646</v>
      </c>
      <c r="H279" s="28">
        <v>301.60000000000002</v>
      </c>
      <c r="I279" s="30">
        <f t="shared" si="29"/>
        <v>2.2830549120327129E-3</v>
      </c>
      <c r="J279" s="30">
        <f t="shared" si="30"/>
        <v>1.4426071362868456E-2</v>
      </c>
      <c r="K279" s="30">
        <f t="shared" si="31"/>
        <v>1.7574342536921896E-2</v>
      </c>
      <c r="L279" s="30">
        <f t="shared" si="32"/>
        <v>1.4202894773874182E-2</v>
      </c>
      <c r="M279" s="30">
        <f t="shared" si="33"/>
        <v>3.4700807236864646E-2</v>
      </c>
      <c r="N279" s="30">
        <f t="shared" si="34"/>
        <v>1.0134963281301323E-2</v>
      </c>
      <c r="O279" s="30">
        <f t="shared" si="35"/>
        <v>5.3984333458881095E-2</v>
      </c>
    </row>
    <row r="280" spans="1:15" s="30" customFormat="1">
      <c r="A280" s="27">
        <v>45700</v>
      </c>
      <c r="B280" s="28" t="s">
        <v>279</v>
      </c>
      <c r="C280" s="28">
        <v>484.7</v>
      </c>
      <c r="D280" s="28" t="s">
        <v>1474</v>
      </c>
      <c r="E280" s="28">
        <v>233.88</v>
      </c>
      <c r="F280" s="28">
        <v>118.75</v>
      </c>
      <c r="G280" s="28" t="s">
        <v>2647</v>
      </c>
      <c r="H280" s="28">
        <v>292.95</v>
      </c>
      <c r="I280" s="30">
        <f t="shared" si="29"/>
        <v>-3.6509061416635175E-3</v>
      </c>
      <c r="J280" s="30">
        <f t="shared" si="30"/>
        <v>-1.1340791977893976E-3</v>
      </c>
      <c r="K280" s="30">
        <f t="shared" si="31"/>
        <v>2.7623970276088261E-2</v>
      </c>
      <c r="L280" s="30">
        <f t="shared" si="32"/>
        <v>-3.542546225980798E-3</v>
      </c>
      <c r="M280" s="30">
        <f t="shared" si="33"/>
        <v>-3.8734765140154781E-2</v>
      </c>
      <c r="N280" s="30">
        <f t="shared" si="34"/>
        <v>4.1663681329700962E-2</v>
      </c>
      <c r="O280" s="30">
        <f t="shared" si="35"/>
        <v>-2.9099690143003461E-2</v>
      </c>
    </row>
    <row r="281" spans="1:15" s="30" customFormat="1">
      <c r="A281" s="27">
        <v>45699</v>
      </c>
      <c r="B281" s="28" t="s">
        <v>280</v>
      </c>
      <c r="C281" s="28">
        <v>475.9</v>
      </c>
      <c r="D281" s="28" t="s">
        <v>1387</v>
      </c>
      <c r="E281" s="28">
        <v>238.56</v>
      </c>
      <c r="F281" s="28">
        <v>126.12</v>
      </c>
      <c r="G281" s="28" t="s">
        <v>2648</v>
      </c>
      <c r="H281" s="28">
        <v>276.10000000000002</v>
      </c>
      <c r="I281" s="30">
        <f t="shared" si="29"/>
        <v>5.6387341456093001E-3</v>
      </c>
      <c r="J281" s="30">
        <f t="shared" si="30"/>
        <v>-1.8322394724265525E-2</v>
      </c>
      <c r="K281" s="30">
        <f t="shared" si="31"/>
        <v>2.2845455413063848E-2</v>
      </c>
      <c r="L281" s="30">
        <f t="shared" si="32"/>
        <v>1.981268770895863E-2</v>
      </c>
      <c r="M281" s="30">
        <f t="shared" si="33"/>
        <v>6.0213391762109457E-2</v>
      </c>
      <c r="N281" s="30">
        <f t="shared" si="34"/>
        <v>1.4922511617375072E-2</v>
      </c>
      <c r="O281" s="30">
        <f t="shared" si="35"/>
        <v>-5.923882705468874E-2</v>
      </c>
    </row>
    <row r="282" spans="1:15" s="30" customFormat="1">
      <c r="A282" s="27">
        <v>45698</v>
      </c>
      <c r="B282" s="28" t="s">
        <v>281</v>
      </c>
      <c r="C282" s="28">
        <v>484.8</v>
      </c>
      <c r="D282" s="28" t="s">
        <v>1475</v>
      </c>
      <c r="E282" s="28">
        <v>242.46</v>
      </c>
      <c r="F282" s="28">
        <v>134.19999999999999</v>
      </c>
      <c r="G282" s="28" t="s">
        <v>2649</v>
      </c>
      <c r="H282" s="28">
        <v>299.7</v>
      </c>
      <c r="I282" s="30">
        <f t="shared" si="29"/>
        <v>1.2990650431026207E-2</v>
      </c>
      <c r="J282" s="30">
        <f t="shared" si="30"/>
        <v>1.8528686628039984E-2</v>
      </c>
      <c r="K282" s="30">
        <f t="shared" si="31"/>
        <v>6.592501433854725E-2</v>
      </c>
      <c r="L282" s="30">
        <f t="shared" si="32"/>
        <v>1.6215897302008977E-2</v>
      </c>
      <c r="M282" s="30">
        <f t="shared" si="33"/>
        <v>6.2097389860721178E-2</v>
      </c>
      <c r="N282" s="30">
        <f t="shared" si="34"/>
        <v>4.2966170409493479E-2</v>
      </c>
      <c r="O282" s="30">
        <f t="shared" si="35"/>
        <v>8.2018855386508716E-2</v>
      </c>
    </row>
    <row r="283" spans="1:15" s="30" customFormat="1">
      <c r="A283" s="27">
        <v>45695</v>
      </c>
      <c r="B283" s="28" t="s">
        <v>282</v>
      </c>
      <c r="C283" s="28">
        <v>479.35</v>
      </c>
      <c r="D283" s="28" t="s">
        <v>1476</v>
      </c>
      <c r="E283" s="28">
        <v>248.98</v>
      </c>
      <c r="F283" s="28">
        <v>135.62</v>
      </c>
      <c r="G283" s="28" t="s">
        <v>2650</v>
      </c>
      <c r="H283" s="28">
        <v>303.95</v>
      </c>
      <c r="I283" s="30">
        <f t="shared" si="29"/>
        <v>3.7435451809630037E-4</v>
      </c>
      <c r="J283" s="30">
        <f t="shared" si="30"/>
        <v>-1.1305415232099105E-2</v>
      </c>
      <c r="K283" s="30">
        <f t="shared" si="31"/>
        <v>1.105514743927054E-2</v>
      </c>
      <c r="L283" s="30">
        <f t="shared" si="32"/>
        <v>2.6535823635202602E-2</v>
      </c>
      <c r="M283" s="30">
        <f t="shared" si="33"/>
        <v>1.0525632718114672E-2</v>
      </c>
      <c r="N283" s="30">
        <f t="shared" si="34"/>
        <v>-1.6422291080823454E-3</v>
      </c>
      <c r="O283" s="30">
        <f t="shared" si="35"/>
        <v>1.408123987211404E-2</v>
      </c>
    </row>
    <row r="284" spans="1:15" s="30" customFormat="1">
      <c r="A284" s="27">
        <v>45694</v>
      </c>
      <c r="B284" s="28" t="s">
        <v>283</v>
      </c>
      <c r="C284" s="28">
        <v>476</v>
      </c>
      <c r="D284" s="28" t="s">
        <v>1477</v>
      </c>
      <c r="E284" s="28">
        <v>254.22</v>
      </c>
      <c r="F284" s="28">
        <v>135.13</v>
      </c>
      <c r="G284" s="28" t="s">
        <v>2651</v>
      </c>
      <c r="H284" s="28">
        <v>303.39999999999998</v>
      </c>
      <c r="I284" s="30">
        <f t="shared" si="29"/>
        <v>-3.3521555737171648E-3</v>
      </c>
      <c r="J284" s="30">
        <f t="shared" si="30"/>
        <v>-7.0131652915856411E-3</v>
      </c>
      <c r="K284" s="30">
        <f t="shared" si="31"/>
        <v>1.5455158516442255E-2</v>
      </c>
      <c r="L284" s="30">
        <f t="shared" si="32"/>
        <v>2.0827461912883018E-2</v>
      </c>
      <c r="M284" s="30">
        <f t="shared" si="33"/>
        <v>-3.6195792057014502E-3</v>
      </c>
      <c r="N284" s="30">
        <f t="shared" si="34"/>
        <v>3.6121030808412935E-3</v>
      </c>
      <c r="O284" s="30">
        <f t="shared" si="35"/>
        <v>-1.8111472802996684E-3</v>
      </c>
    </row>
    <row r="285" spans="1:15" s="30" customFormat="1">
      <c r="A285" s="27">
        <v>45693</v>
      </c>
      <c r="B285" s="28" t="s">
        <v>284</v>
      </c>
      <c r="C285" s="28">
        <v>479.05</v>
      </c>
      <c r="D285" s="28" t="s">
        <v>1478</v>
      </c>
      <c r="E285" s="28">
        <v>245.16</v>
      </c>
      <c r="F285" s="28">
        <v>139.02000000000001</v>
      </c>
      <c r="G285" s="28" t="s">
        <v>2652</v>
      </c>
      <c r="H285" s="28">
        <v>303.64999999999998</v>
      </c>
      <c r="I285" s="30">
        <f t="shared" si="29"/>
        <v>5.1998530770804062E-3</v>
      </c>
      <c r="J285" s="30">
        <f t="shared" si="30"/>
        <v>6.3871218654623198E-3</v>
      </c>
      <c r="K285" s="30">
        <f t="shared" si="31"/>
        <v>-4.4420931191465011E-3</v>
      </c>
      <c r="L285" s="30">
        <f t="shared" si="32"/>
        <v>-3.6288975248991891E-2</v>
      </c>
      <c r="M285" s="30">
        <f t="shared" si="33"/>
        <v>2.8380529622345264E-2</v>
      </c>
      <c r="N285" s="30">
        <f t="shared" si="34"/>
        <v>2.8316129687573313E-2</v>
      </c>
      <c r="O285" s="30">
        <f t="shared" si="35"/>
        <v>8.2365542915241116E-4</v>
      </c>
    </row>
    <row r="286" spans="1:15" s="30" customFormat="1">
      <c r="A286" s="27">
        <v>45692</v>
      </c>
      <c r="B286" s="28" t="s">
        <v>285</v>
      </c>
      <c r="C286" s="28">
        <v>489.4</v>
      </c>
      <c r="D286" s="28" t="s">
        <v>1479</v>
      </c>
      <c r="E286" s="28">
        <v>247.66</v>
      </c>
      <c r="F286" s="28">
        <v>136.43</v>
      </c>
      <c r="G286" s="28" t="s">
        <v>2653</v>
      </c>
      <c r="H286" s="28">
        <v>307.95</v>
      </c>
      <c r="I286" s="30">
        <f t="shared" si="29"/>
        <v>3.4196720251673154E-2</v>
      </c>
      <c r="J286" s="30">
        <f t="shared" si="30"/>
        <v>2.1375174911688836E-2</v>
      </c>
      <c r="K286" s="30">
        <f t="shared" si="31"/>
        <v>9.8793339196597621E-3</v>
      </c>
      <c r="L286" s="30">
        <f t="shared" si="32"/>
        <v>1.0145779169421467E-2</v>
      </c>
      <c r="M286" s="30">
        <f t="shared" si="33"/>
        <v>-1.8806145097557063E-2</v>
      </c>
      <c r="N286" s="30">
        <f t="shared" si="34"/>
        <v>1.2245457985428145E-2</v>
      </c>
      <c r="O286" s="30">
        <f t="shared" si="35"/>
        <v>1.4061709789468021E-2</v>
      </c>
    </row>
    <row r="287" spans="1:15" s="30" customFormat="1">
      <c r="A287" s="27">
        <v>45691</v>
      </c>
      <c r="B287" s="28" t="s">
        <v>286</v>
      </c>
      <c r="C287" s="28">
        <v>485.5</v>
      </c>
      <c r="D287" s="28" t="s">
        <v>1480</v>
      </c>
      <c r="E287" s="28">
        <v>245.18</v>
      </c>
      <c r="F287" s="28">
        <v>138.1</v>
      </c>
      <c r="G287" s="28" t="s">
        <v>2654</v>
      </c>
      <c r="H287" s="28">
        <v>306.10000000000002</v>
      </c>
      <c r="I287" s="30">
        <f t="shared" si="29"/>
        <v>-2.6730812930584595E-2</v>
      </c>
      <c r="J287" s="30">
        <f t="shared" si="30"/>
        <v>-8.0008632771916451E-3</v>
      </c>
      <c r="K287" s="30">
        <f t="shared" si="31"/>
        <v>-1.4024703956998365E-2</v>
      </c>
      <c r="L287" s="30">
        <f t="shared" si="32"/>
        <v>-1.006420312010433E-2</v>
      </c>
      <c r="M287" s="30">
        <f t="shared" si="33"/>
        <v>1.2166397840463552E-2</v>
      </c>
      <c r="N287" s="30">
        <f t="shared" si="34"/>
        <v>9.2732708382574566E-3</v>
      </c>
      <c r="O287" s="30">
        <f t="shared" si="35"/>
        <v>-6.0255861816852921E-3</v>
      </c>
    </row>
    <row r="288" spans="1:15" s="30" customFormat="1">
      <c r="A288" s="27">
        <v>45689</v>
      </c>
      <c r="B288" s="28" t="s">
        <v>287</v>
      </c>
      <c r="C288" s="28">
        <v>492.15</v>
      </c>
      <c r="D288" s="28" t="s">
        <v>1481</v>
      </c>
      <c r="E288" s="28">
        <v>240.03</v>
      </c>
      <c r="F288" s="28">
        <v>136.02000000000001</v>
      </c>
      <c r="G288" s="28" t="s">
        <v>2655</v>
      </c>
      <c r="H288" s="28">
        <v>316.14999999999998</v>
      </c>
      <c r="I288" s="30">
        <f t="shared" si="29"/>
        <v>2.5370702211933445E-2</v>
      </c>
      <c r="J288" s="30">
        <f t="shared" si="30"/>
        <v>1.3604260343840768E-2</v>
      </c>
      <c r="K288" s="30">
        <f t="shared" si="31"/>
        <v>1.1172861024063768E-2</v>
      </c>
      <c r="L288" s="30">
        <f t="shared" si="32"/>
        <v>-2.12287191367059E-2</v>
      </c>
      <c r="M288" s="30">
        <f t="shared" si="33"/>
        <v>-1.5176126667753713E-2</v>
      </c>
      <c r="N288" s="30">
        <f t="shared" si="34"/>
        <v>-5.7774787140618929E-3</v>
      </c>
      <c r="O288" s="30">
        <f t="shared" si="35"/>
        <v>3.2304938553255155E-2</v>
      </c>
    </row>
    <row r="289" spans="1:15" s="30" customFormat="1">
      <c r="A289" s="27">
        <v>45688</v>
      </c>
      <c r="B289" s="28" t="s">
        <v>288</v>
      </c>
      <c r="C289" s="28">
        <v>472.75</v>
      </c>
      <c r="D289" s="28" t="s">
        <v>1482</v>
      </c>
      <c r="E289" s="28">
        <v>233.1</v>
      </c>
      <c r="F289" s="28">
        <v>139.21</v>
      </c>
      <c r="G289" s="28" t="s">
        <v>2656</v>
      </c>
      <c r="H289" s="28">
        <v>315</v>
      </c>
      <c r="I289" s="30">
        <f t="shared" si="29"/>
        <v>-2.1647681615215943E-2</v>
      </c>
      <c r="J289" s="30">
        <f t="shared" si="30"/>
        <v>-4.0216840536653441E-2</v>
      </c>
      <c r="K289" s="30">
        <f t="shared" si="31"/>
        <v>-8.525736742682314E-3</v>
      </c>
      <c r="L289" s="30">
        <f t="shared" si="32"/>
        <v>-2.9296369488430823E-2</v>
      </c>
      <c r="M289" s="30">
        <f t="shared" si="33"/>
        <v>2.3181650652983162E-2</v>
      </c>
      <c r="N289" s="30">
        <f t="shared" si="34"/>
        <v>-2.3203701907324467E-3</v>
      </c>
      <c r="O289" s="30">
        <f t="shared" si="35"/>
        <v>-3.6441456789890305E-3</v>
      </c>
    </row>
    <row r="290" spans="1:15" s="30" customFormat="1">
      <c r="A290" s="27">
        <v>45687</v>
      </c>
      <c r="B290" s="28" t="s">
        <v>289</v>
      </c>
      <c r="C290" s="28">
        <v>475.85</v>
      </c>
      <c r="D290" s="28" t="s">
        <v>1483</v>
      </c>
      <c r="E290" s="28">
        <v>235.35</v>
      </c>
      <c r="F290" s="28">
        <v>135.18</v>
      </c>
      <c r="G290" s="28" t="s">
        <v>2657</v>
      </c>
      <c r="H290" s="28">
        <v>313.14999999999998</v>
      </c>
      <c r="I290" s="30">
        <f t="shared" si="29"/>
        <v>-2.2393341217249479E-2</v>
      </c>
      <c r="J290" s="30">
        <f t="shared" si="30"/>
        <v>6.5359709797856696E-3</v>
      </c>
      <c r="K290" s="30">
        <f t="shared" si="31"/>
        <v>-8.8776740320174533E-3</v>
      </c>
      <c r="L290" s="30">
        <f t="shared" si="32"/>
        <v>9.6062218054399334E-3</v>
      </c>
      <c r="M290" s="30">
        <f t="shared" si="33"/>
        <v>-2.9376360728267815E-2</v>
      </c>
      <c r="N290" s="30">
        <f t="shared" si="34"/>
        <v>-9.4023170529410581E-3</v>
      </c>
      <c r="O290" s="30">
        <f t="shared" si="35"/>
        <v>-5.8903298542112474E-3</v>
      </c>
    </row>
    <row r="291" spans="1:15" s="30" customFormat="1">
      <c r="A291" s="27">
        <v>45686</v>
      </c>
      <c r="B291" s="28" t="s">
        <v>290</v>
      </c>
      <c r="C291" s="28">
        <v>458.8</v>
      </c>
      <c r="D291" s="28" t="s">
        <v>1484</v>
      </c>
      <c r="E291" s="28">
        <v>237.45</v>
      </c>
      <c r="F291" s="28">
        <v>135.46</v>
      </c>
      <c r="G291" s="28" t="s">
        <v>2658</v>
      </c>
      <c r="H291" s="28">
        <v>309.55</v>
      </c>
      <c r="I291" s="30">
        <f t="shared" si="29"/>
        <v>-1.1938438238444329E-2</v>
      </c>
      <c r="J291" s="30">
        <f t="shared" si="30"/>
        <v>-3.6488293263136795E-2</v>
      </c>
      <c r="K291" s="30">
        <f t="shared" si="31"/>
        <v>-3.6485603475051753E-2</v>
      </c>
      <c r="L291" s="30">
        <f t="shared" si="32"/>
        <v>8.8833071479794776E-3</v>
      </c>
      <c r="M291" s="30">
        <f t="shared" si="33"/>
        <v>2.0691701145495473E-3</v>
      </c>
      <c r="N291" s="30">
        <f t="shared" si="34"/>
        <v>-3.1275596262457885E-2</v>
      </c>
      <c r="O291" s="30">
        <f t="shared" si="35"/>
        <v>-1.1562679006180581E-2</v>
      </c>
    </row>
    <row r="292" spans="1:15" s="30" customFormat="1">
      <c r="A292" s="27">
        <v>45685</v>
      </c>
      <c r="B292" s="28" t="s">
        <v>291</v>
      </c>
      <c r="C292" s="28">
        <v>472.75</v>
      </c>
      <c r="D292" s="28" t="s">
        <v>1485</v>
      </c>
      <c r="E292" s="28">
        <v>231.55</v>
      </c>
      <c r="F292" s="28">
        <v>124.31</v>
      </c>
      <c r="G292" s="28" t="s">
        <v>2659</v>
      </c>
      <c r="H292" s="28">
        <v>295.10000000000002</v>
      </c>
      <c r="I292" s="30">
        <f t="shared" si="29"/>
        <v>8.3540055159613356E-3</v>
      </c>
      <c r="J292" s="30">
        <f t="shared" si="30"/>
        <v>2.9952322283351325E-2</v>
      </c>
      <c r="K292" s="30">
        <f t="shared" si="31"/>
        <v>-1.3091096046879453E-2</v>
      </c>
      <c r="L292" s="30">
        <f t="shared" si="32"/>
        <v>-2.5161242068369789E-2</v>
      </c>
      <c r="M292" s="30">
        <f t="shared" si="33"/>
        <v>-8.5897947983133549E-2</v>
      </c>
      <c r="N292" s="30">
        <f t="shared" si="34"/>
        <v>5.4987352922766743E-5</v>
      </c>
      <c r="O292" s="30">
        <f t="shared" si="35"/>
        <v>-4.7805348016347338E-2</v>
      </c>
    </row>
    <row r="293" spans="1:15" s="30" customFormat="1">
      <c r="A293" s="27">
        <v>45684</v>
      </c>
      <c r="B293" s="28" t="s">
        <v>292</v>
      </c>
      <c r="C293" s="28">
        <v>480</v>
      </c>
      <c r="D293" s="28" t="s">
        <v>1486</v>
      </c>
      <c r="E293" s="28">
        <v>237.95</v>
      </c>
      <c r="F293" s="28">
        <v>127.44</v>
      </c>
      <c r="G293" s="28" t="s">
        <v>2660</v>
      </c>
      <c r="H293" s="28">
        <v>298.7</v>
      </c>
      <c r="I293" s="30">
        <f t="shared" si="29"/>
        <v>4.317546154631334E-3</v>
      </c>
      <c r="J293" s="30">
        <f t="shared" si="30"/>
        <v>1.5219396363369846E-2</v>
      </c>
      <c r="K293" s="30">
        <f t="shared" si="31"/>
        <v>8.3629526095128459E-4</v>
      </c>
      <c r="L293" s="30">
        <f t="shared" si="32"/>
        <v>2.7264734640358508E-2</v>
      </c>
      <c r="M293" s="30">
        <f t="shared" si="33"/>
        <v>2.4867219798169089E-2</v>
      </c>
      <c r="N293" s="30">
        <f t="shared" si="34"/>
        <v>4.0649324072373171E-2</v>
      </c>
      <c r="O293" s="30">
        <f t="shared" si="35"/>
        <v>1.2125443273170363E-2</v>
      </c>
    </row>
    <row r="294" spans="1:15" s="30" customFormat="1">
      <c r="A294" s="27">
        <v>45681</v>
      </c>
      <c r="B294" s="28" t="s">
        <v>293</v>
      </c>
      <c r="C294" s="28">
        <v>480.1</v>
      </c>
      <c r="D294" s="28" t="s">
        <v>1487</v>
      </c>
      <c r="E294" s="28">
        <v>242.1</v>
      </c>
      <c r="F294" s="28">
        <v>131.97999999999999</v>
      </c>
      <c r="G294" s="28" t="s">
        <v>2661</v>
      </c>
      <c r="H294" s="28">
        <v>309.5</v>
      </c>
      <c r="I294" s="30">
        <f t="shared" si="29"/>
        <v>4.8295359606273704E-3</v>
      </c>
      <c r="J294" s="30">
        <f t="shared" si="30"/>
        <v>2.0831163495808793E-4</v>
      </c>
      <c r="K294" s="30">
        <f t="shared" si="31"/>
        <v>2.5502743860652873E-2</v>
      </c>
      <c r="L294" s="30">
        <f t="shared" si="32"/>
        <v>1.7290296376893378E-2</v>
      </c>
      <c r="M294" s="30">
        <f t="shared" si="33"/>
        <v>3.5004730353482359E-2</v>
      </c>
      <c r="N294" s="30">
        <f t="shared" si="34"/>
        <v>1.6818337302072779E-2</v>
      </c>
      <c r="O294" s="30">
        <f t="shared" si="35"/>
        <v>3.551836690258673E-2</v>
      </c>
    </row>
    <row r="295" spans="1:15" s="30" customFormat="1">
      <c r="A295" s="27">
        <v>45680</v>
      </c>
      <c r="B295" s="28" t="s">
        <v>294</v>
      </c>
      <c r="C295" s="28">
        <v>480.35</v>
      </c>
      <c r="D295" s="28" t="s">
        <v>1488</v>
      </c>
      <c r="E295" s="28">
        <v>241.15</v>
      </c>
      <c r="F295" s="28">
        <v>132.19</v>
      </c>
      <c r="G295" s="28" t="s">
        <v>2662</v>
      </c>
      <c r="H295" s="28">
        <v>311.3</v>
      </c>
      <c r="I295" s="30">
        <f t="shared" si="29"/>
        <v>6.1470862801324818E-3</v>
      </c>
      <c r="J295" s="30">
        <f t="shared" si="30"/>
        <v>5.2058931885284995E-4</v>
      </c>
      <c r="K295" s="30">
        <f t="shared" si="31"/>
        <v>2.6060106669864871E-2</v>
      </c>
      <c r="L295" s="30">
        <f t="shared" si="32"/>
        <v>-3.9317174290318677E-3</v>
      </c>
      <c r="M295" s="30">
        <f t="shared" si="33"/>
        <v>1.5898856360328261E-3</v>
      </c>
      <c r="N295" s="30">
        <f t="shared" si="34"/>
        <v>-1.9580715230844467E-2</v>
      </c>
      <c r="O295" s="30">
        <f t="shared" si="35"/>
        <v>5.798985322911788E-3</v>
      </c>
    </row>
    <row r="296" spans="1:15" s="30" customFormat="1">
      <c r="A296" s="27">
        <v>45679</v>
      </c>
      <c r="B296" s="28" t="s">
        <v>14</v>
      </c>
      <c r="C296" s="28">
        <v>476.05</v>
      </c>
      <c r="D296" s="28" t="s">
        <v>1489</v>
      </c>
      <c r="E296" s="28">
        <v>242.35</v>
      </c>
      <c r="F296" s="28">
        <v>133.24</v>
      </c>
      <c r="G296" s="28" t="s">
        <v>2663</v>
      </c>
      <c r="H296" s="28">
        <v>313.60000000000002</v>
      </c>
      <c r="I296" s="30">
        <f t="shared" si="29"/>
        <v>-6.2796976185963546E-3</v>
      </c>
      <c r="J296" s="30">
        <f t="shared" si="30"/>
        <v>-8.9921141240471413E-3</v>
      </c>
      <c r="K296" s="30">
        <f t="shared" si="31"/>
        <v>-8.1310982482227286E-3</v>
      </c>
      <c r="L296" s="30">
        <f t="shared" si="32"/>
        <v>4.9638157764039957E-3</v>
      </c>
      <c r="M296" s="30">
        <f t="shared" si="33"/>
        <v>7.9117317341707658E-3</v>
      </c>
      <c r="N296" s="30">
        <f t="shared" si="34"/>
        <v>-1.3847000438261377E-2</v>
      </c>
      <c r="O296" s="30">
        <f t="shared" si="35"/>
        <v>7.3612110286903698E-3</v>
      </c>
    </row>
    <row r="297" spans="1:15" s="30" customFormat="1">
      <c r="A297" s="27">
        <v>45678</v>
      </c>
      <c r="B297" s="28" t="s">
        <v>295</v>
      </c>
      <c r="C297" s="28">
        <v>475.2</v>
      </c>
      <c r="D297" s="28" t="s">
        <v>1490</v>
      </c>
      <c r="E297" s="28">
        <v>246</v>
      </c>
      <c r="F297" s="28">
        <v>129.08000000000001</v>
      </c>
      <c r="G297" s="28" t="s">
        <v>2664</v>
      </c>
      <c r="H297" s="28">
        <v>313.89999999999998</v>
      </c>
      <c r="I297" s="30">
        <f t="shared" si="29"/>
        <v>-7.7391683151670861E-4</v>
      </c>
      <c r="J297" s="30">
        <f t="shared" si="30"/>
        <v>-1.7871226832652078E-3</v>
      </c>
      <c r="K297" s="30">
        <f t="shared" si="31"/>
        <v>-1.1212110252377594E-3</v>
      </c>
      <c r="L297" s="30">
        <f t="shared" si="32"/>
        <v>1.494857364097779E-2</v>
      </c>
      <c r="M297" s="30">
        <f t="shared" si="33"/>
        <v>-3.1719646141717753E-2</v>
      </c>
      <c r="N297" s="30">
        <f t="shared" si="34"/>
        <v>2.296420302375788E-2</v>
      </c>
      <c r="O297" s="30">
        <f t="shared" si="35"/>
        <v>9.5617537165486853E-4</v>
      </c>
    </row>
    <row r="298" spans="1:15" s="30" customFormat="1">
      <c r="A298" s="27">
        <v>45677</v>
      </c>
      <c r="B298" s="28" t="s">
        <v>296</v>
      </c>
      <c r="C298" s="28">
        <v>468.5</v>
      </c>
      <c r="D298" s="28" t="s">
        <v>1491</v>
      </c>
      <c r="E298" s="28">
        <v>244.45</v>
      </c>
      <c r="F298" s="28">
        <v>128.24</v>
      </c>
      <c r="G298" s="28" t="s">
        <v>2665</v>
      </c>
      <c r="H298" s="28">
        <v>313.85000000000002</v>
      </c>
      <c r="I298" s="30">
        <f t="shared" si="29"/>
        <v>8.8969733955761611E-3</v>
      </c>
      <c r="J298" s="30">
        <f t="shared" si="30"/>
        <v>-1.4199666369958249E-2</v>
      </c>
      <c r="K298" s="30">
        <f t="shared" si="31"/>
        <v>3.2001307361188085E-3</v>
      </c>
      <c r="L298" s="30">
        <f t="shared" si="32"/>
        <v>-6.3207469077082856E-3</v>
      </c>
      <c r="M298" s="30">
        <f t="shared" si="33"/>
        <v>-6.5288588824635556E-3</v>
      </c>
      <c r="N298" s="30">
        <f t="shared" si="34"/>
        <v>1.280991212995229E-2</v>
      </c>
      <c r="O298" s="30">
        <f t="shared" si="35"/>
        <v>-1.5929908436694863E-4</v>
      </c>
    </row>
    <row r="299" spans="1:15" s="30" customFormat="1">
      <c r="A299" s="27">
        <v>45674</v>
      </c>
      <c r="B299" s="28" t="s">
        <v>297</v>
      </c>
      <c r="C299" s="28">
        <v>468.8</v>
      </c>
      <c r="D299" s="28" t="s">
        <v>1492</v>
      </c>
      <c r="E299" s="28">
        <v>244.2</v>
      </c>
      <c r="F299" s="28">
        <v>132.51</v>
      </c>
      <c r="G299" s="28" t="s">
        <v>2666</v>
      </c>
      <c r="H299" s="28">
        <v>321.5</v>
      </c>
      <c r="I299" s="30">
        <f t="shared" si="29"/>
        <v>-8.6094486498794701E-3</v>
      </c>
      <c r="J299" s="30">
        <f t="shared" si="30"/>
        <v>6.4013658432604591E-4</v>
      </c>
      <c r="K299" s="30">
        <f t="shared" si="31"/>
        <v>-1.9071236215291443E-2</v>
      </c>
      <c r="L299" s="30">
        <f t="shared" si="32"/>
        <v>-1.0232273480503052E-3</v>
      </c>
      <c r="M299" s="30">
        <f t="shared" si="33"/>
        <v>3.2754605975247174E-2</v>
      </c>
      <c r="N299" s="30">
        <f t="shared" si="34"/>
        <v>-5.4140859189036787E-3</v>
      </c>
      <c r="O299" s="30">
        <f t="shared" si="35"/>
        <v>2.4082378914133167E-2</v>
      </c>
    </row>
    <row r="300" spans="1:15" s="30" customFormat="1">
      <c r="A300" s="27">
        <v>45673</v>
      </c>
      <c r="B300" s="28" t="s">
        <v>298</v>
      </c>
      <c r="C300" s="28">
        <v>464.8</v>
      </c>
      <c r="D300" s="28" t="s">
        <v>1493</v>
      </c>
      <c r="E300" s="28">
        <v>243.25</v>
      </c>
      <c r="F300" s="28">
        <v>134.15</v>
      </c>
      <c r="G300" s="28" t="s">
        <v>2667</v>
      </c>
      <c r="H300" s="28">
        <v>322.10000000000002</v>
      </c>
      <c r="I300" s="30">
        <f t="shared" si="29"/>
        <v>-2.0283946119021106E-2</v>
      </c>
      <c r="J300" s="30">
        <f t="shared" si="30"/>
        <v>-8.5690327251014033E-3</v>
      </c>
      <c r="K300" s="30">
        <f t="shared" si="31"/>
        <v>1.7592448551468711E-2</v>
      </c>
      <c r="L300" s="30">
        <f t="shared" si="32"/>
        <v>-3.8978406104898523E-3</v>
      </c>
      <c r="M300" s="30">
        <f t="shared" si="33"/>
        <v>1.2300462595088378E-2</v>
      </c>
      <c r="N300" s="30">
        <f t="shared" si="34"/>
        <v>-2.543364711624696E-2</v>
      </c>
      <c r="O300" s="30">
        <f t="shared" si="35"/>
        <v>1.864512659479087E-3</v>
      </c>
    </row>
    <row r="301" spans="1:15" s="30" customFormat="1">
      <c r="A301" s="27">
        <v>45672</v>
      </c>
      <c r="B301" s="28" t="s">
        <v>299</v>
      </c>
      <c r="C301" s="28">
        <v>464.4</v>
      </c>
      <c r="D301" s="28" t="s">
        <v>1487</v>
      </c>
      <c r="E301" s="28">
        <v>243</v>
      </c>
      <c r="F301" s="28">
        <v>127.53</v>
      </c>
      <c r="G301" s="28" t="s">
        <v>2668</v>
      </c>
      <c r="H301" s="28">
        <v>320.10000000000002</v>
      </c>
      <c r="I301" s="30">
        <f t="shared" si="29"/>
        <v>6.3438000973759416E-3</v>
      </c>
      <c r="J301" s="30">
        <f t="shared" si="30"/>
        <v>-8.6095571396508275E-4</v>
      </c>
      <c r="K301" s="30">
        <f t="shared" si="31"/>
        <v>-1.8529140468700377E-2</v>
      </c>
      <c r="L301" s="30">
        <f t="shared" si="32"/>
        <v>-1.0282777255659324E-3</v>
      </c>
      <c r="M301" s="30">
        <f t="shared" si="33"/>
        <v>-5.0606945832824678E-2</v>
      </c>
      <c r="N301" s="30">
        <f t="shared" si="34"/>
        <v>-2.7702452504543597E-2</v>
      </c>
      <c r="O301" s="30">
        <f t="shared" si="35"/>
        <v>-6.2286093613357326E-3</v>
      </c>
    </row>
    <row r="302" spans="1:15" s="30" customFormat="1">
      <c r="A302" s="27">
        <v>45671</v>
      </c>
      <c r="B302" s="28" t="s">
        <v>300</v>
      </c>
      <c r="C302" s="28">
        <v>462.45</v>
      </c>
      <c r="D302" s="28" t="s">
        <v>1494</v>
      </c>
      <c r="E302" s="28">
        <v>243.55</v>
      </c>
      <c r="F302" s="28">
        <v>128.85</v>
      </c>
      <c r="G302" s="28" t="s">
        <v>2669</v>
      </c>
      <c r="H302" s="28">
        <v>311.45</v>
      </c>
      <c r="I302" s="30">
        <f t="shared" si="29"/>
        <v>4.5864969150623556E-3</v>
      </c>
      <c r="J302" s="30">
        <f t="shared" si="30"/>
        <v>-4.2078068234673097E-3</v>
      </c>
      <c r="K302" s="30">
        <f t="shared" si="31"/>
        <v>2.2321635882403611E-2</v>
      </c>
      <c r="L302" s="30">
        <f t="shared" si="32"/>
        <v>2.2608169120031611E-3</v>
      </c>
      <c r="M302" s="30">
        <f t="shared" si="33"/>
        <v>1.0297306059565546E-2</v>
      </c>
      <c r="N302" s="30">
        <f t="shared" si="34"/>
        <v>1.6624275787340423E-2</v>
      </c>
      <c r="O302" s="30">
        <f t="shared" si="35"/>
        <v>-2.739463527566292E-2</v>
      </c>
    </row>
    <row r="303" spans="1:15" s="30" customFormat="1">
      <c r="A303" s="27">
        <v>45670</v>
      </c>
      <c r="B303" s="28" t="s">
        <v>301</v>
      </c>
      <c r="C303" s="28">
        <v>451.4</v>
      </c>
      <c r="D303" s="28" t="s">
        <v>1495</v>
      </c>
      <c r="E303" s="28">
        <v>245.55</v>
      </c>
      <c r="F303" s="28">
        <v>129.32</v>
      </c>
      <c r="G303" s="28" t="s">
        <v>2670</v>
      </c>
      <c r="H303" s="28">
        <v>299.64999999999998</v>
      </c>
      <c r="I303" s="30">
        <f t="shared" si="29"/>
        <v>5.6537567687178795E-3</v>
      </c>
      <c r="J303" s="30">
        <f t="shared" si="30"/>
        <v>-2.4184578616833707E-2</v>
      </c>
      <c r="K303" s="30">
        <f t="shared" si="31"/>
        <v>-2.5533626479759225E-3</v>
      </c>
      <c r="L303" s="30">
        <f t="shared" si="32"/>
        <v>8.178332232701882E-3</v>
      </c>
      <c r="M303" s="30">
        <f t="shared" si="33"/>
        <v>3.6410157588581587E-3</v>
      </c>
      <c r="N303" s="30">
        <f t="shared" si="34"/>
        <v>-6.7536539833719378E-4</v>
      </c>
      <c r="O303" s="30">
        <f t="shared" si="35"/>
        <v>-3.8623684795960345E-2</v>
      </c>
    </row>
    <row r="304" spans="1:15" s="30" customFormat="1">
      <c r="A304" s="27">
        <v>45667</v>
      </c>
      <c r="B304" s="28" t="s">
        <v>302</v>
      </c>
      <c r="C304" s="28">
        <v>460.85</v>
      </c>
      <c r="D304" s="28" t="s">
        <v>1496</v>
      </c>
      <c r="E304" s="28">
        <v>253.8</v>
      </c>
      <c r="F304" s="28">
        <v>130.24</v>
      </c>
      <c r="G304" s="28" t="s">
        <v>2671</v>
      </c>
      <c r="H304" s="28">
        <v>305</v>
      </c>
      <c r="I304" s="30">
        <f t="shared" si="29"/>
        <v>2.9783108339936956E-2</v>
      </c>
      <c r="J304" s="30">
        <f t="shared" si="30"/>
        <v>2.0718746056238014E-2</v>
      </c>
      <c r="K304" s="30">
        <f t="shared" si="31"/>
        <v>2.8472655241838455E-2</v>
      </c>
      <c r="L304" s="30">
        <f t="shared" si="32"/>
        <v>3.3045962795033759E-2</v>
      </c>
      <c r="M304" s="30">
        <f t="shared" si="33"/>
        <v>7.0889493969980453E-3</v>
      </c>
      <c r="N304" s="30">
        <f t="shared" si="34"/>
        <v>9.3870884839514432E-3</v>
      </c>
      <c r="O304" s="30">
        <f t="shared" si="35"/>
        <v>1.7696649703217368E-2</v>
      </c>
    </row>
    <row r="305" spans="1:15" s="30" customFormat="1">
      <c r="A305" s="27">
        <v>45666</v>
      </c>
      <c r="B305" s="28" t="s">
        <v>303</v>
      </c>
      <c r="C305" s="28">
        <v>468.75</v>
      </c>
      <c r="D305" s="28" t="s">
        <v>1497</v>
      </c>
      <c r="E305" s="28">
        <v>257.10000000000002</v>
      </c>
      <c r="F305" s="28">
        <v>125.7</v>
      </c>
      <c r="G305" s="28" t="s">
        <v>2672</v>
      </c>
      <c r="H305" s="28">
        <v>316.55</v>
      </c>
      <c r="I305" s="30">
        <f t="shared" si="29"/>
        <v>1.2610021619798647E-2</v>
      </c>
      <c r="J305" s="30">
        <f t="shared" si="30"/>
        <v>1.6996966844947354E-2</v>
      </c>
      <c r="K305" s="30">
        <f t="shared" si="31"/>
        <v>2.987237591357397E-2</v>
      </c>
      <c r="L305" s="30">
        <f t="shared" si="32"/>
        <v>1.2918558991556474E-2</v>
      </c>
      <c r="M305" s="30">
        <f t="shared" si="33"/>
        <v>-3.5480786658028521E-2</v>
      </c>
      <c r="N305" s="30">
        <f t="shared" si="34"/>
        <v>-2.275815454576655E-4</v>
      </c>
      <c r="O305" s="30">
        <f t="shared" si="35"/>
        <v>3.7169430382724016E-2</v>
      </c>
    </row>
    <row r="306" spans="1:15" s="30" customFormat="1">
      <c r="A306" s="27">
        <v>45665</v>
      </c>
      <c r="B306" s="28" t="s">
        <v>304</v>
      </c>
      <c r="C306" s="28">
        <v>461.95</v>
      </c>
      <c r="D306" s="28" t="s">
        <v>1498</v>
      </c>
      <c r="E306" s="28">
        <v>257.25</v>
      </c>
      <c r="F306" s="28">
        <v>127.1</v>
      </c>
      <c r="G306" s="28" t="s">
        <v>2673</v>
      </c>
      <c r="H306" s="28">
        <v>313.2</v>
      </c>
      <c r="I306" s="30">
        <f t="shared" si="29"/>
        <v>-6.7669511406910198E-3</v>
      </c>
      <c r="J306" s="30">
        <f t="shared" si="30"/>
        <v>-1.4612917167866425E-2</v>
      </c>
      <c r="K306" s="30">
        <f t="shared" si="31"/>
        <v>3.7676136381161916E-4</v>
      </c>
      <c r="L306" s="30">
        <f t="shared" si="32"/>
        <v>5.8326044231503133E-4</v>
      </c>
      <c r="M306" s="30">
        <f t="shared" si="33"/>
        <v>1.1076062599206637E-2</v>
      </c>
      <c r="N306" s="30">
        <f t="shared" si="34"/>
        <v>-2.5355571621687941E-2</v>
      </c>
      <c r="O306" s="30">
        <f t="shared" si="35"/>
        <v>-1.0639242873487591E-2</v>
      </c>
    </row>
    <row r="307" spans="1:15" s="30" customFormat="1">
      <c r="A307" s="27">
        <v>45664</v>
      </c>
      <c r="B307" s="28" t="s">
        <v>305</v>
      </c>
      <c r="C307" s="28">
        <v>451.25</v>
      </c>
      <c r="D307" s="28" t="s">
        <v>1499</v>
      </c>
      <c r="E307" s="28">
        <v>260.60000000000002</v>
      </c>
      <c r="F307" s="28">
        <v>129.94</v>
      </c>
      <c r="G307" s="28" t="s">
        <v>2674</v>
      </c>
      <c r="H307" s="28">
        <v>319</v>
      </c>
      <c r="I307" s="30">
        <f t="shared" si="29"/>
        <v>-1.8046935078240341E-2</v>
      </c>
      <c r="J307" s="30">
        <f t="shared" si="30"/>
        <v>-2.3435150469663407E-2</v>
      </c>
      <c r="K307" s="30">
        <f t="shared" si="31"/>
        <v>2.190766056204534E-2</v>
      </c>
      <c r="L307" s="30">
        <f t="shared" si="32"/>
        <v>1.2938289976585795E-2</v>
      </c>
      <c r="M307" s="30">
        <f t="shared" si="33"/>
        <v>2.2098627256976647E-2</v>
      </c>
      <c r="N307" s="30">
        <f t="shared" si="34"/>
        <v>-2.8053595229611678E-3</v>
      </c>
      <c r="O307" s="30">
        <f t="shared" si="35"/>
        <v>1.8349138668196617E-2</v>
      </c>
    </row>
    <row r="308" spans="1:15" s="30" customFormat="1">
      <c r="A308" s="27">
        <v>45663</v>
      </c>
      <c r="B308" s="28" t="s">
        <v>306</v>
      </c>
      <c r="C308" s="28">
        <v>447.6</v>
      </c>
      <c r="D308" s="28" t="s">
        <v>1500</v>
      </c>
      <c r="E308" s="28">
        <v>257.60000000000002</v>
      </c>
      <c r="F308" s="28">
        <v>124.69</v>
      </c>
      <c r="G308" s="28" t="s">
        <v>2675</v>
      </c>
      <c r="H308" s="28">
        <v>317.39999999999998</v>
      </c>
      <c r="I308" s="30">
        <f t="shared" si="29"/>
        <v>-1.1163008622117112E-2</v>
      </c>
      <c r="J308" s="30">
        <f t="shared" si="30"/>
        <v>-8.1215332093205073E-3</v>
      </c>
      <c r="K308" s="30">
        <f t="shared" si="31"/>
        <v>-1.1639244749171286E-2</v>
      </c>
      <c r="L308" s="30">
        <f t="shared" si="32"/>
        <v>-1.1578670460546137E-2</v>
      </c>
      <c r="M308" s="30">
        <f t="shared" si="33"/>
        <v>-4.1242148443890091E-2</v>
      </c>
      <c r="N308" s="30">
        <f t="shared" si="34"/>
        <v>-5.9827078585733898E-2</v>
      </c>
      <c r="O308" s="30">
        <f t="shared" si="35"/>
        <v>-5.0282946925359435E-3</v>
      </c>
    </row>
    <row r="309" spans="1:15" s="30" customFormat="1">
      <c r="A309" s="27">
        <v>45660</v>
      </c>
      <c r="B309" s="28" t="s">
        <v>307</v>
      </c>
      <c r="C309" s="28">
        <v>457.85</v>
      </c>
      <c r="D309" s="28" t="s">
        <v>1501</v>
      </c>
      <c r="E309" s="28">
        <v>261.89999999999998</v>
      </c>
      <c r="F309" s="28">
        <v>128.88999999999999</v>
      </c>
      <c r="G309" s="28" t="s">
        <v>2676</v>
      </c>
      <c r="H309" s="28">
        <v>332.2</v>
      </c>
      <c r="I309" s="30">
        <f t="shared" si="29"/>
        <v>2.9895124550665272E-2</v>
      </c>
      <c r="J309" s="30">
        <f t="shared" si="30"/>
        <v>2.2641643115971041E-2</v>
      </c>
      <c r="K309" s="30">
        <f t="shared" si="31"/>
        <v>3.9979015996126938E-2</v>
      </c>
      <c r="L309" s="30">
        <f t="shared" si="32"/>
        <v>1.655475728346751E-2</v>
      </c>
      <c r="M309" s="30">
        <f t="shared" si="33"/>
        <v>3.3128670408193367E-2</v>
      </c>
      <c r="N309" s="30">
        <f t="shared" si="34"/>
        <v>2.315132302301268E-2</v>
      </c>
      <c r="O309" s="30">
        <f t="shared" si="35"/>
        <v>4.5574389086885943E-2</v>
      </c>
    </row>
    <row r="310" spans="1:15" s="30" customFormat="1">
      <c r="A310" s="27">
        <v>45659</v>
      </c>
      <c r="B310" s="28" t="s">
        <v>308</v>
      </c>
      <c r="C310" s="28">
        <v>457.4</v>
      </c>
      <c r="D310" s="28" t="s">
        <v>1502</v>
      </c>
      <c r="E310" s="28">
        <v>262.55</v>
      </c>
      <c r="F310" s="28">
        <v>124.69</v>
      </c>
      <c r="G310" s="28" t="s">
        <v>2677</v>
      </c>
      <c r="H310" s="28">
        <v>334.55</v>
      </c>
      <c r="I310" s="30">
        <f t="shared" si="29"/>
        <v>3.1201940171377732E-3</v>
      </c>
      <c r="J310" s="30">
        <f t="shared" si="30"/>
        <v>-9.8333796506045942E-4</v>
      </c>
      <c r="K310" s="30">
        <f t="shared" si="31"/>
        <v>1.1079360229491433E-2</v>
      </c>
      <c r="L310" s="30">
        <f t="shared" si="32"/>
        <v>2.4787885702022222E-3</v>
      </c>
      <c r="M310" s="30">
        <f t="shared" si="33"/>
        <v>-3.3128670408193291E-2</v>
      </c>
      <c r="N310" s="30">
        <f t="shared" si="34"/>
        <v>1.3282631531126583E-2</v>
      </c>
      <c r="O310" s="30">
        <f t="shared" si="35"/>
        <v>7.0491480496315123E-3</v>
      </c>
    </row>
    <row r="311" spans="1:15" s="30" customFormat="1">
      <c r="A311" s="27">
        <v>45658</v>
      </c>
      <c r="B311" s="28" t="s">
        <v>309</v>
      </c>
      <c r="C311" s="28">
        <v>458.15</v>
      </c>
      <c r="D311" s="28" t="s">
        <v>1503</v>
      </c>
      <c r="E311" s="28">
        <v>263.85000000000002</v>
      </c>
      <c r="F311" s="28">
        <v>124.58</v>
      </c>
      <c r="G311" s="28" t="s">
        <v>2678</v>
      </c>
      <c r="H311" s="28">
        <v>343.25</v>
      </c>
      <c r="I311" s="30">
        <f t="shared" si="29"/>
        <v>-1.6610033543073333E-2</v>
      </c>
      <c r="J311" s="30">
        <f t="shared" si="30"/>
        <v>1.6383598225414692E-3</v>
      </c>
      <c r="K311" s="30">
        <f t="shared" si="31"/>
        <v>-1.9461156517305119E-2</v>
      </c>
      <c r="L311" s="30">
        <f t="shared" si="32"/>
        <v>4.9392197678085241E-3</v>
      </c>
      <c r="M311" s="30">
        <f t="shared" si="33"/>
        <v>-8.8257718249528684E-4</v>
      </c>
      <c r="N311" s="30">
        <f t="shared" si="34"/>
        <v>4.6692910734592464E-3</v>
      </c>
      <c r="O311" s="30">
        <f t="shared" si="35"/>
        <v>2.5672699419254361E-2</v>
      </c>
    </row>
    <row r="312" spans="1:15" s="30" customFormat="1">
      <c r="A312" s="27">
        <v>45657</v>
      </c>
      <c r="B312" s="28" t="s">
        <v>310</v>
      </c>
      <c r="C312" s="28">
        <v>448.55</v>
      </c>
      <c r="D312" s="28" t="s">
        <v>1504</v>
      </c>
      <c r="E312" s="28">
        <v>265</v>
      </c>
      <c r="F312" s="28">
        <v>125.92</v>
      </c>
      <c r="G312" s="28" t="s">
        <v>2679</v>
      </c>
      <c r="H312" s="28">
        <v>343.1</v>
      </c>
      <c r="I312" s="30">
        <f t="shared" si="29"/>
        <v>-1.0161448097034469E-2</v>
      </c>
      <c r="J312" s="30">
        <f t="shared" si="30"/>
        <v>-2.117648340592963E-2</v>
      </c>
      <c r="K312" s="30">
        <f t="shared" si="31"/>
        <v>1.2885342394045988E-2</v>
      </c>
      <c r="L312" s="30">
        <f t="shared" si="32"/>
        <v>4.3490661345451636E-3</v>
      </c>
      <c r="M312" s="30">
        <f t="shared" si="33"/>
        <v>1.0698704843093735E-2</v>
      </c>
      <c r="N312" s="30">
        <f t="shared" si="34"/>
        <v>7.0747757409369959E-3</v>
      </c>
      <c r="O312" s="30">
        <f t="shared" si="35"/>
        <v>-4.3709478367636649E-4</v>
      </c>
    </row>
    <row r="313" spans="1:15" s="30" customFormat="1">
      <c r="A313" s="27">
        <v>45656</v>
      </c>
      <c r="B313" s="28" t="s">
        <v>311</v>
      </c>
      <c r="C313" s="28">
        <v>448.25</v>
      </c>
      <c r="D313" s="28" t="s">
        <v>1505</v>
      </c>
      <c r="E313" s="28">
        <v>258.10000000000002</v>
      </c>
      <c r="F313" s="28">
        <v>125.43</v>
      </c>
      <c r="G313" s="28" t="s">
        <v>2680</v>
      </c>
      <c r="H313" s="28">
        <v>331.45</v>
      </c>
      <c r="I313" s="30">
        <f t="shared" si="29"/>
        <v>3.0199602784012798E-3</v>
      </c>
      <c r="J313" s="30">
        <f t="shared" si="30"/>
        <v>-6.6904552005035082E-4</v>
      </c>
      <c r="K313" s="30">
        <f t="shared" si="31"/>
        <v>1.3214256581329346E-2</v>
      </c>
      <c r="L313" s="30">
        <f t="shared" si="32"/>
        <v>-2.6382719261653975E-2</v>
      </c>
      <c r="M313" s="30">
        <f t="shared" si="33"/>
        <v>-3.898950632509726E-3</v>
      </c>
      <c r="N313" s="30">
        <f t="shared" si="34"/>
        <v>-5.0681188228501081E-2</v>
      </c>
      <c r="O313" s="30">
        <f t="shared" si="35"/>
        <v>-3.4544981177003567E-2</v>
      </c>
    </row>
    <row r="314" spans="1:15" s="30" customFormat="1">
      <c r="A314" s="27">
        <v>45653</v>
      </c>
      <c r="B314" s="28" t="s">
        <v>312</v>
      </c>
      <c r="C314" s="28">
        <v>442.3</v>
      </c>
      <c r="D314" s="28" t="s">
        <v>1506</v>
      </c>
      <c r="E314" s="28">
        <v>261.3</v>
      </c>
      <c r="F314" s="28">
        <v>128.44</v>
      </c>
      <c r="G314" s="28" t="s">
        <v>2681</v>
      </c>
      <c r="H314" s="28">
        <v>338.7</v>
      </c>
      <c r="I314" s="30">
        <f t="shared" si="29"/>
        <v>-7.3909518073426985E-3</v>
      </c>
      <c r="J314" s="30">
        <f t="shared" si="30"/>
        <v>-1.3362727610961106E-2</v>
      </c>
      <c r="K314" s="30">
        <f t="shared" si="31"/>
        <v>-6.3042725731033061E-2</v>
      </c>
      <c r="L314" s="30">
        <f t="shared" si="32"/>
        <v>1.2322065801998629E-2</v>
      </c>
      <c r="M314" s="30">
        <f t="shared" si="33"/>
        <v>2.3714035184729806E-2</v>
      </c>
      <c r="N314" s="30">
        <f t="shared" si="34"/>
        <v>-6.8910411864154272E-4</v>
      </c>
      <c r="O314" s="30">
        <f t="shared" si="35"/>
        <v>2.1637791136325409E-2</v>
      </c>
    </row>
    <row r="315" spans="1:15" s="30" customFormat="1">
      <c r="A315" s="27">
        <v>45652</v>
      </c>
      <c r="B315" s="28" t="s">
        <v>293</v>
      </c>
      <c r="C315" s="28">
        <v>441</v>
      </c>
      <c r="D315" s="28" t="s">
        <v>1507</v>
      </c>
      <c r="E315" s="28">
        <v>261.25</v>
      </c>
      <c r="F315" s="28">
        <v>128.08000000000001</v>
      </c>
      <c r="G315" s="28" t="s">
        <v>2682</v>
      </c>
      <c r="H315" s="28">
        <v>338.2</v>
      </c>
      <c r="I315" s="30">
        <f t="shared" si="29"/>
        <v>-3.9701847552922739E-3</v>
      </c>
      <c r="J315" s="30">
        <f t="shared" si="30"/>
        <v>-2.9435094274350808E-3</v>
      </c>
      <c r="K315" s="30">
        <f t="shared" si="31"/>
        <v>1.1849451162307706E-2</v>
      </c>
      <c r="L315" s="30">
        <f t="shared" si="32"/>
        <v>-1.9136924754613207E-4</v>
      </c>
      <c r="M315" s="30">
        <f t="shared" si="33"/>
        <v>-2.806800532853869E-3</v>
      </c>
      <c r="N315" s="30">
        <f t="shared" si="34"/>
        <v>1.3012460026967768E-2</v>
      </c>
      <c r="O315" s="30">
        <f t="shared" si="35"/>
        <v>-1.4773233592461181E-3</v>
      </c>
    </row>
    <row r="316" spans="1:15" s="30" customFormat="1">
      <c r="A316" s="27">
        <v>45650</v>
      </c>
      <c r="B316" s="28" t="s">
        <v>313</v>
      </c>
      <c r="C316" s="28">
        <v>443.85</v>
      </c>
      <c r="D316" s="28" t="s">
        <v>1508</v>
      </c>
      <c r="E316" s="28">
        <v>263.10000000000002</v>
      </c>
      <c r="F316" s="28">
        <v>130.22</v>
      </c>
      <c r="G316" s="28" t="s">
        <v>2683</v>
      </c>
      <c r="H316" s="28">
        <v>331.5</v>
      </c>
      <c r="I316" s="30">
        <f t="shared" si="29"/>
        <v>9.5020950736471304E-3</v>
      </c>
      <c r="J316" s="30">
        <f t="shared" si="30"/>
        <v>6.4417920674823955E-3</v>
      </c>
      <c r="K316" s="30">
        <f t="shared" si="31"/>
        <v>7.6017931294016386E-3</v>
      </c>
      <c r="L316" s="30">
        <f t="shared" si="32"/>
        <v>7.0563847672264262E-3</v>
      </c>
      <c r="M316" s="30">
        <f t="shared" si="33"/>
        <v>1.6570259120256607E-2</v>
      </c>
      <c r="N316" s="30">
        <f t="shared" si="34"/>
        <v>8.84974282963805E-3</v>
      </c>
      <c r="O316" s="30">
        <f t="shared" si="35"/>
        <v>-2.0009626838562746E-2</v>
      </c>
    </row>
    <row r="317" spans="1:15" s="30" customFormat="1">
      <c r="A317" s="27">
        <v>45649</v>
      </c>
      <c r="B317" s="28" t="s">
        <v>314</v>
      </c>
      <c r="C317" s="28">
        <v>443.6</v>
      </c>
      <c r="D317" s="28" t="s">
        <v>1509</v>
      </c>
      <c r="E317" s="28">
        <v>265.14999999999998</v>
      </c>
      <c r="F317" s="28">
        <v>128.28</v>
      </c>
      <c r="G317" s="28" t="s">
        <v>2684</v>
      </c>
      <c r="H317" s="28">
        <v>323.25</v>
      </c>
      <c r="I317" s="30">
        <f t="shared" si="29"/>
        <v>-2.1037875922023841E-3</v>
      </c>
      <c r="J317" s="30">
        <f t="shared" si="30"/>
        <v>-5.6341203811636684E-4</v>
      </c>
      <c r="K317" s="30">
        <f t="shared" si="31"/>
        <v>6.9239922730271533E-3</v>
      </c>
      <c r="L317" s="30">
        <f t="shared" si="32"/>
        <v>7.7615155368918661E-3</v>
      </c>
      <c r="M317" s="30">
        <f t="shared" si="33"/>
        <v>-1.5009952983761839E-2</v>
      </c>
      <c r="N317" s="30">
        <f t="shared" si="34"/>
        <v>5.5807708915201109E-3</v>
      </c>
      <c r="O317" s="30">
        <f t="shared" si="35"/>
        <v>-2.5201791973950362E-2</v>
      </c>
    </row>
    <row r="318" spans="1:15" s="30" customFormat="1">
      <c r="A318" s="27">
        <v>45646</v>
      </c>
      <c r="B318" s="28" t="s">
        <v>315</v>
      </c>
      <c r="C318" s="28">
        <v>444.8</v>
      </c>
      <c r="D318" s="28" t="s">
        <v>1510</v>
      </c>
      <c r="E318" s="28">
        <v>262.2</v>
      </c>
      <c r="F318" s="28">
        <v>124.83</v>
      </c>
      <c r="G318" s="28" t="s">
        <v>2685</v>
      </c>
      <c r="H318" s="28">
        <v>325.14999999999998</v>
      </c>
      <c r="I318" s="30">
        <f t="shared" si="29"/>
        <v>1.3811097108260271E-3</v>
      </c>
      <c r="J318" s="30">
        <f t="shared" si="30"/>
        <v>2.701487460160518E-3</v>
      </c>
      <c r="K318" s="30">
        <f t="shared" si="31"/>
        <v>2.8362527396899276E-2</v>
      </c>
      <c r="L318" s="30">
        <f t="shared" si="32"/>
        <v>-1.11881322535395E-2</v>
      </c>
      <c r="M318" s="30">
        <f t="shared" si="33"/>
        <v>-2.7262563161994536E-2</v>
      </c>
      <c r="N318" s="30">
        <f t="shared" si="34"/>
        <v>2.5166536518794566E-2</v>
      </c>
      <c r="O318" s="30">
        <f t="shared" si="35"/>
        <v>5.8605966631939373E-3</v>
      </c>
    </row>
    <row r="319" spans="1:15" s="30" customFormat="1">
      <c r="A319" s="27">
        <v>45645</v>
      </c>
      <c r="B319" s="28" t="s">
        <v>316</v>
      </c>
      <c r="C319" s="28">
        <v>445.05</v>
      </c>
      <c r="D319" s="28" t="s">
        <v>1511</v>
      </c>
      <c r="E319" s="28">
        <v>257.05</v>
      </c>
      <c r="F319" s="28">
        <v>130.24</v>
      </c>
      <c r="G319" s="28" t="s">
        <v>2686</v>
      </c>
      <c r="H319" s="28">
        <v>327.35000000000002</v>
      </c>
      <c r="I319" s="30">
        <f t="shared" si="29"/>
        <v>4.1537377723085177E-3</v>
      </c>
      <c r="J319" s="30">
        <f t="shared" si="30"/>
        <v>5.6189246856778281E-4</v>
      </c>
      <c r="K319" s="30">
        <f t="shared" si="31"/>
        <v>2.8615356678981817E-2</v>
      </c>
      <c r="L319" s="30">
        <f t="shared" si="32"/>
        <v>-1.9836952828085768E-2</v>
      </c>
      <c r="M319" s="30">
        <f t="shared" si="33"/>
        <v>4.242609059127072E-2</v>
      </c>
      <c r="N319" s="30">
        <f t="shared" si="34"/>
        <v>3.9995609365016003E-3</v>
      </c>
      <c r="O319" s="30">
        <f t="shared" si="35"/>
        <v>6.7433205719397721E-3</v>
      </c>
    </row>
    <row r="320" spans="1:15" s="30" customFormat="1">
      <c r="A320" s="27">
        <v>45644</v>
      </c>
      <c r="B320" s="28" t="s">
        <v>317</v>
      </c>
      <c r="C320" s="28">
        <v>452.85</v>
      </c>
      <c r="D320" s="28" t="s">
        <v>1512</v>
      </c>
      <c r="E320" s="28">
        <v>260.89999999999998</v>
      </c>
      <c r="F320" s="28">
        <v>124.16</v>
      </c>
      <c r="G320" s="28" t="s">
        <v>2687</v>
      </c>
      <c r="H320" s="28">
        <v>328</v>
      </c>
      <c r="I320" s="30">
        <f t="shared" si="29"/>
        <v>2.3117929458131226E-2</v>
      </c>
      <c r="J320" s="30">
        <f t="shared" si="30"/>
        <v>1.7374309416016951E-2</v>
      </c>
      <c r="K320" s="30">
        <f t="shared" si="31"/>
        <v>-1.0434636129488523E-2</v>
      </c>
      <c r="L320" s="30">
        <f t="shared" si="32"/>
        <v>1.4866573641168867E-2</v>
      </c>
      <c r="M320" s="30">
        <f t="shared" si="33"/>
        <v>-4.7807845819321661E-2</v>
      </c>
      <c r="N320" s="30">
        <f t="shared" si="34"/>
        <v>3.3070552686713738E-2</v>
      </c>
      <c r="O320" s="30">
        <f t="shared" si="35"/>
        <v>1.9836734970433956E-3</v>
      </c>
    </row>
    <row r="321" spans="1:15" s="30" customFormat="1">
      <c r="A321" s="27">
        <v>45643</v>
      </c>
      <c r="B321" s="28" t="s">
        <v>318</v>
      </c>
      <c r="C321" s="28">
        <v>463.05</v>
      </c>
      <c r="D321" s="28" t="s">
        <v>1513</v>
      </c>
      <c r="E321" s="28">
        <v>261.7</v>
      </c>
      <c r="F321" s="28">
        <v>117.84</v>
      </c>
      <c r="G321" s="28" t="s">
        <v>2688</v>
      </c>
      <c r="H321" s="28">
        <v>333.65</v>
      </c>
      <c r="I321" s="30">
        <f t="shared" si="29"/>
        <v>4.4879846465132453E-3</v>
      </c>
      <c r="J321" s="30">
        <f t="shared" si="30"/>
        <v>2.2274094795320495E-2</v>
      </c>
      <c r="K321" s="30">
        <f t="shared" si="31"/>
        <v>1.8403626881332593E-2</v>
      </c>
      <c r="L321" s="30">
        <f t="shared" si="32"/>
        <v>3.0616173934175372E-3</v>
      </c>
      <c r="M321" s="30">
        <f t="shared" si="33"/>
        <v>-5.2243284280533715E-2</v>
      </c>
      <c r="N321" s="30">
        <f t="shared" si="34"/>
        <v>-7.2578478608410546E-2</v>
      </c>
      <c r="O321" s="30">
        <f t="shared" si="35"/>
        <v>1.7078930965471702E-2</v>
      </c>
    </row>
    <row r="322" spans="1:15" s="30" customFormat="1">
      <c r="A322" s="27">
        <v>45642</v>
      </c>
      <c r="B322" s="28" t="s">
        <v>319</v>
      </c>
      <c r="C322" s="28">
        <v>477.5</v>
      </c>
      <c r="D322" s="28" t="s">
        <v>1514</v>
      </c>
      <c r="E322" s="28">
        <v>261.64999999999998</v>
      </c>
      <c r="F322" s="28">
        <v>115.4</v>
      </c>
      <c r="G322" s="28" t="s">
        <v>2689</v>
      </c>
      <c r="H322" s="28">
        <v>338.9</v>
      </c>
      <c r="I322" s="30">
        <f t="shared" si="29"/>
        <v>1.944053238589985E-2</v>
      </c>
      <c r="J322" s="30">
        <f t="shared" si="30"/>
        <v>3.0729120304506911E-2</v>
      </c>
      <c r="K322" s="30">
        <f t="shared" si="31"/>
        <v>1.6255002695736202E-2</v>
      </c>
      <c r="L322" s="30">
        <f t="shared" si="32"/>
        <v>-1.9107671788340603E-4</v>
      </c>
      <c r="M322" s="30">
        <f t="shared" si="33"/>
        <v>-2.0923418080375657E-2</v>
      </c>
      <c r="N322" s="30">
        <f t="shared" si="34"/>
        <v>1.9051187413552176E-2</v>
      </c>
      <c r="O322" s="30">
        <f t="shared" si="35"/>
        <v>1.5612539263390011E-2</v>
      </c>
    </row>
    <row r="323" spans="1:15" s="30" customFormat="1">
      <c r="A323" s="27">
        <v>45639</v>
      </c>
      <c r="B323" s="28" t="s">
        <v>320</v>
      </c>
      <c r="C323" s="28">
        <v>475</v>
      </c>
      <c r="D323" s="28" t="s">
        <v>1515</v>
      </c>
      <c r="E323" s="28">
        <v>262.7</v>
      </c>
      <c r="F323" s="28">
        <v>116.68</v>
      </c>
      <c r="G323" s="28" t="s">
        <v>2690</v>
      </c>
      <c r="H323" s="28">
        <v>346.25</v>
      </c>
      <c r="I323" s="30">
        <f t="shared" si="29"/>
        <v>2.2453698699591781E-3</v>
      </c>
      <c r="J323" s="30">
        <f t="shared" si="30"/>
        <v>-5.2493558861436782E-3</v>
      </c>
      <c r="K323" s="30">
        <f t="shared" si="31"/>
        <v>-3.7695016169596474E-2</v>
      </c>
      <c r="L323" s="30">
        <f t="shared" si="32"/>
        <v>4.0049638732774897E-3</v>
      </c>
      <c r="M323" s="30">
        <f t="shared" si="33"/>
        <v>1.1030790925521478E-2</v>
      </c>
      <c r="N323" s="30">
        <f t="shared" si="34"/>
        <v>3.8403480917463119E-3</v>
      </c>
      <c r="O323" s="30">
        <f t="shared" si="35"/>
        <v>2.1455978888542636E-2</v>
      </c>
    </row>
    <row r="324" spans="1:15" s="30" customFormat="1">
      <c r="A324" s="27">
        <v>45638</v>
      </c>
      <c r="B324" s="28" t="s">
        <v>321</v>
      </c>
      <c r="C324" s="28">
        <v>472.05</v>
      </c>
      <c r="D324" s="28" t="s">
        <v>1516</v>
      </c>
      <c r="E324" s="28">
        <v>262.7</v>
      </c>
      <c r="F324" s="28">
        <v>118.11</v>
      </c>
      <c r="G324" s="28" t="s">
        <v>2691</v>
      </c>
      <c r="H324" s="28">
        <v>346.25</v>
      </c>
      <c r="I324" s="30">
        <f t="shared" ref="I324:I387" si="36">LN(B324/B323)</f>
        <v>-7.5461043483638244E-3</v>
      </c>
      <c r="J324" s="30">
        <f t="shared" ref="J324:J387" si="37">LN(C324/C323)</f>
        <v>-6.2298918561156155E-3</v>
      </c>
      <c r="K324" s="30">
        <f t="shared" ref="K324:K387" si="38">LN(D324/D323)</f>
        <v>1.8081545615247521E-2</v>
      </c>
      <c r="L324" s="30">
        <f t="shared" ref="L324:L387" si="39">LN(E324/E323)</f>
        <v>0</v>
      </c>
      <c r="M324" s="30">
        <f t="shared" ref="M324:M387" si="40">LN(F324/F323)</f>
        <v>1.2181248624235164E-2</v>
      </c>
      <c r="N324" s="30">
        <f t="shared" ref="N324:N387" si="41">LN(G324/G323)</f>
        <v>3.6712258243613493E-3</v>
      </c>
      <c r="O324" s="30">
        <f t="shared" ref="O324:O387" si="42">LN(H324/H323)</f>
        <v>0</v>
      </c>
    </row>
    <row r="325" spans="1:15" s="30" customFormat="1">
      <c r="A325" s="27">
        <v>45637</v>
      </c>
      <c r="B325" s="28" t="s">
        <v>322</v>
      </c>
      <c r="C325" s="28">
        <v>476.15</v>
      </c>
      <c r="D325" s="28" t="s">
        <v>1517</v>
      </c>
      <c r="E325" s="28">
        <v>263.8</v>
      </c>
      <c r="F325" s="28">
        <v>119.76</v>
      </c>
      <c r="G325" s="28" t="s">
        <v>2692</v>
      </c>
      <c r="H325" s="28">
        <v>331.5</v>
      </c>
      <c r="I325" s="30">
        <f t="shared" si="36"/>
        <v>1.1546151133082504E-2</v>
      </c>
      <c r="J325" s="30">
        <f t="shared" si="37"/>
        <v>8.6480184615294626E-3</v>
      </c>
      <c r="K325" s="30">
        <f t="shared" si="38"/>
        <v>1.1943088795698362E-2</v>
      </c>
      <c r="L325" s="30">
        <f t="shared" si="39"/>
        <v>4.1785435917201024E-3</v>
      </c>
      <c r="M325" s="30">
        <f t="shared" si="40"/>
        <v>1.3873346487617058E-2</v>
      </c>
      <c r="N325" s="30">
        <f t="shared" si="41"/>
        <v>7.7760454480912226E-3</v>
      </c>
      <c r="O325" s="30">
        <f t="shared" si="42"/>
        <v>-4.3533247875631106E-2</v>
      </c>
    </row>
    <row r="326" spans="1:15" s="30" customFormat="1">
      <c r="A326" s="27">
        <v>45636</v>
      </c>
      <c r="B326" s="28" t="s">
        <v>323</v>
      </c>
      <c r="C326" s="28">
        <v>477.4</v>
      </c>
      <c r="D326" s="28" t="s">
        <v>1518</v>
      </c>
      <c r="E326" s="28">
        <v>263.3</v>
      </c>
      <c r="F326" s="28">
        <v>119.5</v>
      </c>
      <c r="G326" s="28" t="s">
        <v>2693</v>
      </c>
      <c r="H326" s="28">
        <v>332.3</v>
      </c>
      <c r="I326" s="30">
        <f t="shared" si="36"/>
        <v>-1.1818205880546334E-2</v>
      </c>
      <c r="J326" s="30">
        <f t="shared" si="37"/>
        <v>2.6217832646746467E-3</v>
      </c>
      <c r="K326" s="30">
        <f t="shared" si="38"/>
        <v>-8.9952564012275964E-3</v>
      </c>
      <c r="L326" s="30">
        <f t="shared" si="39"/>
        <v>-1.8971737809504907E-3</v>
      </c>
      <c r="M326" s="30">
        <f t="shared" si="40"/>
        <v>-2.1733687398075708E-3</v>
      </c>
      <c r="N326" s="30">
        <f t="shared" si="41"/>
        <v>-2.3153001402453203E-3</v>
      </c>
      <c r="O326" s="30">
        <f t="shared" si="42"/>
        <v>2.410365734631389E-3</v>
      </c>
    </row>
    <row r="327" spans="1:15" s="30" customFormat="1">
      <c r="A327" s="27">
        <v>45635</v>
      </c>
      <c r="B327" s="28" t="s">
        <v>324</v>
      </c>
      <c r="C327" s="28">
        <v>479.1</v>
      </c>
      <c r="D327" s="28" t="s">
        <v>1519</v>
      </c>
      <c r="E327" s="28">
        <v>273.3</v>
      </c>
      <c r="F327" s="28">
        <v>118.64</v>
      </c>
      <c r="G327" s="28" t="s">
        <v>2694</v>
      </c>
      <c r="H327" s="28">
        <v>336.55</v>
      </c>
      <c r="I327" s="30">
        <f t="shared" si="36"/>
        <v>1.2341161426196981E-3</v>
      </c>
      <c r="J327" s="30">
        <f t="shared" si="37"/>
        <v>3.5546299843467809E-3</v>
      </c>
      <c r="K327" s="30">
        <f t="shared" si="38"/>
        <v>-3.1535632523363624E-2</v>
      </c>
      <c r="L327" s="30">
        <f t="shared" si="39"/>
        <v>3.7276026431758695E-2</v>
      </c>
      <c r="M327" s="30">
        <f t="shared" si="40"/>
        <v>-7.2226735418887281E-3</v>
      </c>
      <c r="N327" s="30">
        <f t="shared" si="41"/>
        <v>1.6184845591272318E-3</v>
      </c>
      <c r="O327" s="30">
        <f t="shared" si="42"/>
        <v>1.2708551096173451E-2</v>
      </c>
    </row>
    <row r="328" spans="1:15" s="30" customFormat="1">
      <c r="A328" s="27">
        <v>45632</v>
      </c>
      <c r="B328" s="28" t="s">
        <v>30</v>
      </c>
      <c r="C328" s="28">
        <v>480.45</v>
      </c>
      <c r="D328" s="28" t="s">
        <v>1520</v>
      </c>
      <c r="E328" s="28">
        <v>277.85000000000002</v>
      </c>
      <c r="F328" s="28">
        <v>114.15</v>
      </c>
      <c r="G328" s="28" t="s">
        <v>2695</v>
      </c>
      <c r="H328" s="28">
        <v>340.45</v>
      </c>
      <c r="I328" s="30">
        <f t="shared" si="36"/>
        <v>1.5700667848925199E-2</v>
      </c>
      <c r="J328" s="30">
        <f t="shared" si="37"/>
        <v>2.8138208342003085E-3</v>
      </c>
      <c r="K328" s="30">
        <f t="shared" si="38"/>
        <v>1.2915179169039219E-2</v>
      </c>
      <c r="L328" s="30">
        <f t="shared" si="39"/>
        <v>1.6511306791908046E-2</v>
      </c>
      <c r="M328" s="30">
        <f t="shared" si="40"/>
        <v>-3.8580324853872125E-2</v>
      </c>
      <c r="N328" s="30">
        <f t="shared" si="41"/>
        <v>2.4253879603367733E-2</v>
      </c>
      <c r="O328" s="30">
        <f t="shared" si="42"/>
        <v>1.1521545472253408E-2</v>
      </c>
    </row>
    <row r="329" spans="1:15" s="30" customFormat="1">
      <c r="A329" s="27">
        <v>45631</v>
      </c>
      <c r="B329" s="28" t="s">
        <v>234</v>
      </c>
      <c r="C329" s="28">
        <v>482.9</v>
      </c>
      <c r="D329" s="28" t="s">
        <v>1521</v>
      </c>
      <c r="E329" s="28">
        <v>277.89999999999998</v>
      </c>
      <c r="F329" s="28">
        <v>116.65</v>
      </c>
      <c r="G329" s="28" t="s">
        <v>2553</v>
      </c>
      <c r="H329" s="28">
        <v>341.3</v>
      </c>
      <c r="I329" s="30">
        <f t="shared" si="36"/>
        <v>9.2177878752326779E-3</v>
      </c>
      <c r="J329" s="30">
        <f t="shared" si="37"/>
        <v>5.0864281562192377E-3</v>
      </c>
      <c r="K329" s="30">
        <f t="shared" si="38"/>
        <v>-1.2561062363367348E-3</v>
      </c>
      <c r="L329" s="30">
        <f t="shared" si="39"/>
        <v>1.7993702252762332E-4</v>
      </c>
      <c r="M329" s="30">
        <f t="shared" si="40"/>
        <v>2.1664625491634511E-2</v>
      </c>
      <c r="N329" s="30">
        <f t="shared" si="41"/>
        <v>-7.0323297723662139E-3</v>
      </c>
      <c r="O329" s="30">
        <f t="shared" si="42"/>
        <v>2.4935839836857827E-3</v>
      </c>
    </row>
    <row r="330" spans="1:15" s="30" customFormat="1">
      <c r="A330" s="27">
        <v>45630</v>
      </c>
      <c r="B330" s="28" t="s">
        <v>325</v>
      </c>
      <c r="C330" s="28">
        <v>478.3</v>
      </c>
      <c r="D330" s="28" t="s">
        <v>1522</v>
      </c>
      <c r="E330" s="28">
        <v>278.35000000000002</v>
      </c>
      <c r="F330" s="28">
        <v>108.82</v>
      </c>
      <c r="G330" s="28" t="s">
        <v>2696</v>
      </c>
      <c r="H330" s="28">
        <v>343.1</v>
      </c>
      <c r="I330" s="30">
        <f t="shared" si="36"/>
        <v>2.9521668952334681E-3</v>
      </c>
      <c r="J330" s="30">
        <f t="shared" si="37"/>
        <v>-9.5714421932449733E-3</v>
      </c>
      <c r="K330" s="30">
        <f t="shared" si="38"/>
        <v>7.2358208975977119E-3</v>
      </c>
      <c r="L330" s="30">
        <f t="shared" si="39"/>
        <v>1.6179778810588364E-3</v>
      </c>
      <c r="M330" s="30">
        <f t="shared" si="40"/>
        <v>-6.9482857409659801E-2</v>
      </c>
      <c r="N330" s="30">
        <f t="shared" si="41"/>
        <v>1.7509157512151444E-2</v>
      </c>
      <c r="O330" s="30">
        <f t="shared" si="42"/>
        <v>5.2600939517426799E-3</v>
      </c>
    </row>
    <row r="331" spans="1:15" s="30" customFormat="1">
      <c r="A331" s="27">
        <v>45629</v>
      </c>
      <c r="B331" s="28" t="s">
        <v>326</v>
      </c>
      <c r="C331" s="28">
        <v>482.15</v>
      </c>
      <c r="D331" s="28" t="s">
        <v>1523</v>
      </c>
      <c r="E331" s="28">
        <v>282.25</v>
      </c>
      <c r="F331" s="28">
        <v>106.58</v>
      </c>
      <c r="G331" s="28" t="s">
        <v>2697</v>
      </c>
      <c r="H331" s="28">
        <v>347.3</v>
      </c>
      <c r="I331" s="30">
        <f t="shared" si="36"/>
        <v>4.0374584401234159E-3</v>
      </c>
      <c r="J331" s="30">
        <f t="shared" si="37"/>
        <v>8.0171182701420599E-3</v>
      </c>
      <c r="K331" s="30">
        <f t="shared" si="38"/>
        <v>-8.1439909973919471E-3</v>
      </c>
      <c r="L331" s="30">
        <f t="shared" si="39"/>
        <v>1.3913888400254624E-2</v>
      </c>
      <c r="M331" s="30">
        <f t="shared" si="40"/>
        <v>-2.0799264189143067E-2</v>
      </c>
      <c r="N331" s="30">
        <f t="shared" si="41"/>
        <v>3.9041728025031915E-4</v>
      </c>
      <c r="O331" s="30">
        <f t="shared" si="42"/>
        <v>1.216700988562424E-2</v>
      </c>
    </row>
    <row r="332" spans="1:15" s="30" customFormat="1">
      <c r="A332" s="27">
        <v>45628</v>
      </c>
      <c r="B332" s="28" t="s">
        <v>327</v>
      </c>
      <c r="C332" s="28">
        <v>489.6</v>
      </c>
      <c r="D332" s="28" t="s">
        <v>1524</v>
      </c>
      <c r="E332" s="28">
        <v>276.60000000000002</v>
      </c>
      <c r="F332" s="28">
        <v>111.49</v>
      </c>
      <c r="G332" s="28" t="s">
        <v>2698</v>
      </c>
      <c r="H332" s="28">
        <v>347.6</v>
      </c>
      <c r="I332" s="30">
        <f t="shared" si="36"/>
        <v>3.9002161213016052E-3</v>
      </c>
      <c r="J332" s="30">
        <f t="shared" si="37"/>
        <v>1.533346224172292E-2</v>
      </c>
      <c r="K332" s="30">
        <f t="shared" si="38"/>
        <v>-1.9799132753781316E-2</v>
      </c>
      <c r="L332" s="30">
        <f t="shared" si="39"/>
        <v>-2.0220783799113469E-2</v>
      </c>
      <c r="M332" s="30">
        <f t="shared" si="40"/>
        <v>4.503902391084387E-2</v>
      </c>
      <c r="N332" s="30">
        <f t="shared" si="41"/>
        <v>-2.1578775010894127E-2</v>
      </c>
      <c r="O332" s="30">
        <f t="shared" si="42"/>
        <v>8.6343364120858399E-4</v>
      </c>
    </row>
    <row r="333" spans="1:15" s="30" customFormat="1">
      <c r="A333" s="27">
        <v>45625</v>
      </c>
      <c r="B333" s="28" t="s">
        <v>328</v>
      </c>
      <c r="C333" s="28">
        <v>493.7</v>
      </c>
      <c r="D333" s="28" t="s">
        <v>1525</v>
      </c>
      <c r="E333" s="28">
        <v>280.95</v>
      </c>
      <c r="F333" s="28">
        <v>107.16</v>
      </c>
      <c r="G333" s="28" t="s">
        <v>2699</v>
      </c>
      <c r="H333" s="28">
        <v>338.3</v>
      </c>
      <c r="I333" s="30">
        <f t="shared" si="36"/>
        <v>2.2183457281929034E-4</v>
      </c>
      <c r="J333" s="30">
        <f t="shared" si="37"/>
        <v>8.3393140667007374E-3</v>
      </c>
      <c r="K333" s="30">
        <f t="shared" si="38"/>
        <v>2.1719289749217031E-2</v>
      </c>
      <c r="L333" s="30">
        <f t="shared" si="39"/>
        <v>1.560429832754932E-2</v>
      </c>
      <c r="M333" s="30">
        <f t="shared" si="40"/>
        <v>-3.9611856103072073E-2</v>
      </c>
      <c r="N333" s="30">
        <f t="shared" si="41"/>
        <v>1.9557728499113393E-2</v>
      </c>
      <c r="O333" s="30">
        <f t="shared" si="42"/>
        <v>-2.7119317604574193E-2</v>
      </c>
    </row>
    <row r="334" spans="1:15" s="30" customFormat="1">
      <c r="A334" s="27">
        <v>45624</v>
      </c>
      <c r="B334" s="28" t="s">
        <v>329</v>
      </c>
      <c r="C334" s="28">
        <v>489.45</v>
      </c>
      <c r="D334" s="28" t="s">
        <v>1526</v>
      </c>
      <c r="E334" s="28">
        <v>274.5</v>
      </c>
      <c r="F334" s="28">
        <v>108.82</v>
      </c>
      <c r="G334" s="28" t="s">
        <v>2700</v>
      </c>
      <c r="H334" s="28">
        <v>328.9</v>
      </c>
      <c r="I334" s="30">
        <f t="shared" si="36"/>
        <v>-8.7289041674214144E-3</v>
      </c>
      <c r="J334" s="30">
        <f t="shared" si="37"/>
        <v>-8.6457335573778635E-3</v>
      </c>
      <c r="K334" s="30">
        <f t="shared" si="38"/>
        <v>-1.9551030910867294E-3</v>
      </c>
      <c r="L334" s="30">
        <f t="shared" si="39"/>
        <v>-2.3225456608621884E-2</v>
      </c>
      <c r="M334" s="30">
        <f t="shared" si="40"/>
        <v>1.5372096381371167E-2</v>
      </c>
      <c r="N334" s="30">
        <f t="shared" si="41"/>
        <v>7.5378760530825277E-3</v>
      </c>
      <c r="O334" s="30">
        <f t="shared" si="42"/>
        <v>-2.8179322591651641E-2</v>
      </c>
    </row>
    <row r="335" spans="1:15" s="30" customFormat="1">
      <c r="A335" s="27">
        <v>45623</v>
      </c>
      <c r="B335" s="28" t="s">
        <v>330</v>
      </c>
      <c r="C335" s="28">
        <v>490.35</v>
      </c>
      <c r="D335" s="28" t="s">
        <v>1527</v>
      </c>
      <c r="E335" s="28">
        <v>275.39999999999998</v>
      </c>
      <c r="F335" s="28">
        <v>110.87</v>
      </c>
      <c r="G335" s="28" t="s">
        <v>2701</v>
      </c>
      <c r="H335" s="28">
        <v>324.05</v>
      </c>
      <c r="I335" s="30">
        <f t="shared" si="36"/>
        <v>1.367711903091986E-2</v>
      </c>
      <c r="J335" s="30">
        <f t="shared" si="37"/>
        <v>1.8371101308901291E-3</v>
      </c>
      <c r="K335" s="30">
        <f t="shared" si="38"/>
        <v>1.9655292092907572E-2</v>
      </c>
      <c r="L335" s="30">
        <f t="shared" si="39"/>
        <v>3.2733253449691085E-3</v>
      </c>
      <c r="M335" s="30">
        <f t="shared" si="40"/>
        <v>1.8663202726481146E-2</v>
      </c>
      <c r="N335" s="30">
        <f t="shared" si="41"/>
        <v>-7.6329237132727009E-4</v>
      </c>
      <c r="O335" s="30">
        <f t="shared" si="42"/>
        <v>-1.4855928321286176E-2</v>
      </c>
    </row>
    <row r="336" spans="1:15" s="30" customFormat="1">
      <c r="A336" s="27">
        <v>45622</v>
      </c>
      <c r="B336" s="28" t="s">
        <v>331</v>
      </c>
      <c r="C336" s="28">
        <v>486.95</v>
      </c>
      <c r="D336" s="28" t="s">
        <v>1528</v>
      </c>
      <c r="E336" s="28">
        <v>275.3</v>
      </c>
      <c r="F336" s="28">
        <v>109.21</v>
      </c>
      <c r="G336" s="28" t="s">
        <v>2702</v>
      </c>
      <c r="H336" s="28">
        <v>328.9</v>
      </c>
      <c r="I336" s="30">
        <f t="shared" si="36"/>
        <v>5.2432628277025396E-3</v>
      </c>
      <c r="J336" s="30">
        <f t="shared" si="37"/>
        <v>-6.9579734311211432E-3</v>
      </c>
      <c r="K336" s="30">
        <f t="shared" si="38"/>
        <v>1.7695368920805858E-2</v>
      </c>
      <c r="L336" s="30">
        <f t="shared" si="39"/>
        <v>-3.631741459926795E-4</v>
      </c>
      <c r="M336" s="30">
        <f t="shared" si="40"/>
        <v>-1.5085709574623284E-2</v>
      </c>
      <c r="N336" s="30">
        <f t="shared" si="41"/>
        <v>-3.4563265983428494E-2</v>
      </c>
      <c r="O336" s="30">
        <f t="shared" si="42"/>
        <v>1.485592832128616E-2</v>
      </c>
    </row>
    <row r="337" spans="1:15" s="30" customFormat="1">
      <c r="A337" s="27">
        <v>45621</v>
      </c>
      <c r="B337" s="28" t="s">
        <v>332</v>
      </c>
      <c r="C337" s="28">
        <v>475.9</v>
      </c>
      <c r="D337" s="28" t="s">
        <v>1529</v>
      </c>
      <c r="E337" s="28">
        <v>264.95</v>
      </c>
      <c r="F337" s="28">
        <v>102.35</v>
      </c>
      <c r="G337" s="28" t="s">
        <v>2703</v>
      </c>
      <c r="H337" s="28">
        <v>325.5</v>
      </c>
      <c r="I337" s="30">
        <f t="shared" si="36"/>
        <v>-1.8249343248723519E-2</v>
      </c>
      <c r="J337" s="30">
        <f t="shared" si="37"/>
        <v>-2.2953700280143513E-2</v>
      </c>
      <c r="K337" s="30">
        <f t="shared" si="38"/>
        <v>-8.4180419011283605E-3</v>
      </c>
      <c r="L337" s="30">
        <f t="shared" si="39"/>
        <v>-3.8320283209790668E-2</v>
      </c>
      <c r="M337" s="30">
        <f t="shared" si="40"/>
        <v>-6.4874322102338483E-2</v>
      </c>
      <c r="N337" s="30">
        <f t="shared" si="41"/>
        <v>1.0154612644133766E-2</v>
      </c>
      <c r="O337" s="30">
        <f t="shared" si="42"/>
        <v>-1.0391291546387337E-2</v>
      </c>
    </row>
    <row r="338" spans="1:15" s="30" customFormat="1">
      <c r="A338" s="27">
        <v>45618</v>
      </c>
      <c r="B338" s="28" t="s">
        <v>333</v>
      </c>
      <c r="C338" s="28">
        <v>476.25</v>
      </c>
      <c r="D338" s="28" t="s">
        <v>1530</v>
      </c>
      <c r="E338" s="28">
        <v>267.25</v>
      </c>
      <c r="F338" s="28">
        <v>100.42</v>
      </c>
      <c r="G338" s="28" t="s">
        <v>2704</v>
      </c>
      <c r="H338" s="28">
        <v>315.35000000000002</v>
      </c>
      <c r="I338" s="30">
        <f t="shared" si="36"/>
        <v>5.0690511834811545E-3</v>
      </c>
      <c r="J338" s="30">
        <f t="shared" si="37"/>
        <v>7.3517831384588565E-4</v>
      </c>
      <c r="K338" s="30">
        <f t="shared" si="38"/>
        <v>2.019863329801698E-2</v>
      </c>
      <c r="L338" s="30">
        <f t="shared" si="39"/>
        <v>8.6434209663835675E-3</v>
      </c>
      <c r="M338" s="30">
        <f t="shared" si="40"/>
        <v>-1.9036921500739021E-2</v>
      </c>
      <c r="N338" s="30">
        <f t="shared" si="41"/>
        <v>-9.3388640841254292E-4</v>
      </c>
      <c r="O338" s="30">
        <f t="shared" si="42"/>
        <v>-3.1679328538963658E-2</v>
      </c>
    </row>
    <row r="339" spans="1:15" s="30" customFormat="1">
      <c r="A339" s="27">
        <v>45617</v>
      </c>
      <c r="B339" s="28" t="s">
        <v>334</v>
      </c>
      <c r="C339" s="28">
        <v>465.5</v>
      </c>
      <c r="D339" s="28" t="s">
        <v>1531</v>
      </c>
      <c r="E339" s="28">
        <v>255.45</v>
      </c>
      <c r="F339" s="28">
        <v>98.7</v>
      </c>
      <c r="G339" s="28" t="s">
        <v>2705</v>
      </c>
      <c r="H339" s="28">
        <v>321.5</v>
      </c>
      <c r="I339" s="30">
        <f t="shared" si="36"/>
        <v>-1.7978791940417894E-2</v>
      </c>
      <c r="J339" s="30">
        <f t="shared" si="37"/>
        <v>-2.2830829723789001E-2</v>
      </c>
      <c r="K339" s="30">
        <f t="shared" si="38"/>
        <v>-5.538331975821242E-3</v>
      </c>
      <c r="L339" s="30">
        <f t="shared" si="39"/>
        <v>-4.5157854128347698E-2</v>
      </c>
      <c r="M339" s="30">
        <f t="shared" si="40"/>
        <v>-1.7276444167123484E-2</v>
      </c>
      <c r="N339" s="30">
        <f t="shared" si="41"/>
        <v>-2.1044386647883825E-3</v>
      </c>
      <c r="O339" s="30">
        <f t="shared" si="42"/>
        <v>1.931441056801373E-2</v>
      </c>
    </row>
    <row r="340" spans="1:15" s="30" customFormat="1">
      <c r="A340" s="27">
        <v>45615</v>
      </c>
      <c r="B340" s="28" t="s">
        <v>335</v>
      </c>
      <c r="C340" s="28">
        <v>476.25</v>
      </c>
      <c r="D340" s="28" t="s">
        <v>1532</v>
      </c>
      <c r="E340" s="28">
        <v>261.10000000000002</v>
      </c>
      <c r="F340" s="28">
        <v>103.36</v>
      </c>
      <c r="G340" s="28" t="s">
        <v>2706</v>
      </c>
      <c r="H340" s="28">
        <v>334.1</v>
      </c>
      <c r="I340" s="30">
        <f t="shared" si="36"/>
        <v>2.2619733299565042E-2</v>
      </c>
      <c r="J340" s="30">
        <f t="shared" si="37"/>
        <v>2.2830829723789046E-2</v>
      </c>
      <c r="K340" s="30">
        <f t="shared" si="38"/>
        <v>4.2065965279675949E-3</v>
      </c>
      <c r="L340" s="30">
        <f t="shared" si="39"/>
        <v>2.1876779928276274E-2</v>
      </c>
      <c r="M340" s="30">
        <f t="shared" si="40"/>
        <v>4.613309359485572E-2</v>
      </c>
      <c r="N340" s="30">
        <f t="shared" si="41"/>
        <v>3.9439109530662432E-3</v>
      </c>
      <c r="O340" s="30">
        <f t="shared" si="42"/>
        <v>3.8442805685036809E-2</v>
      </c>
    </row>
    <row r="341" spans="1:15" s="30" customFormat="1">
      <c r="A341" s="27">
        <v>45614</v>
      </c>
      <c r="B341" s="28" t="s">
        <v>335</v>
      </c>
      <c r="C341" s="28">
        <v>479.35</v>
      </c>
      <c r="D341" s="28" t="s">
        <v>1533</v>
      </c>
      <c r="E341" s="28">
        <v>261.64999999999998</v>
      </c>
      <c r="F341" s="28">
        <v>102.57</v>
      </c>
      <c r="G341" s="28" t="s">
        <v>2707</v>
      </c>
      <c r="H341" s="28">
        <v>324.60000000000002</v>
      </c>
      <c r="I341" s="30">
        <f t="shared" si="36"/>
        <v>0</v>
      </c>
      <c r="J341" s="30">
        <f t="shared" si="37"/>
        <v>6.4880930820949987E-3</v>
      </c>
      <c r="K341" s="30">
        <f t="shared" si="38"/>
        <v>1.0988097334656572E-3</v>
      </c>
      <c r="L341" s="30">
        <f t="shared" si="39"/>
        <v>2.1042571131333907E-3</v>
      </c>
      <c r="M341" s="30">
        <f t="shared" si="40"/>
        <v>-7.6725477149721701E-3</v>
      </c>
      <c r="N341" s="30">
        <f t="shared" si="41"/>
        <v>1.5837927661011209E-2</v>
      </c>
      <c r="O341" s="30">
        <f t="shared" si="42"/>
        <v>-2.8846694282220021E-2</v>
      </c>
    </row>
    <row r="342" spans="1:15" s="30" customFormat="1">
      <c r="A342" s="27">
        <v>45610</v>
      </c>
      <c r="B342" s="28" t="s">
        <v>336</v>
      </c>
      <c r="C342" s="28">
        <v>491.9</v>
      </c>
      <c r="D342" s="28" t="s">
        <v>1534</v>
      </c>
      <c r="E342" s="28">
        <v>259.25</v>
      </c>
      <c r="F342" s="28">
        <v>104.7</v>
      </c>
      <c r="G342" s="28" t="s">
        <v>2708</v>
      </c>
      <c r="H342" s="28">
        <v>339.6</v>
      </c>
      <c r="I342" s="30">
        <f t="shared" si="36"/>
        <v>-2.2146833596653663E-4</v>
      </c>
      <c r="J342" s="30">
        <f t="shared" si="37"/>
        <v>2.584442427828848E-2</v>
      </c>
      <c r="K342" s="30">
        <f t="shared" si="38"/>
        <v>-1.5320058947910047E-3</v>
      </c>
      <c r="L342" s="30">
        <f t="shared" si="39"/>
        <v>-9.2148857085800739E-3</v>
      </c>
      <c r="M342" s="30">
        <f t="shared" si="40"/>
        <v>2.0553625557171759E-2</v>
      </c>
      <c r="N342" s="30">
        <f t="shared" si="41"/>
        <v>-1.5673363754989837E-2</v>
      </c>
      <c r="O342" s="30">
        <f t="shared" si="42"/>
        <v>4.5174799356701337E-2</v>
      </c>
    </row>
    <row r="343" spans="1:15" s="30" customFormat="1">
      <c r="A343" s="27">
        <v>45609</v>
      </c>
      <c r="B343" s="28" t="s">
        <v>337</v>
      </c>
      <c r="C343" s="28">
        <v>489.75</v>
      </c>
      <c r="D343" s="28" t="s">
        <v>1535</v>
      </c>
      <c r="E343" s="28">
        <v>262.3</v>
      </c>
      <c r="F343" s="28">
        <v>101.23</v>
      </c>
      <c r="G343" s="28" t="s">
        <v>2709</v>
      </c>
      <c r="H343" s="28">
        <v>340.45</v>
      </c>
      <c r="I343" s="30">
        <f t="shared" si="36"/>
        <v>-5.107356191098535E-3</v>
      </c>
      <c r="J343" s="30">
        <f t="shared" si="37"/>
        <v>-4.3803869766439046E-3</v>
      </c>
      <c r="K343" s="30">
        <f t="shared" si="38"/>
        <v>1.6663611709762818E-4</v>
      </c>
      <c r="L343" s="30">
        <f t="shared" si="39"/>
        <v>1.1696039763191236E-2</v>
      </c>
      <c r="M343" s="30">
        <f t="shared" si="40"/>
        <v>-3.3703962265830792E-2</v>
      </c>
      <c r="N343" s="30">
        <f t="shared" si="41"/>
        <v>4.3101450759105561E-3</v>
      </c>
      <c r="O343" s="30">
        <f t="shared" si="42"/>
        <v>2.4998174917831985E-3</v>
      </c>
    </row>
    <row r="344" spans="1:15" s="30" customFormat="1">
      <c r="A344" s="27">
        <v>45608</v>
      </c>
      <c r="B344" s="28" t="s">
        <v>338</v>
      </c>
      <c r="C344" s="28">
        <v>496.15</v>
      </c>
      <c r="D344" s="28" t="s">
        <v>1536</v>
      </c>
      <c r="E344" s="28">
        <v>267.2</v>
      </c>
      <c r="F344" s="28">
        <v>102.57</v>
      </c>
      <c r="G344" s="28" t="s">
        <v>2710</v>
      </c>
      <c r="H344" s="28">
        <v>352.05</v>
      </c>
      <c r="I344" s="30">
        <f t="shared" si="36"/>
        <v>1.7592288197583574E-3</v>
      </c>
      <c r="J344" s="30">
        <f t="shared" si="37"/>
        <v>1.2983243535600431E-2</v>
      </c>
      <c r="K344" s="30">
        <f t="shared" si="38"/>
        <v>-8.668111894634214E-4</v>
      </c>
      <c r="L344" s="30">
        <f t="shared" si="39"/>
        <v>1.8508554789662481E-2</v>
      </c>
      <c r="M344" s="30">
        <f t="shared" si="40"/>
        <v>1.3150336708659135E-2</v>
      </c>
      <c r="N344" s="30">
        <f t="shared" si="41"/>
        <v>2.8534526364909059E-2</v>
      </c>
      <c r="O344" s="30">
        <f t="shared" si="42"/>
        <v>3.3504939036166533E-2</v>
      </c>
    </row>
    <row r="345" spans="1:15" s="30" customFormat="1">
      <c r="A345" s="27">
        <v>45607</v>
      </c>
      <c r="B345" s="28" t="s">
        <v>339</v>
      </c>
      <c r="C345" s="28">
        <v>490.8</v>
      </c>
      <c r="D345" s="28" t="s">
        <v>1537</v>
      </c>
      <c r="E345" s="28">
        <v>268.25</v>
      </c>
      <c r="F345" s="28">
        <v>108.59</v>
      </c>
      <c r="G345" s="28" t="s">
        <v>2711</v>
      </c>
      <c r="H345" s="28">
        <v>350</v>
      </c>
      <c r="I345" s="30">
        <f t="shared" si="36"/>
        <v>2.7204021176906439E-2</v>
      </c>
      <c r="J345" s="30">
        <f t="shared" si="37"/>
        <v>-1.0841587523494072E-2</v>
      </c>
      <c r="K345" s="30">
        <f t="shared" si="38"/>
        <v>-8.6760447083639222E-3</v>
      </c>
      <c r="L345" s="30">
        <f t="shared" si="39"/>
        <v>3.9219398483172603E-3</v>
      </c>
      <c r="M345" s="30">
        <f t="shared" si="40"/>
        <v>5.7033829909489533E-2</v>
      </c>
      <c r="N345" s="30">
        <f t="shared" si="41"/>
        <v>2.504176505786225E-2</v>
      </c>
      <c r="O345" s="30">
        <f t="shared" si="42"/>
        <v>-5.8400564816828513E-3</v>
      </c>
    </row>
    <row r="346" spans="1:15" s="30" customFormat="1">
      <c r="A346" s="27">
        <v>45604</v>
      </c>
      <c r="B346" s="28" t="s">
        <v>340</v>
      </c>
      <c r="C346" s="28">
        <v>504.25</v>
      </c>
      <c r="D346" s="28" t="s">
        <v>1538</v>
      </c>
      <c r="E346" s="28">
        <v>271.14999999999998</v>
      </c>
      <c r="F346" s="28">
        <v>114.93</v>
      </c>
      <c r="G346" s="28" t="s">
        <v>2712</v>
      </c>
      <c r="H346" s="28">
        <v>362.6</v>
      </c>
      <c r="I346" s="30">
        <f t="shared" si="36"/>
        <v>8.5264935227392161E-2</v>
      </c>
      <c r="J346" s="30">
        <f t="shared" si="37"/>
        <v>2.7035463997564655E-2</v>
      </c>
      <c r="K346" s="30">
        <f t="shared" si="38"/>
        <v>3.198312731546734E-2</v>
      </c>
      <c r="L346" s="30">
        <f t="shared" si="39"/>
        <v>1.0752791776261697E-2</v>
      </c>
      <c r="M346" s="30">
        <f t="shared" si="40"/>
        <v>5.6743925151858221E-2</v>
      </c>
      <c r="N346" s="30">
        <f t="shared" si="41"/>
        <v>5.7422237727892227E-2</v>
      </c>
      <c r="O346" s="30">
        <f t="shared" si="42"/>
        <v>3.5367143837291344E-2</v>
      </c>
    </row>
    <row r="347" spans="1:15" s="30" customFormat="1">
      <c r="A347" s="27">
        <v>45603</v>
      </c>
      <c r="B347" s="28" t="s">
        <v>341</v>
      </c>
      <c r="C347" s="28">
        <v>516.25</v>
      </c>
      <c r="D347" s="28" t="s">
        <v>1539</v>
      </c>
      <c r="E347" s="28">
        <v>279.7</v>
      </c>
      <c r="F347" s="28">
        <v>118.3</v>
      </c>
      <c r="G347" s="28" t="s">
        <v>2713</v>
      </c>
      <c r="H347" s="28">
        <v>370.85</v>
      </c>
      <c r="I347" s="30">
        <f t="shared" si="36"/>
        <v>2.6158325581438061E-2</v>
      </c>
      <c r="J347" s="30">
        <f t="shared" si="37"/>
        <v>2.3518967440921454E-2</v>
      </c>
      <c r="K347" s="30">
        <f t="shared" si="38"/>
        <v>5.9272390284843719E-2</v>
      </c>
      <c r="L347" s="30">
        <f t="shared" si="39"/>
        <v>3.1045426920844374E-2</v>
      </c>
      <c r="M347" s="30">
        <f t="shared" si="40"/>
        <v>2.8900523603673806E-2</v>
      </c>
      <c r="N347" s="30">
        <f t="shared" si="41"/>
        <v>2.082300146040867E-2</v>
      </c>
      <c r="O347" s="30">
        <f t="shared" si="42"/>
        <v>2.2497369861816437E-2</v>
      </c>
    </row>
    <row r="348" spans="1:15" s="30" customFormat="1">
      <c r="A348" s="27">
        <v>45602</v>
      </c>
      <c r="B348" s="28" t="s">
        <v>342</v>
      </c>
      <c r="C348" s="28">
        <v>525.15</v>
      </c>
      <c r="D348" s="28" t="s">
        <v>1540</v>
      </c>
      <c r="E348" s="28">
        <v>285.64999999999998</v>
      </c>
      <c r="F348" s="28">
        <v>121.15</v>
      </c>
      <c r="G348" s="28" t="s">
        <v>2714</v>
      </c>
      <c r="H348" s="28">
        <v>378.5</v>
      </c>
      <c r="I348" s="30">
        <f t="shared" si="36"/>
        <v>1.8972198718700178E-2</v>
      </c>
      <c r="J348" s="30">
        <f t="shared" si="37"/>
        <v>1.7092791793541749E-2</v>
      </c>
      <c r="K348" s="30">
        <f t="shared" si="38"/>
        <v>6.8554208805761642E-3</v>
      </c>
      <c r="L348" s="30">
        <f t="shared" si="39"/>
        <v>2.1049684962557443E-2</v>
      </c>
      <c r="M348" s="30">
        <f t="shared" si="40"/>
        <v>2.3805676278193813E-2</v>
      </c>
      <c r="N348" s="30">
        <f t="shared" si="41"/>
        <v>1.1766171279293653E-2</v>
      </c>
      <c r="O348" s="30">
        <f t="shared" si="42"/>
        <v>2.0418404694936259E-2</v>
      </c>
    </row>
    <row r="349" spans="1:15" s="30" customFormat="1">
      <c r="A349" s="27">
        <v>45601</v>
      </c>
      <c r="B349" s="28" t="s">
        <v>343</v>
      </c>
      <c r="C349" s="28">
        <v>513.4</v>
      </c>
      <c r="D349" s="28" t="s">
        <v>1541</v>
      </c>
      <c r="E349" s="28">
        <v>283.89999999999998</v>
      </c>
      <c r="F349" s="28">
        <v>116.2</v>
      </c>
      <c r="G349" s="28" t="s">
        <v>2715</v>
      </c>
      <c r="H349" s="28">
        <v>367.05</v>
      </c>
      <c r="I349" s="30">
        <f t="shared" si="36"/>
        <v>-3.4574594480815792E-3</v>
      </c>
      <c r="J349" s="30">
        <f t="shared" si="37"/>
        <v>-2.262866763174429E-2</v>
      </c>
      <c r="K349" s="30">
        <f t="shared" si="38"/>
        <v>-1.0516569154547763E-2</v>
      </c>
      <c r="L349" s="30">
        <f t="shared" si="39"/>
        <v>-6.1452216915460905E-3</v>
      </c>
      <c r="M349" s="30">
        <f t="shared" si="40"/>
        <v>-4.1716602844723935E-2</v>
      </c>
      <c r="N349" s="30">
        <f t="shared" si="41"/>
        <v>7.3531475993259864E-3</v>
      </c>
      <c r="O349" s="30">
        <f t="shared" si="42"/>
        <v>-3.0717994320713062E-2</v>
      </c>
    </row>
    <row r="350" spans="1:15" s="30" customFormat="1">
      <c r="A350" s="27">
        <v>45600</v>
      </c>
      <c r="B350" s="28" t="s">
        <v>344</v>
      </c>
      <c r="C350" s="28">
        <v>524.5</v>
      </c>
      <c r="D350" s="28" t="s">
        <v>1542</v>
      </c>
      <c r="E350" s="28">
        <v>285.8</v>
      </c>
      <c r="F350" s="28">
        <v>114.63</v>
      </c>
      <c r="G350" s="28" t="s">
        <v>2716</v>
      </c>
      <c r="H350" s="28">
        <v>356.85</v>
      </c>
      <c r="I350" s="30">
        <f t="shared" si="36"/>
        <v>9.6509210791634655E-3</v>
      </c>
      <c r="J350" s="30">
        <f t="shared" si="37"/>
        <v>2.1390159399311919E-2</v>
      </c>
      <c r="K350" s="30">
        <f t="shared" si="38"/>
        <v>1.7204133975979717E-2</v>
      </c>
      <c r="L350" s="30">
        <f t="shared" si="39"/>
        <v>6.6702020168415482E-3</v>
      </c>
      <c r="M350" s="30">
        <f t="shared" si="40"/>
        <v>-1.3603294290892624E-2</v>
      </c>
      <c r="N350" s="30">
        <f t="shared" si="41"/>
        <v>5.5613263348211379E-3</v>
      </c>
      <c r="O350" s="30">
        <f t="shared" si="42"/>
        <v>-2.8182553139713896E-2</v>
      </c>
    </row>
    <row r="351" spans="1:15" s="30" customFormat="1">
      <c r="A351" s="27">
        <v>45597</v>
      </c>
      <c r="B351" s="28" t="s">
        <v>345</v>
      </c>
      <c r="C351" s="28">
        <v>531.75</v>
      </c>
      <c r="D351" s="28" t="s">
        <v>1543</v>
      </c>
      <c r="E351" s="28">
        <v>287</v>
      </c>
      <c r="F351" s="28">
        <v>116.67</v>
      </c>
      <c r="G351" s="28" t="s">
        <v>2717</v>
      </c>
      <c r="H351" s="28">
        <v>341.2</v>
      </c>
      <c r="I351" s="30">
        <f t="shared" si="36"/>
        <v>8.3858291818966688E-3</v>
      </c>
      <c r="J351" s="30">
        <f t="shared" si="37"/>
        <v>1.3728026243994653E-2</v>
      </c>
      <c r="K351" s="30">
        <f t="shared" si="38"/>
        <v>1.5631424176666409E-2</v>
      </c>
      <c r="L351" s="30">
        <f t="shared" si="39"/>
        <v>4.189950263854143E-3</v>
      </c>
      <c r="M351" s="30">
        <f t="shared" si="40"/>
        <v>1.7639886708847294E-2</v>
      </c>
      <c r="N351" s="30">
        <f t="shared" si="41"/>
        <v>5.3654804635127978E-2</v>
      </c>
      <c r="O351" s="30">
        <f t="shared" si="42"/>
        <v>-4.4846709799552402E-2</v>
      </c>
    </row>
    <row r="352" spans="1:15" s="30" customFormat="1">
      <c r="A352" s="27">
        <v>45596</v>
      </c>
      <c r="B352" s="28" t="s">
        <v>346</v>
      </c>
      <c r="C352" s="28">
        <v>536.79999999999995</v>
      </c>
      <c r="D352" s="28" t="s">
        <v>1544</v>
      </c>
      <c r="E352" s="28">
        <v>285.10000000000002</v>
      </c>
      <c r="F352" s="28">
        <v>113.84</v>
      </c>
      <c r="G352" s="28" t="s">
        <v>2718</v>
      </c>
      <c r="H352" s="28">
        <v>342.55</v>
      </c>
      <c r="I352" s="30">
        <f t="shared" si="36"/>
        <v>-1.4296658038907941E-3</v>
      </c>
      <c r="J352" s="30">
        <f t="shared" si="37"/>
        <v>9.4521315771253622E-3</v>
      </c>
      <c r="K352" s="30">
        <f t="shared" si="38"/>
        <v>-1.8635295054060499E-2</v>
      </c>
      <c r="L352" s="30">
        <f t="shared" si="39"/>
        <v>-6.6422198409946788E-3</v>
      </c>
      <c r="M352" s="30">
        <f t="shared" si="40"/>
        <v>-2.4555483054168634E-2</v>
      </c>
      <c r="N352" s="30">
        <f t="shared" si="41"/>
        <v>-2.6052948737239522E-2</v>
      </c>
      <c r="O352" s="30">
        <f t="shared" si="42"/>
        <v>3.9488168313840579E-3</v>
      </c>
    </row>
    <row r="353" spans="1:15" s="30" customFormat="1">
      <c r="A353" s="27">
        <v>45595</v>
      </c>
      <c r="B353" s="28" t="s">
        <v>347</v>
      </c>
      <c r="C353" s="28">
        <v>546.9</v>
      </c>
      <c r="D353" s="28" t="s">
        <v>1545</v>
      </c>
      <c r="E353" s="28">
        <v>285.60000000000002</v>
      </c>
      <c r="F353" s="28">
        <v>109.19</v>
      </c>
      <c r="G353" s="28" t="s">
        <v>2719</v>
      </c>
      <c r="H353" s="28">
        <v>338.5</v>
      </c>
      <c r="I353" s="30">
        <f t="shared" si="36"/>
        <v>2.0566104227740623E-2</v>
      </c>
      <c r="J353" s="30">
        <f t="shared" si="37"/>
        <v>1.8640384695255075E-2</v>
      </c>
      <c r="K353" s="30">
        <f t="shared" si="38"/>
        <v>-1.7287256968214183E-2</v>
      </c>
      <c r="L353" s="30">
        <f t="shared" si="39"/>
        <v>1.7522345468030877E-3</v>
      </c>
      <c r="M353" s="30">
        <f t="shared" si="40"/>
        <v>-4.1704469755622073E-2</v>
      </c>
      <c r="N353" s="30">
        <f t="shared" si="41"/>
        <v>-0.14641579087882173</v>
      </c>
      <c r="O353" s="30">
        <f t="shared" si="42"/>
        <v>-1.1893540096578418E-2</v>
      </c>
    </row>
    <row r="354" spans="1:15" s="30" customFormat="1">
      <c r="A354" s="27">
        <v>45594</v>
      </c>
      <c r="B354" s="28" t="s">
        <v>348</v>
      </c>
      <c r="C354" s="28">
        <v>545.5</v>
      </c>
      <c r="D354" s="28" t="s">
        <v>1546</v>
      </c>
      <c r="E354" s="28">
        <v>286.55</v>
      </c>
      <c r="F354" s="28">
        <v>106.77</v>
      </c>
      <c r="G354" s="28" t="s">
        <v>2720</v>
      </c>
      <c r="H354" s="28">
        <v>319.75</v>
      </c>
      <c r="I354" s="30">
        <f t="shared" si="36"/>
        <v>-1.2688873895507799E-3</v>
      </c>
      <c r="J354" s="30">
        <f t="shared" si="37"/>
        <v>-2.5631650796014475E-3</v>
      </c>
      <c r="K354" s="30">
        <f t="shared" si="38"/>
        <v>3.9881656424190247E-2</v>
      </c>
      <c r="L354" s="30">
        <f t="shared" si="39"/>
        <v>3.3208105323171361E-3</v>
      </c>
      <c r="M354" s="30">
        <f t="shared" si="40"/>
        <v>-2.24124958357639E-2</v>
      </c>
      <c r="N354" s="30">
        <f t="shared" si="41"/>
        <v>-1.6612360422778579E-2</v>
      </c>
      <c r="O354" s="30">
        <f t="shared" si="42"/>
        <v>-5.6984651893377598E-2</v>
      </c>
    </row>
    <row r="355" spans="1:15" s="30" customFormat="1">
      <c r="A355" s="27">
        <v>45593</v>
      </c>
      <c r="B355" s="28" t="s">
        <v>349</v>
      </c>
      <c r="C355" s="28">
        <v>539.20000000000005</v>
      </c>
      <c r="D355" s="28" t="s">
        <v>1547</v>
      </c>
      <c r="E355" s="28">
        <v>283.39999999999998</v>
      </c>
      <c r="F355" s="28">
        <v>106.36</v>
      </c>
      <c r="G355" s="28" t="s">
        <v>2721</v>
      </c>
      <c r="H355" s="28">
        <v>311.55</v>
      </c>
      <c r="I355" s="30">
        <f t="shared" si="36"/>
        <v>3.0026545988790102E-3</v>
      </c>
      <c r="J355" s="30">
        <f t="shared" si="37"/>
        <v>-1.1616245675028117E-2</v>
      </c>
      <c r="K355" s="30">
        <f t="shared" si="38"/>
        <v>-2.4084508752940759E-2</v>
      </c>
      <c r="L355" s="30">
        <f t="shared" si="39"/>
        <v>-1.1053713741166501E-2</v>
      </c>
      <c r="M355" s="30">
        <f t="shared" si="40"/>
        <v>-3.847421815391861E-3</v>
      </c>
      <c r="N355" s="30">
        <f t="shared" si="41"/>
        <v>-1.123610653399778E-3</v>
      </c>
      <c r="O355" s="30">
        <f t="shared" si="42"/>
        <v>-2.597960146872106E-2</v>
      </c>
    </row>
    <row r="356" spans="1:15" s="30" customFormat="1">
      <c r="A356" s="27">
        <v>45590</v>
      </c>
      <c r="B356" s="28" t="s">
        <v>350</v>
      </c>
      <c r="C356" s="28">
        <v>536.95000000000005</v>
      </c>
      <c r="D356" s="28" t="s">
        <v>1548</v>
      </c>
      <c r="E356" s="28">
        <v>279.14999999999998</v>
      </c>
      <c r="F356" s="28">
        <v>112.22</v>
      </c>
      <c r="G356" s="28" t="s">
        <v>2722</v>
      </c>
      <c r="H356" s="28">
        <v>301.5</v>
      </c>
      <c r="I356" s="30">
        <f t="shared" si="36"/>
        <v>-1.4715400985411466E-2</v>
      </c>
      <c r="J356" s="30">
        <f t="shared" si="37"/>
        <v>-4.1815792938718257E-3</v>
      </c>
      <c r="K356" s="30">
        <f t="shared" si="38"/>
        <v>-2.5583937606594713E-2</v>
      </c>
      <c r="L356" s="30">
        <f t="shared" si="39"/>
        <v>-1.511005550021065E-2</v>
      </c>
      <c r="M356" s="30">
        <f t="shared" si="40"/>
        <v>5.3631663948006912E-2</v>
      </c>
      <c r="N356" s="30">
        <f t="shared" si="41"/>
        <v>-6.2159949359910233E-3</v>
      </c>
      <c r="O356" s="30">
        <f t="shared" si="42"/>
        <v>-3.2789822822990956E-2</v>
      </c>
    </row>
    <row r="357" spans="1:15" s="30" customFormat="1">
      <c r="A357" s="27">
        <v>45589</v>
      </c>
      <c r="B357" s="28" t="s">
        <v>351</v>
      </c>
      <c r="C357" s="28">
        <v>544</v>
      </c>
      <c r="D357" s="28" t="s">
        <v>1549</v>
      </c>
      <c r="E357" s="28">
        <v>270.75</v>
      </c>
      <c r="F357" s="28">
        <v>119.26</v>
      </c>
      <c r="G357" s="28" t="s">
        <v>2723</v>
      </c>
      <c r="H357" s="28">
        <v>308.64999999999998</v>
      </c>
      <c r="I357" s="30">
        <f t="shared" si="36"/>
        <v>4.721762566904689E-3</v>
      </c>
      <c r="J357" s="30">
        <f t="shared" si="37"/>
        <v>1.3044266551717058E-2</v>
      </c>
      <c r="K357" s="30">
        <f t="shared" si="38"/>
        <v>3.699188339961039E-2</v>
      </c>
      <c r="L357" s="30">
        <f t="shared" si="39"/>
        <v>-3.055338587526937E-2</v>
      </c>
      <c r="M357" s="30">
        <f t="shared" si="40"/>
        <v>6.0844753372133957E-2</v>
      </c>
      <c r="N357" s="30">
        <f t="shared" si="41"/>
        <v>-1.5634269182740494E-3</v>
      </c>
      <c r="O357" s="30">
        <f t="shared" si="42"/>
        <v>2.3437932672664752E-2</v>
      </c>
    </row>
    <row r="358" spans="1:15" s="30" customFormat="1">
      <c r="A358" s="27">
        <v>45588</v>
      </c>
      <c r="B358" s="28" t="s">
        <v>352</v>
      </c>
      <c r="C358" s="28">
        <v>534.6</v>
      </c>
      <c r="D358" s="28" t="s">
        <v>1550</v>
      </c>
      <c r="E358" s="28">
        <v>275.95</v>
      </c>
      <c r="F358" s="28">
        <v>119.76</v>
      </c>
      <c r="G358" s="28" t="s">
        <v>2724</v>
      </c>
      <c r="H358" s="28">
        <v>310.7</v>
      </c>
      <c r="I358" s="30">
        <f t="shared" si="36"/>
        <v>5.9379210650841651E-3</v>
      </c>
      <c r="J358" s="30">
        <f t="shared" si="37"/>
        <v>-1.743044315112394E-2</v>
      </c>
      <c r="K358" s="30">
        <f t="shared" si="38"/>
        <v>-9.1280670069276981E-3</v>
      </c>
      <c r="L358" s="30">
        <f t="shared" si="39"/>
        <v>1.9023804004410162E-2</v>
      </c>
      <c r="M358" s="30">
        <f t="shared" si="40"/>
        <v>4.1837564164130345E-3</v>
      </c>
      <c r="N358" s="30">
        <f t="shared" si="41"/>
        <v>-6.0204063301397635E-3</v>
      </c>
      <c r="O358" s="30">
        <f t="shared" si="42"/>
        <v>6.6198675590969161E-3</v>
      </c>
    </row>
    <row r="359" spans="1:15" s="30" customFormat="1">
      <c r="A359" s="27">
        <v>45587</v>
      </c>
      <c r="B359" s="28" t="s">
        <v>353</v>
      </c>
      <c r="C359" s="28">
        <v>538.45000000000005</v>
      </c>
      <c r="D359" s="28" t="s">
        <v>1551</v>
      </c>
      <c r="E359" s="28">
        <v>275.35000000000002</v>
      </c>
      <c r="F359" s="28">
        <v>114.73</v>
      </c>
      <c r="G359" s="28" t="s">
        <v>2725</v>
      </c>
      <c r="H359" s="28">
        <v>307.75</v>
      </c>
      <c r="I359" s="30">
        <f t="shared" si="36"/>
        <v>5.7199712366447306E-3</v>
      </c>
      <c r="J359" s="30">
        <f t="shared" si="37"/>
        <v>7.1758380700714117E-3</v>
      </c>
      <c r="K359" s="30">
        <f t="shared" si="38"/>
        <v>-2.5233729282133103E-3</v>
      </c>
      <c r="L359" s="30">
        <f t="shared" si="39"/>
        <v>-2.1766741770196133E-3</v>
      </c>
      <c r="M359" s="30">
        <f t="shared" si="40"/>
        <v>-4.2908198300321276E-2</v>
      </c>
      <c r="N359" s="30">
        <f t="shared" si="41"/>
        <v>9.4674783885397504E-3</v>
      </c>
      <c r="O359" s="30">
        <f t="shared" si="42"/>
        <v>-9.5400513344388194E-3</v>
      </c>
    </row>
    <row r="360" spans="1:15" s="30" customFormat="1">
      <c r="A360" s="27">
        <v>45586</v>
      </c>
      <c r="B360" s="28" t="s">
        <v>354</v>
      </c>
      <c r="C360" s="28">
        <v>556.65</v>
      </c>
      <c r="D360" s="28" t="s">
        <v>1552</v>
      </c>
      <c r="E360" s="28">
        <v>278.85000000000002</v>
      </c>
      <c r="F360" s="28">
        <v>124.36</v>
      </c>
      <c r="G360" s="28" t="s">
        <v>2726</v>
      </c>
      <c r="H360" s="28">
        <v>321.85000000000002</v>
      </c>
      <c r="I360" s="30">
        <f t="shared" si="36"/>
        <v>1.398624197473987E-2</v>
      </c>
      <c r="J360" s="30">
        <f t="shared" si="37"/>
        <v>3.3242034399826155E-2</v>
      </c>
      <c r="K360" s="30">
        <f t="shared" si="38"/>
        <v>7.0373694140868663E-3</v>
      </c>
      <c r="L360" s="30">
        <f t="shared" si="39"/>
        <v>1.2630987127072274E-2</v>
      </c>
      <c r="M360" s="30">
        <f t="shared" si="40"/>
        <v>8.0599043379501301E-2</v>
      </c>
      <c r="N360" s="30">
        <f t="shared" si="41"/>
        <v>3.0161289627169588E-2</v>
      </c>
      <c r="O360" s="30">
        <f t="shared" si="42"/>
        <v>4.4797833434062004E-2</v>
      </c>
    </row>
    <row r="361" spans="1:15" s="30" customFormat="1">
      <c r="A361" s="27">
        <v>45583</v>
      </c>
      <c r="B361" s="28" t="s">
        <v>355</v>
      </c>
      <c r="C361" s="28">
        <v>556.35</v>
      </c>
      <c r="D361" s="28" t="s">
        <v>1553</v>
      </c>
      <c r="E361" s="28">
        <v>287.05</v>
      </c>
      <c r="F361" s="28">
        <v>128.08000000000001</v>
      </c>
      <c r="G361" s="28" t="s">
        <v>2727</v>
      </c>
      <c r="H361" s="28">
        <v>326.75</v>
      </c>
      <c r="I361" s="30">
        <f t="shared" si="36"/>
        <v>-1.8887068586562618E-2</v>
      </c>
      <c r="J361" s="30">
        <f t="shared" si="37"/>
        <v>-5.3908357100665471E-4</v>
      </c>
      <c r="K361" s="30">
        <f t="shared" si="38"/>
        <v>-5.4188136599463956E-2</v>
      </c>
      <c r="L361" s="30">
        <f t="shared" si="39"/>
        <v>2.8982413778083131E-2</v>
      </c>
      <c r="M361" s="30">
        <f t="shared" si="40"/>
        <v>2.9474483497906368E-2</v>
      </c>
      <c r="N361" s="30">
        <f t="shared" si="41"/>
        <v>1.9950432176618162E-2</v>
      </c>
      <c r="O361" s="30">
        <f t="shared" si="42"/>
        <v>1.5109754005706303E-2</v>
      </c>
    </row>
    <row r="362" spans="1:15" s="30" customFormat="1">
      <c r="A362" s="27">
        <v>45582</v>
      </c>
      <c r="B362" s="28" t="s">
        <v>356</v>
      </c>
      <c r="C362" s="28">
        <v>558.15</v>
      </c>
      <c r="D362" s="28" t="s">
        <v>1554</v>
      </c>
      <c r="E362" s="28">
        <v>287</v>
      </c>
      <c r="F362" s="28">
        <v>128.87</v>
      </c>
      <c r="G362" s="28" t="s">
        <v>2728</v>
      </c>
      <c r="H362" s="28">
        <v>329.2</v>
      </c>
      <c r="I362" s="30">
        <f t="shared" si="36"/>
        <v>2.1065593784573896E-2</v>
      </c>
      <c r="J362" s="30">
        <f t="shared" si="37"/>
        <v>3.2301508570316932E-3</v>
      </c>
      <c r="K362" s="30">
        <f t="shared" si="38"/>
        <v>-3.45224738722951E-3</v>
      </c>
      <c r="L362" s="30">
        <f t="shared" si="39"/>
        <v>-1.7420085402470651E-4</v>
      </c>
      <c r="M362" s="30">
        <f t="shared" si="40"/>
        <v>6.1490756118405612E-3</v>
      </c>
      <c r="N362" s="30">
        <f t="shared" si="41"/>
        <v>2.0775564413779486E-2</v>
      </c>
      <c r="O362" s="30">
        <f t="shared" si="42"/>
        <v>7.470116298583465E-3</v>
      </c>
    </row>
    <row r="363" spans="1:15" s="30" customFormat="1">
      <c r="A363" s="27">
        <v>45581</v>
      </c>
      <c r="B363" s="28" t="s">
        <v>357</v>
      </c>
      <c r="C363" s="28">
        <v>569.70000000000005</v>
      </c>
      <c r="D363" s="28" t="s">
        <v>1555</v>
      </c>
      <c r="E363" s="28">
        <v>295.5</v>
      </c>
      <c r="F363" s="28">
        <v>130.91999999999999</v>
      </c>
      <c r="G363" s="28" t="s">
        <v>2729</v>
      </c>
      <c r="H363" s="28">
        <v>329</v>
      </c>
      <c r="I363" s="30">
        <f t="shared" si="36"/>
        <v>8.5533965048913922E-3</v>
      </c>
      <c r="J363" s="30">
        <f t="shared" si="37"/>
        <v>2.0482163025608877E-2</v>
      </c>
      <c r="K363" s="30">
        <f t="shared" si="38"/>
        <v>7.4012971053258056E-3</v>
      </c>
      <c r="L363" s="30">
        <f t="shared" si="39"/>
        <v>2.9186621086531868E-2</v>
      </c>
      <c r="M363" s="30">
        <f t="shared" si="40"/>
        <v>1.5782305332679863E-2</v>
      </c>
      <c r="N363" s="30">
        <f t="shared" si="41"/>
        <v>2.8126005208608272E-2</v>
      </c>
      <c r="O363" s="30">
        <f t="shared" si="42"/>
        <v>-6.0771803754279042E-4</v>
      </c>
    </row>
    <row r="364" spans="1:15" s="30" customFormat="1">
      <c r="A364" s="27">
        <v>45580</v>
      </c>
      <c r="B364" s="28" t="s">
        <v>358</v>
      </c>
      <c r="C364" s="28">
        <v>581.25</v>
      </c>
      <c r="D364" s="28" t="s">
        <v>1556</v>
      </c>
      <c r="E364" s="28">
        <v>286.3</v>
      </c>
      <c r="F364" s="28">
        <v>130.85</v>
      </c>
      <c r="G364" s="28" t="s">
        <v>2730</v>
      </c>
      <c r="H364" s="28">
        <v>333.9</v>
      </c>
      <c r="I364" s="30">
        <f t="shared" si="36"/>
        <v>-4.8786930826923399E-3</v>
      </c>
      <c r="J364" s="30">
        <f t="shared" si="37"/>
        <v>2.0071050415216056E-2</v>
      </c>
      <c r="K364" s="30">
        <f t="shared" si="38"/>
        <v>-4.4487881830855093E-2</v>
      </c>
      <c r="L364" s="30">
        <f t="shared" si="39"/>
        <v>-3.1628624742083514E-2</v>
      </c>
      <c r="M364" s="30">
        <f t="shared" si="40"/>
        <v>-5.3482065682481446E-4</v>
      </c>
      <c r="N364" s="30">
        <f t="shared" si="41"/>
        <v>2.2309159285600393E-2</v>
      </c>
      <c r="O364" s="30">
        <f t="shared" si="42"/>
        <v>1.4783796184236912E-2</v>
      </c>
    </row>
    <row r="365" spans="1:15" s="30" customFormat="1">
      <c r="A365" s="27">
        <v>45579</v>
      </c>
      <c r="B365" s="28" t="s">
        <v>359</v>
      </c>
      <c r="C365" s="28">
        <v>568.45000000000005</v>
      </c>
      <c r="D365" s="28" t="s">
        <v>1557</v>
      </c>
      <c r="E365" s="28">
        <v>287.8</v>
      </c>
      <c r="F365" s="28">
        <v>129.93</v>
      </c>
      <c r="G365" s="28" t="s">
        <v>2731</v>
      </c>
      <c r="H365" s="28">
        <v>331.7</v>
      </c>
      <c r="I365" s="30">
        <f t="shared" si="36"/>
        <v>-9.1546186940590947E-3</v>
      </c>
      <c r="J365" s="30">
        <f t="shared" si="37"/>
        <v>-2.2267598326450349E-2</v>
      </c>
      <c r="K365" s="30">
        <f t="shared" si="38"/>
        <v>-1.8648871834068801E-2</v>
      </c>
      <c r="L365" s="30">
        <f t="shared" si="39"/>
        <v>5.2255823491981551E-3</v>
      </c>
      <c r="M365" s="30">
        <f t="shared" si="40"/>
        <v>-7.0557850815097687E-3</v>
      </c>
      <c r="N365" s="30">
        <f t="shared" si="41"/>
        <v>-3.1371612385592919E-2</v>
      </c>
      <c r="O365" s="30">
        <f t="shared" si="42"/>
        <v>-6.6106009966021067E-3</v>
      </c>
    </row>
    <row r="366" spans="1:15" s="30" customFormat="1">
      <c r="A366" s="27">
        <v>45576</v>
      </c>
      <c r="B366" s="28" t="s">
        <v>360</v>
      </c>
      <c r="C366" s="28">
        <v>571.54999999999995</v>
      </c>
      <c r="D366" s="28" t="s">
        <v>1558</v>
      </c>
      <c r="E366" s="28">
        <v>288.75</v>
      </c>
      <c r="F366" s="28">
        <v>130.32</v>
      </c>
      <c r="G366" s="28" t="s">
        <v>2732</v>
      </c>
      <c r="H366" s="28">
        <v>332.2</v>
      </c>
      <c r="I366" s="30">
        <f t="shared" si="36"/>
        <v>-6.4183270119131622E-4</v>
      </c>
      <c r="J366" s="30">
        <f t="shared" si="37"/>
        <v>5.4386098966717521E-3</v>
      </c>
      <c r="K366" s="30">
        <f t="shared" si="38"/>
        <v>3.4136070325977343E-3</v>
      </c>
      <c r="L366" s="30">
        <f t="shared" si="39"/>
        <v>3.2954673827357245E-3</v>
      </c>
      <c r="M366" s="30">
        <f t="shared" si="40"/>
        <v>2.9971203991446781E-3</v>
      </c>
      <c r="N366" s="30">
        <f t="shared" si="41"/>
        <v>1.2962941048826775E-2</v>
      </c>
      <c r="O366" s="30">
        <f t="shared" si="42"/>
        <v>1.5062512261877596E-3</v>
      </c>
    </row>
    <row r="367" spans="1:15" s="30" customFormat="1">
      <c r="A367" s="27">
        <v>45575</v>
      </c>
      <c r="B367" s="28" t="s">
        <v>361</v>
      </c>
      <c r="C367" s="28">
        <v>573.29999999999995</v>
      </c>
      <c r="D367" s="28" t="s">
        <v>1559</v>
      </c>
      <c r="E367" s="28">
        <v>291.5</v>
      </c>
      <c r="F367" s="28">
        <v>130.58000000000001</v>
      </c>
      <c r="G367" s="28" t="s">
        <v>2733</v>
      </c>
      <c r="H367" s="28">
        <v>331.95</v>
      </c>
      <c r="I367" s="30">
        <f t="shared" si="36"/>
        <v>7.1847166992110873E-3</v>
      </c>
      <c r="J367" s="30">
        <f t="shared" si="37"/>
        <v>3.0571714425495786E-3</v>
      </c>
      <c r="K367" s="30">
        <f t="shared" si="38"/>
        <v>-9.0495287884348932E-3</v>
      </c>
      <c r="L367" s="30">
        <f t="shared" si="39"/>
        <v>9.4787439545437387E-3</v>
      </c>
      <c r="M367" s="30">
        <f t="shared" si="40"/>
        <v>1.9931014646979201E-3</v>
      </c>
      <c r="N367" s="30">
        <f t="shared" si="41"/>
        <v>2.1428277278466936E-2</v>
      </c>
      <c r="O367" s="30">
        <f t="shared" si="42"/>
        <v>-7.5284201402615089E-4</v>
      </c>
    </row>
    <row r="368" spans="1:15" s="30" customFormat="1">
      <c r="A368" s="27">
        <v>45574</v>
      </c>
      <c r="B368" s="28" t="s">
        <v>362</v>
      </c>
      <c r="C368" s="28">
        <v>575.79999999999995</v>
      </c>
      <c r="D368" s="28" t="s">
        <v>1560</v>
      </c>
      <c r="E368" s="28">
        <v>291.39999999999998</v>
      </c>
      <c r="F368" s="28">
        <v>130.18</v>
      </c>
      <c r="G368" s="28" t="s">
        <v>2734</v>
      </c>
      <c r="H368" s="28">
        <v>333.05</v>
      </c>
      <c r="I368" s="30">
        <f t="shared" si="36"/>
        <v>6.4353955835465904E-3</v>
      </c>
      <c r="J368" s="30">
        <f t="shared" si="37"/>
        <v>4.3512382637384689E-3</v>
      </c>
      <c r="K368" s="30">
        <f t="shared" si="38"/>
        <v>-2.5226712771481965E-3</v>
      </c>
      <c r="L368" s="30">
        <f t="shared" si="39"/>
        <v>-3.4311202944266105E-4</v>
      </c>
      <c r="M368" s="30">
        <f t="shared" si="40"/>
        <v>-3.0679576142461653E-3</v>
      </c>
      <c r="N368" s="30">
        <f t="shared" si="41"/>
        <v>2.9624259515945373E-2</v>
      </c>
      <c r="O368" s="30">
        <f t="shared" si="42"/>
        <v>3.3082736940201135E-3</v>
      </c>
    </row>
    <row r="369" spans="1:15" s="30" customFormat="1">
      <c r="A369" s="27">
        <v>45573</v>
      </c>
      <c r="B369" s="28" t="s">
        <v>363</v>
      </c>
      <c r="C369" s="28">
        <v>573.1</v>
      </c>
      <c r="D369" s="28" t="s">
        <v>1561</v>
      </c>
      <c r="E369" s="28">
        <v>287.05</v>
      </c>
      <c r="F369" s="28">
        <v>134.13</v>
      </c>
      <c r="G369" s="28" t="s">
        <v>2735</v>
      </c>
      <c r="H369" s="28">
        <v>326.75</v>
      </c>
      <c r="I369" s="30">
        <f t="shared" si="36"/>
        <v>2.9836731015908022E-3</v>
      </c>
      <c r="J369" s="30">
        <f t="shared" si="37"/>
        <v>-4.7001566203835948E-3</v>
      </c>
      <c r="K369" s="30">
        <f t="shared" si="38"/>
        <v>3.305450182089097E-3</v>
      </c>
      <c r="L369" s="30">
        <f t="shared" si="39"/>
        <v>-1.5040477147458471E-2</v>
      </c>
      <c r="M369" s="30">
        <f t="shared" si="40"/>
        <v>2.9891370769757598E-2</v>
      </c>
      <c r="N369" s="30">
        <f t="shared" si="41"/>
        <v>-0.10168351231439758</v>
      </c>
      <c r="O369" s="30">
        <f t="shared" si="42"/>
        <v>-1.9097276354857112E-2</v>
      </c>
    </row>
    <row r="370" spans="1:15" s="30" customFormat="1">
      <c r="A370" s="27">
        <v>45572</v>
      </c>
      <c r="B370" s="28" t="s">
        <v>364</v>
      </c>
      <c r="C370" s="28">
        <v>567.85</v>
      </c>
      <c r="D370" s="28" t="s">
        <v>1562</v>
      </c>
      <c r="E370" s="28">
        <v>280.55</v>
      </c>
      <c r="F370" s="28">
        <v>129.33000000000001</v>
      </c>
      <c r="G370" s="28" t="s">
        <v>2736</v>
      </c>
      <c r="H370" s="28">
        <v>319.7</v>
      </c>
      <c r="I370" s="30">
        <f t="shared" si="36"/>
        <v>-8.3898838556322151E-3</v>
      </c>
      <c r="J370" s="30">
        <f t="shared" si="37"/>
        <v>-9.2029222200364896E-3</v>
      </c>
      <c r="K370" s="30">
        <f t="shared" si="38"/>
        <v>-2.5462623880792019E-2</v>
      </c>
      <c r="L370" s="30">
        <f t="shared" si="39"/>
        <v>-2.2904454416664808E-2</v>
      </c>
      <c r="M370" s="30">
        <f t="shared" si="40"/>
        <v>-3.6442201486845842E-2</v>
      </c>
      <c r="N370" s="30">
        <f t="shared" si="41"/>
        <v>-3.0766874721673405E-2</v>
      </c>
      <c r="O370" s="30">
        <f t="shared" si="42"/>
        <v>-2.1812296438535567E-2</v>
      </c>
    </row>
    <row r="371" spans="1:15" s="30" customFormat="1">
      <c r="A371" s="27">
        <v>45569</v>
      </c>
      <c r="B371" s="28" t="s">
        <v>365</v>
      </c>
      <c r="C371" s="28">
        <v>576.95000000000005</v>
      </c>
      <c r="D371" s="28" t="s">
        <v>1563</v>
      </c>
      <c r="E371" s="28">
        <v>292.10000000000002</v>
      </c>
      <c r="F371" s="28">
        <v>133.78</v>
      </c>
      <c r="G371" s="28" t="s">
        <v>2737</v>
      </c>
      <c r="H371" s="28">
        <v>333.85</v>
      </c>
      <c r="I371" s="30">
        <f t="shared" si="36"/>
        <v>3.3416225723949923E-3</v>
      </c>
      <c r="J371" s="30">
        <f t="shared" si="37"/>
        <v>1.5898308303021559E-2</v>
      </c>
      <c r="K371" s="30">
        <f t="shared" si="38"/>
        <v>1.9148932958844539E-2</v>
      </c>
      <c r="L371" s="30">
        <f t="shared" si="39"/>
        <v>4.0344247196714353E-2</v>
      </c>
      <c r="M371" s="30">
        <f t="shared" si="40"/>
        <v>3.3829382263109026E-2</v>
      </c>
      <c r="N371" s="30">
        <f t="shared" si="41"/>
        <v>5.2747028991512197E-3</v>
      </c>
      <c r="O371" s="30">
        <f t="shared" si="42"/>
        <v>4.3308734238082063E-2</v>
      </c>
    </row>
    <row r="372" spans="1:15" s="30" customFormat="1">
      <c r="A372" s="27">
        <v>45568</v>
      </c>
      <c r="B372" s="28" t="s">
        <v>366</v>
      </c>
      <c r="C372" s="28">
        <v>597.04999999999995</v>
      </c>
      <c r="D372" s="28" t="s">
        <v>1564</v>
      </c>
      <c r="E372" s="28">
        <v>301.7</v>
      </c>
      <c r="F372" s="28">
        <v>135.81</v>
      </c>
      <c r="G372" s="28" t="s">
        <v>2738</v>
      </c>
      <c r="H372" s="28">
        <v>336.3</v>
      </c>
      <c r="I372" s="30">
        <f t="shared" si="36"/>
        <v>2.4688643462250037E-2</v>
      </c>
      <c r="J372" s="30">
        <f t="shared" si="37"/>
        <v>3.4245254338716676E-2</v>
      </c>
      <c r="K372" s="30">
        <f t="shared" si="38"/>
        <v>2.0434116056902093E-2</v>
      </c>
      <c r="L372" s="30">
        <f t="shared" si="39"/>
        <v>3.2336936771320018E-2</v>
      </c>
      <c r="M372" s="30">
        <f t="shared" si="40"/>
        <v>1.5060190425714834E-2</v>
      </c>
      <c r="N372" s="30">
        <f t="shared" si="41"/>
        <v>-3.4030968509465972E-4</v>
      </c>
      <c r="O372" s="30">
        <f t="shared" si="42"/>
        <v>7.3118284423460004E-3</v>
      </c>
    </row>
    <row r="373" spans="1:15" s="30" customFormat="1">
      <c r="A373" s="27">
        <v>45566</v>
      </c>
      <c r="B373" s="28" t="s">
        <v>367</v>
      </c>
      <c r="C373" s="28">
        <v>619.65</v>
      </c>
      <c r="D373" s="28" t="s">
        <v>1565</v>
      </c>
      <c r="E373" s="28">
        <v>311.5</v>
      </c>
      <c r="F373" s="28">
        <v>138.11000000000001</v>
      </c>
      <c r="G373" s="28" t="s">
        <v>2739</v>
      </c>
      <c r="H373" s="28">
        <v>343.9</v>
      </c>
      <c r="I373" s="30">
        <f t="shared" si="36"/>
        <v>3.9854963097703623E-2</v>
      </c>
      <c r="J373" s="30">
        <f t="shared" si="37"/>
        <v>3.7153940531489571E-2</v>
      </c>
      <c r="K373" s="30">
        <f t="shared" si="38"/>
        <v>1.0311605892328553E-2</v>
      </c>
      <c r="L373" s="30">
        <f t="shared" si="39"/>
        <v>3.1966192062492502E-2</v>
      </c>
      <c r="M373" s="30">
        <f t="shared" si="40"/>
        <v>1.6793618973860461E-2</v>
      </c>
      <c r="N373" s="30">
        <f t="shared" si="41"/>
        <v>2.9728590332181979E-2</v>
      </c>
      <c r="O373" s="30">
        <f t="shared" si="42"/>
        <v>2.2347298691996403E-2</v>
      </c>
    </row>
    <row r="374" spans="1:15" s="30" customFormat="1">
      <c r="A374" s="27">
        <v>45565</v>
      </c>
      <c r="B374" s="28" t="s">
        <v>368</v>
      </c>
      <c r="C374" s="28">
        <v>622.29999999999995</v>
      </c>
      <c r="D374" s="28" t="s">
        <v>1566</v>
      </c>
      <c r="E374" s="28">
        <v>309.5</v>
      </c>
      <c r="F374" s="28">
        <v>136.29</v>
      </c>
      <c r="G374" s="28" t="s">
        <v>2740</v>
      </c>
      <c r="H374" s="28">
        <v>337.35</v>
      </c>
      <c r="I374" s="30">
        <f t="shared" si="36"/>
        <v>1.5666828174484209E-2</v>
      </c>
      <c r="J374" s="30">
        <f t="shared" si="37"/>
        <v>4.2674890642889598E-3</v>
      </c>
      <c r="K374" s="30">
        <f t="shared" si="38"/>
        <v>-3.1601989019854893E-2</v>
      </c>
      <c r="L374" s="30">
        <f t="shared" si="39"/>
        <v>-6.4412461028569932E-3</v>
      </c>
      <c r="M374" s="30">
        <f t="shared" si="40"/>
        <v>-1.3265500650415762E-2</v>
      </c>
      <c r="N374" s="30">
        <f t="shared" si="41"/>
        <v>-4.1805729598225212E-2</v>
      </c>
      <c r="O374" s="30">
        <f t="shared" si="42"/>
        <v>-1.9229950364785996E-2</v>
      </c>
    </row>
    <row r="375" spans="1:15" s="30" customFormat="1">
      <c r="A375" s="27">
        <v>45562</v>
      </c>
      <c r="B375" s="28" t="s">
        <v>369</v>
      </c>
      <c r="C375" s="28">
        <v>617.54999999999995</v>
      </c>
      <c r="D375" s="28" t="s">
        <v>1567</v>
      </c>
      <c r="E375" s="28">
        <v>309.35000000000002</v>
      </c>
      <c r="F375" s="28">
        <v>138.78</v>
      </c>
      <c r="G375" s="28" t="s">
        <v>2741</v>
      </c>
      <c r="H375" s="28">
        <v>342.55</v>
      </c>
      <c r="I375" s="30">
        <f t="shared" si="36"/>
        <v>-5.5272473675539568E-3</v>
      </c>
      <c r="J375" s="30">
        <f t="shared" si="37"/>
        <v>-7.6622546911488554E-3</v>
      </c>
      <c r="K375" s="30">
        <f t="shared" si="38"/>
        <v>8.3939483534604294E-3</v>
      </c>
      <c r="L375" s="30">
        <f t="shared" si="39"/>
        <v>-4.8477014765294172E-4</v>
      </c>
      <c r="M375" s="30">
        <f t="shared" si="40"/>
        <v>1.8104977031981238E-2</v>
      </c>
      <c r="N375" s="30">
        <f t="shared" si="41"/>
        <v>2.4614908410554564E-3</v>
      </c>
      <c r="O375" s="30">
        <f t="shared" si="42"/>
        <v>1.5296665375473608E-2</v>
      </c>
    </row>
    <row r="376" spans="1:15" s="30" customFormat="1">
      <c r="A376" s="27">
        <v>45561</v>
      </c>
      <c r="B376" s="28" t="s">
        <v>370</v>
      </c>
      <c r="C376" s="28">
        <v>613.9</v>
      </c>
      <c r="D376" s="28" t="s">
        <v>1568</v>
      </c>
      <c r="E376" s="28">
        <v>304.05</v>
      </c>
      <c r="F376" s="28">
        <v>138.18</v>
      </c>
      <c r="G376" s="28" t="s">
        <v>2742</v>
      </c>
      <c r="H376" s="28">
        <v>345.75</v>
      </c>
      <c r="I376" s="30">
        <f t="shared" si="36"/>
        <v>-1.0231122366862272E-2</v>
      </c>
      <c r="J376" s="30">
        <f t="shared" si="37"/>
        <v>-5.9279884505726421E-3</v>
      </c>
      <c r="K376" s="30">
        <f t="shared" si="38"/>
        <v>5.9287037383581017E-3</v>
      </c>
      <c r="L376" s="30">
        <f t="shared" si="39"/>
        <v>-1.728116041087913E-2</v>
      </c>
      <c r="M376" s="30">
        <f t="shared" si="40"/>
        <v>-4.3327624107539686E-3</v>
      </c>
      <c r="N376" s="30">
        <f t="shared" si="41"/>
        <v>-3.8178127976263299E-2</v>
      </c>
      <c r="O376" s="30">
        <f t="shared" si="42"/>
        <v>9.2983380959595317E-3</v>
      </c>
    </row>
    <row r="377" spans="1:15" s="30" customFormat="1">
      <c r="A377" s="27">
        <v>45560</v>
      </c>
      <c r="B377" s="28" t="s">
        <v>371</v>
      </c>
      <c r="C377" s="28">
        <v>615.95000000000005</v>
      </c>
      <c r="D377" s="28" t="s">
        <v>1569</v>
      </c>
      <c r="E377" s="28">
        <v>308.3</v>
      </c>
      <c r="F377" s="28">
        <v>138.38999999999999</v>
      </c>
      <c r="G377" s="28" t="s">
        <v>2743</v>
      </c>
      <c r="H377" s="28">
        <v>348.3</v>
      </c>
      <c r="I377" s="30">
        <f t="shared" si="36"/>
        <v>-9.9053218723431317E-3</v>
      </c>
      <c r="J377" s="30">
        <f t="shared" si="37"/>
        <v>3.3337429745324671E-3</v>
      </c>
      <c r="K377" s="30">
        <f t="shared" si="38"/>
        <v>-3.9937777311375173E-3</v>
      </c>
      <c r="L377" s="30">
        <f t="shared" si="39"/>
        <v>1.3881173325985837E-2</v>
      </c>
      <c r="M377" s="30">
        <f t="shared" si="40"/>
        <v>1.518603177189838E-3</v>
      </c>
      <c r="N377" s="30">
        <f t="shared" si="41"/>
        <v>1.0436540327139209E-2</v>
      </c>
      <c r="O377" s="30">
        <f t="shared" si="42"/>
        <v>7.3482068270879159E-3</v>
      </c>
    </row>
    <row r="378" spans="1:15" s="30" customFormat="1">
      <c r="A378" s="27">
        <v>45559</v>
      </c>
      <c r="B378" s="28" t="s">
        <v>372</v>
      </c>
      <c r="C378" s="28">
        <v>612</v>
      </c>
      <c r="D378" s="28" t="s">
        <v>1559</v>
      </c>
      <c r="E378" s="28">
        <v>305.89999999999998</v>
      </c>
      <c r="F378" s="28">
        <v>138.75</v>
      </c>
      <c r="G378" s="28" t="s">
        <v>2744</v>
      </c>
      <c r="H378" s="28">
        <v>352.75</v>
      </c>
      <c r="I378" s="30">
        <f t="shared" si="36"/>
        <v>1.1242618403875604E-3</v>
      </c>
      <c r="J378" s="30">
        <f t="shared" si="37"/>
        <v>-6.4335088956570417E-3</v>
      </c>
      <c r="K378" s="30">
        <f t="shared" si="38"/>
        <v>-3.9416952730500368E-3</v>
      </c>
      <c r="L378" s="30">
        <f t="shared" si="39"/>
        <v>-7.8150837352470182E-3</v>
      </c>
      <c r="M378" s="30">
        <f t="shared" si="40"/>
        <v>2.5979663887050726E-3</v>
      </c>
      <c r="N378" s="30">
        <f t="shared" si="41"/>
        <v>-6.0109358879913534E-3</v>
      </c>
      <c r="O378" s="30">
        <f t="shared" si="42"/>
        <v>1.2695413360967911E-2</v>
      </c>
    </row>
    <row r="379" spans="1:15" s="30" customFormat="1">
      <c r="A379" s="27">
        <v>45558</v>
      </c>
      <c r="B379" s="28" t="s">
        <v>373</v>
      </c>
      <c r="C379" s="28">
        <v>614.85</v>
      </c>
      <c r="D379" s="28" t="s">
        <v>1570</v>
      </c>
      <c r="E379" s="28">
        <v>303.8</v>
      </c>
      <c r="F379" s="28">
        <v>143.83000000000001</v>
      </c>
      <c r="G379" s="28" t="s">
        <v>2745</v>
      </c>
      <c r="H379" s="28">
        <v>350.95</v>
      </c>
      <c r="I379" s="30">
        <f t="shared" si="36"/>
        <v>8.9031135831025131E-3</v>
      </c>
      <c r="J379" s="30">
        <f t="shared" si="37"/>
        <v>4.64605310613016E-3</v>
      </c>
      <c r="K379" s="30">
        <f t="shared" si="38"/>
        <v>9.1507450708471667E-3</v>
      </c>
      <c r="L379" s="30">
        <f t="shared" si="39"/>
        <v>-6.8886609951851561E-3</v>
      </c>
      <c r="M379" s="30">
        <f t="shared" si="40"/>
        <v>3.5958293989254091E-2</v>
      </c>
      <c r="N379" s="30">
        <f t="shared" si="41"/>
        <v>6.5407804114015642E-3</v>
      </c>
      <c r="O379" s="30">
        <f t="shared" si="42"/>
        <v>-5.1158275564929046E-3</v>
      </c>
    </row>
    <row r="380" spans="1:15" s="30" customFormat="1">
      <c r="A380" s="27">
        <v>45555</v>
      </c>
      <c r="B380" s="28" t="s">
        <v>374</v>
      </c>
      <c r="C380" s="28">
        <v>622.85</v>
      </c>
      <c r="D380" s="28" t="s">
        <v>1571</v>
      </c>
      <c r="E380" s="28">
        <v>302.14999999999998</v>
      </c>
      <c r="F380" s="28">
        <v>141.28</v>
      </c>
      <c r="G380" s="28" t="s">
        <v>2746</v>
      </c>
      <c r="H380" s="28">
        <v>348.1</v>
      </c>
      <c r="I380" s="30">
        <f t="shared" si="36"/>
        <v>8.960633432530004E-3</v>
      </c>
      <c r="J380" s="30">
        <f t="shared" si="37"/>
        <v>1.2927383713645388E-2</v>
      </c>
      <c r="K380" s="30">
        <f t="shared" si="38"/>
        <v>-5.0618389053864999E-4</v>
      </c>
      <c r="L380" s="30">
        <f t="shared" si="39"/>
        <v>-5.4460073541050683E-3</v>
      </c>
      <c r="M380" s="30">
        <f t="shared" si="40"/>
        <v>-1.7888309760148047E-2</v>
      </c>
      <c r="N380" s="30">
        <f t="shared" si="41"/>
        <v>6.9704614048420677E-3</v>
      </c>
      <c r="O380" s="30">
        <f t="shared" si="42"/>
        <v>-8.153968359037209E-3</v>
      </c>
    </row>
    <row r="381" spans="1:15" s="30" customFormat="1">
      <c r="A381" s="27">
        <v>45554</v>
      </c>
      <c r="B381" s="28" t="s">
        <v>375</v>
      </c>
      <c r="C381" s="28">
        <v>620.5</v>
      </c>
      <c r="D381" s="28" t="s">
        <v>1572</v>
      </c>
      <c r="E381" s="28">
        <v>304.55</v>
      </c>
      <c r="F381" s="28">
        <v>140.06</v>
      </c>
      <c r="G381" s="28" t="s">
        <v>2747</v>
      </c>
      <c r="H381" s="28">
        <v>343.6</v>
      </c>
      <c r="I381" s="30">
        <f t="shared" si="36"/>
        <v>-3.9692210637781991E-3</v>
      </c>
      <c r="J381" s="30">
        <f t="shared" si="37"/>
        <v>-3.7801146874398795E-3</v>
      </c>
      <c r="K381" s="30">
        <f t="shared" si="38"/>
        <v>-3.2103724166587015E-2</v>
      </c>
      <c r="L381" s="30">
        <f t="shared" si="39"/>
        <v>7.9116944749261404E-3</v>
      </c>
      <c r="M381" s="30">
        <f t="shared" si="40"/>
        <v>-8.6728346282781595E-3</v>
      </c>
      <c r="N381" s="30">
        <f t="shared" si="41"/>
        <v>5.4476988790213825E-3</v>
      </c>
      <c r="O381" s="30">
        <f t="shared" si="42"/>
        <v>-1.3011604707292936E-2</v>
      </c>
    </row>
    <row r="382" spans="1:15" s="30" customFormat="1">
      <c r="A382" s="27">
        <v>45553</v>
      </c>
      <c r="B382" s="28" t="s">
        <v>376</v>
      </c>
      <c r="C382" s="28">
        <v>620.20000000000005</v>
      </c>
      <c r="D382" s="28" t="s">
        <v>1573</v>
      </c>
      <c r="E382" s="28">
        <v>306.05</v>
      </c>
      <c r="F382" s="28">
        <v>143.09</v>
      </c>
      <c r="G382" s="28" t="s">
        <v>2748</v>
      </c>
      <c r="H382" s="28">
        <v>351.75</v>
      </c>
      <c r="I382" s="30">
        <f t="shared" si="36"/>
        <v>-5.8461002307952023E-3</v>
      </c>
      <c r="J382" s="30">
        <f t="shared" si="37"/>
        <v>-4.8359797831324443E-4</v>
      </c>
      <c r="K382" s="30">
        <f t="shared" si="38"/>
        <v>2.6925960014311075E-2</v>
      </c>
      <c r="L382" s="30">
        <f t="shared" si="39"/>
        <v>4.9132100145851529E-3</v>
      </c>
      <c r="M382" s="30">
        <f t="shared" si="40"/>
        <v>2.1402900691272046E-2</v>
      </c>
      <c r="N382" s="30">
        <f t="shared" si="41"/>
        <v>3.6554789140346559E-3</v>
      </c>
      <c r="O382" s="30">
        <f t="shared" si="42"/>
        <v>2.3442505884398019E-2</v>
      </c>
    </row>
    <row r="383" spans="1:15" s="30" customFormat="1">
      <c r="A383" s="27">
        <v>45552</v>
      </c>
      <c r="B383" s="28" t="s">
        <v>377</v>
      </c>
      <c r="C383" s="28">
        <v>622.54999999999995</v>
      </c>
      <c r="D383" s="28" t="s">
        <v>1574</v>
      </c>
      <c r="E383" s="28">
        <v>309.05</v>
      </c>
      <c r="F383" s="28">
        <v>144.97</v>
      </c>
      <c r="G383" s="28" t="s">
        <v>2749</v>
      </c>
      <c r="H383" s="28">
        <v>352.45</v>
      </c>
      <c r="I383" s="30">
        <f t="shared" si="36"/>
        <v>1.1582760102042608E-2</v>
      </c>
      <c r="J383" s="30">
        <f t="shared" si="37"/>
        <v>3.781939732072844E-3</v>
      </c>
      <c r="K383" s="30">
        <f t="shared" si="38"/>
        <v>1.7422746645568813E-2</v>
      </c>
      <c r="L383" s="30">
        <f t="shared" si="39"/>
        <v>9.7545888082035508E-3</v>
      </c>
      <c r="M383" s="30">
        <f t="shared" si="40"/>
        <v>1.305302154416252E-2</v>
      </c>
      <c r="N383" s="30">
        <f t="shared" si="41"/>
        <v>-1.3252533298675342E-2</v>
      </c>
      <c r="O383" s="30">
        <f t="shared" si="42"/>
        <v>1.9880722253861152E-3</v>
      </c>
    </row>
    <row r="384" spans="1:15" s="30" customFormat="1">
      <c r="A384" s="27">
        <v>45551</v>
      </c>
      <c r="B384" s="28" t="s">
        <v>378</v>
      </c>
      <c r="C384" s="28">
        <v>625.15</v>
      </c>
      <c r="D384" s="28" t="s">
        <v>1575</v>
      </c>
      <c r="E384" s="28">
        <v>312.8</v>
      </c>
      <c r="F384" s="28">
        <v>149.74</v>
      </c>
      <c r="G384" s="28" t="s">
        <v>2750</v>
      </c>
      <c r="H384" s="28">
        <v>342.1</v>
      </c>
      <c r="I384" s="30">
        <f t="shared" si="36"/>
        <v>6.9187774117152965E-3</v>
      </c>
      <c r="J384" s="30">
        <f t="shared" si="37"/>
        <v>4.1676745425872066E-3</v>
      </c>
      <c r="K384" s="30">
        <f t="shared" si="38"/>
        <v>3.6942780770175868E-3</v>
      </c>
      <c r="L384" s="30">
        <f t="shared" si="39"/>
        <v>1.20609325658737E-2</v>
      </c>
      <c r="M384" s="30">
        <f t="shared" si="40"/>
        <v>3.2373632339733192E-2</v>
      </c>
      <c r="N384" s="30">
        <f t="shared" si="41"/>
        <v>-1.0305650357614065E-2</v>
      </c>
      <c r="O384" s="30">
        <f t="shared" si="42"/>
        <v>-2.9805676236325469E-2</v>
      </c>
    </row>
    <row r="385" spans="1:15" s="30" customFormat="1">
      <c r="A385" s="27">
        <v>45548</v>
      </c>
      <c r="B385" s="28" t="s">
        <v>379</v>
      </c>
      <c r="C385" s="28">
        <v>622.65</v>
      </c>
      <c r="D385" s="28" t="s">
        <v>1576</v>
      </c>
      <c r="E385" s="28">
        <v>311.39999999999998</v>
      </c>
      <c r="F385" s="28">
        <v>144.85</v>
      </c>
      <c r="G385" s="28" t="s">
        <v>2751</v>
      </c>
      <c r="H385" s="28">
        <v>350.9</v>
      </c>
      <c r="I385" s="30">
        <f t="shared" si="36"/>
        <v>6.647917698927322E-3</v>
      </c>
      <c r="J385" s="30">
        <f t="shared" si="37"/>
        <v>-4.0070577738511928E-3</v>
      </c>
      <c r="K385" s="30">
        <f t="shared" si="38"/>
        <v>-1.9619259763904227E-3</v>
      </c>
      <c r="L385" s="30">
        <f t="shared" si="39"/>
        <v>-4.485749271258165E-3</v>
      </c>
      <c r="M385" s="30">
        <f t="shared" si="40"/>
        <v>-3.3201732587179851E-2</v>
      </c>
      <c r="N385" s="30">
        <f t="shared" si="41"/>
        <v>9.9940922257972485E-3</v>
      </c>
      <c r="O385" s="30">
        <f t="shared" si="42"/>
        <v>2.5398190605610403E-2</v>
      </c>
    </row>
    <row r="386" spans="1:15" s="30" customFormat="1">
      <c r="A386" s="27">
        <v>45547</v>
      </c>
      <c r="B386" s="28" t="s">
        <v>380</v>
      </c>
      <c r="C386" s="28">
        <v>620.85</v>
      </c>
      <c r="D386" s="28" t="s">
        <v>1577</v>
      </c>
      <c r="E386" s="28">
        <v>316.2</v>
      </c>
      <c r="F386" s="28">
        <v>144.85</v>
      </c>
      <c r="G386" s="28" t="s">
        <v>2752</v>
      </c>
      <c r="H386" s="28">
        <v>352.75</v>
      </c>
      <c r="I386" s="30">
        <f t="shared" si="36"/>
        <v>7.4763376146148091E-3</v>
      </c>
      <c r="J386" s="30">
        <f t="shared" si="37"/>
        <v>-2.8950563043063024E-3</v>
      </c>
      <c r="K386" s="30">
        <f t="shared" si="38"/>
        <v>-2.6664016064386281E-3</v>
      </c>
      <c r="L386" s="30">
        <f t="shared" si="39"/>
        <v>1.5296665375473827E-2</v>
      </c>
      <c r="M386" s="30">
        <f t="shared" si="40"/>
        <v>0</v>
      </c>
      <c r="N386" s="30">
        <f t="shared" si="41"/>
        <v>2.6616905534644322E-2</v>
      </c>
      <c r="O386" s="30">
        <f t="shared" si="42"/>
        <v>5.2583081437540162E-3</v>
      </c>
    </row>
    <row r="387" spans="1:15" s="30" customFormat="1">
      <c r="A387" s="27">
        <v>45546</v>
      </c>
      <c r="B387" s="28" t="s">
        <v>381</v>
      </c>
      <c r="C387" s="28">
        <v>618</v>
      </c>
      <c r="D387" s="28" t="s">
        <v>1578</v>
      </c>
      <c r="E387" s="28">
        <v>316.10000000000002</v>
      </c>
      <c r="F387" s="28">
        <v>137.4</v>
      </c>
      <c r="G387" s="28" t="s">
        <v>2753</v>
      </c>
      <c r="H387" s="28">
        <v>346.95</v>
      </c>
      <c r="I387" s="30">
        <f t="shared" si="36"/>
        <v>-4.6810045922738843E-3</v>
      </c>
      <c r="J387" s="30">
        <f t="shared" si="37"/>
        <v>-4.6010494051603205E-3</v>
      </c>
      <c r="K387" s="30">
        <f t="shared" si="38"/>
        <v>-1.0012849832315759E-4</v>
      </c>
      <c r="L387" s="30">
        <f t="shared" si="39"/>
        <v>-3.1630555379953381E-4</v>
      </c>
      <c r="M387" s="30">
        <f t="shared" si="40"/>
        <v>-5.2802344427110313E-2</v>
      </c>
      <c r="N387" s="30">
        <f t="shared" si="41"/>
        <v>-1.7428968180862113E-3</v>
      </c>
      <c r="O387" s="30">
        <f t="shared" si="42"/>
        <v>-1.6578913387365519E-2</v>
      </c>
    </row>
    <row r="388" spans="1:15" s="30" customFormat="1">
      <c r="A388" s="27">
        <v>45545</v>
      </c>
      <c r="B388" s="28" t="s">
        <v>382</v>
      </c>
      <c r="C388" s="28">
        <v>601.75</v>
      </c>
      <c r="D388" s="28" t="s">
        <v>1579</v>
      </c>
      <c r="E388" s="28">
        <v>308.05</v>
      </c>
      <c r="F388" s="28">
        <v>136.29</v>
      </c>
      <c r="G388" s="28" t="s">
        <v>2754</v>
      </c>
      <c r="H388" s="28">
        <v>336.4</v>
      </c>
      <c r="I388" s="30">
        <f t="shared" ref="I388:I451" si="43">LN(B388/B387)</f>
        <v>-2.1734439036036647E-2</v>
      </c>
      <c r="J388" s="30">
        <f t="shared" ref="J388:J451" si="44">LN(C388/C387)</f>
        <v>-2.6646380794509445E-2</v>
      </c>
      <c r="K388" s="30">
        <f t="shared" ref="K388:K451" si="45">LN(D388/D387)</f>
        <v>3.3654919222157313E-3</v>
      </c>
      <c r="L388" s="30">
        <f t="shared" ref="L388:L451" si="46">LN(E388/E387)</f>
        <v>-2.5796511760992347E-2</v>
      </c>
      <c r="M388" s="30">
        <f t="shared" ref="M388:M451" si="47">LN(F388/F387)</f>
        <v>-8.1114113488274225E-3</v>
      </c>
      <c r="N388" s="30">
        <f t="shared" ref="N388:N451" si="48">LN(G388/G387)</f>
        <v>1.6839054725487076E-2</v>
      </c>
      <c r="O388" s="30">
        <f t="shared" ref="O388:O451" si="49">LN(H388/H387)</f>
        <v>-3.0879749246764933E-2</v>
      </c>
    </row>
    <row r="389" spans="1:15" s="30" customFormat="1">
      <c r="A389" s="27">
        <v>45544</v>
      </c>
      <c r="B389" s="28" t="s">
        <v>383</v>
      </c>
      <c r="C389" s="28">
        <v>602.35</v>
      </c>
      <c r="D389" s="28" t="s">
        <v>1580</v>
      </c>
      <c r="E389" s="28">
        <v>304.85000000000002</v>
      </c>
      <c r="F389" s="28">
        <v>136.53</v>
      </c>
      <c r="G389" s="28" t="s">
        <v>2755</v>
      </c>
      <c r="H389" s="28">
        <v>325.60000000000002</v>
      </c>
      <c r="I389" s="30">
        <f t="shared" si="43"/>
        <v>-4.3492875519085279E-3</v>
      </c>
      <c r="J389" s="30">
        <f t="shared" si="44"/>
        <v>9.9659504968036016E-4</v>
      </c>
      <c r="K389" s="30">
        <f t="shared" si="45"/>
        <v>-1.6096387233913226E-2</v>
      </c>
      <c r="L389" s="30">
        <f t="shared" si="46"/>
        <v>-1.0442255106754592E-2</v>
      </c>
      <c r="M389" s="30">
        <f t="shared" si="47"/>
        <v>1.759402257238618E-3</v>
      </c>
      <c r="N389" s="30">
        <f t="shared" si="48"/>
        <v>-1.8584994537287541E-2</v>
      </c>
      <c r="O389" s="30">
        <f t="shared" si="49"/>
        <v>-3.2631293970407628E-2</v>
      </c>
    </row>
    <row r="390" spans="1:15" s="30" customFormat="1">
      <c r="A390" s="27">
        <v>45541</v>
      </c>
      <c r="B390" s="28" t="s">
        <v>384</v>
      </c>
      <c r="C390" s="28">
        <v>596.29999999999995</v>
      </c>
      <c r="D390" s="28" t="s">
        <v>1581</v>
      </c>
      <c r="E390" s="28">
        <v>306.05</v>
      </c>
      <c r="F390" s="28">
        <v>136.72999999999999</v>
      </c>
      <c r="G390" s="28" t="s">
        <v>2756</v>
      </c>
      <c r="H390" s="28">
        <v>333.7</v>
      </c>
      <c r="I390" s="30">
        <f t="shared" si="43"/>
        <v>-2.1512110760717198E-3</v>
      </c>
      <c r="J390" s="30">
        <f t="shared" si="44"/>
        <v>-1.0094775583801672E-2</v>
      </c>
      <c r="K390" s="30">
        <f t="shared" si="45"/>
        <v>2.0281233168491008E-4</v>
      </c>
      <c r="L390" s="30">
        <f t="shared" si="46"/>
        <v>3.9286349432535997E-3</v>
      </c>
      <c r="M390" s="30">
        <f t="shared" si="47"/>
        <v>1.4638076243298358E-3</v>
      </c>
      <c r="N390" s="30">
        <f t="shared" si="48"/>
        <v>-1.7357319936315817E-3</v>
      </c>
      <c r="O390" s="30">
        <f t="shared" si="49"/>
        <v>2.4572751628943054E-2</v>
      </c>
    </row>
    <row r="391" spans="1:15" s="30" customFormat="1">
      <c r="A391" s="27">
        <v>45540</v>
      </c>
      <c r="B391" s="28" t="s">
        <v>385</v>
      </c>
      <c r="C391" s="28">
        <v>595.5</v>
      </c>
      <c r="D391" s="28" t="s">
        <v>1582</v>
      </c>
      <c r="E391" s="28">
        <v>310.25</v>
      </c>
      <c r="F391" s="28">
        <v>142.22999999999999</v>
      </c>
      <c r="G391" s="28" t="s">
        <v>2757</v>
      </c>
      <c r="H391" s="28">
        <v>340.2</v>
      </c>
      <c r="I391" s="30">
        <f t="shared" si="43"/>
        <v>-1.0887783289959008E-2</v>
      </c>
      <c r="J391" s="30">
        <f t="shared" si="44"/>
        <v>-1.342507333705374E-3</v>
      </c>
      <c r="K391" s="30">
        <f t="shared" si="45"/>
        <v>4.0536693407335879E-2</v>
      </c>
      <c r="L391" s="30">
        <f t="shared" si="46"/>
        <v>1.3629936787637801E-2</v>
      </c>
      <c r="M391" s="30">
        <f t="shared" si="47"/>
        <v>3.9437287261146425E-2</v>
      </c>
      <c r="N391" s="30">
        <f t="shared" si="48"/>
        <v>-2.230047292284577E-2</v>
      </c>
      <c r="O391" s="30">
        <f t="shared" si="49"/>
        <v>1.9291294204433162E-2</v>
      </c>
    </row>
    <row r="392" spans="1:15" s="30" customFormat="1">
      <c r="A392" s="27">
        <v>45539</v>
      </c>
      <c r="B392" s="28" t="s">
        <v>386</v>
      </c>
      <c r="C392" s="28">
        <v>597.70000000000005</v>
      </c>
      <c r="D392" s="28" t="s">
        <v>1583</v>
      </c>
      <c r="E392" s="28">
        <v>304.95</v>
      </c>
      <c r="F392" s="28">
        <v>138.09</v>
      </c>
      <c r="G392" s="28" t="s">
        <v>2758</v>
      </c>
      <c r="H392" s="28">
        <v>320.7</v>
      </c>
      <c r="I392" s="30">
        <f t="shared" si="43"/>
        <v>-2.0402177125977672E-3</v>
      </c>
      <c r="J392" s="30">
        <f t="shared" si="44"/>
        <v>3.6875670348537138E-3</v>
      </c>
      <c r="K392" s="30">
        <f t="shared" si="45"/>
        <v>-5.1942993733538831E-4</v>
      </c>
      <c r="L392" s="30">
        <f t="shared" si="46"/>
        <v>-1.723059534225126E-2</v>
      </c>
      <c r="M392" s="30">
        <f t="shared" si="47"/>
        <v>-2.9539819084876812E-2</v>
      </c>
      <c r="N392" s="30">
        <f t="shared" si="48"/>
        <v>-3.4741715678700394E-2</v>
      </c>
      <c r="O392" s="30">
        <f t="shared" si="49"/>
        <v>-5.9027573262652122E-2</v>
      </c>
    </row>
    <row r="393" spans="1:15" s="30" customFormat="1">
      <c r="A393" s="27">
        <v>45538</v>
      </c>
      <c r="B393" s="28" t="s">
        <v>387</v>
      </c>
      <c r="C393" s="28">
        <v>576.79999999999995</v>
      </c>
      <c r="D393" s="28" t="s">
        <v>1584</v>
      </c>
      <c r="E393" s="28">
        <v>298.7</v>
      </c>
      <c r="F393" s="28">
        <v>133.63</v>
      </c>
      <c r="G393" s="28" t="s">
        <v>2759</v>
      </c>
      <c r="H393" s="28">
        <v>313.45</v>
      </c>
      <c r="I393" s="30">
        <f t="shared" si="43"/>
        <v>-2.405189143430243E-2</v>
      </c>
      <c r="J393" s="30">
        <f t="shared" si="44"/>
        <v>-3.5593369859469343E-2</v>
      </c>
      <c r="K393" s="30">
        <f t="shared" si="45"/>
        <v>-6.0435891453725396E-2</v>
      </c>
      <c r="L393" s="30">
        <f t="shared" si="46"/>
        <v>-2.0708103520401182E-2</v>
      </c>
      <c r="M393" s="30">
        <f t="shared" si="47"/>
        <v>-3.2830859704290311E-2</v>
      </c>
      <c r="N393" s="30">
        <f t="shared" si="48"/>
        <v>-1.4680564050562863E-2</v>
      </c>
      <c r="O393" s="30">
        <f t="shared" si="49"/>
        <v>-2.2866248979131764E-2</v>
      </c>
    </row>
    <row r="394" spans="1:15" s="30" customFormat="1">
      <c r="A394" s="27">
        <v>45537</v>
      </c>
      <c r="B394" s="28" t="s">
        <v>388</v>
      </c>
      <c r="C394" s="28">
        <v>576.1</v>
      </c>
      <c r="D394" s="28" t="s">
        <v>1585</v>
      </c>
      <c r="E394" s="28">
        <v>298</v>
      </c>
      <c r="F394" s="28">
        <v>135.85</v>
      </c>
      <c r="G394" s="28" t="s">
        <v>870</v>
      </c>
      <c r="H394" s="28">
        <v>315.3</v>
      </c>
      <c r="I394" s="30">
        <f t="shared" si="43"/>
        <v>-1.236956610507793E-3</v>
      </c>
      <c r="J394" s="30">
        <f t="shared" si="44"/>
        <v>-1.2143292324017199E-3</v>
      </c>
      <c r="K394" s="30">
        <f t="shared" si="45"/>
        <v>-1.7249409250501358E-4</v>
      </c>
      <c r="L394" s="30">
        <f t="shared" si="46"/>
        <v>-2.3462387166595742E-3</v>
      </c>
      <c r="M394" s="30">
        <f t="shared" si="47"/>
        <v>1.6476549079387136E-2</v>
      </c>
      <c r="N394" s="30">
        <f t="shared" si="48"/>
        <v>-2.2578745913986661E-2</v>
      </c>
      <c r="O394" s="30">
        <f t="shared" si="49"/>
        <v>5.8847088310376014E-3</v>
      </c>
    </row>
    <row r="395" spans="1:15" s="30" customFormat="1">
      <c r="A395" s="27">
        <v>45534</v>
      </c>
      <c r="B395" s="28" t="s">
        <v>389</v>
      </c>
      <c r="C395" s="28">
        <v>571.04999999999995</v>
      </c>
      <c r="D395" s="28" t="s">
        <v>1586</v>
      </c>
      <c r="E395" s="28">
        <v>296.5</v>
      </c>
      <c r="F395" s="28">
        <v>137.09</v>
      </c>
      <c r="G395" s="28" t="s">
        <v>2760</v>
      </c>
      <c r="H395" s="28">
        <v>321.64999999999998</v>
      </c>
      <c r="I395" s="30">
        <f t="shared" si="43"/>
        <v>-7.6938773067819011E-3</v>
      </c>
      <c r="J395" s="30">
        <f t="shared" si="44"/>
        <v>-8.80448524172147E-3</v>
      </c>
      <c r="K395" s="30">
        <f t="shared" si="45"/>
        <v>8.9664454053646361E-4</v>
      </c>
      <c r="L395" s="30">
        <f t="shared" si="46"/>
        <v>-5.0462680676242721E-3</v>
      </c>
      <c r="M395" s="30">
        <f t="shared" si="47"/>
        <v>9.0863085754522357E-3</v>
      </c>
      <c r="N395" s="30">
        <f t="shared" si="48"/>
        <v>9.8895849672582595E-3</v>
      </c>
      <c r="O395" s="30">
        <f t="shared" si="49"/>
        <v>1.9939431305994106E-2</v>
      </c>
    </row>
    <row r="396" spans="1:15" s="30" customFormat="1">
      <c r="A396" s="27">
        <v>45533</v>
      </c>
      <c r="B396" s="28" t="s">
        <v>390</v>
      </c>
      <c r="C396" s="28">
        <v>572.04999999999995</v>
      </c>
      <c r="D396" s="28" t="s">
        <v>1587</v>
      </c>
      <c r="E396" s="28">
        <v>298</v>
      </c>
      <c r="F396" s="28">
        <v>135.24</v>
      </c>
      <c r="G396" s="28" t="s">
        <v>2761</v>
      </c>
      <c r="H396" s="28">
        <v>330.05</v>
      </c>
      <c r="I396" s="30">
        <f t="shared" si="43"/>
        <v>-3.5081291535191761E-3</v>
      </c>
      <c r="J396" s="30">
        <f t="shared" si="44"/>
        <v>1.7496286503368189E-3</v>
      </c>
      <c r="K396" s="30">
        <f t="shared" si="45"/>
        <v>-9.3159233765518264E-3</v>
      </c>
      <c r="L396" s="30">
        <f t="shared" si="46"/>
        <v>5.0462680676242192E-3</v>
      </c>
      <c r="M396" s="30">
        <f t="shared" si="47"/>
        <v>-1.3586666608123594E-2</v>
      </c>
      <c r="N396" s="30">
        <f t="shared" si="48"/>
        <v>5.7700908947678716E-4</v>
      </c>
      <c r="O396" s="30">
        <f t="shared" si="49"/>
        <v>2.5780160277770508E-2</v>
      </c>
    </row>
    <row r="397" spans="1:15" s="30" customFormat="1">
      <c r="A397" s="27">
        <v>45532</v>
      </c>
      <c r="B397" s="28" t="s">
        <v>391</v>
      </c>
      <c r="C397" s="28">
        <v>573.85</v>
      </c>
      <c r="D397" s="28" t="s">
        <v>1588</v>
      </c>
      <c r="E397" s="28">
        <v>297.55</v>
      </c>
      <c r="F397" s="28">
        <v>137.38999999999999</v>
      </c>
      <c r="G397" s="28" t="s">
        <v>2762</v>
      </c>
      <c r="H397" s="28">
        <v>337.3</v>
      </c>
      <c r="I397" s="30">
        <f t="shared" si="43"/>
        <v>3.0922821792107292E-3</v>
      </c>
      <c r="J397" s="30">
        <f t="shared" si="44"/>
        <v>3.1416379797246817E-3</v>
      </c>
      <c r="K397" s="30">
        <f t="shared" si="45"/>
        <v>1.4301749917358409E-2</v>
      </c>
      <c r="L397" s="30">
        <f t="shared" si="46"/>
        <v>-1.5112084145433788E-3</v>
      </c>
      <c r="M397" s="30">
        <f t="shared" si="47"/>
        <v>1.5772619096171347E-2</v>
      </c>
      <c r="N397" s="30">
        <f t="shared" si="48"/>
        <v>1.7171424223944205E-2</v>
      </c>
      <c r="O397" s="30">
        <f t="shared" si="49"/>
        <v>2.1728583932824862E-2</v>
      </c>
    </row>
    <row r="398" spans="1:15" s="30" customFormat="1">
      <c r="A398" s="27">
        <v>45531</v>
      </c>
      <c r="B398" s="28" t="s">
        <v>392</v>
      </c>
      <c r="C398" s="28">
        <v>584.15</v>
      </c>
      <c r="D398" s="28" t="s">
        <v>1589</v>
      </c>
      <c r="E398" s="28">
        <v>297.95</v>
      </c>
      <c r="F398" s="28">
        <v>137.96</v>
      </c>
      <c r="G398" s="28" t="s">
        <v>2763</v>
      </c>
      <c r="H398" s="28">
        <v>340.25</v>
      </c>
      <c r="I398" s="30">
        <f t="shared" si="43"/>
        <v>1.2937860267810004E-2</v>
      </c>
      <c r="J398" s="30">
        <f t="shared" si="44"/>
        <v>1.7789761036479987E-2</v>
      </c>
      <c r="K398" s="30">
        <f t="shared" si="45"/>
        <v>-3.0573184701406715E-3</v>
      </c>
      <c r="L398" s="30">
        <f t="shared" si="46"/>
        <v>1.3434091021268125E-3</v>
      </c>
      <c r="M398" s="30">
        <f t="shared" si="47"/>
        <v>4.1401911327835226E-3</v>
      </c>
      <c r="N398" s="30">
        <f t="shared" si="48"/>
        <v>-2.3653022169715286E-2</v>
      </c>
      <c r="O398" s="30">
        <f t="shared" si="49"/>
        <v>8.7078994639709032E-3</v>
      </c>
    </row>
    <row r="399" spans="1:15" s="30" customFormat="1">
      <c r="A399" s="27">
        <v>45530</v>
      </c>
      <c r="B399" s="28" t="s">
        <v>393</v>
      </c>
      <c r="C399" s="28">
        <v>572.35</v>
      </c>
      <c r="D399" s="28" t="s">
        <v>1590</v>
      </c>
      <c r="E399" s="28">
        <v>295.10000000000002</v>
      </c>
      <c r="F399" s="28">
        <v>138.5</v>
      </c>
      <c r="G399" s="28" t="s">
        <v>2764</v>
      </c>
      <c r="H399" s="28">
        <v>337.05</v>
      </c>
      <c r="I399" s="30">
        <f t="shared" si="43"/>
        <v>1.6252340837058393E-3</v>
      </c>
      <c r="J399" s="30">
        <f t="shared" si="44"/>
        <v>-2.0407106798671967E-2</v>
      </c>
      <c r="K399" s="30">
        <f t="shared" si="45"/>
        <v>1.0320805031952431E-4</v>
      </c>
      <c r="L399" s="30">
        <f t="shared" si="46"/>
        <v>-9.6114052440940106E-3</v>
      </c>
      <c r="M399" s="30">
        <f t="shared" si="47"/>
        <v>3.9065375587530706E-3</v>
      </c>
      <c r="N399" s="30">
        <f t="shared" si="48"/>
        <v>-6.1988131712505661E-2</v>
      </c>
      <c r="O399" s="30">
        <f t="shared" si="49"/>
        <v>-9.4493542321275204E-3</v>
      </c>
    </row>
    <row r="400" spans="1:15" s="30" customFormat="1">
      <c r="A400" s="27">
        <v>45527</v>
      </c>
      <c r="B400" s="28" t="s">
        <v>394</v>
      </c>
      <c r="C400" s="28">
        <v>565.70000000000005</v>
      </c>
      <c r="D400" s="28" t="s">
        <v>1591</v>
      </c>
      <c r="E400" s="28">
        <v>294.3</v>
      </c>
      <c r="F400" s="28">
        <v>137.94999999999999</v>
      </c>
      <c r="G400" s="28" t="s">
        <v>2765</v>
      </c>
      <c r="H400" s="28">
        <v>336.95</v>
      </c>
      <c r="I400" s="30">
        <f t="shared" si="43"/>
        <v>-5.2798099255859463E-3</v>
      </c>
      <c r="J400" s="30">
        <f t="shared" si="44"/>
        <v>-1.1686790015375297E-2</v>
      </c>
      <c r="K400" s="30">
        <f t="shared" si="45"/>
        <v>-2.790363007263276E-3</v>
      </c>
      <c r="L400" s="30">
        <f t="shared" si="46"/>
        <v>-2.7146267094667175E-3</v>
      </c>
      <c r="M400" s="30">
        <f t="shared" si="47"/>
        <v>-3.9790249640981566E-3</v>
      </c>
      <c r="N400" s="30">
        <f t="shared" si="48"/>
        <v>1.0415960699312181E-2</v>
      </c>
      <c r="O400" s="30">
        <f t="shared" si="49"/>
        <v>-2.9673590722191739E-4</v>
      </c>
    </row>
    <row r="401" spans="1:15" s="30" customFormat="1">
      <c r="A401" s="27">
        <v>45526</v>
      </c>
      <c r="B401" s="28" t="s">
        <v>395</v>
      </c>
      <c r="C401" s="28">
        <v>582.04999999999995</v>
      </c>
      <c r="D401" s="28" t="s">
        <v>1592</v>
      </c>
      <c r="E401" s="28">
        <v>301.10000000000002</v>
      </c>
      <c r="F401" s="28">
        <v>139.59</v>
      </c>
      <c r="G401" s="28" t="s">
        <v>2766</v>
      </c>
      <c r="H401" s="28">
        <v>339.55</v>
      </c>
      <c r="I401" s="30">
        <f t="shared" si="43"/>
        <v>1.0076962858611508E-2</v>
      </c>
      <c r="J401" s="30">
        <f t="shared" si="44"/>
        <v>2.8492452345139828E-2</v>
      </c>
      <c r="K401" s="30">
        <f t="shared" si="45"/>
        <v>1.4146736124593422E-2</v>
      </c>
      <c r="L401" s="30">
        <f t="shared" si="46"/>
        <v>2.2842780248261002E-2</v>
      </c>
      <c r="M401" s="30">
        <f t="shared" si="47"/>
        <v>1.18182538613719E-2</v>
      </c>
      <c r="N401" s="30">
        <f t="shared" si="48"/>
        <v>-1.0369632588178121E-2</v>
      </c>
      <c r="O401" s="30">
        <f t="shared" si="49"/>
        <v>7.6866601675745277E-3</v>
      </c>
    </row>
    <row r="402" spans="1:15" s="30" customFormat="1">
      <c r="A402" s="27">
        <v>45525</v>
      </c>
      <c r="B402" s="28" t="s">
        <v>396</v>
      </c>
      <c r="C402" s="28">
        <v>576.04999999999995</v>
      </c>
      <c r="D402" s="28" t="s">
        <v>1593</v>
      </c>
      <c r="E402" s="28">
        <v>296.7</v>
      </c>
      <c r="F402" s="28">
        <v>140.03</v>
      </c>
      <c r="G402" s="28" t="s">
        <v>2767</v>
      </c>
      <c r="H402" s="28">
        <v>339.05</v>
      </c>
      <c r="I402" s="30">
        <f t="shared" si="43"/>
        <v>-1.1060122368207094E-2</v>
      </c>
      <c r="J402" s="30">
        <f t="shared" si="44"/>
        <v>-1.0361892210187452E-2</v>
      </c>
      <c r="K402" s="30">
        <f t="shared" si="45"/>
        <v>-4.0823269830418088E-4</v>
      </c>
      <c r="L402" s="30">
        <f t="shared" si="46"/>
        <v>-1.4720908190912142E-2</v>
      </c>
      <c r="M402" s="30">
        <f t="shared" si="47"/>
        <v>3.1471308430188632E-3</v>
      </c>
      <c r="N402" s="30">
        <f t="shared" si="48"/>
        <v>-9.4488891979323964E-3</v>
      </c>
      <c r="O402" s="30">
        <f t="shared" si="49"/>
        <v>-1.4736224299492623E-3</v>
      </c>
    </row>
    <row r="403" spans="1:15" s="30" customFormat="1">
      <c r="A403" s="27">
        <v>45524</v>
      </c>
      <c r="B403" s="28" t="s">
        <v>397</v>
      </c>
      <c r="C403" s="28">
        <v>568</v>
      </c>
      <c r="D403" s="28" t="s">
        <v>1594</v>
      </c>
      <c r="E403" s="28">
        <v>295.39999999999998</v>
      </c>
      <c r="F403" s="28">
        <v>134.36000000000001</v>
      </c>
      <c r="G403" s="28" t="s">
        <v>2768</v>
      </c>
      <c r="H403" s="28">
        <v>331.95</v>
      </c>
      <c r="I403" s="30">
        <f t="shared" si="43"/>
        <v>-1.546055816244404E-2</v>
      </c>
      <c r="J403" s="30">
        <f t="shared" si="44"/>
        <v>-1.4073043762911176E-2</v>
      </c>
      <c r="K403" s="30">
        <f t="shared" si="45"/>
        <v>-1.0363495917805903E-2</v>
      </c>
      <c r="L403" s="30">
        <f t="shared" si="46"/>
        <v>-4.3911571994966836E-3</v>
      </c>
      <c r="M403" s="30">
        <f t="shared" si="47"/>
        <v>-4.1333920623593562E-2</v>
      </c>
      <c r="N403" s="30">
        <f t="shared" si="48"/>
        <v>1.8066852249488297E-3</v>
      </c>
      <c r="O403" s="30">
        <f t="shared" si="49"/>
        <v>-2.1163233964682802E-2</v>
      </c>
    </row>
    <row r="404" spans="1:15" s="30" customFormat="1">
      <c r="A404" s="27">
        <v>45523</v>
      </c>
      <c r="B404" s="28" t="s">
        <v>398</v>
      </c>
      <c r="C404" s="28">
        <v>562.75</v>
      </c>
      <c r="D404" s="28" t="s">
        <v>1595</v>
      </c>
      <c r="E404" s="28">
        <v>295.3</v>
      </c>
      <c r="F404" s="28">
        <v>135.13999999999999</v>
      </c>
      <c r="G404" s="28" t="s">
        <v>2769</v>
      </c>
      <c r="H404" s="28">
        <v>325.3</v>
      </c>
      <c r="I404" s="30">
        <f t="shared" si="43"/>
        <v>-8.706260997114015E-3</v>
      </c>
      <c r="J404" s="30">
        <f t="shared" si="44"/>
        <v>-9.2859389343097273E-3</v>
      </c>
      <c r="K404" s="30">
        <f t="shared" si="45"/>
        <v>-5.3778397674746695E-3</v>
      </c>
      <c r="L404" s="30">
        <f t="shared" si="46"/>
        <v>-3.3858134740234177E-4</v>
      </c>
      <c r="M404" s="30">
        <f t="shared" si="47"/>
        <v>5.7885133799364143E-3</v>
      </c>
      <c r="N404" s="30">
        <f t="shared" si="48"/>
        <v>8.3214364664096294E-3</v>
      </c>
      <c r="O404" s="30">
        <f t="shared" si="49"/>
        <v>-2.023652168586253E-2</v>
      </c>
    </row>
    <row r="405" spans="1:15" s="30" customFormat="1">
      <c r="A405" s="27">
        <v>45520</v>
      </c>
      <c r="B405" s="28" t="s">
        <v>399</v>
      </c>
      <c r="C405" s="28">
        <v>549.9</v>
      </c>
      <c r="D405" s="28" t="s">
        <v>1596</v>
      </c>
      <c r="E405" s="28">
        <v>290.10000000000002</v>
      </c>
      <c r="F405" s="28">
        <v>134.01</v>
      </c>
      <c r="G405" s="28" t="s">
        <v>2770</v>
      </c>
      <c r="H405" s="28">
        <v>325.39999999999998</v>
      </c>
      <c r="I405" s="30">
        <f t="shared" si="43"/>
        <v>-9.1927269345813724E-3</v>
      </c>
      <c r="J405" s="30">
        <f t="shared" si="44"/>
        <v>-2.3099036273072655E-2</v>
      </c>
      <c r="K405" s="30">
        <f t="shared" si="45"/>
        <v>-7.7381235228082797E-3</v>
      </c>
      <c r="L405" s="30">
        <f t="shared" si="46"/>
        <v>-1.7766097622518601E-2</v>
      </c>
      <c r="M405" s="30">
        <f t="shared" si="47"/>
        <v>-8.3968540918915348E-3</v>
      </c>
      <c r="N405" s="30">
        <f t="shared" si="48"/>
        <v>-1.5818660137726662E-2</v>
      </c>
      <c r="O405" s="30">
        <f t="shared" si="49"/>
        <v>3.0736130563164068E-4</v>
      </c>
    </row>
    <row r="406" spans="1:15" s="30" customFormat="1">
      <c r="A406" s="27">
        <v>45518</v>
      </c>
      <c r="B406" s="28" t="s">
        <v>400</v>
      </c>
      <c r="C406" s="28">
        <v>547.20000000000005</v>
      </c>
      <c r="D406" s="28" t="s">
        <v>1597</v>
      </c>
      <c r="E406" s="28">
        <v>290.85000000000002</v>
      </c>
      <c r="F406" s="28">
        <v>133.94</v>
      </c>
      <c r="G406" s="28" t="s">
        <v>2771</v>
      </c>
      <c r="H406" s="28">
        <v>326.5</v>
      </c>
      <c r="I406" s="30">
        <f t="shared" si="43"/>
        <v>-7.342805464366841E-3</v>
      </c>
      <c r="J406" s="30">
        <f t="shared" si="44"/>
        <v>-4.92207720542822E-3</v>
      </c>
      <c r="K406" s="30">
        <f t="shared" si="45"/>
        <v>1.0444956036288378E-3</v>
      </c>
      <c r="L406" s="30">
        <f t="shared" si="46"/>
        <v>2.5819792294121732E-3</v>
      </c>
      <c r="M406" s="30">
        <f t="shared" si="47"/>
        <v>-5.224855502328487E-4</v>
      </c>
      <c r="N406" s="30">
        <f t="shared" si="48"/>
        <v>1.7700367243786493E-3</v>
      </c>
      <c r="O406" s="30">
        <f t="shared" si="49"/>
        <v>3.3747539315484199E-3</v>
      </c>
    </row>
    <row r="407" spans="1:15" s="30" customFormat="1">
      <c r="A407" s="27">
        <v>45517</v>
      </c>
      <c r="B407" s="28" t="s">
        <v>401</v>
      </c>
      <c r="C407" s="28">
        <v>534.85</v>
      </c>
      <c r="D407" s="28" t="s">
        <v>1598</v>
      </c>
      <c r="E407" s="28">
        <v>289.39999999999998</v>
      </c>
      <c r="F407" s="28">
        <v>136.49</v>
      </c>
      <c r="G407" s="28" t="s">
        <v>2772</v>
      </c>
      <c r="H407" s="28">
        <v>324.89999999999998</v>
      </c>
      <c r="I407" s="30">
        <f t="shared" si="43"/>
        <v>-7.6040602731670764E-4</v>
      </c>
      <c r="J407" s="30">
        <f t="shared" si="44"/>
        <v>-2.2828032556200945E-2</v>
      </c>
      <c r="K407" s="30">
        <f t="shared" si="45"/>
        <v>-3.2764058588192779E-3</v>
      </c>
      <c r="L407" s="30">
        <f t="shared" si="46"/>
        <v>-4.9978561593871729E-3</v>
      </c>
      <c r="M407" s="30">
        <f t="shared" si="47"/>
        <v>1.8859413386200157E-2</v>
      </c>
      <c r="N407" s="30">
        <f t="shared" si="48"/>
        <v>2.4540656781668097E-3</v>
      </c>
      <c r="O407" s="30">
        <f t="shared" si="49"/>
        <v>-4.9125060414311802E-3</v>
      </c>
    </row>
    <row r="408" spans="1:15" s="30" customFormat="1">
      <c r="A408" s="27">
        <v>45516</v>
      </c>
      <c r="B408" s="28" t="s">
        <v>402</v>
      </c>
      <c r="C408" s="28">
        <v>526.04999999999995</v>
      </c>
      <c r="D408" s="28" t="s">
        <v>1599</v>
      </c>
      <c r="E408" s="28">
        <v>295.55</v>
      </c>
      <c r="F408" s="28">
        <v>139.01</v>
      </c>
      <c r="G408" s="28" t="s">
        <v>2773</v>
      </c>
      <c r="H408" s="28">
        <v>331.3</v>
      </c>
      <c r="I408" s="30">
        <f t="shared" si="43"/>
        <v>9.7585832219368052E-3</v>
      </c>
      <c r="J408" s="30">
        <f t="shared" si="44"/>
        <v>-1.6590068497843152E-2</v>
      </c>
      <c r="K408" s="30">
        <f t="shared" si="45"/>
        <v>3.4906451066520517E-4</v>
      </c>
      <c r="L408" s="30">
        <f t="shared" si="46"/>
        <v>2.1028213072995208E-2</v>
      </c>
      <c r="M408" s="30">
        <f t="shared" si="47"/>
        <v>1.8294521120897123E-2</v>
      </c>
      <c r="N408" s="30">
        <f t="shared" si="48"/>
        <v>3.3693892810048351E-2</v>
      </c>
      <c r="O408" s="30">
        <f t="shared" si="49"/>
        <v>1.9506866630795594E-2</v>
      </c>
    </row>
    <row r="409" spans="1:15" s="30" customFormat="1">
      <c r="A409" s="27">
        <v>45513</v>
      </c>
      <c r="B409" s="28" t="s">
        <v>403</v>
      </c>
      <c r="C409" s="28">
        <v>531.65</v>
      </c>
      <c r="D409" s="28" t="s">
        <v>1600</v>
      </c>
      <c r="E409" s="28">
        <v>293.7</v>
      </c>
      <c r="F409" s="28">
        <v>140.21</v>
      </c>
      <c r="G409" s="28" t="s">
        <v>2774</v>
      </c>
      <c r="H409" s="28">
        <v>343.35</v>
      </c>
      <c r="I409" s="30">
        <f t="shared" si="43"/>
        <v>-4.1353565775797312E-3</v>
      </c>
      <c r="J409" s="30">
        <f t="shared" si="44"/>
        <v>1.0589112842798424E-2</v>
      </c>
      <c r="K409" s="30">
        <f t="shared" si="45"/>
        <v>-7.1451391510102373E-3</v>
      </c>
      <c r="L409" s="30">
        <f t="shared" si="46"/>
        <v>-6.2791890658041903E-3</v>
      </c>
      <c r="M409" s="30">
        <f t="shared" si="47"/>
        <v>8.5954257440390945E-3</v>
      </c>
      <c r="N409" s="30">
        <f t="shared" si="48"/>
        <v>9.6739574651348425E-3</v>
      </c>
      <c r="O409" s="30">
        <f t="shared" si="49"/>
        <v>3.5726025760835327E-2</v>
      </c>
    </row>
    <row r="410" spans="1:15" s="30" customFormat="1">
      <c r="A410" s="27">
        <v>45512</v>
      </c>
      <c r="B410" s="28" t="s">
        <v>404</v>
      </c>
      <c r="C410" s="28">
        <v>518.15</v>
      </c>
      <c r="D410" s="28" t="s">
        <v>1601</v>
      </c>
      <c r="E410" s="28">
        <v>295.2</v>
      </c>
      <c r="F410" s="28">
        <v>145.16</v>
      </c>
      <c r="G410" s="28" t="s">
        <v>2775</v>
      </c>
      <c r="H410" s="28">
        <v>340</v>
      </c>
      <c r="I410" s="30">
        <f t="shared" si="43"/>
        <v>-1.1644193755109399E-2</v>
      </c>
      <c r="J410" s="30">
        <f t="shared" si="44"/>
        <v>-2.5720602466868744E-2</v>
      </c>
      <c r="K410" s="30">
        <f t="shared" si="45"/>
        <v>1.0176870081178723E-2</v>
      </c>
      <c r="L410" s="30">
        <f t="shared" si="46"/>
        <v>5.0942545217430935E-3</v>
      </c>
      <c r="M410" s="30">
        <f t="shared" si="47"/>
        <v>3.4695283611829414E-2</v>
      </c>
      <c r="N410" s="30">
        <f t="shared" si="48"/>
        <v>-1.6444094871796176E-2</v>
      </c>
      <c r="O410" s="30">
        <f t="shared" si="49"/>
        <v>-9.8047174564783388E-3</v>
      </c>
    </row>
    <row r="411" spans="1:15" s="30" customFormat="1">
      <c r="A411" s="27">
        <v>45511</v>
      </c>
      <c r="B411" s="28" t="s">
        <v>405</v>
      </c>
      <c r="C411" s="28">
        <v>533.75</v>
      </c>
      <c r="D411" s="28" t="s">
        <v>1602</v>
      </c>
      <c r="E411" s="28">
        <v>298.89999999999998</v>
      </c>
      <c r="F411" s="28">
        <v>148.41</v>
      </c>
      <c r="G411" s="28" t="s">
        <v>2776</v>
      </c>
      <c r="H411" s="28">
        <v>345.65</v>
      </c>
      <c r="I411" s="30">
        <f t="shared" si="43"/>
        <v>3.1459073459935517E-2</v>
      </c>
      <c r="J411" s="30">
        <f t="shared" si="44"/>
        <v>2.9662788912607929E-2</v>
      </c>
      <c r="K411" s="30">
        <f t="shared" si="45"/>
        <v>2.8267524271761518E-2</v>
      </c>
      <c r="L411" s="30">
        <f t="shared" si="46"/>
        <v>1.2455976563574743E-2</v>
      </c>
      <c r="M411" s="30">
        <f t="shared" si="47"/>
        <v>2.2142131562857287E-2</v>
      </c>
      <c r="N411" s="30">
        <f t="shared" si="48"/>
        <v>-2.4444550597153981E-2</v>
      </c>
      <c r="O411" s="30">
        <f t="shared" si="49"/>
        <v>1.6481084781066923E-2</v>
      </c>
    </row>
    <row r="412" spans="1:15" s="30" customFormat="1">
      <c r="A412" s="27">
        <v>45510</v>
      </c>
      <c r="B412" s="28" t="s">
        <v>406</v>
      </c>
      <c r="C412" s="28">
        <v>540.70000000000005</v>
      </c>
      <c r="D412" s="28" t="s">
        <v>1603</v>
      </c>
      <c r="E412" s="28">
        <v>297.05</v>
      </c>
      <c r="F412" s="28">
        <v>145.30000000000001</v>
      </c>
      <c r="G412" s="28" t="s">
        <v>2777</v>
      </c>
      <c r="H412" s="28">
        <v>344.8</v>
      </c>
      <c r="I412" s="30">
        <f t="shared" si="43"/>
        <v>9.6724271419360272E-5</v>
      </c>
      <c r="J412" s="30">
        <f t="shared" si="44"/>
        <v>1.2937031845125029E-2</v>
      </c>
      <c r="K412" s="30">
        <f t="shared" si="45"/>
        <v>-2.8453376015044759E-3</v>
      </c>
      <c r="L412" s="30">
        <f t="shared" si="46"/>
        <v>-6.2085944881416283E-3</v>
      </c>
      <c r="M412" s="30">
        <f t="shared" si="47"/>
        <v>-2.117814333148962E-2</v>
      </c>
      <c r="N412" s="30">
        <f t="shared" si="48"/>
        <v>-3.4055684241270631E-2</v>
      </c>
      <c r="O412" s="30">
        <f t="shared" si="49"/>
        <v>-2.4621636017359001E-3</v>
      </c>
    </row>
    <row r="413" spans="1:15" s="30" customFormat="1">
      <c r="A413" s="27">
        <v>45509</v>
      </c>
      <c r="B413" s="28" t="s">
        <v>407</v>
      </c>
      <c r="C413" s="28">
        <v>544.35</v>
      </c>
      <c r="D413" s="28" t="s">
        <v>1588</v>
      </c>
      <c r="E413" s="28">
        <v>297.5</v>
      </c>
      <c r="F413" s="28">
        <v>143.99</v>
      </c>
      <c r="G413" s="28" t="s">
        <v>357</v>
      </c>
      <c r="H413" s="28">
        <v>351.95</v>
      </c>
      <c r="I413" s="30">
        <f t="shared" si="43"/>
        <v>-2.6956587189414963E-3</v>
      </c>
      <c r="J413" s="30">
        <f t="shared" si="44"/>
        <v>6.7278259392299202E-3</v>
      </c>
      <c r="K413" s="30">
        <f t="shared" si="45"/>
        <v>-1.1085642647016499E-2</v>
      </c>
      <c r="L413" s="30">
        <f t="shared" si="46"/>
        <v>1.5137501839339858E-3</v>
      </c>
      <c r="M413" s="30">
        <f t="shared" si="47"/>
        <v>-9.0567178560581277E-3</v>
      </c>
      <c r="N413" s="30">
        <f t="shared" si="48"/>
        <v>-6.8065417788268426E-3</v>
      </c>
      <c r="O413" s="30">
        <f t="shared" si="49"/>
        <v>2.0524581264602444E-2</v>
      </c>
    </row>
    <row r="414" spans="1:15" s="30" customFormat="1">
      <c r="A414" s="27">
        <v>45506</v>
      </c>
      <c r="B414" s="28" t="s">
        <v>408</v>
      </c>
      <c r="C414" s="28">
        <v>550.25</v>
      </c>
      <c r="D414" s="28" t="s">
        <v>1604</v>
      </c>
      <c r="E414" s="28">
        <v>302.60000000000002</v>
      </c>
      <c r="F414" s="28">
        <v>150.18</v>
      </c>
      <c r="G414" s="28" t="s">
        <v>2778</v>
      </c>
      <c r="H414" s="28">
        <v>360.7</v>
      </c>
      <c r="I414" s="30">
        <f t="shared" si="43"/>
        <v>4.2902599636597512E-3</v>
      </c>
      <c r="J414" s="30">
        <f t="shared" si="44"/>
        <v>1.0780298079381915E-2</v>
      </c>
      <c r="K414" s="30">
        <f t="shared" si="45"/>
        <v>1.582338416553342E-2</v>
      </c>
      <c r="L414" s="30">
        <f t="shared" si="46"/>
        <v>1.6997576368571077E-2</v>
      </c>
      <c r="M414" s="30">
        <f t="shared" si="47"/>
        <v>4.2090721951558795E-2</v>
      </c>
      <c r="N414" s="30">
        <f t="shared" si="48"/>
        <v>1.1420215737170076E-2</v>
      </c>
      <c r="O414" s="30">
        <f t="shared" si="49"/>
        <v>2.4557467855352719E-2</v>
      </c>
    </row>
    <row r="415" spans="1:15" s="30" customFormat="1">
      <c r="A415" s="27">
        <v>45505</v>
      </c>
      <c r="B415" s="28" t="s">
        <v>409</v>
      </c>
      <c r="C415" s="28">
        <v>553</v>
      </c>
      <c r="D415" s="28" t="s">
        <v>1605</v>
      </c>
      <c r="E415" s="28">
        <v>305.10000000000002</v>
      </c>
      <c r="F415" s="28">
        <v>148.46</v>
      </c>
      <c r="G415" s="28" t="s">
        <v>2779</v>
      </c>
      <c r="H415" s="28">
        <v>357</v>
      </c>
      <c r="I415" s="30">
        <f t="shared" si="43"/>
        <v>-2.3686574991997433E-3</v>
      </c>
      <c r="J415" s="30">
        <f t="shared" si="44"/>
        <v>4.9852811157637374E-3</v>
      </c>
      <c r="K415" s="30">
        <f t="shared" si="45"/>
        <v>1.4545954763882095E-2</v>
      </c>
      <c r="L415" s="30">
        <f t="shared" si="46"/>
        <v>8.2277903683684161E-3</v>
      </c>
      <c r="M415" s="30">
        <f t="shared" si="47"/>
        <v>-1.1519012982336966E-2</v>
      </c>
      <c r="N415" s="30">
        <f t="shared" si="48"/>
        <v>-1.8461296731045768E-3</v>
      </c>
      <c r="O415" s="30">
        <f t="shared" si="49"/>
        <v>-1.0310806129854251E-2</v>
      </c>
    </row>
    <row r="416" spans="1:15" s="30" customFormat="1">
      <c r="A416" s="27">
        <v>45504</v>
      </c>
      <c r="B416" s="28" t="s">
        <v>410</v>
      </c>
      <c r="C416" s="28">
        <v>554.9</v>
      </c>
      <c r="D416" s="28" t="s">
        <v>1606</v>
      </c>
      <c r="E416" s="28">
        <v>307.2</v>
      </c>
      <c r="F416" s="28">
        <v>151.38</v>
      </c>
      <c r="G416" s="28" t="s">
        <v>2780</v>
      </c>
      <c r="H416" s="28">
        <v>363.05</v>
      </c>
      <c r="I416" s="30">
        <f t="shared" si="43"/>
        <v>-4.8190526328623189E-3</v>
      </c>
      <c r="J416" s="30">
        <f t="shared" si="44"/>
        <v>3.4299158095206822E-3</v>
      </c>
      <c r="K416" s="30">
        <f t="shared" si="45"/>
        <v>-2.4986270557727538E-3</v>
      </c>
      <c r="L416" s="30">
        <f t="shared" si="46"/>
        <v>6.8594095508929817E-3</v>
      </c>
      <c r="M416" s="30">
        <f t="shared" si="47"/>
        <v>1.9477670191620441E-2</v>
      </c>
      <c r="N416" s="30">
        <f t="shared" si="48"/>
        <v>-4.4655556424196295E-2</v>
      </c>
      <c r="O416" s="30">
        <f t="shared" si="49"/>
        <v>1.680478404661662E-2</v>
      </c>
    </row>
    <row r="417" spans="1:15" s="30" customFormat="1">
      <c r="A417" s="27">
        <v>45503</v>
      </c>
      <c r="B417" s="28" t="s">
        <v>411</v>
      </c>
      <c r="C417" s="28">
        <v>550.85</v>
      </c>
      <c r="D417" s="28" t="s">
        <v>1607</v>
      </c>
      <c r="E417" s="28">
        <v>304.55</v>
      </c>
      <c r="F417" s="28">
        <v>151.66999999999999</v>
      </c>
      <c r="G417" s="28" t="s">
        <v>2781</v>
      </c>
      <c r="H417" s="28">
        <v>365.7</v>
      </c>
      <c r="I417" s="30">
        <f t="shared" si="43"/>
        <v>-2.6079152669646392E-2</v>
      </c>
      <c r="J417" s="30">
        <f t="shared" si="44"/>
        <v>-7.3253775457815468E-3</v>
      </c>
      <c r="K417" s="30">
        <f t="shared" si="45"/>
        <v>-2.906250479718429E-3</v>
      </c>
      <c r="L417" s="30">
        <f t="shared" si="46"/>
        <v>-8.6637239910233969E-3</v>
      </c>
      <c r="M417" s="30">
        <f t="shared" si="47"/>
        <v>1.9138761822841976E-3</v>
      </c>
      <c r="N417" s="30">
        <f t="shared" si="48"/>
        <v>-7.5895932009395796E-3</v>
      </c>
      <c r="O417" s="30">
        <f t="shared" si="49"/>
        <v>7.2727593290796569E-3</v>
      </c>
    </row>
    <row r="418" spans="1:15" s="30" customFormat="1">
      <c r="A418" s="27">
        <v>45502</v>
      </c>
      <c r="B418" s="28" t="s">
        <v>412</v>
      </c>
      <c r="C418" s="28">
        <v>538.79999999999995</v>
      </c>
      <c r="D418" s="28" t="s">
        <v>1608</v>
      </c>
      <c r="E418" s="28">
        <v>281.7</v>
      </c>
      <c r="F418" s="28">
        <v>143.9</v>
      </c>
      <c r="G418" s="28" t="s">
        <v>2782</v>
      </c>
      <c r="H418" s="28">
        <v>359.3</v>
      </c>
      <c r="I418" s="30">
        <f t="shared" si="43"/>
        <v>-1.6897083922224269E-2</v>
      </c>
      <c r="J418" s="30">
        <f t="shared" si="44"/>
        <v>-2.2118095249865129E-2</v>
      </c>
      <c r="K418" s="30">
        <f t="shared" si="45"/>
        <v>-6.3428352595562409E-3</v>
      </c>
      <c r="L418" s="30">
        <f t="shared" si="46"/>
        <v>-7.7992602400166811E-2</v>
      </c>
      <c r="M418" s="30">
        <f t="shared" si="47"/>
        <v>-5.2588494169983263E-2</v>
      </c>
      <c r="N418" s="30">
        <f t="shared" si="48"/>
        <v>-3.7995126702987689E-3</v>
      </c>
      <c r="O418" s="30">
        <f t="shared" si="49"/>
        <v>-1.7655631035862433E-2</v>
      </c>
    </row>
    <row r="419" spans="1:15" s="30" customFormat="1">
      <c r="A419" s="27">
        <v>45499</v>
      </c>
      <c r="B419" s="28" t="s">
        <v>413</v>
      </c>
      <c r="C419" s="28">
        <v>542.4</v>
      </c>
      <c r="D419" s="28" t="s">
        <v>1609</v>
      </c>
      <c r="E419" s="28">
        <v>275.3</v>
      </c>
      <c r="F419" s="28">
        <v>143.79</v>
      </c>
      <c r="G419" s="28" t="s">
        <v>2783</v>
      </c>
      <c r="H419" s="28">
        <v>351.95</v>
      </c>
      <c r="I419" s="30">
        <f t="shared" si="43"/>
        <v>-1.541106344961816E-3</v>
      </c>
      <c r="J419" s="30">
        <f t="shared" si="44"/>
        <v>6.659292089976997E-3</v>
      </c>
      <c r="K419" s="30">
        <f t="shared" si="45"/>
        <v>4.5682119011879073E-3</v>
      </c>
      <c r="L419" s="30">
        <f t="shared" si="46"/>
        <v>-2.2981262733765221E-2</v>
      </c>
      <c r="M419" s="30">
        <f t="shared" si="47"/>
        <v>-7.6471205367257958E-4</v>
      </c>
      <c r="N419" s="30">
        <f t="shared" si="48"/>
        <v>-2.3992689349489761E-2</v>
      </c>
      <c r="O419" s="30">
        <f t="shared" si="49"/>
        <v>-2.0668574065332467E-2</v>
      </c>
    </row>
    <row r="420" spans="1:15" s="30" customFormat="1">
      <c r="A420" s="27">
        <v>45498</v>
      </c>
      <c r="B420" s="28" t="s">
        <v>414</v>
      </c>
      <c r="C420" s="28">
        <v>530.29999999999995</v>
      </c>
      <c r="D420" s="28" t="s">
        <v>1610</v>
      </c>
      <c r="E420" s="28">
        <v>275</v>
      </c>
      <c r="F420" s="28">
        <v>141.47</v>
      </c>
      <c r="G420" s="28" t="s">
        <v>2784</v>
      </c>
      <c r="H420" s="28">
        <v>353.05</v>
      </c>
      <c r="I420" s="30">
        <f t="shared" si="43"/>
        <v>-1.6662637394002699E-2</v>
      </c>
      <c r="J420" s="30">
        <f t="shared" si="44"/>
        <v>-2.2560852483101506E-2</v>
      </c>
      <c r="K420" s="30">
        <f t="shared" si="45"/>
        <v>-9.5971642282329829E-3</v>
      </c>
      <c r="L420" s="30">
        <f t="shared" si="46"/>
        <v>-1.0903144819904289E-3</v>
      </c>
      <c r="M420" s="30">
        <f t="shared" si="47"/>
        <v>-1.6266221368806628E-2</v>
      </c>
      <c r="N420" s="30">
        <f t="shared" si="48"/>
        <v>-2.4796625101560034E-2</v>
      </c>
      <c r="O420" s="30">
        <f t="shared" si="49"/>
        <v>3.1205699082153685E-3</v>
      </c>
    </row>
    <row r="421" spans="1:15" s="30" customFormat="1">
      <c r="A421" s="27">
        <v>45497</v>
      </c>
      <c r="B421" s="28" t="s">
        <v>415</v>
      </c>
      <c r="C421" s="28">
        <v>529.95000000000005</v>
      </c>
      <c r="D421" s="28" t="s">
        <v>1611</v>
      </c>
      <c r="E421" s="28">
        <v>273.60000000000002</v>
      </c>
      <c r="F421" s="28">
        <v>143.94</v>
      </c>
      <c r="G421" s="28" t="s">
        <v>2785</v>
      </c>
      <c r="H421" s="28">
        <v>360.7</v>
      </c>
      <c r="I421" s="30">
        <f t="shared" si="43"/>
        <v>3.921438756421829E-3</v>
      </c>
      <c r="J421" s="30">
        <f t="shared" si="44"/>
        <v>-6.60221669820194E-4</v>
      </c>
      <c r="K421" s="30">
        <f t="shared" si="45"/>
        <v>2.2417212277711547E-2</v>
      </c>
      <c r="L421" s="30">
        <f t="shared" si="46"/>
        <v>-5.1039119181758401E-3</v>
      </c>
      <c r="M421" s="30">
        <f t="shared" si="47"/>
        <v>1.7308865608815182E-2</v>
      </c>
      <c r="N421" s="30">
        <f t="shared" si="48"/>
        <v>9.0239532333594701E-3</v>
      </c>
      <c r="O421" s="30">
        <f t="shared" si="49"/>
        <v>2.1436897947137299E-2</v>
      </c>
    </row>
    <row r="422" spans="1:15" s="30" customFormat="1">
      <c r="A422" s="27">
        <v>45496</v>
      </c>
      <c r="B422" s="28" t="s">
        <v>416</v>
      </c>
      <c r="C422" s="28">
        <v>525.65</v>
      </c>
      <c r="D422" s="28" t="s">
        <v>1612</v>
      </c>
      <c r="E422" s="28">
        <v>273.05</v>
      </c>
      <c r="F422" s="28">
        <v>140.59</v>
      </c>
      <c r="G422" s="28" t="s">
        <v>2786</v>
      </c>
      <c r="H422" s="28">
        <v>357.85</v>
      </c>
      <c r="I422" s="30">
        <f t="shared" si="43"/>
        <v>-5.4045812202418693E-3</v>
      </c>
      <c r="J422" s="30">
        <f t="shared" si="44"/>
        <v>-8.147070451424156E-3</v>
      </c>
      <c r="K422" s="30">
        <f t="shared" si="45"/>
        <v>-9.6079463818383986E-3</v>
      </c>
      <c r="L422" s="30">
        <f t="shared" si="46"/>
        <v>-2.0122571502327507E-3</v>
      </c>
      <c r="M422" s="30">
        <f t="shared" si="47"/>
        <v>-2.3548692987842103E-2</v>
      </c>
      <c r="N422" s="30">
        <f t="shared" si="48"/>
        <v>-8.4709397417921037E-3</v>
      </c>
      <c r="O422" s="30">
        <f t="shared" si="49"/>
        <v>-7.9326837248866744E-3</v>
      </c>
    </row>
    <row r="423" spans="1:15" s="30" customFormat="1">
      <c r="A423" s="27">
        <v>45495</v>
      </c>
      <c r="B423" s="28" t="s">
        <v>417</v>
      </c>
      <c r="C423" s="28">
        <v>526.79999999999995</v>
      </c>
      <c r="D423" s="28" t="s">
        <v>1613</v>
      </c>
      <c r="E423" s="28">
        <v>270.95</v>
      </c>
      <c r="F423" s="28">
        <v>143.97</v>
      </c>
      <c r="G423" s="28" t="s">
        <v>2787</v>
      </c>
      <c r="H423" s="28">
        <v>347.75</v>
      </c>
      <c r="I423" s="30">
        <f t="shared" si="43"/>
        <v>1.2758687323575216E-2</v>
      </c>
      <c r="J423" s="30">
        <f t="shared" si="44"/>
        <v>2.1853778472860955E-3</v>
      </c>
      <c r="K423" s="30">
        <f t="shared" si="45"/>
        <v>-1.8509993923560869E-2</v>
      </c>
      <c r="L423" s="30">
        <f t="shared" si="46"/>
        <v>-7.7206265860395168E-3</v>
      </c>
      <c r="M423" s="30">
        <f t="shared" si="47"/>
        <v>2.3757091446447786E-2</v>
      </c>
      <c r="N423" s="30">
        <f t="shared" si="48"/>
        <v>3.8625549753234659E-3</v>
      </c>
      <c r="O423" s="30">
        <f t="shared" si="49"/>
        <v>-2.8630073381054329E-2</v>
      </c>
    </row>
    <row r="424" spans="1:15" s="30" customFormat="1">
      <c r="A424" s="27">
        <v>45492</v>
      </c>
      <c r="B424" s="28" t="s">
        <v>418</v>
      </c>
      <c r="C424" s="28">
        <v>523.75</v>
      </c>
      <c r="D424" s="28" t="s">
        <v>1614</v>
      </c>
      <c r="E424" s="28">
        <v>271.5</v>
      </c>
      <c r="F424" s="28">
        <v>143.71</v>
      </c>
      <c r="G424" s="28" t="s">
        <v>2788</v>
      </c>
      <c r="H424" s="28">
        <v>357.85</v>
      </c>
      <c r="I424" s="30">
        <f t="shared" si="43"/>
        <v>3.9963660796414136E-3</v>
      </c>
      <c r="J424" s="30">
        <f t="shared" si="44"/>
        <v>-5.806498632778349E-3</v>
      </c>
      <c r="K424" s="30">
        <f t="shared" si="45"/>
        <v>-1.1293368034871814E-2</v>
      </c>
      <c r="L424" s="30">
        <f t="shared" si="46"/>
        <v>2.0278373618668969E-3</v>
      </c>
      <c r="M424" s="30">
        <f t="shared" si="47"/>
        <v>-1.8075644521082788E-3</v>
      </c>
      <c r="N424" s="30">
        <f t="shared" si="48"/>
        <v>9.5828173208306368E-3</v>
      </c>
      <c r="O424" s="30">
        <f t="shared" si="49"/>
        <v>2.8630073381054371E-2</v>
      </c>
    </row>
    <row r="425" spans="1:15" s="30" customFormat="1">
      <c r="A425" s="27">
        <v>45491</v>
      </c>
      <c r="B425" s="28" t="s">
        <v>419</v>
      </c>
      <c r="C425" s="28">
        <v>521.25</v>
      </c>
      <c r="D425" s="28" t="s">
        <v>1615</v>
      </c>
      <c r="E425" s="28">
        <v>274.60000000000002</v>
      </c>
      <c r="F425" s="28">
        <v>147.58000000000001</v>
      </c>
      <c r="G425" s="28" t="s">
        <v>2789</v>
      </c>
      <c r="H425" s="28">
        <v>373.45</v>
      </c>
      <c r="I425" s="30">
        <f t="shared" si="43"/>
        <v>-4.9339966707653091E-3</v>
      </c>
      <c r="J425" s="30">
        <f t="shared" si="44"/>
        <v>-4.7846981233362704E-3</v>
      </c>
      <c r="K425" s="30">
        <f t="shared" si="45"/>
        <v>2.6926336021041834E-2</v>
      </c>
      <c r="L425" s="30">
        <f t="shared" si="46"/>
        <v>1.1353353959880672E-2</v>
      </c>
      <c r="M425" s="30">
        <f t="shared" si="47"/>
        <v>2.6573021544065115E-2</v>
      </c>
      <c r="N425" s="30">
        <f t="shared" si="48"/>
        <v>3.2238517803081422E-2</v>
      </c>
      <c r="O425" s="30">
        <f t="shared" si="49"/>
        <v>4.2670222618469152E-2</v>
      </c>
    </row>
    <row r="426" spans="1:15" s="30" customFormat="1">
      <c r="A426" s="27">
        <v>45489</v>
      </c>
      <c r="B426" s="28" t="s">
        <v>420</v>
      </c>
      <c r="C426" s="28">
        <v>520.5</v>
      </c>
      <c r="D426" s="28" t="s">
        <v>1616</v>
      </c>
      <c r="E426" s="28">
        <v>279.89999999999998</v>
      </c>
      <c r="F426" s="28">
        <v>148.02000000000001</v>
      </c>
      <c r="G426" s="28" t="s">
        <v>2790</v>
      </c>
      <c r="H426" s="28">
        <v>372.85</v>
      </c>
      <c r="I426" s="30">
        <f t="shared" si="43"/>
        <v>1.4527854565422056E-2</v>
      </c>
      <c r="J426" s="30">
        <f t="shared" si="44"/>
        <v>-1.4398850579876432E-3</v>
      </c>
      <c r="K426" s="30">
        <f t="shared" si="45"/>
        <v>6.6981482125175022E-4</v>
      </c>
      <c r="L426" s="30">
        <f t="shared" si="46"/>
        <v>1.9116903187537053E-2</v>
      </c>
      <c r="M426" s="30">
        <f t="shared" si="47"/>
        <v>2.9769981390996413E-3</v>
      </c>
      <c r="N426" s="30">
        <f t="shared" si="48"/>
        <v>2.7973029527252342E-2</v>
      </c>
      <c r="O426" s="30">
        <f t="shared" si="49"/>
        <v>-1.607932813271764E-3</v>
      </c>
    </row>
    <row r="427" spans="1:15" s="30" customFormat="1">
      <c r="A427" s="27">
        <v>45488</v>
      </c>
      <c r="B427" s="28" t="s">
        <v>421</v>
      </c>
      <c r="C427" s="28">
        <v>520.65</v>
      </c>
      <c r="D427" s="28" t="s">
        <v>1617</v>
      </c>
      <c r="E427" s="28">
        <v>279.95</v>
      </c>
      <c r="F427" s="28">
        <v>147.37</v>
      </c>
      <c r="G427" s="28" t="s">
        <v>2791</v>
      </c>
      <c r="H427" s="28">
        <v>353.6</v>
      </c>
      <c r="I427" s="30">
        <f t="shared" si="43"/>
        <v>-6.0530116779705413E-3</v>
      </c>
      <c r="J427" s="30">
        <f t="shared" si="44"/>
        <v>2.8814292088128347E-4</v>
      </c>
      <c r="K427" s="30">
        <f t="shared" si="45"/>
        <v>-8.7084678601093764E-4</v>
      </c>
      <c r="L427" s="30">
        <f t="shared" si="46"/>
        <v>1.7861927349439703E-4</v>
      </c>
      <c r="M427" s="30">
        <f t="shared" si="47"/>
        <v>-4.4009685441487797E-3</v>
      </c>
      <c r="N427" s="30">
        <f t="shared" si="48"/>
        <v>-3.7250423103145733E-2</v>
      </c>
      <c r="O427" s="30">
        <f t="shared" si="49"/>
        <v>-5.3009863226315429E-2</v>
      </c>
    </row>
    <row r="428" spans="1:15" s="30" customFormat="1">
      <c r="A428" s="27">
        <v>45485</v>
      </c>
      <c r="B428" s="28" t="s">
        <v>422</v>
      </c>
      <c r="C428" s="28">
        <v>526</v>
      </c>
      <c r="D428" s="28" t="s">
        <v>1618</v>
      </c>
      <c r="E428" s="28">
        <v>278.10000000000002</v>
      </c>
      <c r="F428" s="28">
        <v>147.30000000000001</v>
      </c>
      <c r="G428" s="28" t="s">
        <v>2792</v>
      </c>
      <c r="H428" s="28">
        <v>338.8</v>
      </c>
      <c r="I428" s="30">
        <f t="shared" si="43"/>
        <v>1.4322778909556516E-2</v>
      </c>
      <c r="J428" s="30">
        <f t="shared" si="44"/>
        <v>1.0223181761804888E-2</v>
      </c>
      <c r="K428" s="30">
        <f t="shared" si="45"/>
        <v>1.9051356163386979E-2</v>
      </c>
      <c r="L428" s="30">
        <f t="shared" si="46"/>
        <v>-6.6302545549829801E-3</v>
      </c>
      <c r="M428" s="30">
        <f t="shared" si="47"/>
        <v>-4.7510775658691373E-4</v>
      </c>
      <c r="N428" s="30">
        <f t="shared" si="48"/>
        <v>-7.7859022073116868E-3</v>
      </c>
      <c r="O428" s="30">
        <f t="shared" si="49"/>
        <v>-4.2756367985589121E-2</v>
      </c>
    </row>
    <row r="429" spans="1:15" s="30" customFormat="1">
      <c r="A429" s="27">
        <v>45484</v>
      </c>
      <c r="B429" s="28" t="s">
        <v>423</v>
      </c>
      <c r="C429" s="28">
        <v>523.4</v>
      </c>
      <c r="D429" s="28" t="s">
        <v>1619</v>
      </c>
      <c r="E429" s="28">
        <v>279.35000000000002</v>
      </c>
      <c r="F429" s="28">
        <v>148.25</v>
      </c>
      <c r="G429" s="28" t="s">
        <v>2793</v>
      </c>
      <c r="H429" s="28">
        <v>344.9</v>
      </c>
      <c r="I429" s="30">
        <f t="shared" si="43"/>
        <v>7.6064938595870896E-3</v>
      </c>
      <c r="J429" s="30">
        <f t="shared" si="44"/>
        <v>-4.9552226416644312E-3</v>
      </c>
      <c r="K429" s="30">
        <f t="shared" si="45"/>
        <v>2.3491503767299901E-2</v>
      </c>
      <c r="L429" s="30">
        <f t="shared" si="46"/>
        <v>4.4847146652386089E-3</v>
      </c>
      <c r="M429" s="30">
        <f t="shared" si="47"/>
        <v>6.4287144092501471E-3</v>
      </c>
      <c r="N429" s="30">
        <f t="shared" si="48"/>
        <v>4.2198533789710698E-3</v>
      </c>
      <c r="O429" s="30">
        <f t="shared" si="49"/>
        <v>1.7844557164895733E-2</v>
      </c>
    </row>
    <row r="430" spans="1:15" s="30" customFormat="1">
      <c r="A430" s="27">
        <v>45483</v>
      </c>
      <c r="B430" s="28" t="s">
        <v>424</v>
      </c>
      <c r="C430" s="28">
        <v>526.29999999999995</v>
      </c>
      <c r="D430" s="28" t="s">
        <v>1620</v>
      </c>
      <c r="E430" s="28">
        <v>282.35000000000002</v>
      </c>
      <c r="F430" s="28">
        <v>151.38</v>
      </c>
      <c r="G430" s="28" t="s">
        <v>2391</v>
      </c>
      <c r="H430" s="28">
        <v>352.7</v>
      </c>
      <c r="I430" s="30">
        <f t="shared" si="43"/>
        <v>-8.5071544048261321E-3</v>
      </c>
      <c r="J430" s="30">
        <f t="shared" si="44"/>
        <v>5.5254022636877865E-3</v>
      </c>
      <c r="K430" s="30">
        <f t="shared" si="45"/>
        <v>-1.2147991211044864E-2</v>
      </c>
      <c r="L430" s="30">
        <f t="shared" si="46"/>
        <v>1.068196021368791E-2</v>
      </c>
      <c r="M430" s="30">
        <f t="shared" si="47"/>
        <v>2.0893194003186427E-2</v>
      </c>
      <c r="N430" s="30">
        <f t="shared" si="48"/>
        <v>8.1127980202562403E-3</v>
      </c>
      <c r="O430" s="30">
        <f t="shared" si="49"/>
        <v>2.2363317299211039E-2</v>
      </c>
    </row>
    <row r="431" spans="1:15" s="30" customFormat="1">
      <c r="A431" s="27">
        <v>45482</v>
      </c>
      <c r="B431" s="28" t="s">
        <v>425</v>
      </c>
      <c r="C431" s="28">
        <v>513.85</v>
      </c>
      <c r="D431" s="28" t="s">
        <v>1621</v>
      </c>
      <c r="E431" s="28">
        <v>273.25</v>
      </c>
      <c r="F431" s="28">
        <v>148.93</v>
      </c>
      <c r="G431" s="28" t="s">
        <v>2794</v>
      </c>
      <c r="H431" s="28">
        <v>334.55</v>
      </c>
      <c r="I431" s="30">
        <f t="shared" si="43"/>
        <v>-3.0994864339190457E-2</v>
      </c>
      <c r="J431" s="30">
        <f t="shared" si="44"/>
        <v>-2.3939998288651086E-2</v>
      </c>
      <c r="K431" s="30">
        <f t="shared" si="45"/>
        <v>-0.10123721463990656</v>
      </c>
      <c r="L431" s="30">
        <f t="shared" si="46"/>
        <v>-3.2760309062197894E-2</v>
      </c>
      <c r="M431" s="30">
        <f t="shared" si="47"/>
        <v>-1.6316834983245095E-2</v>
      </c>
      <c r="N431" s="30">
        <f t="shared" si="48"/>
        <v>-3.4811274211443907E-3</v>
      </c>
      <c r="O431" s="30">
        <f t="shared" si="49"/>
        <v>-5.2831492013180235E-2</v>
      </c>
    </row>
    <row r="432" spans="1:15" s="30" customFormat="1">
      <c r="A432" s="27">
        <v>45481</v>
      </c>
      <c r="B432" s="28" t="s">
        <v>426</v>
      </c>
      <c r="C432" s="28">
        <v>509.5</v>
      </c>
      <c r="D432" s="28" t="s">
        <v>1622</v>
      </c>
      <c r="E432" s="28">
        <v>270.45</v>
      </c>
      <c r="F432" s="28">
        <v>149.93</v>
      </c>
      <c r="G432" s="28" t="s">
        <v>2795</v>
      </c>
      <c r="H432" s="28">
        <v>337.75</v>
      </c>
      <c r="I432" s="30">
        <f t="shared" si="43"/>
        <v>-2.360787910509316E-3</v>
      </c>
      <c r="J432" s="30">
        <f t="shared" si="44"/>
        <v>-8.5015414083026639E-3</v>
      </c>
      <c r="K432" s="30">
        <f t="shared" si="45"/>
        <v>-1.1876699673943471E-3</v>
      </c>
      <c r="L432" s="30">
        <f t="shared" si="46"/>
        <v>-1.0299888739212001E-2</v>
      </c>
      <c r="M432" s="30">
        <f t="shared" si="47"/>
        <v>6.6921216090354745E-3</v>
      </c>
      <c r="N432" s="30">
        <f t="shared" si="48"/>
        <v>-1.2375924962981389E-2</v>
      </c>
      <c r="O432" s="30">
        <f t="shared" si="49"/>
        <v>9.5196316114822405E-3</v>
      </c>
    </row>
    <row r="433" spans="1:15" s="30" customFormat="1">
      <c r="A433" s="27">
        <v>45478</v>
      </c>
      <c r="B433" s="28" t="s">
        <v>427</v>
      </c>
      <c r="C433" s="28">
        <v>514.4</v>
      </c>
      <c r="D433" s="28" t="s">
        <v>1623</v>
      </c>
      <c r="E433" s="28">
        <v>266.95</v>
      </c>
      <c r="F433" s="28">
        <v>152.97999999999999</v>
      </c>
      <c r="G433" s="28" t="s">
        <v>2796</v>
      </c>
      <c r="H433" s="28">
        <v>344.65</v>
      </c>
      <c r="I433" s="30">
        <f t="shared" si="43"/>
        <v>1.2941447833346874E-2</v>
      </c>
      <c r="J433" s="30">
        <f t="shared" si="44"/>
        <v>9.5713202606300361E-3</v>
      </c>
      <c r="K433" s="30">
        <f t="shared" si="45"/>
        <v>8.2127884651270484E-3</v>
      </c>
      <c r="L433" s="30">
        <f t="shared" si="46"/>
        <v>-1.3025863371240762E-2</v>
      </c>
      <c r="M433" s="30">
        <f t="shared" si="47"/>
        <v>2.0138675386908077E-2</v>
      </c>
      <c r="N433" s="30">
        <f t="shared" si="48"/>
        <v>2.3751718051588606E-2</v>
      </c>
      <c r="O433" s="30">
        <f t="shared" si="49"/>
        <v>2.0223432491352583E-2</v>
      </c>
    </row>
    <row r="434" spans="1:15" s="30" customFormat="1">
      <c r="A434" s="27">
        <v>45477</v>
      </c>
      <c r="B434" s="28" t="s">
        <v>428</v>
      </c>
      <c r="C434" s="28">
        <v>513</v>
      </c>
      <c r="D434" s="28" t="s">
        <v>1624</v>
      </c>
      <c r="E434" s="28">
        <v>269.25</v>
      </c>
      <c r="F434" s="28">
        <v>153.65</v>
      </c>
      <c r="G434" s="28" t="s">
        <v>2797</v>
      </c>
      <c r="H434" s="28">
        <v>349.85</v>
      </c>
      <c r="I434" s="30">
        <f t="shared" si="43"/>
        <v>-3.4066907735611981E-4</v>
      </c>
      <c r="J434" s="30">
        <f t="shared" si="44"/>
        <v>-2.7253277526400384E-3</v>
      </c>
      <c r="K434" s="30">
        <f t="shared" si="45"/>
        <v>-1.3810188558672904E-2</v>
      </c>
      <c r="L434" s="30">
        <f t="shared" si="46"/>
        <v>8.5789410903026869E-3</v>
      </c>
      <c r="M434" s="30">
        <f t="shared" si="47"/>
        <v>4.3700946827738788E-3</v>
      </c>
      <c r="N434" s="30">
        <f t="shared" si="48"/>
        <v>-2.0730043065611336E-2</v>
      </c>
      <c r="O434" s="30">
        <f t="shared" si="49"/>
        <v>1.497508186024514E-2</v>
      </c>
    </row>
    <row r="435" spans="1:15" s="30" customFormat="1">
      <c r="A435" s="27">
        <v>45476</v>
      </c>
      <c r="B435" s="28" t="s">
        <v>429</v>
      </c>
      <c r="C435" s="28">
        <v>510.7</v>
      </c>
      <c r="D435" s="28" t="s">
        <v>1625</v>
      </c>
      <c r="E435" s="28">
        <v>268</v>
      </c>
      <c r="F435" s="28">
        <v>140.11000000000001</v>
      </c>
      <c r="G435" s="28" t="s">
        <v>2798</v>
      </c>
      <c r="H435" s="28">
        <v>344.3</v>
      </c>
      <c r="I435" s="30">
        <f t="shared" si="43"/>
        <v>-3.1908839537139059E-3</v>
      </c>
      <c r="J435" s="30">
        <f t="shared" si="44"/>
        <v>-4.4935115171713469E-3</v>
      </c>
      <c r="K435" s="30">
        <f t="shared" si="45"/>
        <v>4.9850191734877617E-3</v>
      </c>
      <c r="L435" s="30">
        <f t="shared" si="46"/>
        <v>-4.6533355256412707E-3</v>
      </c>
      <c r="M435" s="30">
        <f t="shared" si="47"/>
        <v>-9.2249460193353547E-2</v>
      </c>
      <c r="N435" s="30">
        <f t="shared" si="48"/>
        <v>-7.3617401888240435E-3</v>
      </c>
      <c r="O435" s="30">
        <f t="shared" si="49"/>
        <v>-1.599112084742764E-2</v>
      </c>
    </row>
    <row r="436" spans="1:15" s="30" customFormat="1">
      <c r="A436" s="27">
        <v>45475</v>
      </c>
      <c r="B436" s="28" t="s">
        <v>430</v>
      </c>
      <c r="C436" s="28">
        <v>508.15</v>
      </c>
      <c r="D436" s="28" t="s">
        <v>1626</v>
      </c>
      <c r="E436" s="28">
        <v>269.8</v>
      </c>
      <c r="F436" s="28">
        <v>137.94999999999999</v>
      </c>
      <c r="G436" s="28" t="s">
        <v>2799</v>
      </c>
      <c r="H436" s="28">
        <v>326.95</v>
      </c>
      <c r="I436" s="30">
        <f t="shared" si="43"/>
        <v>1.7090657392362739E-5</v>
      </c>
      <c r="J436" s="30">
        <f t="shared" si="44"/>
        <v>-5.0056540698228263E-3</v>
      </c>
      <c r="K436" s="30">
        <f t="shared" si="45"/>
        <v>2.4832215448773011E-3</v>
      </c>
      <c r="L436" s="30">
        <f t="shared" si="46"/>
        <v>6.6939632627988147E-3</v>
      </c>
      <c r="M436" s="30">
        <f t="shared" si="47"/>
        <v>-1.5536527719845131E-2</v>
      </c>
      <c r="N436" s="30">
        <f t="shared" si="48"/>
        <v>2.0765177814409037E-3</v>
      </c>
      <c r="O436" s="30">
        <f t="shared" si="49"/>
        <v>-5.1706116337193193E-2</v>
      </c>
    </row>
    <row r="437" spans="1:15" s="30" customFormat="1">
      <c r="A437" s="27">
        <v>45474</v>
      </c>
      <c r="B437" s="28" t="s">
        <v>431</v>
      </c>
      <c r="C437" s="28">
        <v>507.25</v>
      </c>
      <c r="D437" s="28" t="s">
        <v>1627</v>
      </c>
      <c r="E437" s="28">
        <v>270</v>
      </c>
      <c r="F437" s="28">
        <v>139.66999999999999</v>
      </c>
      <c r="G437" s="28" t="s">
        <v>2800</v>
      </c>
      <c r="H437" s="28">
        <v>320.95</v>
      </c>
      <c r="I437" s="30">
        <f t="shared" si="43"/>
        <v>7.5169990214009081E-4</v>
      </c>
      <c r="J437" s="30">
        <f t="shared" si="44"/>
        <v>-1.7727008778512803E-3</v>
      </c>
      <c r="K437" s="30">
        <f t="shared" si="45"/>
        <v>6.4848049834075024E-3</v>
      </c>
      <c r="L437" s="30">
        <f t="shared" si="46"/>
        <v>7.4101522471920378E-4</v>
      </c>
      <c r="M437" s="30">
        <f t="shared" si="47"/>
        <v>1.2391196654384895E-2</v>
      </c>
      <c r="N437" s="30">
        <f t="shared" si="48"/>
        <v>-2.1114541099857328E-3</v>
      </c>
      <c r="O437" s="30">
        <f t="shared" si="49"/>
        <v>-1.8521906249497826E-2</v>
      </c>
    </row>
    <row r="438" spans="1:15" s="30" customFormat="1">
      <c r="A438" s="27">
        <v>45471</v>
      </c>
      <c r="B438" s="28" t="s">
        <v>432</v>
      </c>
      <c r="C438" s="28">
        <v>504.2</v>
      </c>
      <c r="D438" s="28" t="s">
        <v>1628</v>
      </c>
      <c r="E438" s="28">
        <v>270.10000000000002</v>
      </c>
      <c r="F438" s="28">
        <v>138.01</v>
      </c>
      <c r="G438" s="28" t="s">
        <v>2801</v>
      </c>
      <c r="H438" s="28">
        <v>320.64999999999998</v>
      </c>
      <c r="I438" s="30">
        <f t="shared" si="43"/>
        <v>-3.6784561183104384E-3</v>
      </c>
      <c r="J438" s="30">
        <f t="shared" si="44"/>
        <v>-6.0309639521046593E-3</v>
      </c>
      <c r="K438" s="30">
        <f t="shared" si="45"/>
        <v>-1.9545535855908534E-2</v>
      </c>
      <c r="L438" s="30">
        <f t="shared" si="46"/>
        <v>3.703018001951151E-4</v>
      </c>
      <c r="M438" s="30">
        <f t="shared" si="47"/>
        <v>-1.1956351017731374E-2</v>
      </c>
      <c r="N438" s="30">
        <f t="shared" si="48"/>
        <v>-9.4424767423787938E-3</v>
      </c>
      <c r="O438" s="30">
        <f t="shared" si="49"/>
        <v>-9.3516216291525183E-4</v>
      </c>
    </row>
    <row r="439" spans="1:15" s="30" customFormat="1">
      <c r="A439" s="27">
        <v>45470</v>
      </c>
      <c r="B439" s="28" t="s">
        <v>433</v>
      </c>
      <c r="C439" s="28">
        <v>501.8</v>
      </c>
      <c r="D439" s="28" t="s">
        <v>1629</v>
      </c>
      <c r="E439" s="28">
        <v>273.60000000000002</v>
      </c>
      <c r="F439" s="28">
        <v>138.38</v>
      </c>
      <c r="G439" s="28" t="s">
        <v>2802</v>
      </c>
      <c r="H439" s="28">
        <v>323.85000000000002</v>
      </c>
      <c r="I439" s="30">
        <f t="shared" si="43"/>
        <v>-1.2487442145034744E-2</v>
      </c>
      <c r="J439" s="30">
        <f t="shared" si="44"/>
        <v>-4.7713808214974616E-3</v>
      </c>
      <c r="K439" s="30">
        <f t="shared" si="45"/>
        <v>-7.7502764194924368E-3</v>
      </c>
      <c r="L439" s="30">
        <f t="shared" si="46"/>
        <v>1.2874924949825457E-2</v>
      </c>
      <c r="M439" s="30">
        <f t="shared" si="47"/>
        <v>2.6773777707163942E-3</v>
      </c>
      <c r="N439" s="30">
        <f t="shared" si="48"/>
        <v>-2.1163274743018917E-4</v>
      </c>
      <c r="O439" s="30">
        <f t="shared" si="49"/>
        <v>9.9302600340542349E-3</v>
      </c>
    </row>
    <row r="440" spans="1:15" s="30" customFormat="1">
      <c r="A440" s="27">
        <v>45469</v>
      </c>
      <c r="B440" s="28" t="s">
        <v>434</v>
      </c>
      <c r="C440" s="28">
        <v>495.8</v>
      </c>
      <c r="D440" s="28" t="s">
        <v>1630</v>
      </c>
      <c r="E440" s="28">
        <v>269.95</v>
      </c>
      <c r="F440" s="28">
        <v>139.88</v>
      </c>
      <c r="G440" s="28" t="s">
        <v>2803</v>
      </c>
      <c r="H440" s="28">
        <v>320.8</v>
      </c>
      <c r="I440" s="30">
        <f t="shared" si="43"/>
        <v>-6.093121458945713E-3</v>
      </c>
      <c r="J440" s="30">
        <f t="shared" si="44"/>
        <v>-1.202901433123181E-2</v>
      </c>
      <c r="K440" s="30">
        <f t="shared" si="45"/>
        <v>8.0415668380974786E-3</v>
      </c>
      <c r="L440" s="30">
        <f t="shared" si="46"/>
        <v>-1.3430429084099568E-2</v>
      </c>
      <c r="M440" s="30">
        <f t="shared" si="47"/>
        <v>1.0781388124510155E-2</v>
      </c>
      <c r="N440" s="30">
        <f t="shared" si="48"/>
        <v>1.989046723940989E-2</v>
      </c>
      <c r="O440" s="30">
        <f t="shared" si="49"/>
        <v>-9.462569636566635E-3</v>
      </c>
    </row>
    <row r="441" spans="1:15" s="30" customFormat="1">
      <c r="A441" s="27">
        <v>45468</v>
      </c>
      <c r="B441" s="28" t="s">
        <v>435</v>
      </c>
      <c r="C441" s="28">
        <v>500.05</v>
      </c>
      <c r="D441" s="28" t="s">
        <v>1631</v>
      </c>
      <c r="E441" s="28">
        <v>274.85000000000002</v>
      </c>
      <c r="F441" s="28">
        <v>140.57</v>
      </c>
      <c r="G441" s="28" t="s">
        <v>2804</v>
      </c>
      <c r="H441" s="28">
        <v>321.8</v>
      </c>
      <c r="I441" s="30">
        <f t="shared" si="43"/>
        <v>-1.7127481554225206E-3</v>
      </c>
      <c r="J441" s="30">
        <f t="shared" si="44"/>
        <v>8.535473821434816E-3</v>
      </c>
      <c r="K441" s="30">
        <f t="shared" si="45"/>
        <v>1.7459629053376276E-3</v>
      </c>
      <c r="L441" s="30">
        <f t="shared" si="46"/>
        <v>1.7988737642373517E-2</v>
      </c>
      <c r="M441" s="30">
        <f t="shared" si="47"/>
        <v>4.9206731484995134E-3</v>
      </c>
      <c r="N441" s="30">
        <f t="shared" si="48"/>
        <v>6.3427710533103506E-3</v>
      </c>
      <c r="O441" s="30">
        <f t="shared" si="49"/>
        <v>3.1123585659233494E-3</v>
      </c>
    </row>
    <row r="442" spans="1:15" s="30" customFormat="1">
      <c r="A442" s="27">
        <v>45467</v>
      </c>
      <c r="B442" s="28" t="s">
        <v>436</v>
      </c>
      <c r="C442" s="28">
        <v>502.8</v>
      </c>
      <c r="D442" s="28" t="s">
        <v>1632</v>
      </c>
      <c r="E442" s="28">
        <v>277.25</v>
      </c>
      <c r="F442" s="28">
        <v>144.96</v>
      </c>
      <c r="G442" s="28" t="s">
        <v>2805</v>
      </c>
      <c r="H442" s="28">
        <v>321.7</v>
      </c>
      <c r="I442" s="30">
        <f t="shared" si="43"/>
        <v>1.3068219690337484E-2</v>
      </c>
      <c r="J442" s="30">
        <f t="shared" si="44"/>
        <v>5.4843832935673317E-3</v>
      </c>
      <c r="K442" s="30">
        <f t="shared" si="45"/>
        <v>-4.1151572121368614E-3</v>
      </c>
      <c r="L442" s="30">
        <f t="shared" si="46"/>
        <v>8.6941319238070559E-3</v>
      </c>
      <c r="M442" s="30">
        <f t="shared" si="47"/>
        <v>3.0752256950994684E-2</v>
      </c>
      <c r="N442" s="30">
        <f t="shared" si="48"/>
        <v>7.6847753141576396E-3</v>
      </c>
      <c r="O442" s="30">
        <f t="shared" si="49"/>
        <v>-3.10800313302214E-4</v>
      </c>
    </row>
    <row r="443" spans="1:15" s="30" customFormat="1">
      <c r="A443" s="27">
        <v>45464</v>
      </c>
      <c r="B443" s="28" t="s">
        <v>437</v>
      </c>
      <c r="C443" s="28">
        <v>502.2</v>
      </c>
      <c r="D443" s="28" t="s">
        <v>1633</v>
      </c>
      <c r="E443" s="28">
        <v>274.14999999999998</v>
      </c>
      <c r="F443" s="28">
        <v>144.37</v>
      </c>
      <c r="G443" s="28" t="s">
        <v>2806</v>
      </c>
      <c r="H443" s="28">
        <v>323.7</v>
      </c>
      <c r="I443" s="30">
        <f t="shared" si="43"/>
        <v>-1.7971630405149114E-3</v>
      </c>
      <c r="J443" s="30">
        <f t="shared" si="44"/>
        <v>-1.1940299926078007E-3</v>
      </c>
      <c r="K443" s="30">
        <f t="shared" si="45"/>
        <v>-5.1587053029795681E-3</v>
      </c>
      <c r="L443" s="30">
        <f t="shared" si="46"/>
        <v>-1.1244224380419035E-2</v>
      </c>
      <c r="M443" s="30">
        <f t="shared" si="47"/>
        <v>-4.0783936529460735E-3</v>
      </c>
      <c r="N443" s="30">
        <f t="shared" si="48"/>
        <v>-4.8367481342905753E-3</v>
      </c>
      <c r="O443" s="30">
        <f t="shared" si="49"/>
        <v>6.1977266872180505E-3</v>
      </c>
    </row>
    <row r="444" spans="1:15" s="30" customFormat="1">
      <c r="A444" s="27">
        <v>45463</v>
      </c>
      <c r="B444" s="28" t="s">
        <v>438</v>
      </c>
      <c r="C444" s="28">
        <v>510.15</v>
      </c>
      <c r="D444" s="28" t="s">
        <v>1634</v>
      </c>
      <c r="E444" s="28">
        <v>281.75</v>
      </c>
      <c r="F444" s="28">
        <v>144.43</v>
      </c>
      <c r="G444" s="28" t="s">
        <v>2807</v>
      </c>
      <c r="H444" s="28">
        <v>322.39999999999998</v>
      </c>
      <c r="I444" s="30">
        <f t="shared" si="43"/>
        <v>8.490755152790172E-3</v>
      </c>
      <c r="J444" s="30">
        <f t="shared" si="44"/>
        <v>1.5706353397829602E-2</v>
      </c>
      <c r="K444" s="30">
        <f t="shared" si="45"/>
        <v>2.0886396629403322E-3</v>
      </c>
      <c r="L444" s="30">
        <f t="shared" si="46"/>
        <v>2.7344751069828213E-2</v>
      </c>
      <c r="M444" s="30">
        <f t="shared" si="47"/>
        <v>4.1551247135216557E-4</v>
      </c>
      <c r="N444" s="30">
        <f t="shared" si="48"/>
        <v>-1.4478376105340012E-2</v>
      </c>
      <c r="O444" s="30">
        <f t="shared" si="49"/>
        <v>-4.0241502997254907E-3</v>
      </c>
    </row>
    <row r="445" spans="1:15" s="30" customFormat="1">
      <c r="A445" s="27">
        <v>45462</v>
      </c>
      <c r="B445" s="28" t="s">
        <v>439</v>
      </c>
      <c r="C445" s="28">
        <v>497.65</v>
      </c>
      <c r="D445" s="28" t="s">
        <v>1635</v>
      </c>
      <c r="E445" s="28">
        <v>278.70999999999998</v>
      </c>
      <c r="F445" s="28">
        <v>144.62</v>
      </c>
      <c r="G445" s="28" t="s">
        <v>2808</v>
      </c>
      <c r="H445" s="28">
        <v>325.39999999999998</v>
      </c>
      <c r="I445" s="30">
        <f t="shared" si="43"/>
        <v>-8.196767204178626E-3</v>
      </c>
      <c r="J445" s="30">
        <f t="shared" si="44"/>
        <v>-2.4807781429241647E-2</v>
      </c>
      <c r="K445" s="30">
        <f t="shared" si="45"/>
        <v>-1.5019143069081441E-3</v>
      </c>
      <c r="L445" s="30">
        <f t="shared" si="46"/>
        <v>-1.0848338200193127E-2</v>
      </c>
      <c r="M445" s="30">
        <f t="shared" si="47"/>
        <v>1.3146516337304329E-3</v>
      </c>
      <c r="N445" s="30">
        <f t="shared" si="48"/>
        <v>-3.6320005105029272E-2</v>
      </c>
      <c r="O445" s="30">
        <f t="shared" si="49"/>
        <v>9.2621841524642579E-3</v>
      </c>
    </row>
    <row r="446" spans="1:15" s="30" customFormat="1">
      <c r="A446" s="27">
        <v>45461</v>
      </c>
      <c r="B446" s="28" t="s">
        <v>440</v>
      </c>
      <c r="C446" s="28">
        <v>504</v>
      </c>
      <c r="D446" s="28" t="s">
        <v>1636</v>
      </c>
      <c r="E446" s="28">
        <v>280.36</v>
      </c>
      <c r="F446" s="28">
        <v>145.07</v>
      </c>
      <c r="G446" s="28" t="s">
        <v>2809</v>
      </c>
      <c r="H446" s="28">
        <v>330.6</v>
      </c>
      <c r="I446" s="30">
        <f t="shared" si="43"/>
        <v>9.2252211858135699E-3</v>
      </c>
      <c r="J446" s="30">
        <f t="shared" si="44"/>
        <v>1.2679249379296162E-2</v>
      </c>
      <c r="K446" s="30">
        <f t="shared" si="45"/>
        <v>-2.6062233711431366E-3</v>
      </c>
      <c r="L446" s="30">
        <f t="shared" si="46"/>
        <v>5.9026769124313604E-3</v>
      </c>
      <c r="M446" s="30">
        <f t="shared" si="47"/>
        <v>3.1067718040048418E-3</v>
      </c>
      <c r="N446" s="30">
        <f t="shared" si="48"/>
        <v>1.0418161776688405E-2</v>
      </c>
      <c r="O446" s="30">
        <f t="shared" si="49"/>
        <v>1.5853990601986511E-2</v>
      </c>
    </row>
    <row r="447" spans="1:15" s="30" customFormat="1">
      <c r="A447" s="27">
        <v>45457</v>
      </c>
      <c r="B447" s="28" t="s">
        <v>441</v>
      </c>
      <c r="C447" s="28">
        <v>502.7</v>
      </c>
      <c r="D447" s="28" t="s">
        <v>1637</v>
      </c>
      <c r="E447" s="28">
        <v>281.64999999999998</v>
      </c>
      <c r="F447" s="28">
        <v>149.66999999999999</v>
      </c>
      <c r="G447" s="28" t="s">
        <v>2810</v>
      </c>
      <c r="H447" s="28">
        <v>328.65</v>
      </c>
      <c r="I447" s="30">
        <f t="shared" si="43"/>
        <v>1.0616257568036465E-3</v>
      </c>
      <c r="J447" s="30">
        <f t="shared" si="44"/>
        <v>-2.5826973728390475E-3</v>
      </c>
      <c r="K447" s="30">
        <f t="shared" si="45"/>
        <v>1.0638981621501663E-2</v>
      </c>
      <c r="L447" s="30">
        <f t="shared" si="46"/>
        <v>4.5906737085988289E-3</v>
      </c>
      <c r="M447" s="30">
        <f t="shared" si="47"/>
        <v>3.1216485990244833E-2</v>
      </c>
      <c r="N447" s="30">
        <f t="shared" si="48"/>
        <v>1.6014781810320126E-2</v>
      </c>
      <c r="O447" s="30">
        <f t="shared" si="49"/>
        <v>-5.9158306773386985E-3</v>
      </c>
    </row>
    <row r="448" spans="1:15" s="30" customFormat="1">
      <c r="A448" s="27">
        <v>45456</v>
      </c>
      <c r="B448" s="28" t="s">
        <v>442</v>
      </c>
      <c r="C448" s="28">
        <v>501.35</v>
      </c>
      <c r="D448" s="28" t="s">
        <v>1638</v>
      </c>
      <c r="E448" s="28">
        <v>281.95</v>
      </c>
      <c r="F448" s="28">
        <v>149.21</v>
      </c>
      <c r="G448" s="28" t="s">
        <v>63</v>
      </c>
      <c r="H448" s="28">
        <v>324.89999999999998</v>
      </c>
      <c r="I448" s="30">
        <f t="shared" si="43"/>
        <v>-3.9783302351110612E-3</v>
      </c>
      <c r="J448" s="30">
        <f t="shared" si="44"/>
        <v>-2.6891107285951879E-3</v>
      </c>
      <c r="K448" s="30">
        <f t="shared" si="45"/>
        <v>-4.6657517024543838E-3</v>
      </c>
      <c r="L448" s="30">
        <f t="shared" si="46"/>
        <v>1.064584912468273E-3</v>
      </c>
      <c r="M448" s="30">
        <f t="shared" si="47"/>
        <v>-3.0781608887252713E-3</v>
      </c>
      <c r="N448" s="30">
        <f t="shared" si="48"/>
        <v>-1.1511833051350796E-2</v>
      </c>
      <c r="O448" s="30">
        <f t="shared" si="49"/>
        <v>-1.147591203453059E-2</v>
      </c>
    </row>
    <row r="449" spans="1:15" s="30" customFormat="1">
      <c r="A449" s="27">
        <v>45455</v>
      </c>
      <c r="B449" s="28" t="s">
        <v>443</v>
      </c>
      <c r="C449" s="28">
        <v>499</v>
      </c>
      <c r="D449" s="28" t="s">
        <v>1639</v>
      </c>
      <c r="E449" s="28">
        <v>282.64999999999998</v>
      </c>
      <c r="F449" s="28">
        <v>153.37</v>
      </c>
      <c r="G449" s="28" t="s">
        <v>2811</v>
      </c>
      <c r="H449" s="28">
        <v>331.45</v>
      </c>
      <c r="I449" s="30">
        <f t="shared" si="43"/>
        <v>-1.4443415282997189E-3</v>
      </c>
      <c r="J449" s="30">
        <f t="shared" si="44"/>
        <v>-4.698364218415697E-3</v>
      </c>
      <c r="K449" s="30">
        <f t="shared" si="45"/>
        <v>-4.0198067379709009E-4</v>
      </c>
      <c r="L449" s="30">
        <f t="shared" si="46"/>
        <v>2.479632868108721E-3</v>
      </c>
      <c r="M449" s="30">
        <f t="shared" si="47"/>
        <v>2.7498593010358119E-2</v>
      </c>
      <c r="N449" s="30">
        <f t="shared" si="48"/>
        <v>-5.9846288622347832E-3</v>
      </c>
      <c r="O449" s="30">
        <f t="shared" si="49"/>
        <v>1.9959526012346074E-2</v>
      </c>
    </row>
    <row r="450" spans="1:15" s="30" customFormat="1">
      <c r="A450" s="27">
        <v>45454</v>
      </c>
      <c r="B450" s="28" t="s">
        <v>444</v>
      </c>
      <c r="C450" s="28">
        <v>493.1</v>
      </c>
      <c r="D450" s="28" t="s">
        <v>1640</v>
      </c>
      <c r="E450" s="28">
        <v>281.2</v>
      </c>
      <c r="F450" s="28">
        <v>154.5</v>
      </c>
      <c r="G450" s="28" t="s">
        <v>2812</v>
      </c>
      <c r="H450" s="28">
        <v>325.64999999999998</v>
      </c>
      <c r="I450" s="30">
        <f t="shared" si="43"/>
        <v>-1.1535317424247894E-3</v>
      </c>
      <c r="J450" s="30">
        <f t="shared" si="44"/>
        <v>-1.189410252143824E-2</v>
      </c>
      <c r="K450" s="30">
        <f t="shared" si="45"/>
        <v>-1.4621486300136726E-4</v>
      </c>
      <c r="L450" s="30">
        <f t="shared" si="46"/>
        <v>-5.1432231847899834E-3</v>
      </c>
      <c r="M450" s="30">
        <f t="shared" si="47"/>
        <v>7.3407936751116341E-3</v>
      </c>
      <c r="N450" s="30">
        <f t="shared" si="48"/>
        <v>-2.4211718520011718E-2</v>
      </c>
      <c r="O450" s="30">
        <f t="shared" si="49"/>
        <v>-1.7653783694990054E-2</v>
      </c>
    </row>
    <row r="451" spans="1:15" s="30" customFormat="1">
      <c r="A451" s="27">
        <v>45453</v>
      </c>
      <c r="B451" s="28" t="s">
        <v>445</v>
      </c>
      <c r="C451" s="28">
        <v>491.95</v>
      </c>
      <c r="D451" s="28" t="s">
        <v>1641</v>
      </c>
      <c r="E451" s="28">
        <v>283.44</v>
      </c>
      <c r="F451" s="28">
        <v>150.41999999999999</v>
      </c>
      <c r="G451" s="28" t="s">
        <v>2813</v>
      </c>
      <c r="H451" s="28">
        <v>328.85</v>
      </c>
      <c r="I451" s="30">
        <f t="shared" si="43"/>
        <v>1.2020692689336282E-2</v>
      </c>
      <c r="J451" s="30">
        <f t="shared" si="44"/>
        <v>-2.3349079183059974E-3</v>
      </c>
      <c r="K451" s="30">
        <f t="shared" si="45"/>
        <v>3.2895338296235746E-4</v>
      </c>
      <c r="L451" s="30">
        <f t="shared" si="46"/>
        <v>7.9343006207067066E-3</v>
      </c>
      <c r="M451" s="30">
        <f t="shared" si="47"/>
        <v>-2.6762714939543217E-2</v>
      </c>
      <c r="N451" s="30">
        <f t="shared" si="48"/>
        <v>-1.657231402250926E-2</v>
      </c>
      <c r="O451" s="30">
        <f t="shared" si="49"/>
        <v>9.7785347549496898E-3</v>
      </c>
    </row>
    <row r="452" spans="1:15" s="30" customFormat="1">
      <c r="A452" s="27">
        <v>45450</v>
      </c>
      <c r="B452" s="28" t="s">
        <v>446</v>
      </c>
      <c r="C452" s="28">
        <v>482.55</v>
      </c>
      <c r="D452" s="28" t="s">
        <v>1642</v>
      </c>
      <c r="E452" s="28">
        <v>276.77</v>
      </c>
      <c r="F452" s="28">
        <v>150.4</v>
      </c>
      <c r="G452" s="28" t="s">
        <v>923</v>
      </c>
      <c r="H452" s="28">
        <v>323.10000000000002</v>
      </c>
      <c r="I452" s="30">
        <f t="shared" ref="I452:I515" si="50">LN(B452/B451)</f>
        <v>-3.3587687686248463E-3</v>
      </c>
      <c r="J452" s="30">
        <f t="shared" ref="J452:J515" si="51">LN(C452/C451)</f>
        <v>-1.9292542958629356E-2</v>
      </c>
      <c r="K452" s="30">
        <f t="shared" ref="K452:K515" si="52">LN(D452/D451)</f>
        <v>-1.8655015743514461E-3</v>
      </c>
      <c r="L452" s="30">
        <f t="shared" ref="L452:L515" si="53">LN(E452/E451)</f>
        <v>-2.3813624190291732E-2</v>
      </c>
      <c r="M452" s="30">
        <f t="shared" ref="M452:M515" si="54">LN(F452/F451)</f>
        <v>-1.3296988251744937E-4</v>
      </c>
      <c r="N452" s="30">
        <f t="shared" ref="N452:N515" si="55">LN(G452/G451)</f>
        <v>-1.1039704965562844E-2</v>
      </c>
      <c r="O452" s="30">
        <f t="shared" ref="O452:O515" si="56">LN(H452/H451)</f>
        <v>-1.7639846916907457E-2</v>
      </c>
    </row>
    <row r="453" spans="1:15" s="30" customFormat="1">
      <c r="A453" s="27">
        <v>45449</v>
      </c>
      <c r="B453" s="28" t="s">
        <v>447</v>
      </c>
      <c r="C453" s="28">
        <v>477.15</v>
      </c>
      <c r="D453" s="28" t="s">
        <v>1643</v>
      </c>
      <c r="E453" s="28">
        <v>272.29000000000002</v>
      </c>
      <c r="F453" s="28">
        <v>149.94999999999999</v>
      </c>
      <c r="G453" s="28" t="s">
        <v>2814</v>
      </c>
      <c r="H453" s="28">
        <v>314.85000000000002</v>
      </c>
      <c r="I453" s="30">
        <f t="shared" si="50"/>
        <v>-7.8525907153989879E-3</v>
      </c>
      <c r="J453" s="30">
        <f t="shared" si="51"/>
        <v>-1.1253635489882256E-2</v>
      </c>
      <c r="K453" s="30">
        <f t="shared" si="52"/>
        <v>-5.4933989039636713E-4</v>
      </c>
      <c r="L453" s="30">
        <f t="shared" si="53"/>
        <v>-1.6319161562809447E-2</v>
      </c>
      <c r="M453" s="30">
        <f t="shared" si="54"/>
        <v>-2.9965063207214237E-3</v>
      </c>
      <c r="N453" s="30">
        <f t="shared" si="55"/>
        <v>-2.5432603217117257E-3</v>
      </c>
      <c r="O453" s="30">
        <f t="shared" si="56"/>
        <v>-2.5865537895700907E-2</v>
      </c>
    </row>
    <row r="454" spans="1:15" s="30" customFormat="1">
      <c r="A454" s="27">
        <v>45448</v>
      </c>
      <c r="B454" s="28" t="s">
        <v>448</v>
      </c>
      <c r="C454" s="28">
        <v>475.05</v>
      </c>
      <c r="D454" s="28" t="s">
        <v>1644</v>
      </c>
      <c r="E454" s="28">
        <v>271.7</v>
      </c>
      <c r="F454" s="28">
        <v>139.4</v>
      </c>
      <c r="G454" s="28" t="s">
        <v>2815</v>
      </c>
      <c r="H454" s="28">
        <v>311.39999999999998</v>
      </c>
      <c r="I454" s="30">
        <f t="shared" si="50"/>
        <v>1.9415768734742291E-2</v>
      </c>
      <c r="J454" s="30">
        <f t="shared" si="51"/>
        <v>-4.4108452105042816E-3</v>
      </c>
      <c r="K454" s="30">
        <f t="shared" si="52"/>
        <v>-9.7181063723678004E-3</v>
      </c>
      <c r="L454" s="30">
        <f t="shared" si="53"/>
        <v>-2.1691583718133345E-3</v>
      </c>
      <c r="M454" s="30">
        <f t="shared" si="54"/>
        <v>-7.2954406868594487E-2</v>
      </c>
      <c r="N454" s="30">
        <f t="shared" si="55"/>
        <v>-1.3750881413760897E-2</v>
      </c>
      <c r="O454" s="30">
        <f t="shared" si="56"/>
        <v>-1.101807553485388E-2</v>
      </c>
    </row>
    <row r="455" spans="1:15" s="30" customFormat="1">
      <c r="A455" s="27">
        <v>45447</v>
      </c>
      <c r="B455" s="28" t="s">
        <v>449</v>
      </c>
      <c r="C455" s="28">
        <v>455.7</v>
      </c>
      <c r="D455" s="28" t="s">
        <v>1645</v>
      </c>
      <c r="E455" s="28">
        <v>261.14</v>
      </c>
      <c r="F455" s="28">
        <v>138.35</v>
      </c>
      <c r="G455" s="28" t="s">
        <v>2816</v>
      </c>
      <c r="H455" s="28">
        <v>304.89999999999998</v>
      </c>
      <c r="I455" s="30">
        <f t="shared" si="50"/>
        <v>-3.5780701105314859E-2</v>
      </c>
      <c r="J455" s="30">
        <f t="shared" si="51"/>
        <v>-4.1585363382921653E-2</v>
      </c>
      <c r="K455" s="30">
        <f t="shared" si="52"/>
        <v>-3.408779683352664E-2</v>
      </c>
      <c r="L455" s="30">
        <f t="shared" si="53"/>
        <v>-3.9641854452409496E-2</v>
      </c>
      <c r="M455" s="30">
        <f t="shared" si="54"/>
        <v>-7.5607920934886302E-3</v>
      </c>
      <c r="N455" s="30">
        <f t="shared" si="55"/>
        <v>-3.1471128712220818E-2</v>
      </c>
      <c r="O455" s="30">
        <f t="shared" si="56"/>
        <v>-2.1094405405688899E-2</v>
      </c>
    </row>
    <row r="456" spans="1:15" s="30" customFormat="1">
      <c r="A456" s="27">
        <v>45446</v>
      </c>
      <c r="B456" s="28" t="s">
        <v>450</v>
      </c>
      <c r="C456" s="28">
        <v>471.8</v>
      </c>
      <c r="D456" s="28" t="s">
        <v>1646</v>
      </c>
      <c r="E456" s="28">
        <v>269.3</v>
      </c>
      <c r="F456" s="28">
        <v>149.1</v>
      </c>
      <c r="G456" s="28" t="s">
        <v>2817</v>
      </c>
      <c r="H456" s="28">
        <v>311</v>
      </c>
      <c r="I456" s="30">
        <f t="shared" si="50"/>
        <v>3.0747215921693221E-3</v>
      </c>
      <c r="J456" s="30">
        <f t="shared" si="51"/>
        <v>3.4720468703737822E-2</v>
      </c>
      <c r="K456" s="30">
        <f t="shared" si="52"/>
        <v>3.4235747714104231E-2</v>
      </c>
      <c r="L456" s="30">
        <f t="shared" si="53"/>
        <v>3.0769337837660712E-2</v>
      </c>
      <c r="M456" s="30">
        <f t="shared" si="54"/>
        <v>7.4830515537757769E-2</v>
      </c>
      <c r="N456" s="30">
        <f t="shared" si="55"/>
        <v>2.7907701756281926E-2</v>
      </c>
      <c r="O456" s="30">
        <f t="shared" si="56"/>
        <v>1.9809058185025159E-2</v>
      </c>
    </row>
    <row r="457" spans="1:15" s="30" customFormat="1">
      <c r="A457" s="27">
        <v>45443</v>
      </c>
      <c r="B457" s="28" t="s">
        <v>451</v>
      </c>
      <c r="C457" s="28">
        <v>460</v>
      </c>
      <c r="D457" s="28" t="s">
        <v>1647</v>
      </c>
      <c r="E457" s="28">
        <v>268.41000000000003</v>
      </c>
      <c r="F457" s="28">
        <v>147</v>
      </c>
      <c r="G457" s="28" t="s">
        <v>2818</v>
      </c>
      <c r="H457" s="28">
        <v>313.3</v>
      </c>
      <c r="I457" s="30">
        <f t="shared" si="50"/>
        <v>5.1325436934848223E-3</v>
      </c>
      <c r="J457" s="30">
        <f t="shared" si="51"/>
        <v>-2.5328677490433944E-2</v>
      </c>
      <c r="K457" s="30">
        <f t="shared" si="52"/>
        <v>-8.617540885908756E-3</v>
      </c>
      <c r="L457" s="30">
        <f t="shared" si="53"/>
        <v>-3.3103375899388222E-3</v>
      </c>
      <c r="M457" s="30">
        <f t="shared" si="54"/>
        <v>-1.4184634991956413E-2</v>
      </c>
      <c r="N457" s="30">
        <f t="shared" si="55"/>
        <v>-1.5336567101853488E-2</v>
      </c>
      <c r="O457" s="30">
        <f t="shared" si="56"/>
        <v>7.3682857789119944E-3</v>
      </c>
    </row>
    <row r="458" spans="1:15" s="30" customFormat="1">
      <c r="A458" s="27">
        <v>45442</v>
      </c>
      <c r="B458" s="28" t="s">
        <v>452</v>
      </c>
      <c r="C458" s="28">
        <v>477.55</v>
      </c>
      <c r="D458" s="28" t="s">
        <v>1648</v>
      </c>
      <c r="E458" s="28">
        <v>268.20999999999998</v>
      </c>
      <c r="F458" s="28">
        <v>146.69999999999999</v>
      </c>
      <c r="G458" s="28" t="s">
        <v>2819</v>
      </c>
      <c r="H458" s="28">
        <v>315.5</v>
      </c>
      <c r="I458" s="30">
        <f t="shared" si="50"/>
        <v>8.6731778754766927E-4</v>
      </c>
      <c r="J458" s="30">
        <f t="shared" si="51"/>
        <v>3.74423769976059E-2</v>
      </c>
      <c r="K458" s="30">
        <f t="shared" si="52"/>
        <v>1.289862212178457E-2</v>
      </c>
      <c r="L458" s="30">
        <f t="shared" si="53"/>
        <v>-7.4540646737195017E-4</v>
      </c>
      <c r="M458" s="30">
        <f t="shared" si="54"/>
        <v>-2.0429016298002933E-3</v>
      </c>
      <c r="N458" s="30">
        <f t="shared" si="55"/>
        <v>-8.848056158321245E-3</v>
      </c>
      <c r="O458" s="30">
        <f t="shared" si="56"/>
        <v>6.9974840231217753E-3</v>
      </c>
    </row>
    <row r="459" spans="1:15" s="30" customFormat="1">
      <c r="A459" s="27">
        <v>45441</v>
      </c>
      <c r="B459" s="28" t="s">
        <v>453</v>
      </c>
      <c r="C459" s="28">
        <v>492.65</v>
      </c>
      <c r="D459" s="28" t="s">
        <v>1649</v>
      </c>
      <c r="E459" s="28">
        <v>271.25</v>
      </c>
      <c r="F459" s="28">
        <v>149.55000000000001</v>
      </c>
      <c r="G459" s="28" t="s">
        <v>2820</v>
      </c>
      <c r="H459" s="28">
        <v>316.7</v>
      </c>
      <c r="I459" s="30">
        <f t="shared" si="50"/>
        <v>5.6882679720940419E-3</v>
      </c>
      <c r="J459" s="30">
        <f t="shared" si="51"/>
        <v>3.1130116287736959E-2</v>
      </c>
      <c r="K459" s="30">
        <f t="shared" si="52"/>
        <v>8.4345360497946834E-3</v>
      </c>
      <c r="L459" s="30">
        <f t="shared" si="53"/>
        <v>1.127064909442679E-2</v>
      </c>
      <c r="M459" s="30">
        <f t="shared" si="54"/>
        <v>1.9241099927021249E-2</v>
      </c>
      <c r="N459" s="30">
        <f t="shared" si="55"/>
        <v>4.9817700018594778E-3</v>
      </c>
      <c r="O459" s="30">
        <f t="shared" si="56"/>
        <v>3.7962715633263334E-3</v>
      </c>
    </row>
    <row r="460" spans="1:15" s="30" customFormat="1">
      <c r="A460" s="27">
        <v>45440</v>
      </c>
      <c r="B460" s="28" t="s">
        <v>454</v>
      </c>
      <c r="C460" s="28">
        <v>496.05</v>
      </c>
      <c r="D460" s="28" t="s">
        <v>1650</v>
      </c>
      <c r="E460" s="28">
        <v>272.58999999999997</v>
      </c>
      <c r="F460" s="28">
        <v>148.55000000000001</v>
      </c>
      <c r="G460" s="28" t="s">
        <v>2821</v>
      </c>
      <c r="H460" s="28">
        <v>321.60000000000002</v>
      </c>
      <c r="I460" s="30">
        <f t="shared" si="50"/>
        <v>3.8029075231005467E-3</v>
      </c>
      <c r="J460" s="30">
        <f t="shared" si="51"/>
        <v>6.8777453274280753E-3</v>
      </c>
      <c r="K460" s="30">
        <f t="shared" si="52"/>
        <v>1.1473511965408596E-2</v>
      </c>
      <c r="L460" s="30">
        <f t="shared" si="53"/>
        <v>4.9279299491297342E-3</v>
      </c>
      <c r="M460" s="30">
        <f t="shared" si="54"/>
        <v>-6.7091831673403678E-3</v>
      </c>
      <c r="N460" s="30">
        <f t="shared" si="55"/>
        <v>-7.2454836541891538E-3</v>
      </c>
      <c r="O460" s="30">
        <f t="shared" si="56"/>
        <v>1.5353583760217233E-2</v>
      </c>
    </row>
    <row r="461" spans="1:15" s="30" customFormat="1">
      <c r="A461" s="27">
        <v>45439</v>
      </c>
      <c r="B461" s="28" t="s">
        <v>455</v>
      </c>
      <c r="C461" s="28">
        <v>486.35</v>
      </c>
      <c r="D461" s="28" t="s">
        <v>1651</v>
      </c>
      <c r="E461" s="28">
        <v>268.61</v>
      </c>
      <c r="F461" s="28">
        <v>153.19999999999999</v>
      </c>
      <c r="G461" s="28" t="s">
        <v>2293</v>
      </c>
      <c r="H461" s="28">
        <v>323.55</v>
      </c>
      <c r="I461" s="30">
        <f t="shared" si="50"/>
        <v>-1.3452264760556824E-2</v>
      </c>
      <c r="J461" s="30">
        <f t="shared" si="51"/>
        <v>-1.9748198780462099E-2</v>
      </c>
      <c r="K461" s="30">
        <f t="shared" si="52"/>
        <v>-1.8428522442480166E-3</v>
      </c>
      <c r="L461" s="30">
        <f t="shared" si="53"/>
        <v>-1.4708321325777764E-2</v>
      </c>
      <c r="M461" s="30">
        <f t="shared" si="54"/>
        <v>3.0822655397874089E-2</v>
      </c>
      <c r="N461" s="30">
        <f t="shared" si="55"/>
        <v>1.1033810778082874E-2</v>
      </c>
      <c r="O461" s="30">
        <f t="shared" si="56"/>
        <v>6.0451241984637695E-3</v>
      </c>
    </row>
    <row r="462" spans="1:15" s="30" customFormat="1">
      <c r="A462" s="27">
        <v>45436</v>
      </c>
      <c r="B462" s="28" t="s">
        <v>456</v>
      </c>
      <c r="C462" s="28">
        <v>487.7</v>
      </c>
      <c r="D462" s="28" t="s">
        <v>1652</v>
      </c>
      <c r="E462" s="28">
        <v>272.04000000000002</v>
      </c>
      <c r="F462" s="28">
        <v>154.4</v>
      </c>
      <c r="G462" s="28" t="s">
        <v>2822</v>
      </c>
      <c r="H462" s="28">
        <v>327.10000000000002</v>
      </c>
      <c r="I462" s="30">
        <f t="shared" si="50"/>
        <v>8.5261139138087148E-4</v>
      </c>
      <c r="J462" s="30">
        <f t="shared" si="51"/>
        <v>2.7719334005575332E-3</v>
      </c>
      <c r="K462" s="30">
        <f t="shared" si="52"/>
        <v>-1.9023156125707229E-2</v>
      </c>
      <c r="L462" s="30">
        <f t="shared" si="53"/>
        <v>1.2688600829416821E-2</v>
      </c>
      <c r="M462" s="30">
        <f t="shared" si="54"/>
        <v>7.8023802841850204E-3</v>
      </c>
      <c r="N462" s="30">
        <f t="shared" si="55"/>
        <v>2.7055187641830169E-3</v>
      </c>
      <c r="O462" s="30">
        <f t="shared" si="56"/>
        <v>1.0912273041063176E-2</v>
      </c>
    </row>
    <row r="463" spans="1:15" s="30" customFormat="1">
      <c r="A463" s="27">
        <v>45435</v>
      </c>
      <c r="B463" s="28" t="s">
        <v>457</v>
      </c>
      <c r="C463" s="28">
        <v>488.3</v>
      </c>
      <c r="D463" s="28" t="s">
        <v>1653</v>
      </c>
      <c r="E463" s="28">
        <v>272.14</v>
      </c>
      <c r="F463" s="28">
        <v>157.80000000000001</v>
      </c>
      <c r="G463" s="28" t="s">
        <v>2823</v>
      </c>
      <c r="H463" s="28">
        <v>332.4</v>
      </c>
      <c r="I463" s="30">
        <f t="shared" si="50"/>
        <v>1.0037291155844728E-2</v>
      </c>
      <c r="J463" s="30">
        <f t="shared" si="51"/>
        <v>1.2295083516075985E-3</v>
      </c>
      <c r="K463" s="30">
        <f t="shared" si="52"/>
        <v>2.223690941080592E-2</v>
      </c>
      <c r="L463" s="30">
        <f t="shared" si="53"/>
        <v>3.6752545527436416E-4</v>
      </c>
      <c r="M463" s="30">
        <f t="shared" si="54"/>
        <v>2.1781770821098147E-2</v>
      </c>
      <c r="N463" s="30">
        <f t="shared" si="55"/>
        <v>-2.9004429392962897E-3</v>
      </c>
      <c r="O463" s="30">
        <f t="shared" si="56"/>
        <v>1.6073128436954666E-2</v>
      </c>
    </row>
    <row r="464" spans="1:15" s="30" customFormat="1">
      <c r="A464" s="27">
        <v>45434</v>
      </c>
      <c r="B464" s="28" t="s">
        <v>458</v>
      </c>
      <c r="C464" s="28">
        <v>488</v>
      </c>
      <c r="D464" s="28" t="s">
        <v>1654</v>
      </c>
      <c r="E464" s="28">
        <v>271.83999999999997</v>
      </c>
      <c r="F464" s="28">
        <v>156.1</v>
      </c>
      <c r="G464" s="28" t="s">
        <v>2824</v>
      </c>
      <c r="H464" s="28">
        <v>333.5</v>
      </c>
      <c r="I464" s="30">
        <f t="shared" si="50"/>
        <v>-6.218173589597295E-3</v>
      </c>
      <c r="J464" s="30">
        <f t="shared" si="51"/>
        <v>-6.1456521446738935E-4</v>
      </c>
      <c r="K464" s="30">
        <f t="shared" si="52"/>
        <v>3.1547014195168713E-2</v>
      </c>
      <c r="L464" s="30">
        <f t="shared" si="53"/>
        <v>-1.1029818390905326E-3</v>
      </c>
      <c r="M464" s="30">
        <f t="shared" si="54"/>
        <v>-1.0831580890387563E-2</v>
      </c>
      <c r="N464" s="30">
        <f t="shared" si="55"/>
        <v>5.0672384635226696E-4</v>
      </c>
      <c r="O464" s="30">
        <f t="shared" si="56"/>
        <v>3.3038023743852557E-3</v>
      </c>
    </row>
    <row r="465" spans="1:15" s="30" customFormat="1">
      <c r="A465" s="27">
        <v>45433</v>
      </c>
      <c r="B465" s="28" t="s">
        <v>459</v>
      </c>
      <c r="C465" s="28">
        <v>491.95</v>
      </c>
      <c r="D465" s="28" t="s">
        <v>1655</v>
      </c>
      <c r="E465" s="28">
        <v>270.8</v>
      </c>
      <c r="F465" s="28">
        <v>155.6</v>
      </c>
      <c r="G465" s="28" t="s">
        <v>2825</v>
      </c>
      <c r="H465" s="28">
        <v>330.5</v>
      </c>
      <c r="I465" s="30">
        <f t="shared" si="50"/>
        <v>-1.1834457647002796E-2</v>
      </c>
      <c r="J465" s="30">
        <f t="shared" si="51"/>
        <v>8.0616794586272529E-3</v>
      </c>
      <c r="K465" s="30">
        <f t="shared" si="52"/>
        <v>-5.0780196320762902E-3</v>
      </c>
      <c r="L465" s="30">
        <f t="shared" si="53"/>
        <v>-3.8331168855018126E-3</v>
      </c>
      <c r="M465" s="30">
        <f t="shared" si="54"/>
        <v>-3.2082157770950978E-3</v>
      </c>
      <c r="N465" s="30">
        <f t="shared" si="55"/>
        <v>-1.6770674757536626E-3</v>
      </c>
      <c r="O465" s="30">
        <f t="shared" si="56"/>
        <v>-9.0362060639374454E-3</v>
      </c>
    </row>
    <row r="466" spans="1:15" s="30" customFormat="1">
      <c r="A466" s="27">
        <v>45430</v>
      </c>
      <c r="B466" s="28" t="s">
        <v>460</v>
      </c>
      <c r="C466" s="28">
        <v>494.2</v>
      </c>
      <c r="D466" s="28" t="s">
        <v>1656</v>
      </c>
      <c r="E466" s="28">
        <v>277.85000000000002</v>
      </c>
      <c r="F466" s="28">
        <v>162.19999999999999</v>
      </c>
      <c r="G466" s="28" t="s">
        <v>2826</v>
      </c>
      <c r="H466" s="28">
        <v>318.85000000000002</v>
      </c>
      <c r="I466" s="30">
        <f t="shared" si="50"/>
        <v>-1.2508653520692364E-2</v>
      </c>
      <c r="J466" s="30">
        <f t="shared" si="51"/>
        <v>4.5632082427352009E-3</v>
      </c>
      <c r="K466" s="30">
        <f t="shared" si="52"/>
        <v>-3.8729295403211322E-2</v>
      </c>
      <c r="L466" s="30">
        <f t="shared" si="53"/>
        <v>2.5700858687810295E-2</v>
      </c>
      <c r="M466" s="30">
        <f t="shared" si="54"/>
        <v>4.1541529937021239E-2</v>
      </c>
      <c r="N466" s="30">
        <f t="shared" si="55"/>
        <v>2.0974117649476962E-2</v>
      </c>
      <c r="O466" s="30">
        <f t="shared" si="56"/>
        <v>-3.5885886530460237E-2</v>
      </c>
    </row>
    <row r="467" spans="1:15" s="30" customFormat="1">
      <c r="A467" s="27">
        <v>45429</v>
      </c>
      <c r="B467" s="28" t="s">
        <v>461</v>
      </c>
      <c r="C467" s="28">
        <v>491.85</v>
      </c>
      <c r="D467" s="28" t="s">
        <v>1630</v>
      </c>
      <c r="E467" s="28">
        <v>275.58</v>
      </c>
      <c r="F467" s="28">
        <v>159.65</v>
      </c>
      <c r="G467" s="28" t="s">
        <v>2827</v>
      </c>
      <c r="H467" s="28">
        <v>323.35000000000002</v>
      </c>
      <c r="I467" s="30">
        <f t="shared" si="50"/>
        <v>-2.2928248213860266E-3</v>
      </c>
      <c r="J467" s="30">
        <f t="shared" si="51"/>
        <v>-4.7665015957427167E-3</v>
      </c>
      <c r="K467" s="30">
        <f t="shared" si="52"/>
        <v>2.4786773644055863E-3</v>
      </c>
      <c r="L467" s="30">
        <f t="shared" si="53"/>
        <v>-8.203432160173366E-3</v>
      </c>
      <c r="M467" s="30">
        <f t="shared" si="54"/>
        <v>-1.5846222520521383E-2</v>
      </c>
      <c r="N467" s="30">
        <f t="shared" si="55"/>
        <v>-1.0517158277414077E-3</v>
      </c>
      <c r="O467" s="30">
        <f t="shared" si="56"/>
        <v>1.4014555131321247E-2</v>
      </c>
    </row>
    <row r="468" spans="1:15" s="30" customFormat="1">
      <c r="A468" s="27">
        <v>45428</v>
      </c>
      <c r="B468" s="28" t="s">
        <v>462</v>
      </c>
      <c r="C468" s="28">
        <v>490</v>
      </c>
      <c r="D468" s="28" t="s">
        <v>1657</v>
      </c>
      <c r="E468" s="28">
        <v>271.3</v>
      </c>
      <c r="F468" s="28">
        <v>158.55000000000001</v>
      </c>
      <c r="G468" s="28" t="s">
        <v>2828</v>
      </c>
      <c r="H468" s="28">
        <v>308.7</v>
      </c>
      <c r="I468" s="30">
        <f t="shared" si="50"/>
        <v>1.4758313118900816E-3</v>
      </c>
      <c r="J468" s="30">
        <f t="shared" si="51"/>
        <v>-3.768400854094757E-3</v>
      </c>
      <c r="K468" s="30">
        <f t="shared" si="52"/>
        <v>-1.2971491101232411E-2</v>
      </c>
      <c r="L468" s="30">
        <f t="shared" si="53"/>
        <v>-1.5652747900870959E-2</v>
      </c>
      <c r="M468" s="30">
        <f t="shared" si="54"/>
        <v>-6.9139181764346341E-3</v>
      </c>
      <c r="N468" s="30">
        <f t="shared" si="55"/>
        <v>-2.1133197579546469E-2</v>
      </c>
      <c r="O468" s="30">
        <f t="shared" si="56"/>
        <v>-4.6365396384488285E-2</v>
      </c>
    </row>
    <row r="469" spans="1:15" s="30" customFormat="1">
      <c r="A469" s="27">
        <v>45427</v>
      </c>
      <c r="B469" s="28" t="s">
        <v>463</v>
      </c>
      <c r="C469" s="28">
        <v>485.1</v>
      </c>
      <c r="D469" s="28" t="s">
        <v>1658</v>
      </c>
      <c r="E469" s="28">
        <v>272.54000000000002</v>
      </c>
      <c r="F469" s="28">
        <v>159.15</v>
      </c>
      <c r="G469" s="28" t="s">
        <v>2829</v>
      </c>
      <c r="H469" s="28">
        <v>312.75</v>
      </c>
      <c r="I469" s="30">
        <f t="shared" si="50"/>
        <v>-1.243836348280126E-4</v>
      </c>
      <c r="J469" s="30">
        <f t="shared" si="51"/>
        <v>-1.0050335853501451E-2</v>
      </c>
      <c r="K469" s="30">
        <f t="shared" si="52"/>
        <v>-7.0099063912018047E-4</v>
      </c>
      <c r="L469" s="30">
        <f t="shared" si="53"/>
        <v>4.5601726567886247E-3</v>
      </c>
      <c r="M469" s="30">
        <f t="shared" si="54"/>
        <v>3.777152743745394E-3</v>
      </c>
      <c r="N469" s="30">
        <f t="shared" si="55"/>
        <v>-1.8776777085569164E-3</v>
      </c>
      <c r="O469" s="30">
        <f t="shared" si="56"/>
        <v>1.3034217838906906E-2</v>
      </c>
    </row>
    <row r="470" spans="1:15" s="30" customFormat="1">
      <c r="A470" s="27">
        <v>45426</v>
      </c>
      <c r="B470" s="28" t="s">
        <v>464</v>
      </c>
      <c r="C470" s="28">
        <v>494.55</v>
      </c>
      <c r="D470" s="28" t="s">
        <v>1659</v>
      </c>
      <c r="E470" s="28">
        <v>273.33999999999997</v>
      </c>
      <c r="F470" s="28">
        <v>159.9</v>
      </c>
      <c r="G470" s="28" t="s">
        <v>2830</v>
      </c>
      <c r="H470" s="28">
        <v>306.05</v>
      </c>
      <c r="I470" s="30">
        <f t="shared" si="50"/>
        <v>1.8469322588508211E-2</v>
      </c>
      <c r="J470" s="30">
        <f t="shared" si="51"/>
        <v>1.9293202934678851E-2</v>
      </c>
      <c r="K470" s="30">
        <f t="shared" si="52"/>
        <v>5.2638481286882621E-3</v>
      </c>
      <c r="L470" s="30">
        <f t="shared" si="53"/>
        <v>2.9310492149795956E-3</v>
      </c>
      <c r="M470" s="30">
        <f t="shared" si="54"/>
        <v>4.7014661118068013E-3</v>
      </c>
      <c r="N470" s="30">
        <f t="shared" si="55"/>
        <v>-1.2093427147973498E-2</v>
      </c>
      <c r="O470" s="30">
        <f t="shared" si="56"/>
        <v>-2.1655662049941637E-2</v>
      </c>
    </row>
    <row r="471" spans="1:15" s="30" customFormat="1">
      <c r="A471" s="27">
        <v>45425</v>
      </c>
      <c r="B471" s="28" t="s">
        <v>465</v>
      </c>
      <c r="C471" s="28">
        <v>495.75</v>
      </c>
      <c r="D471" s="28" t="s">
        <v>1632</v>
      </c>
      <c r="E471" s="28">
        <v>269.06</v>
      </c>
      <c r="F471" s="28">
        <v>159.1</v>
      </c>
      <c r="G471" s="28" t="s">
        <v>2831</v>
      </c>
      <c r="H471" s="28">
        <v>309.25</v>
      </c>
      <c r="I471" s="30">
        <f t="shared" si="50"/>
        <v>4.56017777750617E-3</v>
      </c>
      <c r="J471" s="30">
        <f t="shared" si="51"/>
        <v>2.4235092140554794E-3</v>
      </c>
      <c r="K471" s="30">
        <f t="shared" si="52"/>
        <v>6.0394393048651338E-3</v>
      </c>
      <c r="L471" s="30">
        <f t="shared" si="53"/>
        <v>-1.5782038479257476E-2</v>
      </c>
      <c r="M471" s="30">
        <f t="shared" si="54"/>
        <v>-5.0156844961674685E-3</v>
      </c>
      <c r="N471" s="30">
        <f t="shared" si="55"/>
        <v>-3.135794257740702E-3</v>
      </c>
      <c r="O471" s="30">
        <f t="shared" si="56"/>
        <v>1.0401523975518395E-2</v>
      </c>
    </row>
    <row r="472" spans="1:15" s="30" customFormat="1">
      <c r="A472" s="27">
        <v>45422</v>
      </c>
      <c r="B472" s="28" t="s">
        <v>466</v>
      </c>
      <c r="C472" s="28">
        <v>490.25</v>
      </c>
      <c r="D472" s="28" t="s">
        <v>1660</v>
      </c>
      <c r="E472" s="28">
        <v>276.62</v>
      </c>
      <c r="F472" s="28">
        <v>159.85</v>
      </c>
      <c r="G472" s="28" t="s">
        <v>2832</v>
      </c>
      <c r="H472" s="28">
        <v>317.25</v>
      </c>
      <c r="I472" s="30">
        <f t="shared" si="50"/>
        <v>-3.8231361618495524E-2</v>
      </c>
      <c r="J472" s="30">
        <f t="shared" si="51"/>
        <v>-1.1156302323449696E-2</v>
      </c>
      <c r="K472" s="30">
        <f t="shared" si="52"/>
        <v>-1.1450927045529323E-2</v>
      </c>
      <c r="L472" s="30">
        <f t="shared" si="53"/>
        <v>2.7710320139165062E-2</v>
      </c>
      <c r="M472" s="30">
        <f t="shared" si="54"/>
        <v>4.7029401621092072E-3</v>
      </c>
      <c r="N472" s="30">
        <f t="shared" si="55"/>
        <v>-8.2033932092606173E-3</v>
      </c>
      <c r="O472" s="30">
        <f t="shared" si="56"/>
        <v>2.5540095321899818E-2</v>
      </c>
    </row>
    <row r="473" spans="1:15" s="30" customFormat="1">
      <c r="A473" s="27">
        <v>45421</v>
      </c>
      <c r="B473" s="28" t="s">
        <v>467</v>
      </c>
      <c r="C473" s="28">
        <v>481.25</v>
      </c>
      <c r="D473" s="28" t="s">
        <v>1661</v>
      </c>
      <c r="E473" s="28">
        <v>275.63</v>
      </c>
      <c r="F473" s="28">
        <v>158.5</v>
      </c>
      <c r="G473" s="28" t="s">
        <v>2833</v>
      </c>
      <c r="H473" s="28">
        <v>308.39999999999998</v>
      </c>
      <c r="I473" s="30">
        <f t="shared" si="50"/>
        <v>-2.2312947368572856E-2</v>
      </c>
      <c r="J473" s="30">
        <f t="shared" si="51"/>
        <v>-1.8528579474461678E-2</v>
      </c>
      <c r="K473" s="30">
        <f t="shared" si="52"/>
        <v>1.4802600553676595E-2</v>
      </c>
      <c r="L473" s="30">
        <f t="shared" si="53"/>
        <v>-3.5853365704207789E-3</v>
      </c>
      <c r="M473" s="30">
        <f t="shared" si="54"/>
        <v>-8.4812821885150626E-3</v>
      </c>
      <c r="N473" s="30">
        <f t="shared" si="55"/>
        <v>-1.2097897369509409E-2</v>
      </c>
      <c r="O473" s="30">
        <f t="shared" si="56"/>
        <v>-2.829246490532266E-2</v>
      </c>
    </row>
    <row r="474" spans="1:15" s="30" customFormat="1">
      <c r="A474" s="27">
        <v>45420</v>
      </c>
      <c r="B474" s="28" t="s">
        <v>468</v>
      </c>
      <c r="C474" s="28">
        <v>501.3</v>
      </c>
      <c r="D474" s="28" t="s">
        <v>1662</v>
      </c>
      <c r="E474" s="28">
        <v>277.37</v>
      </c>
      <c r="F474" s="28">
        <v>167.05</v>
      </c>
      <c r="G474" s="28" t="s">
        <v>2834</v>
      </c>
      <c r="H474" s="28">
        <v>308.25</v>
      </c>
      <c r="I474" s="30">
        <f t="shared" si="50"/>
        <v>4.7979814857522438E-2</v>
      </c>
      <c r="J474" s="30">
        <f t="shared" si="51"/>
        <v>4.0817838667463809E-2</v>
      </c>
      <c r="K474" s="30">
        <f t="shared" si="52"/>
        <v>1.0204170174241668E-2</v>
      </c>
      <c r="L474" s="30">
        <f t="shared" si="53"/>
        <v>6.2929683262441891E-3</v>
      </c>
      <c r="M474" s="30">
        <f t="shared" si="54"/>
        <v>5.2538575485430256E-2</v>
      </c>
      <c r="N474" s="30">
        <f t="shared" si="55"/>
        <v>1.5918551527553476E-2</v>
      </c>
      <c r="O474" s="30">
        <f t="shared" si="56"/>
        <v>-4.864996447206325E-4</v>
      </c>
    </row>
    <row r="475" spans="1:15" s="30" customFormat="1">
      <c r="A475" s="27">
        <v>45419</v>
      </c>
      <c r="B475" s="28" t="s">
        <v>469</v>
      </c>
      <c r="C475" s="28">
        <v>512.9</v>
      </c>
      <c r="D475" s="28" t="s">
        <v>1663</v>
      </c>
      <c r="E475" s="28">
        <v>282.35000000000002</v>
      </c>
      <c r="F475" s="28">
        <v>163.9</v>
      </c>
      <c r="G475" s="28" t="s">
        <v>2835</v>
      </c>
      <c r="H475" s="28">
        <v>309.25</v>
      </c>
      <c r="I475" s="30">
        <f t="shared" si="50"/>
        <v>2.4218128539963839E-2</v>
      </c>
      <c r="J475" s="30">
        <f t="shared" si="51"/>
        <v>2.2876170125764969E-2</v>
      </c>
      <c r="K475" s="30">
        <f t="shared" si="52"/>
        <v>-5.2338187296969612E-3</v>
      </c>
      <c r="L475" s="30">
        <f t="shared" si="53"/>
        <v>1.7795081166460495E-2</v>
      </c>
      <c r="M475" s="30">
        <f t="shared" si="54"/>
        <v>-1.9036683052981583E-2</v>
      </c>
      <c r="N475" s="30">
        <f t="shared" si="55"/>
        <v>-2.1385679750592994E-3</v>
      </c>
      <c r="O475" s="30">
        <f t="shared" si="56"/>
        <v>3.2388692281435237E-3</v>
      </c>
    </row>
    <row r="476" spans="1:15" s="30" customFormat="1">
      <c r="A476" s="27">
        <v>45418</v>
      </c>
      <c r="B476" s="28" t="s">
        <v>470</v>
      </c>
      <c r="C476" s="28">
        <v>511.35</v>
      </c>
      <c r="D476" s="28" t="s">
        <v>1664</v>
      </c>
      <c r="E476" s="28">
        <v>286.48</v>
      </c>
      <c r="F476" s="28">
        <v>167.05</v>
      </c>
      <c r="G476" s="28" t="s">
        <v>2836</v>
      </c>
      <c r="H476" s="28">
        <v>311.25</v>
      </c>
      <c r="I476" s="30">
        <f t="shared" si="50"/>
        <v>6.5524643565071537E-3</v>
      </c>
      <c r="J476" s="30">
        <f t="shared" si="51"/>
        <v>-3.0266071432008303E-3</v>
      </c>
      <c r="K476" s="30">
        <f t="shared" si="52"/>
        <v>1.1212588207912474E-3</v>
      </c>
      <c r="L476" s="30">
        <f t="shared" si="53"/>
        <v>1.4521289571331515E-2</v>
      </c>
      <c r="M476" s="30">
        <f t="shared" si="54"/>
        <v>1.9036683052981528E-2</v>
      </c>
      <c r="N476" s="30">
        <f t="shared" si="55"/>
        <v>-1.3617711746864398E-2</v>
      </c>
      <c r="O476" s="30">
        <f t="shared" si="56"/>
        <v>6.4464365063200491E-3</v>
      </c>
    </row>
    <row r="477" spans="1:15" s="30" customFormat="1">
      <c r="A477" s="27">
        <v>45415</v>
      </c>
      <c r="B477" s="28" t="s">
        <v>471</v>
      </c>
      <c r="C477" s="28">
        <v>523.25</v>
      </c>
      <c r="D477" s="28" t="s">
        <v>1665</v>
      </c>
      <c r="E477" s="28">
        <v>286.27999999999997</v>
      </c>
      <c r="F477" s="28">
        <v>173.3</v>
      </c>
      <c r="G477" s="28" t="s">
        <v>2837</v>
      </c>
      <c r="H477" s="28">
        <v>316.25</v>
      </c>
      <c r="I477" s="30">
        <f t="shared" si="50"/>
        <v>-8.1884717722994767E-4</v>
      </c>
      <c r="J477" s="30">
        <f t="shared" si="51"/>
        <v>2.3005074074087258E-2</v>
      </c>
      <c r="K477" s="30">
        <f t="shared" si="52"/>
        <v>-2.1350904667584844E-3</v>
      </c>
      <c r="L477" s="30">
        <f t="shared" si="53"/>
        <v>-6.9837281978072459E-4</v>
      </c>
      <c r="M477" s="30">
        <f t="shared" si="54"/>
        <v>3.6731027918794942E-2</v>
      </c>
      <c r="N477" s="30">
        <f t="shared" si="55"/>
        <v>1.9820920995154468E-2</v>
      </c>
      <c r="O477" s="30">
        <f t="shared" si="56"/>
        <v>1.5936592262812597E-2</v>
      </c>
    </row>
    <row r="478" spans="1:15" s="30" customFormat="1">
      <c r="A478" s="27">
        <v>45414</v>
      </c>
      <c r="B478" s="28" t="s">
        <v>472</v>
      </c>
      <c r="C478" s="28">
        <v>522.45000000000005</v>
      </c>
      <c r="D478" s="28" t="s">
        <v>1666</v>
      </c>
      <c r="E478" s="28">
        <v>284.79000000000002</v>
      </c>
      <c r="F478" s="28">
        <v>172.75</v>
      </c>
      <c r="G478" s="28" t="s">
        <v>2838</v>
      </c>
      <c r="H478" s="28">
        <v>318.39999999999998</v>
      </c>
      <c r="I478" s="30">
        <f t="shared" si="50"/>
        <v>1.5461388584431522E-2</v>
      </c>
      <c r="J478" s="30">
        <f t="shared" si="51"/>
        <v>-1.5300758459890853E-3</v>
      </c>
      <c r="K478" s="30">
        <f t="shared" si="52"/>
        <v>2.535542891425637E-4</v>
      </c>
      <c r="L478" s="30">
        <f t="shared" si="53"/>
        <v>-5.2182863085797398E-3</v>
      </c>
      <c r="M478" s="30">
        <f t="shared" si="54"/>
        <v>-3.1787340737811426E-3</v>
      </c>
      <c r="N478" s="30">
        <f t="shared" si="55"/>
        <v>3.2755347062538255E-3</v>
      </c>
      <c r="O478" s="30">
        <f t="shared" si="56"/>
        <v>6.7754139284979635E-3</v>
      </c>
    </row>
    <row r="479" spans="1:15" s="30" customFormat="1">
      <c r="A479" s="27">
        <v>45412</v>
      </c>
      <c r="B479" s="28" t="s">
        <v>473</v>
      </c>
      <c r="C479" s="28">
        <v>508.55</v>
      </c>
      <c r="D479" s="28" t="s">
        <v>1667</v>
      </c>
      <c r="E479" s="28">
        <v>278.51</v>
      </c>
      <c r="F479" s="28">
        <v>171</v>
      </c>
      <c r="G479" s="28" t="s">
        <v>2839</v>
      </c>
      <c r="H479" s="28">
        <v>316.5</v>
      </c>
      <c r="I479" s="30">
        <f t="shared" si="50"/>
        <v>-3.4012815001317816E-2</v>
      </c>
      <c r="J479" s="30">
        <f t="shared" si="51"/>
        <v>-2.6965746408514686E-2</v>
      </c>
      <c r="K479" s="30">
        <f t="shared" si="52"/>
        <v>-4.7921674573773538E-3</v>
      </c>
      <c r="L479" s="30">
        <f t="shared" si="53"/>
        <v>-2.2298101196377391E-2</v>
      </c>
      <c r="M479" s="30">
        <f t="shared" si="54"/>
        <v>-1.0181906145119412E-2</v>
      </c>
      <c r="N479" s="30">
        <f t="shared" si="55"/>
        <v>-2.9342597614815114E-2</v>
      </c>
      <c r="O479" s="30">
        <f t="shared" si="56"/>
        <v>-5.9852123859969646E-3</v>
      </c>
    </row>
    <row r="480" spans="1:15" s="30" customFormat="1">
      <c r="A480" s="27">
        <v>45411</v>
      </c>
      <c r="B480" s="28" t="s">
        <v>474</v>
      </c>
      <c r="C480" s="28">
        <v>504.35</v>
      </c>
      <c r="D480" s="28" t="s">
        <v>1668</v>
      </c>
      <c r="E480" s="28">
        <v>279.11</v>
      </c>
      <c r="F480" s="28">
        <v>170.75</v>
      </c>
      <c r="G480" s="28" t="s">
        <v>2840</v>
      </c>
      <c r="H480" s="28">
        <v>317.2</v>
      </c>
      <c r="I480" s="30">
        <f t="shared" si="50"/>
        <v>-2.6810134267134804E-3</v>
      </c>
      <c r="J480" s="30">
        <f t="shared" si="51"/>
        <v>-8.2930675707608339E-3</v>
      </c>
      <c r="K480" s="30">
        <f t="shared" si="52"/>
        <v>-1.7847716406086313E-3</v>
      </c>
      <c r="L480" s="30">
        <f t="shared" si="53"/>
        <v>2.1520039867870253E-3</v>
      </c>
      <c r="M480" s="30">
        <f t="shared" si="54"/>
        <v>-1.4630580517604398E-3</v>
      </c>
      <c r="N480" s="30">
        <f t="shared" si="55"/>
        <v>-4.4910791593060374E-4</v>
      </c>
      <c r="O480" s="30">
        <f t="shared" si="56"/>
        <v>2.2092481764620277E-3</v>
      </c>
    </row>
    <row r="481" spans="1:15" s="30" customFormat="1">
      <c r="A481" s="27">
        <v>45408</v>
      </c>
      <c r="B481" s="28" t="s">
        <v>475</v>
      </c>
      <c r="C481" s="28">
        <v>503.1</v>
      </c>
      <c r="D481" s="28" t="s">
        <v>1669</v>
      </c>
      <c r="E481" s="28">
        <v>278.66000000000003</v>
      </c>
      <c r="F481" s="28">
        <v>168.55</v>
      </c>
      <c r="G481" s="28" t="s">
        <v>2841</v>
      </c>
      <c r="H481" s="28">
        <v>318.55</v>
      </c>
      <c r="I481" s="30">
        <f t="shared" si="50"/>
        <v>-8.4204021467894543E-3</v>
      </c>
      <c r="J481" s="30">
        <f t="shared" si="51"/>
        <v>-2.4815140035715499E-3</v>
      </c>
      <c r="K481" s="30">
        <f t="shared" si="52"/>
        <v>-3.449257195733535E-2</v>
      </c>
      <c r="L481" s="30">
        <f t="shared" si="53"/>
        <v>-1.6135686667807082E-3</v>
      </c>
      <c r="M481" s="30">
        <f t="shared" si="54"/>
        <v>-1.2968056770829645E-2</v>
      </c>
      <c r="N481" s="30">
        <f t="shared" si="55"/>
        <v>-2.7603145881005108E-3</v>
      </c>
      <c r="O481" s="30">
        <f t="shared" si="56"/>
        <v>4.2469588018042587E-3</v>
      </c>
    </row>
    <row r="482" spans="1:15" s="30" customFormat="1">
      <c r="A482" s="27">
        <v>45407</v>
      </c>
      <c r="B482" s="28" t="s">
        <v>476</v>
      </c>
      <c r="C482" s="28">
        <v>505.7</v>
      </c>
      <c r="D482" s="28" t="s">
        <v>1670</v>
      </c>
      <c r="E482" s="28">
        <v>277.27</v>
      </c>
      <c r="F482" s="28">
        <v>167.6</v>
      </c>
      <c r="G482" s="28" t="s">
        <v>2842</v>
      </c>
      <c r="H482" s="28">
        <v>319</v>
      </c>
      <c r="I482" s="30">
        <f t="shared" si="50"/>
        <v>6.0642361950372647E-3</v>
      </c>
      <c r="J482" s="30">
        <f t="shared" si="51"/>
        <v>5.1546505886644221E-3</v>
      </c>
      <c r="K482" s="30">
        <f t="shared" si="52"/>
        <v>-3.3641429546898407E-3</v>
      </c>
      <c r="L482" s="30">
        <f t="shared" si="53"/>
        <v>-5.0006399963072245E-3</v>
      </c>
      <c r="M482" s="30">
        <f t="shared" si="54"/>
        <v>-5.6522536320871807E-3</v>
      </c>
      <c r="N482" s="30">
        <f t="shared" si="55"/>
        <v>8.3912367670763318E-4</v>
      </c>
      <c r="O482" s="30">
        <f t="shared" si="56"/>
        <v>1.4116542223473459E-3</v>
      </c>
    </row>
    <row r="483" spans="1:15" s="30" customFormat="1">
      <c r="A483" s="27">
        <v>45406</v>
      </c>
      <c r="B483" s="28" t="s">
        <v>477</v>
      </c>
      <c r="C483" s="28">
        <v>506.7</v>
      </c>
      <c r="D483" s="28" t="s">
        <v>1671</v>
      </c>
      <c r="E483" s="28">
        <v>277.67</v>
      </c>
      <c r="F483" s="28">
        <v>168.05</v>
      </c>
      <c r="G483" s="28" t="s">
        <v>2843</v>
      </c>
      <c r="H483" s="28">
        <v>320.05</v>
      </c>
      <c r="I483" s="30">
        <f t="shared" si="50"/>
        <v>2.1992608180175098E-3</v>
      </c>
      <c r="J483" s="30">
        <f t="shared" si="51"/>
        <v>1.9755043959266529E-3</v>
      </c>
      <c r="K483" s="30">
        <f t="shared" si="52"/>
        <v>-4.4398137630741047E-3</v>
      </c>
      <c r="L483" s="30">
        <f t="shared" si="53"/>
        <v>1.4415975394581988E-3</v>
      </c>
      <c r="M483" s="30">
        <f t="shared" si="54"/>
        <v>2.6813661231320451E-3</v>
      </c>
      <c r="N483" s="30">
        <f t="shared" si="55"/>
        <v>2.1049412564416495E-3</v>
      </c>
      <c r="O483" s="30">
        <f t="shared" si="56"/>
        <v>3.2861308031679488E-3</v>
      </c>
    </row>
    <row r="484" spans="1:15" s="30" customFormat="1">
      <c r="A484" s="27">
        <v>45405</v>
      </c>
      <c r="B484" s="28" t="s">
        <v>478</v>
      </c>
      <c r="C484" s="28">
        <v>506.35</v>
      </c>
      <c r="D484" s="28" t="s">
        <v>1672</v>
      </c>
      <c r="E484" s="28">
        <v>275.83</v>
      </c>
      <c r="F484" s="28">
        <v>169.1</v>
      </c>
      <c r="G484" s="28" t="s">
        <v>2844</v>
      </c>
      <c r="H484" s="28">
        <v>320.95</v>
      </c>
      <c r="I484" s="30">
        <f t="shared" si="50"/>
        <v>2.4901408564491291E-3</v>
      </c>
      <c r="J484" s="30">
        <f t="shared" si="51"/>
        <v>-6.9098270356996176E-4</v>
      </c>
      <c r="K484" s="30">
        <f t="shared" si="52"/>
        <v>1.0140846703646336E-2</v>
      </c>
      <c r="L484" s="30">
        <f t="shared" si="53"/>
        <v>-6.6486243106528417E-3</v>
      </c>
      <c r="M484" s="30">
        <f t="shared" si="54"/>
        <v>6.2287017334197881E-3</v>
      </c>
      <c r="N484" s="30">
        <f t="shared" si="55"/>
        <v>-5.8146840871092188E-3</v>
      </c>
      <c r="O484" s="30">
        <f t="shared" si="56"/>
        <v>2.8081141697747945E-3</v>
      </c>
    </row>
    <row r="485" spans="1:15" s="30" customFormat="1">
      <c r="A485" s="27">
        <v>45404</v>
      </c>
      <c r="B485" s="28" t="s">
        <v>479</v>
      </c>
      <c r="C485" s="28">
        <v>506.5</v>
      </c>
      <c r="D485" s="28" t="s">
        <v>1673</v>
      </c>
      <c r="E485" s="28">
        <v>271.55</v>
      </c>
      <c r="F485" s="28">
        <v>174.7</v>
      </c>
      <c r="G485" s="28" t="s">
        <v>2845</v>
      </c>
      <c r="H485" s="28">
        <v>318.55</v>
      </c>
      <c r="I485" s="30">
        <f t="shared" si="50"/>
        <v>-1.1562642486262115E-2</v>
      </c>
      <c r="J485" s="30">
        <f t="shared" si="51"/>
        <v>2.96193910444108E-4</v>
      </c>
      <c r="K485" s="30">
        <f t="shared" si="52"/>
        <v>-4.3388926565554953E-3</v>
      </c>
      <c r="L485" s="30">
        <f t="shared" si="53"/>
        <v>-1.5638449437089651E-2</v>
      </c>
      <c r="M485" s="30">
        <f t="shared" si="54"/>
        <v>3.257996123547624E-2</v>
      </c>
      <c r="N485" s="30">
        <f t="shared" si="55"/>
        <v>-5.6008712430501767E-3</v>
      </c>
      <c r="O485" s="30">
        <f t="shared" si="56"/>
        <v>-7.5058991952898987E-3</v>
      </c>
    </row>
    <row r="486" spans="1:15" s="30" customFormat="1">
      <c r="A486" s="27">
        <v>45401</v>
      </c>
      <c r="B486" s="28" t="s">
        <v>480</v>
      </c>
      <c r="C486" s="28">
        <v>504.55</v>
      </c>
      <c r="D486" s="28" t="s">
        <v>1674</v>
      </c>
      <c r="E486" s="28">
        <v>272.14</v>
      </c>
      <c r="F486" s="28">
        <v>172.1</v>
      </c>
      <c r="G486" s="28" t="s">
        <v>2846</v>
      </c>
      <c r="H486" s="28">
        <v>319.75</v>
      </c>
      <c r="I486" s="30">
        <f t="shared" si="50"/>
        <v>-1.1786912619810909E-2</v>
      </c>
      <c r="J486" s="30">
        <f t="shared" si="51"/>
        <v>-3.8573807782002331E-3</v>
      </c>
      <c r="K486" s="30">
        <f t="shared" si="52"/>
        <v>-7.6672356172402568E-3</v>
      </c>
      <c r="L486" s="30">
        <f t="shared" si="53"/>
        <v>2.1703552818579828E-3</v>
      </c>
      <c r="M486" s="30">
        <f t="shared" si="54"/>
        <v>-1.4994513922517072E-2</v>
      </c>
      <c r="N486" s="30">
        <f t="shared" si="55"/>
        <v>-6.2763662375456457E-3</v>
      </c>
      <c r="O486" s="30">
        <f t="shared" si="56"/>
        <v>3.7599918964549466E-3</v>
      </c>
    </row>
    <row r="487" spans="1:15" s="30" customFormat="1">
      <c r="A487" s="27">
        <v>45400</v>
      </c>
      <c r="B487" s="28" t="s">
        <v>481</v>
      </c>
      <c r="C487" s="28">
        <v>515.9</v>
      </c>
      <c r="D487" s="28" t="s">
        <v>1675</v>
      </c>
      <c r="E487" s="28">
        <v>272.24</v>
      </c>
      <c r="F487" s="28">
        <v>168.8</v>
      </c>
      <c r="G487" s="28" t="s">
        <v>2847</v>
      </c>
      <c r="H487" s="28">
        <v>323.10000000000002</v>
      </c>
      <c r="I487" s="30">
        <f t="shared" si="50"/>
        <v>-3.0269308043280493E-4</v>
      </c>
      <c r="J487" s="30">
        <f t="shared" si="51"/>
        <v>2.2246005340066339E-2</v>
      </c>
      <c r="K487" s="30">
        <f t="shared" si="52"/>
        <v>2.5876189330912634E-3</v>
      </c>
      <c r="L487" s="30">
        <f t="shared" si="53"/>
        <v>3.6739042993795334E-4</v>
      </c>
      <c r="M487" s="30">
        <f t="shared" si="54"/>
        <v>-1.9361121055636945E-2</v>
      </c>
      <c r="N487" s="30">
        <f t="shared" si="55"/>
        <v>5.6360357225084786E-3</v>
      </c>
      <c r="O487" s="30">
        <f t="shared" si="56"/>
        <v>1.0422432371500654E-2</v>
      </c>
    </row>
    <row r="488" spans="1:15" s="30" customFormat="1">
      <c r="A488" s="27">
        <v>45398</v>
      </c>
      <c r="B488" s="28" t="s">
        <v>482</v>
      </c>
      <c r="C488" s="28">
        <v>531.20000000000005</v>
      </c>
      <c r="D488" s="28" t="s">
        <v>1676</v>
      </c>
      <c r="E488" s="28">
        <v>271.35000000000002</v>
      </c>
      <c r="F488" s="28">
        <v>164.9</v>
      </c>
      <c r="G488" s="28" t="s">
        <v>2848</v>
      </c>
      <c r="H488" s="28">
        <v>326.8</v>
      </c>
      <c r="I488" s="30">
        <f t="shared" si="50"/>
        <v>7.9110688059629269E-3</v>
      </c>
      <c r="J488" s="30">
        <f t="shared" si="51"/>
        <v>2.9225649911619939E-2</v>
      </c>
      <c r="K488" s="30">
        <f t="shared" si="52"/>
        <v>4.2095744511343536E-3</v>
      </c>
      <c r="L488" s="30">
        <f t="shared" si="53"/>
        <v>-3.2745296832363607E-3</v>
      </c>
      <c r="M488" s="30">
        <f t="shared" si="54"/>
        <v>-2.3375352596303526E-2</v>
      </c>
      <c r="N488" s="30">
        <f t="shared" si="55"/>
        <v>1.6496444748104272E-2</v>
      </c>
      <c r="O488" s="30">
        <f t="shared" si="56"/>
        <v>1.1386490155395125E-2</v>
      </c>
    </row>
    <row r="489" spans="1:15" s="30" customFormat="1">
      <c r="A489" s="27">
        <v>45397</v>
      </c>
      <c r="B489" s="28" t="s">
        <v>483</v>
      </c>
      <c r="C489" s="28">
        <v>545.95000000000005</v>
      </c>
      <c r="D489" s="28" t="s">
        <v>1677</v>
      </c>
      <c r="E489" s="28">
        <v>271.94</v>
      </c>
      <c r="F489" s="28">
        <v>165.1</v>
      </c>
      <c r="G489" s="28" t="s">
        <v>2849</v>
      </c>
      <c r="H489" s="28">
        <v>320.5</v>
      </c>
      <c r="I489" s="30">
        <f t="shared" si="50"/>
        <v>5.0754373720795949E-3</v>
      </c>
      <c r="J489" s="30">
        <f t="shared" si="51"/>
        <v>2.7388798297851128E-2</v>
      </c>
      <c r="K489" s="30">
        <f t="shared" si="52"/>
        <v>6.2625171664399048E-3</v>
      </c>
      <c r="L489" s="30">
        <f t="shared" si="53"/>
        <v>2.1719532181259564E-3</v>
      </c>
      <c r="M489" s="30">
        <f t="shared" si="54"/>
        <v>1.2121213605291025E-3</v>
      </c>
      <c r="N489" s="30">
        <f t="shared" si="55"/>
        <v>-4.5222215545393674E-3</v>
      </c>
      <c r="O489" s="30">
        <f t="shared" si="56"/>
        <v>-1.94660866251231E-2</v>
      </c>
    </row>
    <row r="490" spans="1:15" s="30" customFormat="1">
      <c r="A490" s="27">
        <v>45394</v>
      </c>
      <c r="B490" s="28" t="s">
        <v>484</v>
      </c>
      <c r="C490" s="28">
        <v>556.75</v>
      </c>
      <c r="D490" s="28" t="s">
        <v>1678</v>
      </c>
      <c r="E490" s="28">
        <v>279.16000000000003</v>
      </c>
      <c r="F490" s="28">
        <v>168.9</v>
      </c>
      <c r="G490" s="28" t="s">
        <v>2850</v>
      </c>
      <c r="H490" s="28">
        <v>337.3</v>
      </c>
      <c r="I490" s="30">
        <f t="shared" si="50"/>
        <v>3.5445473949510535E-3</v>
      </c>
      <c r="J490" s="30">
        <f t="shared" si="51"/>
        <v>1.9588909677401706E-2</v>
      </c>
      <c r="K490" s="30">
        <f t="shared" si="52"/>
        <v>1.3670701829042189E-2</v>
      </c>
      <c r="L490" s="30">
        <f t="shared" si="53"/>
        <v>2.6203640421411035E-2</v>
      </c>
      <c r="M490" s="30">
        <f t="shared" si="54"/>
        <v>2.2755472887672126E-2</v>
      </c>
      <c r="N490" s="30">
        <f t="shared" si="55"/>
        <v>2.7320750168328858E-3</v>
      </c>
      <c r="O490" s="30">
        <f t="shared" si="56"/>
        <v>5.1090465706879862E-2</v>
      </c>
    </row>
    <row r="491" spans="1:15" s="30" customFormat="1">
      <c r="A491" s="27">
        <v>45392</v>
      </c>
      <c r="B491" s="28" t="s">
        <v>485</v>
      </c>
      <c r="C491" s="28">
        <v>561.70000000000005</v>
      </c>
      <c r="D491" s="28" t="s">
        <v>1679</v>
      </c>
      <c r="E491" s="28">
        <v>279.41000000000003</v>
      </c>
      <c r="F491" s="28">
        <v>172.8</v>
      </c>
      <c r="G491" s="28" t="s">
        <v>2851</v>
      </c>
      <c r="H491" s="28">
        <v>340.95</v>
      </c>
      <c r="I491" s="30">
        <f t="shared" si="50"/>
        <v>1.4692722472857833E-2</v>
      </c>
      <c r="J491" s="30">
        <f t="shared" si="51"/>
        <v>8.8515934009101311E-3</v>
      </c>
      <c r="K491" s="30">
        <f t="shared" si="52"/>
        <v>-6.7372907501581135E-3</v>
      </c>
      <c r="L491" s="30">
        <f t="shared" si="53"/>
        <v>8.9514301410165283E-4</v>
      </c>
      <c r="M491" s="30">
        <f t="shared" si="54"/>
        <v>2.282803255620084E-2</v>
      </c>
      <c r="N491" s="30">
        <f t="shared" si="55"/>
        <v>4.996253056277971E-3</v>
      </c>
      <c r="O491" s="30">
        <f t="shared" si="56"/>
        <v>1.0763096899057224E-2</v>
      </c>
    </row>
    <row r="492" spans="1:15" s="30" customFormat="1">
      <c r="A492" s="27">
        <v>45391</v>
      </c>
      <c r="B492" s="28" t="s">
        <v>486</v>
      </c>
      <c r="C492" s="28">
        <v>555.75</v>
      </c>
      <c r="D492" s="28" t="s">
        <v>1680</v>
      </c>
      <c r="E492" s="28">
        <v>279.45999999999998</v>
      </c>
      <c r="F492" s="28">
        <v>170.7</v>
      </c>
      <c r="G492" s="28" t="s">
        <v>2852</v>
      </c>
      <c r="H492" s="28">
        <v>334.95</v>
      </c>
      <c r="I492" s="30">
        <f t="shared" si="50"/>
        <v>-1.3764794399481974E-2</v>
      </c>
      <c r="J492" s="30">
        <f t="shared" si="51"/>
        <v>-1.0649346694081142E-2</v>
      </c>
      <c r="K492" s="30">
        <f t="shared" si="52"/>
        <v>-7.3095630487131687E-3</v>
      </c>
      <c r="L492" s="30">
        <f t="shared" si="53"/>
        <v>1.7893248924917226E-4</v>
      </c>
      <c r="M492" s="30">
        <f t="shared" si="54"/>
        <v>-1.2227226569560443E-2</v>
      </c>
      <c r="N492" s="30">
        <f t="shared" si="55"/>
        <v>-8.3205818200892262E-3</v>
      </c>
      <c r="O492" s="30">
        <f t="shared" si="56"/>
        <v>-1.7754572012385315E-2</v>
      </c>
    </row>
    <row r="493" spans="1:15" s="30" customFormat="1">
      <c r="A493" s="27">
        <v>45390</v>
      </c>
      <c r="B493" s="28" t="s">
        <v>487</v>
      </c>
      <c r="C493" s="28">
        <v>560</v>
      </c>
      <c r="D493" s="28" t="s">
        <v>1681</v>
      </c>
      <c r="E493" s="28">
        <v>281</v>
      </c>
      <c r="F493" s="28">
        <v>176.15</v>
      </c>
      <c r="G493" s="28" t="s">
        <v>2853</v>
      </c>
      <c r="H493" s="28">
        <v>345.5</v>
      </c>
      <c r="I493" s="30">
        <f t="shared" si="50"/>
        <v>1.2123679800965601E-2</v>
      </c>
      <c r="J493" s="30">
        <f t="shared" si="51"/>
        <v>7.6182308848889192E-3</v>
      </c>
      <c r="K493" s="30">
        <f t="shared" si="52"/>
        <v>2.6874158319306642E-2</v>
      </c>
      <c r="L493" s="30">
        <f t="shared" si="53"/>
        <v>5.4954996814440384E-3</v>
      </c>
      <c r="M493" s="30">
        <f t="shared" si="54"/>
        <v>3.142827498685187E-2</v>
      </c>
      <c r="N493" s="30">
        <f t="shared" si="55"/>
        <v>-5.6131585082554673E-3</v>
      </c>
      <c r="O493" s="30">
        <f t="shared" si="56"/>
        <v>3.1011376253448044E-2</v>
      </c>
    </row>
    <row r="494" spans="1:15" s="30" customFormat="1">
      <c r="A494" s="27">
        <v>45387</v>
      </c>
      <c r="B494" s="28" t="s">
        <v>488</v>
      </c>
      <c r="C494" s="28">
        <v>562.15</v>
      </c>
      <c r="D494" s="28" t="s">
        <v>1682</v>
      </c>
      <c r="E494" s="28">
        <v>283.89</v>
      </c>
      <c r="F494" s="28">
        <v>176</v>
      </c>
      <c r="G494" s="28" t="s">
        <v>2854</v>
      </c>
      <c r="H494" s="28">
        <v>352.2</v>
      </c>
      <c r="I494" s="30">
        <f t="shared" si="50"/>
        <v>-2.9608104116763761E-3</v>
      </c>
      <c r="J494" s="30">
        <f t="shared" si="51"/>
        <v>3.8319344665736954E-3</v>
      </c>
      <c r="K494" s="30">
        <f t="shared" si="52"/>
        <v>2.1342549685885028E-2</v>
      </c>
      <c r="L494" s="30">
        <f t="shared" si="53"/>
        <v>1.0232169854505275E-2</v>
      </c>
      <c r="M494" s="30">
        <f t="shared" si="54"/>
        <v>-8.519097490949178E-4</v>
      </c>
      <c r="N494" s="30">
        <f t="shared" si="55"/>
        <v>1.5795862875892842E-2</v>
      </c>
      <c r="O494" s="30">
        <f t="shared" si="56"/>
        <v>1.9206552854381196E-2</v>
      </c>
    </row>
    <row r="495" spans="1:15" s="30" customFormat="1">
      <c r="A495" s="27">
        <v>45386</v>
      </c>
      <c r="B495" s="28" t="s">
        <v>489</v>
      </c>
      <c r="C495" s="28">
        <v>558.65</v>
      </c>
      <c r="D495" s="28" t="s">
        <v>1683</v>
      </c>
      <c r="E495" s="28">
        <v>283.83999999999997</v>
      </c>
      <c r="F495" s="28">
        <v>176.2</v>
      </c>
      <c r="G495" s="28" t="s">
        <v>2855</v>
      </c>
      <c r="H495" s="28">
        <v>349.35</v>
      </c>
      <c r="I495" s="30">
        <f t="shared" si="50"/>
        <v>1.2013761075085611E-2</v>
      </c>
      <c r="J495" s="30">
        <f t="shared" si="51"/>
        <v>-6.2455592024217186E-3</v>
      </c>
      <c r="K495" s="30">
        <f t="shared" si="52"/>
        <v>-1.1837929386314086E-3</v>
      </c>
      <c r="L495" s="30">
        <f t="shared" si="53"/>
        <v>-1.7614006703633146E-4</v>
      </c>
      <c r="M495" s="30">
        <f t="shared" si="54"/>
        <v>1.135718463927207E-3</v>
      </c>
      <c r="N495" s="30">
        <f t="shared" si="55"/>
        <v>-3.6465337599385066E-3</v>
      </c>
      <c r="O495" s="30">
        <f t="shared" si="56"/>
        <v>-8.1249110636459933E-3</v>
      </c>
    </row>
    <row r="496" spans="1:15" s="30" customFormat="1">
      <c r="A496" s="27">
        <v>45385</v>
      </c>
      <c r="B496" s="28" t="s">
        <v>490</v>
      </c>
      <c r="C496" s="28">
        <v>561.04999999999995</v>
      </c>
      <c r="D496" s="28" t="s">
        <v>1684</v>
      </c>
      <c r="E496" s="28">
        <v>281.5</v>
      </c>
      <c r="F496" s="28">
        <v>173.75</v>
      </c>
      <c r="G496" s="28" t="s">
        <v>2856</v>
      </c>
      <c r="H496" s="28">
        <v>346.15</v>
      </c>
      <c r="I496" s="30">
        <f t="shared" si="50"/>
        <v>-1.691573167529228E-2</v>
      </c>
      <c r="J496" s="30">
        <f t="shared" si="51"/>
        <v>4.2868691175283226E-3</v>
      </c>
      <c r="K496" s="30">
        <f t="shared" si="52"/>
        <v>-4.6672770876155537E-4</v>
      </c>
      <c r="L496" s="30">
        <f t="shared" si="53"/>
        <v>-8.2782515414694755E-3</v>
      </c>
      <c r="M496" s="30">
        <f t="shared" si="54"/>
        <v>-1.4002229057177514E-2</v>
      </c>
      <c r="N496" s="30">
        <f t="shared" si="55"/>
        <v>-6.4544595787073798E-3</v>
      </c>
      <c r="O496" s="30">
        <f t="shared" si="56"/>
        <v>-9.2020778744254413E-3</v>
      </c>
    </row>
    <row r="497" spans="1:15" s="30" customFormat="1">
      <c r="A497" s="27">
        <v>45384</v>
      </c>
      <c r="B497" s="28" t="s">
        <v>491</v>
      </c>
      <c r="C497" s="28">
        <v>571.70000000000005</v>
      </c>
      <c r="D497" s="28" t="s">
        <v>1685</v>
      </c>
      <c r="E497" s="28">
        <v>277.22000000000003</v>
      </c>
      <c r="F497" s="28">
        <v>170.6</v>
      </c>
      <c r="G497" s="28" t="s">
        <v>2857</v>
      </c>
      <c r="H497" s="28">
        <v>335.8</v>
      </c>
      <c r="I497" s="30">
        <f t="shared" si="50"/>
        <v>1.6888513733741234E-3</v>
      </c>
      <c r="J497" s="30">
        <f t="shared" si="51"/>
        <v>1.880435015905044E-2</v>
      </c>
      <c r="K497" s="30">
        <f t="shared" si="52"/>
        <v>-3.4784844917692202E-2</v>
      </c>
      <c r="L497" s="30">
        <f t="shared" si="53"/>
        <v>-1.5321032794537968E-2</v>
      </c>
      <c r="M497" s="30">
        <f t="shared" si="54"/>
        <v>-1.8295849387322826E-2</v>
      </c>
      <c r="N497" s="30">
        <f t="shared" si="55"/>
        <v>-1.0213982951525189E-4</v>
      </c>
      <c r="O497" s="30">
        <f t="shared" si="56"/>
        <v>-3.035646248059384E-2</v>
      </c>
    </row>
    <row r="498" spans="1:15" s="30" customFormat="1">
      <c r="A498" s="27">
        <v>45383</v>
      </c>
      <c r="B498" s="28" t="s">
        <v>492</v>
      </c>
      <c r="C498" s="28">
        <v>566.45000000000005</v>
      </c>
      <c r="D498" s="28" t="s">
        <v>1686</v>
      </c>
      <c r="E498" s="28">
        <v>270.7</v>
      </c>
      <c r="F498" s="28">
        <v>170.8</v>
      </c>
      <c r="G498" s="28" t="s">
        <v>2300</v>
      </c>
      <c r="H498" s="28">
        <v>317</v>
      </c>
      <c r="I498" s="30">
        <f t="shared" si="50"/>
        <v>-1.1139735190824856E-3</v>
      </c>
      <c r="J498" s="30">
        <f t="shared" si="51"/>
        <v>-9.225562950427979E-3</v>
      </c>
      <c r="K498" s="30">
        <f t="shared" si="52"/>
        <v>-2.366506856223774E-2</v>
      </c>
      <c r="L498" s="30">
        <f t="shared" si="53"/>
        <v>-2.3800218164951668E-2</v>
      </c>
      <c r="M498" s="30">
        <f t="shared" si="54"/>
        <v>1.1716462968907578E-3</v>
      </c>
      <c r="N498" s="30">
        <f t="shared" si="55"/>
        <v>-1.249862095340553E-2</v>
      </c>
      <c r="O498" s="30">
        <f t="shared" si="56"/>
        <v>-5.7613970766159844E-2</v>
      </c>
    </row>
    <row r="499" spans="1:15" s="30" customFormat="1">
      <c r="A499" s="27">
        <v>45379</v>
      </c>
      <c r="B499" s="28" t="s">
        <v>493</v>
      </c>
      <c r="C499" s="28">
        <v>573.04999999999995</v>
      </c>
      <c r="D499" s="28" t="s">
        <v>1687</v>
      </c>
      <c r="E499" s="28">
        <v>261.08999999999997</v>
      </c>
      <c r="F499" s="28">
        <v>166.1</v>
      </c>
      <c r="G499" s="28" t="s">
        <v>2858</v>
      </c>
      <c r="H499" s="28">
        <v>284.64999999999998</v>
      </c>
      <c r="I499" s="30">
        <f t="shared" si="50"/>
        <v>-8.4824084303496122E-3</v>
      </c>
      <c r="J499" s="30">
        <f t="shared" si="51"/>
        <v>1.1584157623210552E-2</v>
      </c>
      <c r="K499" s="30">
        <f t="shared" si="52"/>
        <v>-4.4133392622267599E-2</v>
      </c>
      <c r="L499" s="30">
        <f t="shared" si="53"/>
        <v>-3.6146021150723524E-2</v>
      </c>
      <c r="M499" s="30">
        <f t="shared" si="54"/>
        <v>-2.7903264735220389E-2</v>
      </c>
      <c r="N499" s="30">
        <f t="shared" si="55"/>
        <v>-1.3495144204083372E-2</v>
      </c>
      <c r="O499" s="30">
        <f t="shared" si="56"/>
        <v>-0.10764141848018978</v>
      </c>
    </row>
    <row r="500" spans="1:15" s="30" customFormat="1">
      <c r="A500" s="27">
        <v>45378</v>
      </c>
      <c r="B500" s="28" t="s">
        <v>494</v>
      </c>
      <c r="C500" s="28">
        <v>567.20000000000005</v>
      </c>
      <c r="D500" s="28" t="s">
        <v>1688</v>
      </c>
      <c r="E500" s="28">
        <v>263.13</v>
      </c>
      <c r="F500" s="28">
        <v>160.4</v>
      </c>
      <c r="G500" s="28" t="s">
        <v>2859</v>
      </c>
      <c r="H500" s="28">
        <v>290.7</v>
      </c>
      <c r="I500" s="30">
        <f t="shared" si="50"/>
        <v>-5.7246182139997666E-3</v>
      </c>
      <c r="J500" s="30">
        <f t="shared" si="51"/>
        <v>-1.0260997724790345E-2</v>
      </c>
      <c r="K500" s="30">
        <f t="shared" si="52"/>
        <v>1.2966658588559991E-2</v>
      </c>
      <c r="L500" s="30">
        <f t="shared" si="53"/>
        <v>7.7830311618680061E-3</v>
      </c>
      <c r="M500" s="30">
        <f t="shared" si="54"/>
        <v>-3.4919321186835051E-2</v>
      </c>
      <c r="N500" s="30">
        <f t="shared" si="55"/>
        <v>1.1963211392323829E-2</v>
      </c>
      <c r="O500" s="30">
        <f t="shared" si="56"/>
        <v>2.1031452167739415E-2</v>
      </c>
    </row>
    <row r="501" spans="1:15" s="30" customFormat="1">
      <c r="A501" s="27">
        <v>45377</v>
      </c>
      <c r="B501" s="28" t="s">
        <v>495</v>
      </c>
      <c r="C501" s="28">
        <v>558.20000000000005</v>
      </c>
      <c r="D501" s="28" t="s">
        <v>1689</v>
      </c>
      <c r="E501" s="28">
        <v>267.76</v>
      </c>
      <c r="F501" s="28">
        <v>163.6</v>
      </c>
      <c r="G501" s="28" t="s">
        <v>2860</v>
      </c>
      <c r="H501" s="28">
        <v>299.39999999999998</v>
      </c>
      <c r="I501" s="30">
        <f t="shared" si="50"/>
        <v>-5.6154545584267091E-3</v>
      </c>
      <c r="J501" s="30">
        <f t="shared" si="51"/>
        <v>-1.5994654115695978E-2</v>
      </c>
      <c r="K501" s="30">
        <f t="shared" si="52"/>
        <v>8.8764342175580175E-3</v>
      </c>
      <c r="L501" s="30">
        <f t="shared" si="53"/>
        <v>1.7442850271671289E-2</v>
      </c>
      <c r="M501" s="30">
        <f t="shared" si="54"/>
        <v>1.9753728736232431E-2</v>
      </c>
      <c r="N501" s="30">
        <f t="shared" si="55"/>
        <v>-5.8595135131247495E-3</v>
      </c>
      <c r="O501" s="30">
        <f t="shared" si="56"/>
        <v>2.9488664420697721E-2</v>
      </c>
    </row>
    <row r="502" spans="1:15" s="30" customFormat="1">
      <c r="A502" s="27">
        <v>45373</v>
      </c>
      <c r="B502" s="28" t="s">
        <v>496</v>
      </c>
      <c r="C502" s="28">
        <v>558.35</v>
      </c>
      <c r="D502" s="28" t="s">
        <v>1676</v>
      </c>
      <c r="E502" s="28">
        <v>267.45999999999998</v>
      </c>
      <c r="F502" s="28">
        <v>165</v>
      </c>
      <c r="G502" s="28" t="s">
        <v>2861</v>
      </c>
      <c r="H502" s="28">
        <v>299.05</v>
      </c>
      <c r="I502" s="30">
        <f t="shared" si="50"/>
        <v>9.4941618188883539E-3</v>
      </c>
      <c r="J502" s="30">
        <f t="shared" si="51"/>
        <v>2.6868478957924199E-4</v>
      </c>
      <c r="K502" s="30">
        <f t="shared" si="52"/>
        <v>2.8287660741669961E-2</v>
      </c>
      <c r="L502" s="30">
        <f t="shared" si="53"/>
        <v>-1.1210344584207397E-3</v>
      </c>
      <c r="M502" s="30">
        <f t="shared" si="54"/>
        <v>8.5210497319340509E-3</v>
      </c>
      <c r="N502" s="30">
        <f t="shared" si="55"/>
        <v>2.6000065919868212E-2</v>
      </c>
      <c r="O502" s="30">
        <f t="shared" si="56"/>
        <v>-1.169688494961801E-3</v>
      </c>
    </row>
    <row r="503" spans="1:15" s="30" customFormat="1">
      <c r="A503" s="27">
        <v>45372</v>
      </c>
      <c r="B503" s="28" t="s">
        <v>497</v>
      </c>
      <c r="C503" s="28">
        <v>555.54999999999995</v>
      </c>
      <c r="D503" s="28" t="s">
        <v>1690</v>
      </c>
      <c r="E503" s="28">
        <v>266.67</v>
      </c>
      <c r="F503" s="28">
        <v>161.65</v>
      </c>
      <c r="G503" s="28" t="s">
        <v>2862</v>
      </c>
      <c r="H503" s="28">
        <v>298.39999999999998</v>
      </c>
      <c r="I503" s="30">
        <f t="shared" si="50"/>
        <v>-7.1874785149764241E-3</v>
      </c>
      <c r="J503" s="30">
        <f t="shared" si="51"/>
        <v>-5.027391861783523E-3</v>
      </c>
      <c r="K503" s="30">
        <f t="shared" si="52"/>
        <v>-2.5767350369151278E-3</v>
      </c>
      <c r="L503" s="30">
        <f t="shared" si="53"/>
        <v>-2.9580835229570841E-3</v>
      </c>
      <c r="M503" s="30">
        <f t="shared" si="54"/>
        <v>-2.0511969729138484E-2</v>
      </c>
      <c r="N503" s="30">
        <f t="shared" si="55"/>
        <v>-1.1846543772734917E-2</v>
      </c>
      <c r="O503" s="30">
        <f t="shared" si="56"/>
        <v>-2.1759151609603614E-3</v>
      </c>
    </row>
    <row r="504" spans="1:15" s="30" customFormat="1">
      <c r="A504" s="27">
        <v>45371</v>
      </c>
      <c r="B504" s="28" t="s">
        <v>498</v>
      </c>
      <c r="C504" s="28">
        <v>548.70000000000005</v>
      </c>
      <c r="D504" s="28" t="s">
        <v>1691</v>
      </c>
      <c r="E504" s="28">
        <v>265.22000000000003</v>
      </c>
      <c r="F504" s="28">
        <v>162</v>
      </c>
      <c r="G504" s="28" t="s">
        <v>2863</v>
      </c>
      <c r="H504" s="28">
        <v>302.55</v>
      </c>
      <c r="I504" s="30">
        <f t="shared" si="50"/>
        <v>1.3283625017208995E-3</v>
      </c>
      <c r="J504" s="30">
        <f t="shared" si="51"/>
        <v>-1.2406769965087834E-2</v>
      </c>
      <c r="K504" s="30">
        <f t="shared" si="52"/>
        <v>5.6374413881960794E-3</v>
      </c>
      <c r="L504" s="30">
        <f t="shared" si="53"/>
        <v>-5.4522686722403013E-3</v>
      </c>
      <c r="M504" s="30">
        <f t="shared" si="54"/>
        <v>2.1628310609420214E-3</v>
      </c>
      <c r="N504" s="30">
        <f t="shared" si="55"/>
        <v>-1.4883167676027953E-2</v>
      </c>
      <c r="O504" s="30">
        <f t="shared" si="56"/>
        <v>1.3811684738724845E-2</v>
      </c>
    </row>
    <row r="505" spans="1:15" s="30" customFormat="1">
      <c r="A505" s="27">
        <v>45370</v>
      </c>
      <c r="B505" s="28" t="s">
        <v>499</v>
      </c>
      <c r="C505" s="28">
        <v>550</v>
      </c>
      <c r="D505" s="28" t="s">
        <v>1692</v>
      </c>
      <c r="E505" s="28">
        <v>268.31</v>
      </c>
      <c r="F505" s="28">
        <v>165.6</v>
      </c>
      <c r="G505" s="28" t="s">
        <v>2864</v>
      </c>
      <c r="H505" s="28">
        <v>301.14999999999998</v>
      </c>
      <c r="I505" s="30">
        <f t="shared" si="50"/>
        <v>-3.4751808024059564E-3</v>
      </c>
      <c r="J505" s="30">
        <f t="shared" si="51"/>
        <v>2.3664341615868591E-3</v>
      </c>
      <c r="K505" s="30">
        <f t="shared" si="52"/>
        <v>8.9019687527042441E-3</v>
      </c>
      <c r="L505" s="30">
        <f t="shared" si="53"/>
        <v>1.1583358198323911E-2</v>
      </c>
      <c r="M505" s="30">
        <f t="shared" si="54"/>
        <v>2.1978906718775167E-2</v>
      </c>
      <c r="N505" s="30">
        <f t="shared" si="55"/>
        <v>1.4225462222138569E-2</v>
      </c>
      <c r="O505" s="30">
        <f t="shared" si="56"/>
        <v>-4.6380735786005576E-3</v>
      </c>
    </row>
    <row r="506" spans="1:15" s="30" customFormat="1">
      <c r="A506" s="27">
        <v>45369</v>
      </c>
      <c r="B506" s="28" t="s">
        <v>500</v>
      </c>
      <c r="C506" s="28">
        <v>555.25</v>
      </c>
      <c r="D506" s="28" t="s">
        <v>1693</v>
      </c>
      <c r="E506" s="28">
        <v>273.83</v>
      </c>
      <c r="F506" s="28">
        <v>173.75</v>
      </c>
      <c r="G506" s="28" t="s">
        <v>161</v>
      </c>
      <c r="H506" s="28">
        <v>304.8</v>
      </c>
      <c r="I506" s="30">
        <f t="shared" si="50"/>
        <v>1.1092384469621836E-2</v>
      </c>
      <c r="J506" s="30">
        <f t="shared" si="51"/>
        <v>9.5001845480202005E-3</v>
      </c>
      <c r="K506" s="30">
        <f t="shared" si="52"/>
        <v>7.4785925323814475E-5</v>
      </c>
      <c r="L506" s="30">
        <f t="shared" si="53"/>
        <v>2.0364447432811805E-2</v>
      </c>
      <c r="M506" s="30">
        <f t="shared" si="54"/>
        <v>4.8042242493742136E-2</v>
      </c>
      <c r="N506" s="30">
        <f t="shared" si="55"/>
        <v>1.8899996416949724E-2</v>
      </c>
      <c r="O506" s="30">
        <f t="shared" si="56"/>
        <v>1.2047344322761297E-2</v>
      </c>
    </row>
    <row r="507" spans="1:15" s="30" customFormat="1">
      <c r="A507" s="27">
        <v>45366</v>
      </c>
      <c r="B507" s="28" t="s">
        <v>501</v>
      </c>
      <c r="C507" s="28">
        <v>557.79999999999995</v>
      </c>
      <c r="D507" s="28" t="s">
        <v>1694</v>
      </c>
      <c r="E507" s="28">
        <v>270.14999999999998</v>
      </c>
      <c r="F507" s="28">
        <v>166.4</v>
      </c>
      <c r="G507" s="28" t="s">
        <v>27</v>
      </c>
      <c r="H507" s="28">
        <v>302.5</v>
      </c>
      <c r="I507" s="30">
        <f t="shared" si="50"/>
        <v>7.3678372520004122E-3</v>
      </c>
      <c r="J507" s="30">
        <f t="shared" si="51"/>
        <v>4.5820124188516477E-3</v>
      </c>
      <c r="K507" s="30">
        <f t="shared" si="52"/>
        <v>3.1732429143562801E-3</v>
      </c>
      <c r="L507" s="30">
        <f t="shared" si="53"/>
        <v>-1.3530115590514173E-2</v>
      </c>
      <c r="M507" s="30">
        <f t="shared" si="54"/>
        <v>-4.3222956057793235E-2</v>
      </c>
      <c r="N507" s="30">
        <f t="shared" si="55"/>
        <v>-3.4231364916706475E-2</v>
      </c>
      <c r="O507" s="30">
        <f t="shared" si="56"/>
        <v>-7.5745463415951165E-3</v>
      </c>
    </row>
    <row r="508" spans="1:15" s="30" customFormat="1">
      <c r="A508" s="27">
        <v>45365</v>
      </c>
      <c r="B508" s="28" t="s">
        <v>502</v>
      </c>
      <c r="C508" s="28">
        <v>565.25</v>
      </c>
      <c r="D508" s="28" t="s">
        <v>1680</v>
      </c>
      <c r="E508" s="28">
        <v>266.82</v>
      </c>
      <c r="F508" s="28">
        <v>168</v>
      </c>
      <c r="G508" s="28" t="s">
        <v>2865</v>
      </c>
      <c r="H508" s="28">
        <v>306.7</v>
      </c>
      <c r="I508" s="30">
        <f t="shared" si="50"/>
        <v>8.5767392658612964E-3</v>
      </c>
      <c r="J508" s="30">
        <f t="shared" si="51"/>
        <v>1.3267635964690661E-2</v>
      </c>
      <c r="K508" s="30">
        <f t="shared" si="52"/>
        <v>-9.3243387470545811E-3</v>
      </c>
      <c r="L508" s="30">
        <f t="shared" si="53"/>
        <v>-1.2403086539414595E-2</v>
      </c>
      <c r="M508" s="30">
        <f t="shared" si="54"/>
        <v>9.5694510161506725E-3</v>
      </c>
      <c r="N508" s="30">
        <f t="shared" si="55"/>
        <v>-3.1537249790396744E-2</v>
      </c>
      <c r="O508" s="30">
        <f t="shared" si="56"/>
        <v>1.3788793649309765E-2</v>
      </c>
    </row>
    <row r="509" spans="1:15" s="30" customFormat="1">
      <c r="A509" s="27">
        <v>45364</v>
      </c>
      <c r="B509" s="28" t="s">
        <v>503</v>
      </c>
      <c r="C509" s="28">
        <v>556.75</v>
      </c>
      <c r="D509" s="28" t="s">
        <v>1695</v>
      </c>
      <c r="E509" s="28">
        <v>257.51</v>
      </c>
      <c r="F509" s="28">
        <v>157</v>
      </c>
      <c r="G509" s="28" t="s">
        <v>2866</v>
      </c>
      <c r="H509" s="28">
        <v>301.85000000000002</v>
      </c>
      <c r="I509" s="30">
        <f t="shared" si="50"/>
        <v>-1.1160674917977204E-2</v>
      </c>
      <c r="J509" s="30">
        <f t="shared" si="51"/>
        <v>-1.515180502060222E-2</v>
      </c>
      <c r="K509" s="30">
        <f t="shared" si="52"/>
        <v>-1.5430708234809215E-2</v>
      </c>
      <c r="L509" s="30">
        <f t="shared" si="53"/>
        <v>-3.5515719449470143E-2</v>
      </c>
      <c r="M509" s="30">
        <f t="shared" si="54"/>
        <v>-6.7718174054950855E-2</v>
      </c>
      <c r="N509" s="30">
        <f t="shared" si="55"/>
        <v>-1.4891305824390765E-2</v>
      </c>
      <c r="O509" s="30">
        <f t="shared" si="56"/>
        <v>-1.5939865877770541E-2</v>
      </c>
    </row>
    <row r="510" spans="1:15" s="30" customFormat="1">
      <c r="A510" s="27">
        <v>45363</v>
      </c>
      <c r="B510" s="28" t="s">
        <v>504</v>
      </c>
      <c r="C510" s="28">
        <v>563.85</v>
      </c>
      <c r="D510" s="28" t="s">
        <v>1693</v>
      </c>
      <c r="E510" s="28">
        <v>269.89999999999998</v>
      </c>
      <c r="F510" s="28">
        <v>166.9</v>
      </c>
      <c r="G510" s="28" t="s">
        <v>2867</v>
      </c>
      <c r="H510" s="28">
        <v>313.64999999999998</v>
      </c>
      <c r="I510" s="30">
        <f t="shared" si="50"/>
        <v>5.5785232617567137E-3</v>
      </c>
      <c r="J510" s="30">
        <f t="shared" si="51"/>
        <v>1.2671952540819752E-2</v>
      </c>
      <c r="K510" s="30">
        <f t="shared" si="52"/>
        <v>2.1581804067507451E-2</v>
      </c>
      <c r="L510" s="30">
        <f t="shared" si="53"/>
        <v>4.6992965722768953E-2</v>
      </c>
      <c r="M510" s="30">
        <f t="shared" si="54"/>
        <v>6.1149025319481423E-2</v>
      </c>
      <c r="N510" s="30">
        <f t="shared" si="55"/>
        <v>4.5133299829631622E-2</v>
      </c>
      <c r="O510" s="30">
        <f t="shared" si="56"/>
        <v>3.8347509300316857E-2</v>
      </c>
    </row>
    <row r="511" spans="1:15" s="30" customFormat="1">
      <c r="A511" s="27">
        <v>45362</v>
      </c>
      <c r="B511" s="28" t="s">
        <v>505</v>
      </c>
      <c r="C511" s="28">
        <v>576.35</v>
      </c>
      <c r="D511" s="28" t="s">
        <v>1696</v>
      </c>
      <c r="E511" s="28">
        <v>277.62</v>
      </c>
      <c r="F511" s="28">
        <v>178.25</v>
      </c>
      <c r="G511" s="28" t="s">
        <v>2868</v>
      </c>
      <c r="H511" s="28">
        <v>324.89999999999998</v>
      </c>
      <c r="I511" s="30">
        <f t="shared" si="50"/>
        <v>2.4335129617737033E-4</v>
      </c>
      <c r="J511" s="30">
        <f t="shared" si="51"/>
        <v>2.192685636872491E-2</v>
      </c>
      <c r="K511" s="30">
        <f t="shared" si="52"/>
        <v>2.2662288501840561E-2</v>
      </c>
      <c r="L511" s="30">
        <f t="shared" si="53"/>
        <v>2.8201752123004426E-2</v>
      </c>
      <c r="M511" s="30">
        <f t="shared" si="54"/>
        <v>6.5792228626615878E-2</v>
      </c>
      <c r="N511" s="30">
        <f t="shared" si="55"/>
        <v>2.4637239730179385E-3</v>
      </c>
      <c r="O511" s="30">
        <f t="shared" si="56"/>
        <v>3.5239728132302361E-2</v>
      </c>
    </row>
    <row r="512" spans="1:15" s="30" customFormat="1">
      <c r="A512" s="27">
        <v>45358</v>
      </c>
      <c r="B512" s="28" t="s">
        <v>506</v>
      </c>
      <c r="C512" s="28">
        <v>573.4</v>
      </c>
      <c r="D512" s="28" t="s">
        <v>1697</v>
      </c>
      <c r="E512" s="28">
        <v>282.8</v>
      </c>
      <c r="F512" s="28">
        <v>180.4</v>
      </c>
      <c r="G512" s="28" t="s">
        <v>2869</v>
      </c>
      <c r="H512" s="28">
        <v>334.5</v>
      </c>
      <c r="I512" s="30">
        <f t="shared" si="50"/>
        <v>-2.192296524771454E-3</v>
      </c>
      <c r="J512" s="30">
        <f t="shared" si="51"/>
        <v>-5.1315615977522355E-3</v>
      </c>
      <c r="K512" s="30">
        <f t="shared" si="52"/>
        <v>-3.1485711007812342E-3</v>
      </c>
      <c r="L512" s="30">
        <f t="shared" si="53"/>
        <v>1.8486661875454429E-2</v>
      </c>
      <c r="M512" s="30">
        <f t="shared" si="54"/>
        <v>1.1989548334117981E-2</v>
      </c>
      <c r="N512" s="30">
        <f t="shared" si="55"/>
        <v>8.7202612220763105E-3</v>
      </c>
      <c r="O512" s="30">
        <f t="shared" si="56"/>
        <v>2.9119436893228681E-2</v>
      </c>
    </row>
    <row r="513" spans="1:15" s="30" customFormat="1">
      <c r="A513" s="27">
        <v>45357</v>
      </c>
      <c r="B513" s="28" t="s">
        <v>507</v>
      </c>
      <c r="C513" s="28">
        <v>577.79999999999995</v>
      </c>
      <c r="D513" s="28" t="s">
        <v>1698</v>
      </c>
      <c r="E513" s="28">
        <v>284.19</v>
      </c>
      <c r="F513" s="28">
        <v>184.55</v>
      </c>
      <c r="G513" s="28" t="s">
        <v>2870</v>
      </c>
      <c r="H513" s="28">
        <v>337.95</v>
      </c>
      <c r="I513" s="30">
        <f t="shared" si="50"/>
        <v>-1.518145639950326E-2</v>
      </c>
      <c r="J513" s="30">
        <f t="shared" si="51"/>
        <v>7.6442345828654154E-3</v>
      </c>
      <c r="K513" s="30">
        <f t="shared" si="52"/>
        <v>7.7801506499727063E-3</v>
      </c>
      <c r="L513" s="30">
        <f t="shared" si="53"/>
        <v>4.9030945331349713E-3</v>
      </c>
      <c r="M513" s="30">
        <f t="shared" si="54"/>
        <v>2.2743821847484247E-2</v>
      </c>
      <c r="N513" s="30">
        <f t="shared" si="55"/>
        <v>7.7222051112974055E-3</v>
      </c>
      <c r="O513" s="30">
        <f t="shared" si="56"/>
        <v>1.0261075978080044E-2</v>
      </c>
    </row>
    <row r="514" spans="1:15" s="30" customFormat="1">
      <c r="A514" s="27">
        <v>45356</v>
      </c>
      <c r="B514" s="28" t="s">
        <v>508</v>
      </c>
      <c r="C514" s="28">
        <v>576.29999999999995</v>
      </c>
      <c r="D514" s="28" t="s">
        <v>1622</v>
      </c>
      <c r="E514" s="28">
        <v>286.18</v>
      </c>
      <c r="F514" s="28">
        <v>194.85</v>
      </c>
      <c r="G514" s="28" t="s">
        <v>2871</v>
      </c>
      <c r="H514" s="28">
        <v>335.7</v>
      </c>
      <c r="I514" s="30">
        <f t="shared" si="50"/>
        <v>-2.4434737797949576E-3</v>
      </c>
      <c r="J514" s="30">
        <f t="shared" si="51"/>
        <v>-2.5994295895142355E-3</v>
      </c>
      <c r="K514" s="30">
        <f t="shared" si="52"/>
        <v>1.0316273418676969E-2</v>
      </c>
      <c r="L514" s="30">
        <f t="shared" si="53"/>
        <v>6.9779549230361785E-3</v>
      </c>
      <c r="M514" s="30">
        <f t="shared" si="54"/>
        <v>5.4309602308710542E-2</v>
      </c>
      <c r="N514" s="30">
        <f t="shared" si="55"/>
        <v>6.2778182764512041E-3</v>
      </c>
      <c r="O514" s="30">
        <f t="shared" si="56"/>
        <v>-6.6800515603739107E-3</v>
      </c>
    </row>
    <row r="515" spans="1:15" s="30" customFormat="1">
      <c r="A515" s="27">
        <v>45355</v>
      </c>
      <c r="B515" s="28" t="s">
        <v>509</v>
      </c>
      <c r="C515" s="28">
        <v>578.9</v>
      </c>
      <c r="D515" s="28" t="s">
        <v>1699</v>
      </c>
      <c r="E515" s="28">
        <v>288.12</v>
      </c>
      <c r="F515" s="28">
        <v>193.65</v>
      </c>
      <c r="G515" s="28" t="s">
        <v>2872</v>
      </c>
      <c r="H515" s="28">
        <v>340.25</v>
      </c>
      <c r="I515" s="30">
        <f t="shared" si="50"/>
        <v>4.0161762359373658E-3</v>
      </c>
      <c r="J515" s="30">
        <f t="shared" si="51"/>
        <v>4.5013926423382519E-3</v>
      </c>
      <c r="K515" s="30">
        <f t="shared" si="52"/>
        <v>-1.5136228924136062E-3</v>
      </c>
      <c r="L515" s="30">
        <f t="shared" si="53"/>
        <v>6.756076542573354E-3</v>
      </c>
      <c r="M515" s="30">
        <f t="shared" si="54"/>
        <v>-6.1776258239569885E-3</v>
      </c>
      <c r="N515" s="30">
        <f t="shared" si="55"/>
        <v>1.5935625391217359E-2</v>
      </c>
      <c r="O515" s="30">
        <f t="shared" si="56"/>
        <v>1.3462737545586356E-2</v>
      </c>
    </row>
    <row r="516" spans="1:15" s="30" customFormat="1">
      <c r="A516" s="27">
        <v>45353</v>
      </c>
      <c r="B516" s="28" t="s">
        <v>510</v>
      </c>
      <c r="C516" s="28">
        <v>593.15</v>
      </c>
      <c r="D516" s="28" t="s">
        <v>1700</v>
      </c>
      <c r="E516" s="28">
        <v>292.5</v>
      </c>
      <c r="F516" s="28">
        <v>176.2</v>
      </c>
      <c r="G516" s="28" t="s">
        <v>2873</v>
      </c>
      <c r="H516" s="28">
        <v>348.95</v>
      </c>
      <c r="I516" s="30">
        <f t="shared" ref="I516:I579" si="57">LN(B516/B515)</f>
        <v>6.3539212808655533E-3</v>
      </c>
      <c r="J516" s="30">
        <f t="shared" ref="J516:J579" si="58">LN(C516/C515)</f>
        <v>2.4317567022153458E-2</v>
      </c>
      <c r="K516" s="30">
        <f t="shared" ref="K516:K579" si="59">LN(D516/D515)</f>
        <v>1.762427872957515E-2</v>
      </c>
      <c r="L516" s="30">
        <f t="shared" ref="L516:L579" si="60">LN(E516/E515)</f>
        <v>1.508760665074909E-2</v>
      </c>
      <c r="M516" s="30">
        <f t="shared" ref="M516:M579" si="61">LN(F516/F515)</f>
        <v>-9.4432692458682105E-2</v>
      </c>
      <c r="N516" s="30">
        <f t="shared" ref="N516:N579" si="62">LN(G516/G515)</f>
        <v>1.5448627036356894E-2</v>
      </c>
      <c r="O516" s="30">
        <f t="shared" ref="O516:O579" si="63">LN(H516/H515)</f>
        <v>2.5248003931585054E-2</v>
      </c>
    </row>
    <row r="517" spans="1:15" s="30" customFormat="1">
      <c r="A517" s="27">
        <v>45352</v>
      </c>
      <c r="B517" s="28" t="s">
        <v>509</v>
      </c>
      <c r="C517" s="28">
        <v>589.15</v>
      </c>
      <c r="D517" s="28" t="s">
        <v>1701</v>
      </c>
      <c r="E517" s="28">
        <v>288.77</v>
      </c>
      <c r="F517" s="28">
        <v>172.25</v>
      </c>
      <c r="G517" s="28" t="s">
        <v>2874</v>
      </c>
      <c r="H517" s="28">
        <v>347.65</v>
      </c>
      <c r="I517" s="30">
        <f t="shared" si="57"/>
        <v>-6.3539212808655671E-3</v>
      </c>
      <c r="J517" s="30">
        <f t="shared" si="58"/>
        <v>-6.7664979477626268E-3</v>
      </c>
      <c r="K517" s="30">
        <f t="shared" si="59"/>
        <v>-7.1480949463858532E-3</v>
      </c>
      <c r="L517" s="30">
        <f t="shared" si="60"/>
        <v>-1.2834143165288775E-2</v>
      </c>
      <c r="M517" s="30">
        <f t="shared" si="61"/>
        <v>-2.2672803608311174E-2</v>
      </c>
      <c r="N517" s="30">
        <f t="shared" si="62"/>
        <v>-1.3624595421880017E-2</v>
      </c>
      <c r="O517" s="30">
        <f t="shared" si="63"/>
        <v>-3.732418918133884E-3</v>
      </c>
    </row>
    <row r="518" spans="1:15" s="30" customFormat="1">
      <c r="A518" s="27">
        <v>45351</v>
      </c>
      <c r="B518" s="28" t="s">
        <v>511</v>
      </c>
      <c r="C518" s="28">
        <v>606.70000000000005</v>
      </c>
      <c r="D518" s="28" t="s">
        <v>1702</v>
      </c>
      <c r="E518" s="28">
        <v>288.32</v>
      </c>
      <c r="F518" s="28">
        <v>173.45</v>
      </c>
      <c r="G518" s="28" t="s">
        <v>2875</v>
      </c>
      <c r="H518" s="28">
        <v>347</v>
      </c>
      <c r="I518" s="30">
        <f t="shared" si="57"/>
        <v>-3.4844781570199969E-3</v>
      </c>
      <c r="J518" s="30">
        <f t="shared" si="58"/>
        <v>2.9353614788902489E-2</v>
      </c>
      <c r="K518" s="30">
        <f t="shared" si="59"/>
        <v>-1.5001074318212679E-3</v>
      </c>
      <c r="L518" s="30">
        <f t="shared" si="60"/>
        <v>-1.5595490866493512E-3</v>
      </c>
      <c r="M518" s="30">
        <f t="shared" si="61"/>
        <v>6.9424635219906446E-3</v>
      </c>
      <c r="N518" s="30">
        <f t="shared" si="62"/>
        <v>7.7201975352315213E-3</v>
      </c>
      <c r="O518" s="30">
        <f t="shared" si="63"/>
        <v>-1.8714465981676258E-3</v>
      </c>
    </row>
    <row r="519" spans="1:15" s="30" customFormat="1">
      <c r="A519" s="27">
        <v>45350</v>
      </c>
      <c r="B519" s="28" t="s">
        <v>512</v>
      </c>
      <c r="C519" s="28">
        <v>564.20000000000005</v>
      </c>
      <c r="D519" s="28" t="s">
        <v>1703</v>
      </c>
      <c r="E519" s="28">
        <v>290.70999999999998</v>
      </c>
      <c r="F519" s="28">
        <v>173</v>
      </c>
      <c r="G519" s="28" t="s">
        <v>2876</v>
      </c>
      <c r="H519" s="28">
        <v>344.75</v>
      </c>
      <c r="I519" s="30">
        <f t="shared" si="57"/>
        <v>-9.8108955199756598E-3</v>
      </c>
      <c r="J519" s="30">
        <f t="shared" si="58"/>
        <v>-7.2625636380356268E-2</v>
      </c>
      <c r="K519" s="30">
        <f t="shared" si="59"/>
        <v>3.2473933435814488E-3</v>
      </c>
      <c r="L519" s="30">
        <f t="shared" si="60"/>
        <v>8.2552322780022839E-3</v>
      </c>
      <c r="M519" s="30">
        <f t="shared" si="61"/>
        <v>-2.5977789179797519E-3</v>
      </c>
      <c r="N519" s="30">
        <f t="shared" si="62"/>
        <v>1.8975453217758748E-2</v>
      </c>
      <c r="O519" s="30">
        <f t="shared" si="63"/>
        <v>-6.5052632734479464E-3</v>
      </c>
    </row>
    <row r="520" spans="1:15" s="30" customFormat="1">
      <c r="A520" s="27">
        <v>45349</v>
      </c>
      <c r="B520" s="28" t="s">
        <v>513</v>
      </c>
      <c r="C520" s="28">
        <v>562.9</v>
      </c>
      <c r="D520" s="28" t="s">
        <v>1704</v>
      </c>
      <c r="E520" s="28">
        <v>294.64</v>
      </c>
      <c r="F520" s="28">
        <v>180.35</v>
      </c>
      <c r="G520" s="28" t="s">
        <v>2877</v>
      </c>
      <c r="H520" s="28">
        <v>355</v>
      </c>
      <c r="I520" s="30">
        <f t="shared" si="57"/>
        <v>2.3064748373073991E-2</v>
      </c>
      <c r="J520" s="30">
        <f t="shared" si="58"/>
        <v>-2.3068060979151706E-3</v>
      </c>
      <c r="K520" s="30">
        <f t="shared" si="59"/>
        <v>1.4150512046982438E-2</v>
      </c>
      <c r="L520" s="30">
        <f t="shared" si="60"/>
        <v>1.3428065438834338E-2</v>
      </c>
      <c r="M520" s="30">
        <f t="shared" si="61"/>
        <v>4.1607812851768969E-2</v>
      </c>
      <c r="N520" s="30">
        <f t="shared" si="62"/>
        <v>2.8070129649008478E-2</v>
      </c>
      <c r="O520" s="30">
        <f t="shared" si="63"/>
        <v>2.9298272802004519E-2</v>
      </c>
    </row>
    <row r="521" spans="1:15" s="30" customFormat="1">
      <c r="A521" s="27">
        <v>45348</v>
      </c>
      <c r="B521" s="28" t="s">
        <v>514</v>
      </c>
      <c r="C521" s="28">
        <v>566.45000000000005</v>
      </c>
      <c r="D521" s="28" t="s">
        <v>1705</v>
      </c>
      <c r="E521" s="28">
        <v>297.93</v>
      </c>
      <c r="F521" s="28">
        <v>194.9</v>
      </c>
      <c r="G521" s="28" t="s">
        <v>2878</v>
      </c>
      <c r="H521" s="28">
        <v>357.1</v>
      </c>
      <c r="I521" s="30">
        <f t="shared" si="57"/>
        <v>3.1075444001916509E-3</v>
      </c>
      <c r="J521" s="30">
        <f t="shared" si="58"/>
        <v>6.2868228495167929E-3</v>
      </c>
      <c r="K521" s="30">
        <f t="shared" si="59"/>
        <v>3.0864222031893648E-3</v>
      </c>
      <c r="L521" s="30">
        <f t="shared" si="60"/>
        <v>1.1104287446567187E-2</v>
      </c>
      <c r="M521" s="30">
        <f t="shared" si="61"/>
        <v>7.7587199163967141E-2</v>
      </c>
      <c r="N521" s="30">
        <f t="shared" si="62"/>
        <v>1.7068083516288936E-2</v>
      </c>
      <c r="O521" s="30">
        <f t="shared" si="63"/>
        <v>5.8980651249870009E-3</v>
      </c>
    </row>
    <row r="522" spans="1:15" s="30" customFormat="1">
      <c r="A522" s="27">
        <v>45345</v>
      </c>
      <c r="B522" s="28" t="s">
        <v>515</v>
      </c>
      <c r="C522" s="28">
        <v>571.9</v>
      </c>
      <c r="D522" s="28" t="s">
        <v>1706</v>
      </c>
      <c r="E522" s="28">
        <v>300.62</v>
      </c>
      <c r="F522" s="28">
        <v>195.6</v>
      </c>
      <c r="G522" s="28" t="s">
        <v>2879</v>
      </c>
      <c r="H522" s="28">
        <v>364.6</v>
      </c>
      <c r="I522" s="30">
        <f t="shared" si="57"/>
        <v>4.0146139972737659E-2</v>
      </c>
      <c r="J522" s="30">
        <f t="shared" si="58"/>
        <v>9.5753356017727019E-3</v>
      </c>
      <c r="K522" s="30">
        <f t="shared" si="59"/>
        <v>1.0935922034629657E-2</v>
      </c>
      <c r="L522" s="30">
        <f t="shared" si="60"/>
        <v>8.9884491217032351E-3</v>
      </c>
      <c r="M522" s="30">
        <f t="shared" si="61"/>
        <v>3.5851510872017488E-3</v>
      </c>
      <c r="N522" s="30">
        <f t="shared" si="62"/>
        <v>1.8795671759550561E-2</v>
      </c>
      <c r="O522" s="30">
        <f t="shared" si="63"/>
        <v>2.0785007644159824E-2</v>
      </c>
    </row>
    <row r="523" spans="1:15" s="30" customFormat="1">
      <c r="A523" s="27">
        <v>45344</v>
      </c>
      <c r="B523" s="28" t="s">
        <v>516</v>
      </c>
      <c r="C523" s="28">
        <v>571.65</v>
      </c>
      <c r="D523" s="28" t="s">
        <v>1707</v>
      </c>
      <c r="E523" s="28">
        <v>306.54000000000002</v>
      </c>
      <c r="F523" s="28">
        <v>196.75</v>
      </c>
      <c r="G523" s="28" t="s">
        <v>775</v>
      </c>
      <c r="H523" s="28">
        <v>373.8</v>
      </c>
      <c r="I523" s="30">
        <f t="shared" si="57"/>
        <v>1.0477579256143447E-2</v>
      </c>
      <c r="J523" s="30">
        <f t="shared" si="58"/>
        <v>-4.3723493329159727E-4</v>
      </c>
      <c r="K523" s="30">
        <f t="shared" si="59"/>
        <v>5.2167121812979706E-3</v>
      </c>
      <c r="L523" s="30">
        <f t="shared" si="60"/>
        <v>1.9501243865681517E-2</v>
      </c>
      <c r="M523" s="30">
        <f t="shared" si="61"/>
        <v>5.8621296967956323E-3</v>
      </c>
      <c r="N523" s="30">
        <f t="shared" si="62"/>
        <v>1.1855115389525397E-2</v>
      </c>
      <c r="O523" s="30">
        <f t="shared" si="63"/>
        <v>2.4920032776899751E-2</v>
      </c>
    </row>
    <row r="524" spans="1:15" s="30" customFormat="1">
      <c r="A524" s="27">
        <v>45343</v>
      </c>
      <c r="B524" s="28" t="s">
        <v>517</v>
      </c>
      <c r="C524" s="28">
        <v>572.25</v>
      </c>
      <c r="D524" s="28" t="s">
        <v>1708</v>
      </c>
      <c r="E524" s="28">
        <v>306.44</v>
      </c>
      <c r="F524" s="28">
        <v>196.85</v>
      </c>
      <c r="G524" s="28" t="s">
        <v>2880</v>
      </c>
      <c r="H524" s="28">
        <v>371.25</v>
      </c>
      <c r="I524" s="30">
        <f t="shared" si="57"/>
        <v>-5.1834246837596642E-3</v>
      </c>
      <c r="J524" s="30">
        <f t="shared" si="58"/>
        <v>1.0490428446972963E-3</v>
      </c>
      <c r="K524" s="30">
        <f t="shared" si="59"/>
        <v>2.7863580982244961E-2</v>
      </c>
      <c r="L524" s="30">
        <f t="shared" si="60"/>
        <v>-3.2627492214145698E-4</v>
      </c>
      <c r="M524" s="30">
        <f t="shared" si="61"/>
        <v>5.0813009223379957E-4</v>
      </c>
      <c r="N524" s="30">
        <f t="shared" si="62"/>
        <v>1.0858338447222754E-2</v>
      </c>
      <c r="O524" s="30">
        <f t="shared" si="63"/>
        <v>-6.8452049045530632E-3</v>
      </c>
    </row>
    <row r="525" spans="1:15" s="30" customFormat="1">
      <c r="A525" s="27">
        <v>45342</v>
      </c>
      <c r="B525" s="28" t="s">
        <v>518</v>
      </c>
      <c r="C525" s="28">
        <v>563.35</v>
      </c>
      <c r="D525" s="28" t="s">
        <v>1709</v>
      </c>
      <c r="E525" s="28">
        <v>309.52999999999997</v>
      </c>
      <c r="F525" s="28">
        <v>196.25</v>
      </c>
      <c r="G525" s="28" t="s">
        <v>2881</v>
      </c>
      <c r="H525" s="28">
        <v>376.95</v>
      </c>
      <c r="I525" s="30">
        <f t="shared" si="57"/>
        <v>3.2759925863809955E-3</v>
      </c>
      <c r="J525" s="30">
        <f t="shared" si="58"/>
        <v>-1.5674854222501099E-2</v>
      </c>
      <c r="K525" s="30">
        <f t="shared" si="59"/>
        <v>7.6447101620512464E-3</v>
      </c>
      <c r="L525" s="30">
        <f t="shared" si="60"/>
        <v>1.003304031168795E-2</v>
      </c>
      <c r="M525" s="30">
        <f t="shared" si="61"/>
        <v>-3.0526607272287104E-3</v>
      </c>
      <c r="N525" s="30">
        <f t="shared" si="62"/>
        <v>9.2724264372268106E-3</v>
      </c>
      <c r="O525" s="30">
        <f t="shared" si="63"/>
        <v>1.5236862540801381E-2</v>
      </c>
    </row>
    <row r="526" spans="1:15" s="30" customFormat="1">
      <c r="A526" s="27">
        <v>45341</v>
      </c>
      <c r="B526" s="28" t="s">
        <v>519</v>
      </c>
      <c r="C526" s="28">
        <v>556.9</v>
      </c>
      <c r="D526" s="28" t="s">
        <v>1710</v>
      </c>
      <c r="E526" s="28">
        <v>307.14</v>
      </c>
      <c r="F526" s="28">
        <v>198.2</v>
      </c>
      <c r="G526" s="28" t="s">
        <v>2882</v>
      </c>
      <c r="H526" s="28">
        <v>377.95</v>
      </c>
      <c r="I526" s="30">
        <f t="shared" si="57"/>
        <v>-4.5093466319567968E-3</v>
      </c>
      <c r="J526" s="30">
        <f t="shared" si="58"/>
        <v>-1.1515414014552042E-2</v>
      </c>
      <c r="K526" s="30">
        <f t="shared" si="59"/>
        <v>5.5052704294925089E-3</v>
      </c>
      <c r="L526" s="30">
        <f t="shared" si="60"/>
        <v>-7.751348262761173E-3</v>
      </c>
      <c r="M526" s="30">
        <f t="shared" si="61"/>
        <v>9.8872652333696683E-3</v>
      </c>
      <c r="N526" s="30">
        <f t="shared" si="62"/>
        <v>-4.758954200429856E-3</v>
      </c>
      <c r="O526" s="30">
        <f t="shared" si="63"/>
        <v>2.6493590804747419E-3</v>
      </c>
    </row>
    <row r="527" spans="1:15" s="30" customFormat="1">
      <c r="A527" s="27">
        <v>45338</v>
      </c>
      <c r="B527" s="28" t="s">
        <v>520</v>
      </c>
      <c r="C527" s="28">
        <v>562.9</v>
      </c>
      <c r="D527" s="28" t="s">
        <v>1711</v>
      </c>
      <c r="E527" s="28">
        <v>303.05</v>
      </c>
      <c r="F527" s="28">
        <v>196.5</v>
      </c>
      <c r="G527" s="28" t="s">
        <v>2883</v>
      </c>
      <c r="H527" s="28">
        <v>369.25</v>
      </c>
      <c r="I527" s="30">
        <f t="shared" si="57"/>
        <v>3.2634061596242842E-3</v>
      </c>
      <c r="J527" s="30">
        <f t="shared" si="58"/>
        <v>1.071630187435799E-2</v>
      </c>
      <c r="K527" s="30">
        <f t="shared" si="59"/>
        <v>-1.1375476066307384E-2</v>
      </c>
      <c r="L527" s="30">
        <f t="shared" si="60"/>
        <v>-1.3405861300252718E-2</v>
      </c>
      <c r="M527" s="30">
        <f t="shared" si="61"/>
        <v>-8.6141905865716774E-3</v>
      </c>
      <c r="N527" s="30">
        <f t="shared" si="62"/>
        <v>1.1116142432862856E-2</v>
      </c>
      <c r="O527" s="30">
        <f t="shared" si="63"/>
        <v>-2.3287990326696532E-2</v>
      </c>
    </row>
    <row r="528" spans="1:15" s="30" customFormat="1">
      <c r="A528" s="27">
        <v>45337</v>
      </c>
      <c r="B528" s="28" t="s">
        <v>521</v>
      </c>
      <c r="C528" s="28">
        <v>553.4</v>
      </c>
      <c r="D528" s="28" t="s">
        <v>1712</v>
      </c>
      <c r="E528" s="28">
        <v>304</v>
      </c>
      <c r="F528" s="28">
        <v>199.1</v>
      </c>
      <c r="G528" s="28" t="s">
        <v>2884</v>
      </c>
      <c r="H528" s="28">
        <v>369.15</v>
      </c>
      <c r="I528" s="30">
        <f t="shared" si="57"/>
        <v>2.8716334085906008E-3</v>
      </c>
      <c r="J528" s="30">
        <f t="shared" si="58"/>
        <v>-1.7020925117155385E-2</v>
      </c>
      <c r="K528" s="30">
        <f t="shared" si="59"/>
        <v>3.2728880699879619E-3</v>
      </c>
      <c r="L528" s="30">
        <f t="shared" si="60"/>
        <v>3.1298930089275656E-3</v>
      </c>
      <c r="M528" s="30">
        <f t="shared" si="61"/>
        <v>1.3144779760834687E-2</v>
      </c>
      <c r="N528" s="30">
        <f t="shared" si="62"/>
        <v>-1.4450221741543586E-2</v>
      </c>
      <c r="O528" s="30">
        <f t="shared" si="63"/>
        <v>-2.708559063147179E-4</v>
      </c>
    </row>
    <row r="529" spans="1:15" s="30" customFormat="1">
      <c r="A529" s="27">
        <v>45336</v>
      </c>
      <c r="B529" s="28" t="s">
        <v>522</v>
      </c>
      <c r="C529" s="28">
        <v>560.85</v>
      </c>
      <c r="D529" s="28" t="s">
        <v>1713</v>
      </c>
      <c r="E529" s="28">
        <v>303.5</v>
      </c>
      <c r="F529" s="28">
        <v>196.05</v>
      </c>
      <c r="G529" s="28" t="s">
        <v>2885</v>
      </c>
      <c r="H529" s="28">
        <v>365.3</v>
      </c>
      <c r="I529" s="30">
        <f t="shared" si="57"/>
        <v>-1.3399277721747076E-2</v>
      </c>
      <c r="J529" s="30">
        <f t="shared" si="58"/>
        <v>1.3372422738407023E-2</v>
      </c>
      <c r="K529" s="30">
        <f t="shared" si="59"/>
        <v>-2.7858461497303515E-2</v>
      </c>
      <c r="L529" s="30">
        <f t="shared" si="60"/>
        <v>-1.6460909066687917E-3</v>
      </c>
      <c r="M529" s="30">
        <f t="shared" si="61"/>
        <v>-1.5437482331809844E-2</v>
      </c>
      <c r="N529" s="30">
        <f t="shared" si="62"/>
        <v>1.4098711143500726E-3</v>
      </c>
      <c r="O529" s="30">
        <f t="shared" si="63"/>
        <v>-1.0484131703937683E-2</v>
      </c>
    </row>
    <row r="530" spans="1:15" s="30" customFormat="1">
      <c r="A530" s="27">
        <v>45335</v>
      </c>
      <c r="B530" s="28" t="s">
        <v>523</v>
      </c>
      <c r="C530" s="28">
        <v>558.5</v>
      </c>
      <c r="D530" s="28" t="s">
        <v>1714</v>
      </c>
      <c r="E530" s="28">
        <v>313.11</v>
      </c>
      <c r="F530" s="28">
        <v>196.25</v>
      </c>
      <c r="G530" s="28" t="s">
        <v>2886</v>
      </c>
      <c r="H530" s="28">
        <v>362.15</v>
      </c>
      <c r="I530" s="30">
        <f t="shared" si="57"/>
        <v>-1.6139882454551185E-3</v>
      </c>
      <c r="J530" s="30">
        <f t="shared" si="58"/>
        <v>-4.1988715819770549E-3</v>
      </c>
      <c r="K530" s="30">
        <f t="shared" si="59"/>
        <v>1.0911182991160215E-2</v>
      </c>
      <c r="L530" s="30">
        <f t="shared" si="60"/>
        <v>3.1172956000517057E-2</v>
      </c>
      <c r="M530" s="30">
        <f t="shared" si="61"/>
        <v>1.019627924177002E-3</v>
      </c>
      <c r="N530" s="30">
        <f t="shared" si="62"/>
        <v>-2.0376329898500488E-2</v>
      </c>
      <c r="O530" s="30">
        <f t="shared" si="63"/>
        <v>-8.6604431599018022E-3</v>
      </c>
    </row>
    <row r="531" spans="1:15" s="30" customFormat="1">
      <c r="A531" s="27">
        <v>45334</v>
      </c>
      <c r="B531" s="28" t="s">
        <v>524</v>
      </c>
      <c r="C531" s="28">
        <v>551</v>
      </c>
      <c r="D531" s="28" t="s">
        <v>1591</v>
      </c>
      <c r="E531" s="28">
        <v>303.14999999999998</v>
      </c>
      <c r="F531" s="28">
        <v>195.3</v>
      </c>
      <c r="G531" s="28" t="s">
        <v>2887</v>
      </c>
      <c r="H531" s="28">
        <v>357.35</v>
      </c>
      <c r="I531" s="30">
        <f t="shared" si="57"/>
        <v>-6.008051285441126E-3</v>
      </c>
      <c r="J531" s="30">
        <f t="shared" si="58"/>
        <v>-1.3519809356340865E-2</v>
      </c>
      <c r="K531" s="30">
        <f t="shared" si="59"/>
        <v>-1.7101449680432517E-2</v>
      </c>
      <c r="L531" s="30">
        <f t="shared" si="60"/>
        <v>-3.2326833982330404E-2</v>
      </c>
      <c r="M531" s="30">
        <f t="shared" si="61"/>
        <v>-4.8525187798845399E-3</v>
      </c>
      <c r="N531" s="30">
        <f t="shared" si="62"/>
        <v>1.6749480117407442E-2</v>
      </c>
      <c r="O531" s="30">
        <f t="shared" si="63"/>
        <v>-1.3342796975347094E-2</v>
      </c>
    </row>
    <row r="532" spans="1:15" s="30" customFormat="1">
      <c r="A532" s="27">
        <v>45331</v>
      </c>
      <c r="B532" s="28" t="s">
        <v>525</v>
      </c>
      <c r="C532" s="28">
        <v>554</v>
      </c>
      <c r="D532" s="28" t="s">
        <v>1715</v>
      </c>
      <c r="E532" s="28">
        <v>315.35000000000002</v>
      </c>
      <c r="F532" s="28">
        <v>199.95</v>
      </c>
      <c r="G532" s="28" t="s">
        <v>473</v>
      </c>
      <c r="H532" s="28">
        <v>376.7</v>
      </c>
      <c r="I532" s="30">
        <f t="shared" si="57"/>
        <v>-7.281409867131134E-4</v>
      </c>
      <c r="J532" s="30">
        <f t="shared" si="58"/>
        <v>5.4298775943692401E-3</v>
      </c>
      <c r="K532" s="30">
        <f t="shared" si="59"/>
        <v>-1.8171558598601541E-2</v>
      </c>
      <c r="L532" s="30">
        <f t="shared" si="60"/>
        <v>3.9455400591920618E-2</v>
      </c>
      <c r="M532" s="30">
        <f t="shared" si="61"/>
        <v>2.3530497410194036E-2</v>
      </c>
      <c r="N532" s="30">
        <f t="shared" si="62"/>
        <v>2.9070378822621836E-2</v>
      </c>
      <c r="O532" s="30">
        <f t="shared" si="63"/>
        <v>5.2733421032007351E-2</v>
      </c>
    </row>
    <row r="533" spans="1:15" s="30" customFormat="1">
      <c r="A533" s="27">
        <v>45330</v>
      </c>
      <c r="B533" s="28" t="s">
        <v>526</v>
      </c>
      <c r="C533" s="28">
        <v>549</v>
      </c>
      <c r="D533" s="28" t="s">
        <v>1716</v>
      </c>
      <c r="E533" s="28">
        <v>315.14999999999998</v>
      </c>
      <c r="F533" s="28">
        <v>199.05</v>
      </c>
      <c r="G533" s="28" t="s">
        <v>2888</v>
      </c>
      <c r="H533" s="28">
        <v>375.15</v>
      </c>
      <c r="I533" s="30">
        <f t="shared" si="57"/>
        <v>-7.4984410852506336E-3</v>
      </c>
      <c r="J533" s="30">
        <f t="shared" si="58"/>
        <v>-9.0662452377531944E-3</v>
      </c>
      <c r="K533" s="30">
        <f t="shared" si="59"/>
        <v>1.3260942512884899E-2</v>
      </c>
      <c r="L533" s="30">
        <f t="shared" si="60"/>
        <v>-6.3441715054121379E-4</v>
      </c>
      <c r="M533" s="30">
        <f t="shared" si="61"/>
        <v>-4.5112858465010137E-3</v>
      </c>
      <c r="N533" s="30">
        <f t="shared" si="62"/>
        <v>-1.1875232463736595E-2</v>
      </c>
      <c r="O533" s="30">
        <f t="shared" si="63"/>
        <v>-4.1231687062576374E-3</v>
      </c>
    </row>
    <row r="534" spans="1:15" s="30" customFormat="1">
      <c r="A534" s="27">
        <v>45329</v>
      </c>
      <c r="B534" s="28" t="s">
        <v>527</v>
      </c>
      <c r="C534" s="28">
        <v>555.79999999999995</v>
      </c>
      <c r="D534" s="28" t="s">
        <v>1717</v>
      </c>
      <c r="E534" s="28">
        <v>317.49</v>
      </c>
      <c r="F534" s="28">
        <v>205.75</v>
      </c>
      <c r="G534" s="28" t="s">
        <v>2889</v>
      </c>
      <c r="H534" s="28">
        <v>366.4</v>
      </c>
      <c r="I534" s="30">
        <f t="shared" si="57"/>
        <v>1.7443237176887793E-2</v>
      </c>
      <c r="J534" s="30">
        <f t="shared" si="58"/>
        <v>1.2310075798872536E-2</v>
      </c>
      <c r="K534" s="30">
        <f t="shared" si="59"/>
        <v>-4.0642695980288163E-3</v>
      </c>
      <c r="L534" s="30">
        <f t="shared" si="60"/>
        <v>7.3976058146238248E-3</v>
      </c>
      <c r="M534" s="30">
        <f t="shared" si="61"/>
        <v>3.3105790110852934E-2</v>
      </c>
      <c r="N534" s="30">
        <f t="shared" si="62"/>
        <v>8.2349696196816584E-3</v>
      </c>
      <c r="O534" s="30">
        <f t="shared" si="63"/>
        <v>-2.3600313191762579E-2</v>
      </c>
    </row>
    <row r="535" spans="1:15" s="30" customFormat="1">
      <c r="A535" s="27">
        <v>45328</v>
      </c>
      <c r="B535" s="28" t="s">
        <v>528</v>
      </c>
      <c r="C535" s="28">
        <v>555.79999999999995</v>
      </c>
      <c r="D535" s="28" t="s">
        <v>1718</v>
      </c>
      <c r="E535" s="28">
        <v>332.33</v>
      </c>
      <c r="F535" s="28">
        <v>205.85</v>
      </c>
      <c r="G535" s="28" t="s">
        <v>2890</v>
      </c>
      <c r="H535" s="28">
        <v>364.75</v>
      </c>
      <c r="I535" s="30">
        <f t="shared" si="57"/>
        <v>-1.6982529555972223E-2</v>
      </c>
      <c r="J535" s="30">
        <f t="shared" si="58"/>
        <v>0</v>
      </c>
      <c r="K535" s="30">
        <f t="shared" si="59"/>
        <v>-2.0679477905755892E-2</v>
      </c>
      <c r="L535" s="30">
        <f t="shared" si="60"/>
        <v>4.5682129379413176E-2</v>
      </c>
      <c r="M535" s="30">
        <f t="shared" si="61"/>
        <v>4.8590865873440465E-4</v>
      </c>
      <c r="N535" s="30">
        <f t="shared" si="62"/>
        <v>2.2942324777361446E-2</v>
      </c>
      <c r="O535" s="30">
        <f t="shared" si="63"/>
        <v>-4.5134453970801262E-3</v>
      </c>
    </row>
    <row r="536" spans="1:15" s="30" customFormat="1">
      <c r="A536" s="27">
        <v>45327</v>
      </c>
      <c r="B536" s="28" t="s">
        <v>529</v>
      </c>
      <c r="C536" s="28">
        <v>567.1</v>
      </c>
      <c r="D536" s="28" t="s">
        <v>1719</v>
      </c>
      <c r="E536" s="28">
        <v>342.68</v>
      </c>
      <c r="F536" s="28">
        <v>201.5</v>
      </c>
      <c r="G536" s="28" t="s">
        <v>2891</v>
      </c>
      <c r="H536" s="28">
        <v>373.9</v>
      </c>
      <c r="I536" s="30">
        <f t="shared" si="57"/>
        <v>-4.6509325839377506E-3</v>
      </c>
      <c r="J536" s="30">
        <f t="shared" si="58"/>
        <v>2.0127137711579028E-2</v>
      </c>
      <c r="K536" s="30">
        <f t="shared" si="59"/>
        <v>4.3259410771067236E-3</v>
      </c>
      <c r="L536" s="30">
        <f t="shared" si="60"/>
        <v>3.0668615942687223E-2</v>
      </c>
      <c r="M536" s="30">
        <f t="shared" si="61"/>
        <v>-2.1358366829176016E-2</v>
      </c>
      <c r="N536" s="30">
        <f t="shared" si="62"/>
        <v>-7.0908350811231466E-2</v>
      </c>
      <c r="O536" s="30">
        <f t="shared" si="63"/>
        <v>2.4776194580172925E-2</v>
      </c>
    </row>
    <row r="537" spans="1:15" s="30" customFormat="1">
      <c r="A537" s="27">
        <v>45324</v>
      </c>
      <c r="B537" s="28" t="s">
        <v>530</v>
      </c>
      <c r="C537" s="28">
        <v>569.54999999999995</v>
      </c>
      <c r="D537" s="28" t="s">
        <v>1720</v>
      </c>
      <c r="E537" s="28">
        <v>339</v>
      </c>
      <c r="F537" s="28">
        <v>194</v>
      </c>
      <c r="G537" s="28" t="s">
        <v>2892</v>
      </c>
      <c r="H537" s="28">
        <v>377.85</v>
      </c>
      <c r="I537" s="30">
        <f t="shared" si="57"/>
        <v>6.4746153936906898E-3</v>
      </c>
      <c r="J537" s="30">
        <f t="shared" si="58"/>
        <v>4.3109203259385463E-3</v>
      </c>
      <c r="K537" s="30">
        <f t="shared" si="59"/>
        <v>4.0606683504812403E-3</v>
      </c>
      <c r="L537" s="30">
        <f t="shared" si="60"/>
        <v>-1.0796959715392926E-2</v>
      </c>
      <c r="M537" s="30">
        <f t="shared" si="61"/>
        <v>-3.7931222323409557E-2</v>
      </c>
      <c r="N537" s="30">
        <f t="shared" si="62"/>
        <v>-1.8010184339046775E-2</v>
      </c>
      <c r="O537" s="30">
        <f t="shared" si="63"/>
        <v>1.0508909483660935E-2</v>
      </c>
    </row>
    <row r="538" spans="1:15" s="30" customFormat="1">
      <c r="A538" s="27">
        <v>45323</v>
      </c>
      <c r="B538" s="28" t="s">
        <v>531</v>
      </c>
      <c r="C538" s="28">
        <v>565.5</v>
      </c>
      <c r="D538" s="28" t="s">
        <v>1721</v>
      </c>
      <c r="E538" s="28">
        <v>336.11</v>
      </c>
      <c r="F538" s="28">
        <v>195.75</v>
      </c>
      <c r="G538" s="28" t="s">
        <v>2893</v>
      </c>
      <c r="H538" s="28">
        <v>382.1</v>
      </c>
      <c r="I538" s="30">
        <f t="shared" si="57"/>
        <v>-2.3697299540135818E-3</v>
      </c>
      <c r="J538" s="30">
        <f t="shared" si="58"/>
        <v>-7.1362797897457997E-3</v>
      </c>
      <c r="K538" s="30">
        <f t="shared" si="59"/>
        <v>1.9010743271738097E-3</v>
      </c>
      <c r="L538" s="30">
        <f t="shared" si="60"/>
        <v>-8.5616200423158234E-3</v>
      </c>
      <c r="M538" s="30">
        <f t="shared" si="61"/>
        <v>8.9801758075843188E-3</v>
      </c>
      <c r="N538" s="30">
        <f t="shared" si="62"/>
        <v>-1.9860410885469991E-2</v>
      </c>
      <c r="O538" s="30">
        <f t="shared" si="63"/>
        <v>1.1185062986125385E-2</v>
      </c>
    </row>
    <row r="539" spans="1:15" s="30" customFormat="1">
      <c r="A539" s="27">
        <v>45322</v>
      </c>
      <c r="B539" s="28" t="s">
        <v>532</v>
      </c>
      <c r="C539" s="28">
        <v>565.15</v>
      </c>
      <c r="D539" s="28" t="s">
        <v>1722</v>
      </c>
      <c r="E539" s="28">
        <v>340.24</v>
      </c>
      <c r="F539" s="28">
        <v>200.8</v>
      </c>
      <c r="G539" s="28" t="s">
        <v>2894</v>
      </c>
      <c r="H539" s="28">
        <v>381.7</v>
      </c>
      <c r="I539" s="30">
        <f t="shared" si="57"/>
        <v>9.6820976489036623E-3</v>
      </c>
      <c r="J539" s="30">
        <f t="shared" si="58"/>
        <v>-6.1911291943509404E-4</v>
      </c>
      <c r="K539" s="30">
        <f t="shared" si="59"/>
        <v>1.5253083630078094E-2</v>
      </c>
      <c r="L539" s="30">
        <f t="shared" si="60"/>
        <v>1.2212763607243817E-2</v>
      </c>
      <c r="M539" s="30">
        <f t="shared" si="61"/>
        <v>2.547105294666166E-2</v>
      </c>
      <c r="N539" s="30">
        <f t="shared" si="62"/>
        <v>-6.6960064759627493E-3</v>
      </c>
      <c r="O539" s="30">
        <f t="shared" si="63"/>
        <v>-1.0473947016702964E-3</v>
      </c>
    </row>
    <row r="540" spans="1:15" s="30" customFormat="1">
      <c r="A540" s="27">
        <v>45321</v>
      </c>
      <c r="B540" s="28" t="s">
        <v>533</v>
      </c>
      <c r="C540" s="28">
        <v>561.79999999999995</v>
      </c>
      <c r="D540" s="28" t="s">
        <v>1723</v>
      </c>
      <c r="E540" s="28">
        <v>334.27</v>
      </c>
      <c r="F540" s="28">
        <v>202.8</v>
      </c>
      <c r="G540" s="28" t="s">
        <v>2895</v>
      </c>
      <c r="H540" s="28">
        <v>384.85</v>
      </c>
      <c r="I540" s="30">
        <f t="shared" si="57"/>
        <v>-1.2686171239385468E-3</v>
      </c>
      <c r="J540" s="30">
        <f t="shared" si="58"/>
        <v>-5.9452679665968977E-3</v>
      </c>
      <c r="K540" s="30">
        <f t="shared" si="59"/>
        <v>3.2507982701694164E-3</v>
      </c>
      <c r="L540" s="30">
        <f t="shared" si="60"/>
        <v>-1.7702201300889283E-2</v>
      </c>
      <c r="M540" s="30">
        <f t="shared" si="61"/>
        <v>9.9108838994539598E-3</v>
      </c>
      <c r="N540" s="30">
        <f t="shared" si="62"/>
        <v>1.5743272639311828E-2</v>
      </c>
      <c r="O540" s="30">
        <f t="shared" si="63"/>
        <v>8.218688229142547E-3</v>
      </c>
    </row>
    <row r="541" spans="1:15" s="30" customFormat="1">
      <c r="A541" s="27">
        <v>45320</v>
      </c>
      <c r="B541" s="28" t="s">
        <v>534</v>
      </c>
      <c r="C541" s="28">
        <v>559.85</v>
      </c>
      <c r="D541" s="28" t="s">
        <v>1724</v>
      </c>
      <c r="E541" s="28">
        <v>337.8</v>
      </c>
      <c r="F541" s="28">
        <v>205</v>
      </c>
      <c r="G541" s="28" t="s">
        <v>2896</v>
      </c>
      <c r="H541" s="28">
        <v>386.65</v>
      </c>
      <c r="I541" s="30">
        <f t="shared" si="57"/>
        <v>7.4028819652487759E-3</v>
      </c>
      <c r="J541" s="30">
        <f t="shared" si="58"/>
        <v>-3.4770239639372344E-3</v>
      </c>
      <c r="K541" s="30">
        <f t="shared" si="59"/>
        <v>1.1841362985174577E-2</v>
      </c>
      <c r="L541" s="30">
        <f t="shared" si="60"/>
        <v>1.0504954729210848E-2</v>
      </c>
      <c r="M541" s="30">
        <f t="shared" si="61"/>
        <v>1.0789707421380025E-2</v>
      </c>
      <c r="N541" s="30">
        <f t="shared" si="62"/>
        <v>-1.7966091934951862E-2</v>
      </c>
      <c r="O541" s="30">
        <f t="shared" si="63"/>
        <v>4.6662430747180135E-3</v>
      </c>
    </row>
    <row r="542" spans="1:15" s="30" customFormat="1">
      <c r="A542" s="27">
        <v>45316</v>
      </c>
      <c r="B542" s="28" t="s">
        <v>535</v>
      </c>
      <c r="C542" s="28">
        <v>554.70000000000005</v>
      </c>
      <c r="D542" s="28" t="s">
        <v>1725</v>
      </c>
      <c r="E542" s="28">
        <v>331.28</v>
      </c>
      <c r="F542" s="28">
        <v>202.35</v>
      </c>
      <c r="G542" s="28" t="s">
        <v>2897</v>
      </c>
      <c r="H542" s="28">
        <v>387.3</v>
      </c>
      <c r="I542" s="30">
        <f t="shared" si="57"/>
        <v>-9.0629707716194247E-3</v>
      </c>
      <c r="J542" s="30">
        <f t="shared" si="58"/>
        <v>-9.241463645017052E-3</v>
      </c>
      <c r="K542" s="30">
        <f t="shared" si="59"/>
        <v>-1.0564686311243493E-2</v>
      </c>
      <c r="L542" s="30">
        <f t="shared" si="60"/>
        <v>-1.9490065136388002E-2</v>
      </c>
      <c r="M542" s="30">
        <f t="shared" si="61"/>
        <v>-1.3011107816533611E-2</v>
      </c>
      <c r="N542" s="30">
        <f t="shared" si="62"/>
        <v>-4.4797860023823889E-3</v>
      </c>
      <c r="O542" s="30">
        <f t="shared" si="63"/>
        <v>1.6796954656620338E-3</v>
      </c>
    </row>
    <row r="543" spans="1:15" s="30" customFormat="1">
      <c r="A543" s="27">
        <v>45315</v>
      </c>
      <c r="B543" s="28" t="s">
        <v>536</v>
      </c>
      <c r="C543" s="28">
        <v>562.54999999999995</v>
      </c>
      <c r="D543" s="28" t="s">
        <v>1726</v>
      </c>
      <c r="E543" s="28">
        <v>338.65</v>
      </c>
      <c r="F543" s="28">
        <v>204.85</v>
      </c>
      <c r="G543" s="28" t="s">
        <v>2898</v>
      </c>
      <c r="H543" s="28">
        <v>390.05</v>
      </c>
      <c r="I543" s="30">
        <f t="shared" si="57"/>
        <v>1.6894991393808071E-2</v>
      </c>
      <c r="J543" s="30">
        <f t="shared" si="58"/>
        <v>1.4052591955891798E-2</v>
      </c>
      <c r="K543" s="30">
        <f t="shared" si="59"/>
        <v>-1.3120177097789997E-2</v>
      </c>
      <c r="L543" s="30">
        <f t="shared" si="60"/>
        <v>2.2003186423600756E-2</v>
      </c>
      <c r="M543" s="30">
        <f t="shared" si="61"/>
        <v>1.2279132671005449E-2</v>
      </c>
      <c r="N543" s="30">
        <f t="shared" si="62"/>
        <v>7.3914423387688461E-3</v>
      </c>
      <c r="O543" s="30">
        <f t="shared" si="63"/>
        <v>7.075349513615734E-3</v>
      </c>
    </row>
    <row r="544" spans="1:15" s="30" customFormat="1">
      <c r="A544" s="27">
        <v>45314</v>
      </c>
      <c r="B544" s="28" t="s">
        <v>537</v>
      </c>
      <c r="C544" s="28">
        <v>547</v>
      </c>
      <c r="D544" s="28" t="s">
        <v>1727</v>
      </c>
      <c r="E544" s="28">
        <v>335.51</v>
      </c>
      <c r="F544" s="28">
        <v>201.5</v>
      </c>
      <c r="G544" s="28" t="s">
        <v>2899</v>
      </c>
      <c r="H544" s="28">
        <v>385.7</v>
      </c>
      <c r="I544" s="30">
        <f t="shared" si="57"/>
        <v>1.8252449601820916E-2</v>
      </c>
      <c r="J544" s="30">
        <f t="shared" si="58"/>
        <v>-2.8031216595099592E-2</v>
      </c>
      <c r="K544" s="30">
        <f t="shared" si="59"/>
        <v>-1.0607384063164995E-2</v>
      </c>
      <c r="L544" s="30">
        <f t="shared" si="60"/>
        <v>-9.3153634340594465E-3</v>
      </c>
      <c r="M544" s="30">
        <f t="shared" si="61"/>
        <v>-1.648862260614235E-2</v>
      </c>
      <c r="N544" s="30">
        <f t="shared" si="62"/>
        <v>4.2754684154002656E-3</v>
      </c>
      <c r="O544" s="30">
        <f t="shared" si="63"/>
        <v>-1.1215070820140068E-2</v>
      </c>
    </row>
    <row r="545" spans="1:15" s="30" customFormat="1">
      <c r="A545" s="27">
        <v>45311</v>
      </c>
      <c r="B545" s="28" t="s">
        <v>538</v>
      </c>
      <c r="C545" s="28">
        <v>575.4</v>
      </c>
      <c r="D545" s="28" t="s">
        <v>1603</v>
      </c>
      <c r="E545" s="28">
        <v>341.55</v>
      </c>
      <c r="F545" s="28">
        <v>217</v>
      </c>
      <c r="G545" s="28" t="s">
        <v>2900</v>
      </c>
      <c r="H545" s="28">
        <v>404.2</v>
      </c>
      <c r="I545" s="30">
        <f t="shared" si="57"/>
        <v>2.7159173142193765E-2</v>
      </c>
      <c r="J545" s="30">
        <f t="shared" si="58"/>
        <v>5.0616648695466358E-2</v>
      </c>
      <c r="K545" s="30">
        <f t="shared" si="59"/>
        <v>4.0143798495616882E-2</v>
      </c>
      <c r="L545" s="30">
        <f t="shared" si="60"/>
        <v>1.784231895100508E-2</v>
      </c>
      <c r="M545" s="30">
        <f t="shared" si="61"/>
        <v>7.4107972153721835E-2</v>
      </c>
      <c r="N545" s="30">
        <f t="shared" si="62"/>
        <v>2.0883566444828618E-2</v>
      </c>
      <c r="O545" s="30">
        <f t="shared" si="63"/>
        <v>4.6849939755338597E-2</v>
      </c>
    </row>
    <row r="546" spans="1:15" s="30" customFormat="1">
      <c r="A546" s="27">
        <v>45310</v>
      </c>
      <c r="B546" s="28" t="s">
        <v>539</v>
      </c>
      <c r="C546" s="28">
        <v>579.35</v>
      </c>
      <c r="D546" s="28" t="s">
        <v>1728</v>
      </c>
      <c r="E546" s="28">
        <v>342.78</v>
      </c>
      <c r="F546" s="28">
        <v>217.75</v>
      </c>
      <c r="G546" s="28" t="s">
        <v>2901</v>
      </c>
      <c r="H546" s="28">
        <v>409</v>
      </c>
      <c r="I546" s="30">
        <f t="shared" si="57"/>
        <v>8.5810206697960242E-3</v>
      </c>
      <c r="J546" s="30">
        <f t="shared" si="58"/>
        <v>6.8413343256238102E-3</v>
      </c>
      <c r="K546" s="30">
        <f t="shared" si="59"/>
        <v>-3.2277272565221149E-3</v>
      </c>
      <c r="L546" s="30">
        <f t="shared" si="60"/>
        <v>3.5947607865676337E-3</v>
      </c>
      <c r="M546" s="30">
        <f t="shared" si="61"/>
        <v>3.4502621921525278E-3</v>
      </c>
      <c r="N546" s="30">
        <f t="shared" si="62"/>
        <v>5.7656342880411061E-3</v>
      </c>
      <c r="O546" s="30">
        <f t="shared" si="63"/>
        <v>1.1805351073281173E-2</v>
      </c>
    </row>
    <row r="547" spans="1:15" s="30" customFormat="1">
      <c r="A547" s="27">
        <v>45309</v>
      </c>
      <c r="B547" s="28" t="s">
        <v>540</v>
      </c>
      <c r="C547" s="28">
        <v>576.35</v>
      </c>
      <c r="D547" s="28" t="s">
        <v>1729</v>
      </c>
      <c r="E547" s="28">
        <v>339.59</v>
      </c>
      <c r="F547" s="28">
        <v>208.2</v>
      </c>
      <c r="G547" s="28" t="s">
        <v>2902</v>
      </c>
      <c r="H547" s="28">
        <v>405.65</v>
      </c>
      <c r="I547" s="30">
        <f t="shared" si="57"/>
        <v>-6.3194150324924676E-4</v>
      </c>
      <c r="J547" s="30">
        <f t="shared" si="58"/>
        <v>-5.1916703960497483E-3</v>
      </c>
      <c r="K547" s="30">
        <f t="shared" si="59"/>
        <v>9.4835596459928225E-3</v>
      </c>
      <c r="L547" s="30">
        <f t="shared" si="60"/>
        <v>-9.3498343683262129E-3</v>
      </c>
      <c r="M547" s="30">
        <f t="shared" si="61"/>
        <v>-4.4848459551743776E-2</v>
      </c>
      <c r="N547" s="30">
        <f t="shared" si="62"/>
        <v>2.5004875084954506E-3</v>
      </c>
      <c r="O547" s="30">
        <f t="shared" si="63"/>
        <v>-8.2244372017277606E-3</v>
      </c>
    </row>
    <row r="548" spans="1:15" s="30" customFormat="1">
      <c r="A548" s="27">
        <v>45308</v>
      </c>
      <c r="B548" s="28" t="s">
        <v>541</v>
      </c>
      <c r="C548" s="28">
        <v>595.15</v>
      </c>
      <c r="D548" s="28" t="s">
        <v>1730</v>
      </c>
      <c r="E548" s="28">
        <v>337.85</v>
      </c>
      <c r="F548" s="28">
        <v>208.9</v>
      </c>
      <c r="G548" s="28" t="s">
        <v>2903</v>
      </c>
      <c r="H548" s="28">
        <v>406.45</v>
      </c>
      <c r="I548" s="30">
        <f t="shared" si="57"/>
        <v>2.4493314066544897E-2</v>
      </c>
      <c r="J548" s="30">
        <f t="shared" si="58"/>
        <v>3.2098359566867227E-2</v>
      </c>
      <c r="K548" s="30">
        <f t="shared" si="59"/>
        <v>-6.0695982440661287E-4</v>
      </c>
      <c r="L548" s="30">
        <f t="shared" si="60"/>
        <v>-5.1369975979162451E-3</v>
      </c>
      <c r="M548" s="30">
        <f t="shared" si="61"/>
        <v>3.3565123816516151E-3</v>
      </c>
      <c r="N548" s="30">
        <f t="shared" si="62"/>
        <v>4.153634858872767E-3</v>
      </c>
      <c r="O548" s="30">
        <f t="shared" si="63"/>
        <v>1.9702013515072716E-3</v>
      </c>
    </row>
    <row r="549" spans="1:15" s="30" customFormat="1">
      <c r="A549" s="27">
        <v>45307</v>
      </c>
      <c r="B549" s="28" t="s">
        <v>542</v>
      </c>
      <c r="C549" s="28">
        <v>604.45000000000005</v>
      </c>
      <c r="D549" s="28" t="s">
        <v>1532</v>
      </c>
      <c r="E549" s="28">
        <v>342.73</v>
      </c>
      <c r="F549" s="28">
        <v>212.4</v>
      </c>
      <c r="G549" s="28" t="s">
        <v>2904</v>
      </c>
      <c r="H549" s="28">
        <v>412.75</v>
      </c>
      <c r="I549" s="30">
        <f t="shared" si="57"/>
        <v>1.6699678521760401E-2</v>
      </c>
      <c r="J549" s="30">
        <f t="shared" si="58"/>
        <v>1.5505479034112212E-2</v>
      </c>
      <c r="K549" s="30">
        <f t="shared" si="59"/>
        <v>1.2369632937614084E-2</v>
      </c>
      <c r="L549" s="30">
        <f t="shared" si="60"/>
        <v>1.4340955173522692E-2</v>
      </c>
      <c r="M549" s="30">
        <f t="shared" si="61"/>
        <v>1.6615620805263593E-2</v>
      </c>
      <c r="N549" s="30">
        <f t="shared" si="62"/>
        <v>-1.5117718260589639E-3</v>
      </c>
      <c r="O549" s="30">
        <f t="shared" si="63"/>
        <v>1.5381162607656096E-2</v>
      </c>
    </row>
    <row r="550" spans="1:15" s="30" customFormat="1">
      <c r="A550" s="27">
        <v>45306</v>
      </c>
      <c r="B550" s="28" t="s">
        <v>543</v>
      </c>
      <c r="C550" s="28">
        <v>602.75</v>
      </c>
      <c r="D550" s="28" t="s">
        <v>1731</v>
      </c>
      <c r="E550" s="28">
        <v>337.1</v>
      </c>
      <c r="F550" s="28">
        <v>208.4</v>
      </c>
      <c r="G550" s="28" t="s">
        <v>2905</v>
      </c>
      <c r="H550" s="28">
        <v>419.4</v>
      </c>
      <c r="I550" s="30">
        <f t="shared" si="57"/>
        <v>-7.0006982210161087E-3</v>
      </c>
      <c r="J550" s="30">
        <f t="shared" si="58"/>
        <v>-2.8164365867205266E-3</v>
      </c>
      <c r="K550" s="30">
        <f t="shared" si="59"/>
        <v>3.0935575606902805E-3</v>
      </c>
      <c r="L550" s="30">
        <f t="shared" si="60"/>
        <v>-1.656334293169132E-2</v>
      </c>
      <c r="M550" s="30">
        <f t="shared" si="61"/>
        <v>-1.901197948857189E-2</v>
      </c>
      <c r="N550" s="30">
        <f t="shared" si="62"/>
        <v>1.5486157735235698E-3</v>
      </c>
      <c r="O550" s="30">
        <f t="shared" si="63"/>
        <v>1.5983035667582184E-2</v>
      </c>
    </row>
    <row r="551" spans="1:15" s="30" customFormat="1">
      <c r="A551" s="27">
        <v>45303</v>
      </c>
      <c r="B551" s="28" t="s">
        <v>544</v>
      </c>
      <c r="C551" s="28">
        <v>595.79999999999995</v>
      </c>
      <c r="D551" s="28" t="s">
        <v>1732</v>
      </c>
      <c r="E551" s="28">
        <v>338.8</v>
      </c>
      <c r="F551" s="28">
        <v>180.55</v>
      </c>
      <c r="G551" s="28" t="s">
        <v>2906</v>
      </c>
      <c r="H551" s="28">
        <v>424.9</v>
      </c>
      <c r="I551" s="30">
        <f t="shared" si="57"/>
        <v>1.1905308425731735E-3</v>
      </c>
      <c r="J551" s="30">
        <f t="shared" si="58"/>
        <v>-1.1597476782098597E-2</v>
      </c>
      <c r="K551" s="30">
        <f t="shared" si="59"/>
        <v>-1.3980160801840773E-2</v>
      </c>
      <c r="L551" s="30">
        <f t="shared" si="60"/>
        <v>5.0303405378841889E-3</v>
      </c>
      <c r="M551" s="30">
        <f t="shared" si="61"/>
        <v>-0.14345156215574512</v>
      </c>
      <c r="N551" s="30">
        <f t="shared" si="62"/>
        <v>-1.960737703445814E-2</v>
      </c>
      <c r="O551" s="30">
        <f t="shared" si="63"/>
        <v>1.3028728652946339E-2</v>
      </c>
    </row>
    <row r="552" spans="1:15" s="30" customFormat="1">
      <c r="A552" s="27">
        <v>45302</v>
      </c>
      <c r="B552" s="28" t="s">
        <v>545</v>
      </c>
      <c r="C552" s="28">
        <v>593.65</v>
      </c>
      <c r="D552" s="28" t="s">
        <v>1567</v>
      </c>
      <c r="E552" s="28">
        <v>337.4</v>
      </c>
      <c r="F552" s="28">
        <v>180.9</v>
      </c>
      <c r="G552" s="28" t="s">
        <v>2907</v>
      </c>
      <c r="H552" s="28">
        <v>431.75</v>
      </c>
      <c r="I552" s="30">
        <f t="shared" si="57"/>
        <v>3.16783694704946E-3</v>
      </c>
      <c r="J552" s="30">
        <f t="shared" si="58"/>
        <v>-3.6151201673806578E-3</v>
      </c>
      <c r="K552" s="30">
        <f t="shared" si="59"/>
        <v>-8.829407337282302E-3</v>
      </c>
      <c r="L552" s="30">
        <f t="shared" si="60"/>
        <v>-4.1407926660314998E-3</v>
      </c>
      <c r="M552" s="30">
        <f t="shared" si="61"/>
        <v>1.9366446777826175E-3</v>
      </c>
      <c r="N552" s="30">
        <f t="shared" si="62"/>
        <v>7.2626854123967561E-3</v>
      </c>
      <c r="O552" s="30">
        <f t="shared" si="63"/>
        <v>1.5992869906022219E-2</v>
      </c>
    </row>
    <row r="553" spans="1:15" s="30" customFormat="1">
      <c r="A553" s="27">
        <v>45301</v>
      </c>
      <c r="B553" s="28" t="s">
        <v>546</v>
      </c>
      <c r="C553" s="28">
        <v>592.65</v>
      </c>
      <c r="D553" s="28" t="s">
        <v>1733</v>
      </c>
      <c r="E553" s="28">
        <v>336.21</v>
      </c>
      <c r="F553" s="28">
        <v>182.7</v>
      </c>
      <c r="G553" s="28" t="s">
        <v>2908</v>
      </c>
      <c r="H553" s="28">
        <v>416.3</v>
      </c>
      <c r="I553" s="30">
        <f t="shared" si="57"/>
        <v>-4.1064327084070466E-4</v>
      </c>
      <c r="J553" s="30">
        <f t="shared" si="58"/>
        <v>-1.6859145862917879E-3</v>
      </c>
      <c r="K553" s="30">
        <f t="shared" si="59"/>
        <v>6.1988918584793135E-3</v>
      </c>
      <c r="L553" s="30">
        <f t="shared" si="60"/>
        <v>-3.5332053798215989E-3</v>
      </c>
      <c r="M553" s="30">
        <f t="shared" si="61"/>
        <v>9.9010709827115368E-3</v>
      </c>
      <c r="N553" s="30">
        <f t="shared" si="62"/>
        <v>-3.7142974606190593E-2</v>
      </c>
      <c r="O553" s="30">
        <f t="shared" si="63"/>
        <v>-3.6440562825858148E-2</v>
      </c>
    </row>
    <row r="554" spans="1:15" s="30" customFormat="1">
      <c r="A554" s="27">
        <v>45300</v>
      </c>
      <c r="B554" s="28" t="s">
        <v>547</v>
      </c>
      <c r="C554" s="28">
        <v>587.9</v>
      </c>
      <c r="D554" s="28" t="s">
        <v>1734</v>
      </c>
      <c r="E554" s="28">
        <v>336.31</v>
      </c>
      <c r="F554" s="28">
        <v>182.9</v>
      </c>
      <c r="G554" s="28" t="s">
        <v>2909</v>
      </c>
      <c r="H554" s="28">
        <v>419</v>
      </c>
      <c r="I554" s="30">
        <f t="shared" si="57"/>
        <v>-5.9044928075588964E-3</v>
      </c>
      <c r="J554" s="30">
        <f t="shared" si="58"/>
        <v>-8.0471401173001274E-3</v>
      </c>
      <c r="K554" s="30">
        <f t="shared" si="59"/>
        <v>6.3620512494078239E-3</v>
      </c>
      <c r="L554" s="30">
        <f t="shared" si="60"/>
        <v>2.973889274283032E-4</v>
      </c>
      <c r="M554" s="30">
        <f t="shared" si="61"/>
        <v>1.0940920128590542E-3</v>
      </c>
      <c r="N554" s="30">
        <f t="shared" si="62"/>
        <v>7.8471091839356077E-3</v>
      </c>
      <c r="O554" s="30">
        <f t="shared" si="63"/>
        <v>6.4647657212078893E-3</v>
      </c>
    </row>
    <row r="555" spans="1:15" s="30" customFormat="1">
      <c r="A555" s="27">
        <v>45299</v>
      </c>
      <c r="B555" s="28" t="s">
        <v>548</v>
      </c>
      <c r="C555" s="28">
        <v>578.85</v>
      </c>
      <c r="D555" s="28" t="s">
        <v>1735</v>
      </c>
      <c r="E555" s="28">
        <v>335.41</v>
      </c>
      <c r="F555" s="28">
        <v>183.7</v>
      </c>
      <c r="G555" s="28" t="s">
        <v>2910</v>
      </c>
      <c r="H555" s="28">
        <v>419.55</v>
      </c>
      <c r="I555" s="30">
        <f t="shared" si="57"/>
        <v>9.4123358943133794E-3</v>
      </c>
      <c r="J555" s="30">
        <f t="shared" si="58"/>
        <v>-1.5513488756471671E-2</v>
      </c>
      <c r="K555" s="30">
        <f t="shared" si="59"/>
        <v>-3.4958018793985507E-3</v>
      </c>
      <c r="L555" s="30">
        <f t="shared" si="60"/>
        <v>-2.6796895687343555E-3</v>
      </c>
      <c r="M555" s="30">
        <f t="shared" si="61"/>
        <v>4.3644368242598645E-3</v>
      </c>
      <c r="N555" s="30">
        <f t="shared" si="62"/>
        <v>-3.0389898559403813E-3</v>
      </c>
      <c r="O555" s="30">
        <f t="shared" si="63"/>
        <v>1.3117883939406591E-3</v>
      </c>
    </row>
    <row r="556" spans="1:15" s="30" customFormat="1">
      <c r="A556" s="27">
        <v>45296</v>
      </c>
      <c r="B556" s="28" t="s">
        <v>549</v>
      </c>
      <c r="C556" s="28">
        <v>596.35</v>
      </c>
      <c r="D556" s="28" t="s">
        <v>1736</v>
      </c>
      <c r="E556" s="28">
        <v>335.21</v>
      </c>
      <c r="F556" s="28">
        <v>184.2</v>
      </c>
      <c r="G556" s="28" t="s">
        <v>2911</v>
      </c>
      <c r="H556" s="28">
        <v>427.8</v>
      </c>
      <c r="I556" s="30">
        <f t="shared" si="57"/>
        <v>1.7178189003541761E-2</v>
      </c>
      <c r="J556" s="30">
        <f t="shared" si="58"/>
        <v>2.9784366372940588E-2</v>
      </c>
      <c r="K556" s="30">
        <f t="shared" si="59"/>
        <v>9.2839974397082078E-3</v>
      </c>
      <c r="L556" s="30">
        <f t="shared" si="60"/>
        <v>-5.9646299224455559E-4</v>
      </c>
      <c r="M556" s="30">
        <f t="shared" si="61"/>
        <v>2.7181316001264741E-3</v>
      </c>
      <c r="N556" s="30">
        <f t="shared" si="62"/>
        <v>2.4132408496006504E-2</v>
      </c>
      <c r="O556" s="30">
        <f t="shared" si="63"/>
        <v>1.9473088332226825E-2</v>
      </c>
    </row>
    <row r="557" spans="1:15" s="30" customFormat="1">
      <c r="A557" s="27">
        <v>45295</v>
      </c>
      <c r="B557" s="28" t="s">
        <v>550</v>
      </c>
      <c r="C557" s="28">
        <v>598.45000000000005</v>
      </c>
      <c r="D557" s="28" t="s">
        <v>1737</v>
      </c>
      <c r="E557" s="28">
        <v>332.08</v>
      </c>
      <c r="F557" s="28">
        <v>178.75</v>
      </c>
      <c r="G557" s="28" t="s">
        <v>2912</v>
      </c>
      <c r="H557" s="28">
        <v>412.55</v>
      </c>
      <c r="I557" s="30">
        <f t="shared" si="57"/>
        <v>7.245225072008094E-3</v>
      </c>
      <c r="J557" s="30">
        <f t="shared" si="58"/>
        <v>3.5152362947015641E-3</v>
      </c>
      <c r="K557" s="30">
        <f t="shared" si="59"/>
        <v>-2.6390087303952239E-3</v>
      </c>
      <c r="L557" s="30">
        <f t="shared" si="60"/>
        <v>-9.3812973537123791E-3</v>
      </c>
      <c r="M557" s="30">
        <f t="shared" si="61"/>
        <v>-3.0033942247089333E-2</v>
      </c>
      <c r="N557" s="30">
        <f t="shared" si="62"/>
        <v>-2.7680245141177623E-3</v>
      </c>
      <c r="O557" s="30">
        <f t="shared" si="63"/>
        <v>-3.629838609795303E-2</v>
      </c>
    </row>
    <row r="558" spans="1:15" s="30" customFormat="1">
      <c r="A558" s="27">
        <v>45294</v>
      </c>
      <c r="B558" s="28" t="s">
        <v>551</v>
      </c>
      <c r="C558" s="28">
        <v>598.15</v>
      </c>
      <c r="D558" s="28" t="s">
        <v>1738</v>
      </c>
      <c r="E558" s="28">
        <v>333.52</v>
      </c>
      <c r="F558" s="28">
        <v>179.65</v>
      </c>
      <c r="G558" s="28" t="s">
        <v>2913</v>
      </c>
      <c r="H558" s="28">
        <v>413.75</v>
      </c>
      <c r="I558" s="30">
        <f t="shared" si="57"/>
        <v>-1.8804930358900722E-3</v>
      </c>
      <c r="J558" s="30">
        <f t="shared" si="58"/>
        <v>-5.0142070246634912E-4</v>
      </c>
      <c r="K558" s="30">
        <f t="shared" si="59"/>
        <v>-2.9814269274926293E-3</v>
      </c>
      <c r="L558" s="30">
        <f t="shared" si="60"/>
        <v>4.3269298277580585E-3</v>
      </c>
      <c r="M558" s="30">
        <f t="shared" si="61"/>
        <v>5.0223319854106989E-3</v>
      </c>
      <c r="N558" s="30">
        <f t="shared" si="62"/>
        <v>1.1313070379355917E-4</v>
      </c>
      <c r="O558" s="30">
        <f t="shared" si="63"/>
        <v>2.9045161409203954E-3</v>
      </c>
    </row>
    <row r="559" spans="1:15" s="30" customFormat="1">
      <c r="A559" s="27">
        <v>45293</v>
      </c>
      <c r="B559" s="28" t="s">
        <v>552</v>
      </c>
      <c r="C559" s="28">
        <v>604.35</v>
      </c>
      <c r="D559" s="28" t="s">
        <v>1739</v>
      </c>
      <c r="E559" s="28">
        <v>335.61</v>
      </c>
      <c r="F559" s="28">
        <v>179.95</v>
      </c>
      <c r="G559" s="28" t="s">
        <v>2914</v>
      </c>
      <c r="H559" s="28">
        <v>410.25</v>
      </c>
      <c r="I559" s="30">
        <f t="shared" si="57"/>
        <v>5.2476487580847544E-3</v>
      </c>
      <c r="J559" s="30">
        <f t="shared" si="58"/>
        <v>1.0311941688552815E-2</v>
      </c>
      <c r="K559" s="30">
        <f t="shared" si="59"/>
        <v>-5.5172553747545169E-3</v>
      </c>
      <c r="L559" s="30">
        <f t="shared" si="60"/>
        <v>6.246937954407358E-3</v>
      </c>
      <c r="M559" s="30">
        <f t="shared" si="61"/>
        <v>1.6685209655117998E-3</v>
      </c>
      <c r="N559" s="30">
        <f t="shared" si="62"/>
        <v>-1.0728740411513752E-2</v>
      </c>
      <c r="O559" s="30">
        <f t="shared" si="63"/>
        <v>-8.4951967210723529E-3</v>
      </c>
    </row>
    <row r="560" spans="1:15" s="30" customFormat="1">
      <c r="A560" s="27">
        <v>45292</v>
      </c>
      <c r="B560" s="28" t="s">
        <v>553</v>
      </c>
      <c r="C560" s="28">
        <v>603.85</v>
      </c>
      <c r="D560" s="28" t="s">
        <v>1740</v>
      </c>
      <c r="E560" s="28">
        <v>331.03</v>
      </c>
      <c r="F560" s="28">
        <v>178.8</v>
      </c>
      <c r="G560" s="28" t="s">
        <v>2915</v>
      </c>
      <c r="H560" s="28">
        <v>406.45</v>
      </c>
      <c r="I560" s="30">
        <f t="shared" si="57"/>
        <v>1.3996422148043368E-3</v>
      </c>
      <c r="J560" s="30">
        <f t="shared" si="58"/>
        <v>-8.2767758408169812E-4</v>
      </c>
      <c r="K560" s="30">
        <f t="shared" si="59"/>
        <v>7.4277317313472847E-3</v>
      </c>
      <c r="L560" s="30">
        <f t="shared" si="60"/>
        <v>-1.3740765815851241E-2</v>
      </c>
      <c r="M560" s="30">
        <f t="shared" si="61"/>
        <v>-6.4111717856257643E-3</v>
      </c>
      <c r="N560" s="30">
        <f t="shared" si="62"/>
        <v>-1.1384667581141032E-2</v>
      </c>
      <c r="O560" s="30">
        <f t="shared" si="63"/>
        <v>-9.3058097776189414E-3</v>
      </c>
    </row>
    <row r="561" spans="1:15" s="30" customFormat="1">
      <c r="A561" s="27">
        <v>45289</v>
      </c>
      <c r="B561" s="28" t="s">
        <v>554</v>
      </c>
      <c r="C561" s="28">
        <v>604.65</v>
      </c>
      <c r="D561" s="28" t="s">
        <v>1741</v>
      </c>
      <c r="E561" s="28">
        <v>331.78</v>
      </c>
      <c r="F561" s="28">
        <v>177.7</v>
      </c>
      <c r="G561" s="28" t="s">
        <v>2916</v>
      </c>
      <c r="H561" s="28">
        <v>409.85</v>
      </c>
      <c r="I561" s="30">
        <f t="shared" si="57"/>
        <v>1.8533505341845936E-3</v>
      </c>
      <c r="J561" s="30">
        <f t="shared" si="58"/>
        <v>1.3239555099002127E-3</v>
      </c>
      <c r="K561" s="30">
        <f t="shared" si="59"/>
        <v>-1.8098339223026531E-3</v>
      </c>
      <c r="L561" s="30">
        <f t="shared" si="60"/>
        <v>2.2630929530313621E-3</v>
      </c>
      <c r="M561" s="30">
        <f t="shared" si="61"/>
        <v>-6.1711275788082116E-3</v>
      </c>
      <c r="N561" s="30">
        <f t="shared" si="62"/>
        <v>5.190921795618161E-3</v>
      </c>
      <c r="O561" s="30">
        <f t="shared" si="63"/>
        <v>8.3303189064584844E-3</v>
      </c>
    </row>
    <row r="562" spans="1:15" s="30" customFormat="1">
      <c r="A562" s="27">
        <v>45288</v>
      </c>
      <c r="B562" s="28" t="s">
        <v>555</v>
      </c>
      <c r="C562" s="28">
        <v>596.1</v>
      </c>
      <c r="D562" s="28" t="s">
        <v>1742</v>
      </c>
      <c r="E562" s="28">
        <v>331.63</v>
      </c>
      <c r="F562" s="28">
        <v>178.8</v>
      </c>
      <c r="G562" s="28" t="s">
        <v>2292</v>
      </c>
      <c r="H562" s="28">
        <v>406.2</v>
      </c>
      <c r="I562" s="30">
        <f t="shared" si="57"/>
        <v>-1.5147841388170324E-3</v>
      </c>
      <c r="J562" s="30">
        <f t="shared" si="58"/>
        <v>-1.4241340005403511E-2</v>
      </c>
      <c r="K562" s="30">
        <f t="shared" si="59"/>
        <v>-2.1828570501110454E-3</v>
      </c>
      <c r="L562" s="30">
        <f t="shared" si="60"/>
        <v>-4.5220904887216485E-4</v>
      </c>
      <c r="M562" s="30">
        <f t="shared" si="61"/>
        <v>6.1711275788083036E-3</v>
      </c>
      <c r="N562" s="30">
        <f t="shared" si="62"/>
        <v>-1.0971005354314224E-2</v>
      </c>
      <c r="O562" s="30">
        <f t="shared" si="63"/>
        <v>-8.9455899527554408E-3</v>
      </c>
    </row>
    <row r="563" spans="1:15" s="30" customFormat="1">
      <c r="A563" s="27">
        <v>45287</v>
      </c>
      <c r="B563" s="28" t="s">
        <v>556</v>
      </c>
      <c r="C563" s="28">
        <v>584.54999999999995</v>
      </c>
      <c r="D563" s="28" t="s">
        <v>1743</v>
      </c>
      <c r="E563" s="28">
        <v>336.06</v>
      </c>
      <c r="F563" s="28">
        <v>180.15</v>
      </c>
      <c r="G563" s="28" t="s">
        <v>2917</v>
      </c>
      <c r="H563" s="28">
        <v>411.85</v>
      </c>
      <c r="I563" s="30">
        <f t="shared" si="57"/>
        <v>2.1171185701558603E-3</v>
      </c>
      <c r="J563" s="30">
        <f t="shared" si="58"/>
        <v>-1.9566117773053018E-2</v>
      </c>
      <c r="K563" s="30">
        <f t="shared" si="59"/>
        <v>7.4690950618637071E-3</v>
      </c>
      <c r="L563" s="30">
        <f t="shared" si="60"/>
        <v>1.3269825834539187E-2</v>
      </c>
      <c r="M563" s="30">
        <f t="shared" si="61"/>
        <v>7.5219744546884751E-3</v>
      </c>
      <c r="N563" s="30">
        <f t="shared" si="62"/>
        <v>-4.2661289405766133E-4</v>
      </c>
      <c r="O563" s="30">
        <f t="shared" si="63"/>
        <v>1.3813556240973612E-2</v>
      </c>
    </row>
    <row r="564" spans="1:15" s="30" customFormat="1">
      <c r="A564" s="27">
        <v>45286</v>
      </c>
      <c r="B564" s="28" t="s">
        <v>557</v>
      </c>
      <c r="C564" s="28">
        <v>587.79999999999995</v>
      </c>
      <c r="D564" s="28" t="s">
        <v>1559</v>
      </c>
      <c r="E564" s="28">
        <v>323.81</v>
      </c>
      <c r="F564" s="28">
        <v>180.5</v>
      </c>
      <c r="G564" s="28" t="s">
        <v>2918</v>
      </c>
      <c r="H564" s="28">
        <v>411.7</v>
      </c>
      <c r="I564" s="30">
        <f t="shared" si="57"/>
        <v>-6.2170564726978014E-3</v>
      </c>
      <c r="J564" s="30">
        <f t="shared" si="58"/>
        <v>5.5444335319889768E-3</v>
      </c>
      <c r="K564" s="30">
        <f t="shared" si="59"/>
        <v>-2.0122352722180822E-2</v>
      </c>
      <c r="L564" s="30">
        <f t="shared" si="60"/>
        <v>-3.7132791421866845E-2</v>
      </c>
      <c r="M564" s="30">
        <f t="shared" si="61"/>
        <v>1.9409405788332747E-3</v>
      </c>
      <c r="N564" s="30">
        <f t="shared" si="62"/>
        <v>-8.3359784672330933E-3</v>
      </c>
      <c r="O564" s="30">
        <f t="shared" si="63"/>
        <v>-3.642766113988581E-4</v>
      </c>
    </row>
    <row r="565" spans="1:15" s="30" customFormat="1">
      <c r="A565" s="27">
        <v>45282</v>
      </c>
      <c r="B565" s="28" t="s">
        <v>558</v>
      </c>
      <c r="C565" s="28">
        <v>583.15</v>
      </c>
      <c r="D565" s="28" t="s">
        <v>1744</v>
      </c>
      <c r="E565" s="28">
        <v>321.02999999999997</v>
      </c>
      <c r="F565" s="28">
        <v>181.4</v>
      </c>
      <c r="G565" s="28" t="s">
        <v>2919</v>
      </c>
      <c r="H565" s="28">
        <v>399.35</v>
      </c>
      <c r="I565" s="30">
        <f t="shared" si="57"/>
        <v>-1.2506390097493547E-2</v>
      </c>
      <c r="J565" s="30">
        <f t="shared" si="58"/>
        <v>-7.9423108477580905E-3</v>
      </c>
      <c r="K565" s="30">
        <f t="shared" si="59"/>
        <v>-2.0108044878321876E-3</v>
      </c>
      <c r="L565" s="30">
        <f t="shared" si="60"/>
        <v>-8.6223473209095583E-3</v>
      </c>
      <c r="M565" s="30">
        <f t="shared" si="61"/>
        <v>4.9737599081007026E-3</v>
      </c>
      <c r="N565" s="30">
        <f t="shared" si="62"/>
        <v>3.6506722048549947E-3</v>
      </c>
      <c r="O565" s="30">
        <f t="shared" si="63"/>
        <v>-3.0456703412460977E-2</v>
      </c>
    </row>
    <row r="566" spans="1:15" s="30" customFormat="1">
      <c r="A566" s="27">
        <v>45281</v>
      </c>
      <c r="B566" s="28" t="s">
        <v>559</v>
      </c>
      <c r="C566" s="28">
        <v>574.15</v>
      </c>
      <c r="D566" s="28" t="s">
        <v>1745</v>
      </c>
      <c r="E566" s="28">
        <v>320.58</v>
      </c>
      <c r="F566" s="28">
        <v>181.2</v>
      </c>
      <c r="G566" s="28" t="s">
        <v>2920</v>
      </c>
      <c r="H566" s="28">
        <v>396.7</v>
      </c>
      <c r="I566" s="30">
        <f t="shared" si="57"/>
        <v>-1.1543944277916043E-2</v>
      </c>
      <c r="J566" s="30">
        <f t="shared" si="58"/>
        <v>-1.5553756914860615E-2</v>
      </c>
      <c r="K566" s="30">
        <f t="shared" si="59"/>
        <v>-1.4916928942692352E-2</v>
      </c>
      <c r="L566" s="30">
        <f t="shared" si="60"/>
        <v>-1.4027215092845002E-3</v>
      </c>
      <c r="M566" s="30">
        <f t="shared" si="61"/>
        <v>-1.1031440721573171E-3</v>
      </c>
      <c r="N566" s="30">
        <f t="shared" si="62"/>
        <v>1.487411734096325E-2</v>
      </c>
      <c r="O566" s="30">
        <f t="shared" si="63"/>
        <v>-6.6578978431135489E-3</v>
      </c>
    </row>
    <row r="567" spans="1:15" s="30" customFormat="1">
      <c r="A567" s="27">
        <v>45280</v>
      </c>
      <c r="B567" s="28" t="s">
        <v>560</v>
      </c>
      <c r="C567" s="28">
        <v>572.54999999999995</v>
      </c>
      <c r="D567" s="28" t="s">
        <v>1746</v>
      </c>
      <c r="E567" s="28">
        <v>320.48</v>
      </c>
      <c r="F567" s="28">
        <v>180.1</v>
      </c>
      <c r="G567" s="28" t="s">
        <v>2921</v>
      </c>
      <c r="H567" s="28">
        <v>400.7</v>
      </c>
      <c r="I567" s="30">
        <f t="shared" si="57"/>
        <v>-1.7575495804630196E-3</v>
      </c>
      <c r="J567" s="30">
        <f t="shared" si="58"/>
        <v>-2.7906183628499223E-3</v>
      </c>
      <c r="K567" s="30">
        <f t="shared" si="59"/>
        <v>-1.9063800161916661E-3</v>
      </c>
      <c r="L567" s="30">
        <f t="shared" si="60"/>
        <v>-3.1198328022676394E-4</v>
      </c>
      <c r="M567" s="30">
        <f t="shared" si="61"/>
        <v>-6.0891414269685362E-3</v>
      </c>
      <c r="N567" s="30">
        <f t="shared" si="62"/>
        <v>-1.0363387005008244E-2</v>
      </c>
      <c r="O567" s="30">
        <f t="shared" si="63"/>
        <v>1.003269012181443E-2</v>
      </c>
    </row>
    <row r="568" spans="1:15" s="30" customFormat="1">
      <c r="A568" s="27">
        <v>45279</v>
      </c>
      <c r="B568" s="28" t="s">
        <v>561</v>
      </c>
      <c r="C568" s="28">
        <v>593.25</v>
      </c>
      <c r="D568" s="28" t="s">
        <v>1747</v>
      </c>
      <c r="E568" s="28">
        <v>330.09</v>
      </c>
      <c r="F568" s="28">
        <v>182.35</v>
      </c>
      <c r="G568" s="28" t="s">
        <v>2922</v>
      </c>
      <c r="H568" s="28">
        <v>407.3</v>
      </c>
      <c r="I568" s="30">
        <f t="shared" si="57"/>
        <v>1.1729013433718389E-2</v>
      </c>
      <c r="J568" s="30">
        <f t="shared" si="58"/>
        <v>3.5515827456524582E-2</v>
      </c>
      <c r="K568" s="30">
        <f t="shared" si="59"/>
        <v>2.656689744271044E-2</v>
      </c>
      <c r="L568" s="30">
        <f t="shared" si="60"/>
        <v>2.9545472632422784E-2</v>
      </c>
      <c r="M568" s="30">
        <f t="shared" si="61"/>
        <v>1.2415665072778824E-2</v>
      </c>
      <c r="N568" s="30">
        <f t="shared" si="62"/>
        <v>1.1495487940458566E-2</v>
      </c>
      <c r="O568" s="30">
        <f t="shared" si="63"/>
        <v>1.6336997012268168E-2</v>
      </c>
    </row>
    <row r="569" spans="1:15" s="30" customFormat="1">
      <c r="A569" s="27">
        <v>45278</v>
      </c>
      <c r="B569" s="28" t="s">
        <v>562</v>
      </c>
      <c r="C569" s="28">
        <v>593.35</v>
      </c>
      <c r="D569" s="28" t="s">
        <v>1748</v>
      </c>
      <c r="E569" s="28">
        <v>330.73</v>
      </c>
      <c r="F569" s="28">
        <v>180.9</v>
      </c>
      <c r="G569" s="28" t="s">
        <v>2923</v>
      </c>
      <c r="H569" s="28">
        <v>405.25</v>
      </c>
      <c r="I569" s="30">
        <f t="shared" si="57"/>
        <v>-1.1997421993652738E-3</v>
      </c>
      <c r="J569" s="30">
        <f t="shared" si="58"/>
        <v>1.6854879527507019E-4</v>
      </c>
      <c r="K569" s="30">
        <f t="shared" si="59"/>
        <v>2.0924746075595556E-3</v>
      </c>
      <c r="L569" s="30">
        <f t="shared" si="60"/>
        <v>1.9369879849354694E-3</v>
      </c>
      <c r="M569" s="30">
        <f t="shared" si="61"/>
        <v>-7.9835248534397309E-3</v>
      </c>
      <c r="N569" s="30">
        <f t="shared" si="62"/>
        <v>-2.2849935105288845E-2</v>
      </c>
      <c r="O569" s="30">
        <f t="shared" si="63"/>
        <v>-5.0458540385814824E-3</v>
      </c>
    </row>
    <row r="570" spans="1:15" s="30" customFormat="1">
      <c r="A570" s="27">
        <v>45275</v>
      </c>
      <c r="B570" s="28" t="s">
        <v>563</v>
      </c>
      <c r="C570" s="28">
        <v>585.79999999999995</v>
      </c>
      <c r="D570" s="28" t="s">
        <v>1749</v>
      </c>
      <c r="E570" s="28">
        <v>331.43</v>
      </c>
      <c r="F570" s="28">
        <v>181.9</v>
      </c>
      <c r="G570" s="28" t="s">
        <v>2924</v>
      </c>
      <c r="H570" s="28">
        <v>390.4</v>
      </c>
      <c r="I570" s="30">
        <f t="shared" si="57"/>
        <v>-5.4619866603995773E-3</v>
      </c>
      <c r="J570" s="30">
        <f t="shared" si="58"/>
        <v>-1.2806009717515082E-2</v>
      </c>
      <c r="K570" s="30">
        <f t="shared" si="59"/>
        <v>-2.8022098385281128E-3</v>
      </c>
      <c r="L570" s="30">
        <f t="shared" si="60"/>
        <v>2.1142934057139517E-3</v>
      </c>
      <c r="M570" s="30">
        <f t="shared" si="61"/>
        <v>5.5126931228270948E-3</v>
      </c>
      <c r="N570" s="30">
        <f t="shared" si="62"/>
        <v>2.3125475754997853E-3</v>
      </c>
      <c r="O570" s="30">
        <f t="shared" si="63"/>
        <v>-3.7332306076848135E-2</v>
      </c>
    </row>
    <row r="571" spans="1:15" s="30" customFormat="1">
      <c r="A571" s="27">
        <v>45274</v>
      </c>
      <c r="B571" s="28" t="s">
        <v>564</v>
      </c>
      <c r="C571" s="28">
        <v>580.04999999999995</v>
      </c>
      <c r="D571" s="28" t="s">
        <v>1750</v>
      </c>
      <c r="E571" s="28">
        <v>326.39999999999998</v>
      </c>
      <c r="F571" s="28">
        <v>181.2</v>
      </c>
      <c r="G571" s="28" t="s">
        <v>2925</v>
      </c>
      <c r="H571" s="28">
        <v>391.45</v>
      </c>
      <c r="I571" s="30">
        <f t="shared" si="57"/>
        <v>-2.2135833844554535E-2</v>
      </c>
      <c r="J571" s="30">
        <f t="shared" si="58"/>
        <v>-9.864127672217355E-3</v>
      </c>
      <c r="K571" s="30">
        <f t="shared" si="59"/>
        <v>-9.7164005457541103E-3</v>
      </c>
      <c r="L571" s="30">
        <f t="shared" si="60"/>
        <v>-1.529300285062855E-2</v>
      </c>
      <c r="M571" s="30">
        <f t="shared" si="61"/>
        <v>-3.8556919151977133E-3</v>
      </c>
      <c r="N571" s="30">
        <f t="shared" si="62"/>
        <v>-1.4333417714641448E-2</v>
      </c>
      <c r="O571" s="30">
        <f t="shared" si="63"/>
        <v>2.6859388149857288E-3</v>
      </c>
    </row>
    <row r="572" spans="1:15" s="30" customFormat="1">
      <c r="A572" s="27">
        <v>45273</v>
      </c>
      <c r="B572" s="28" t="s">
        <v>565</v>
      </c>
      <c r="C572" s="28">
        <v>571.1</v>
      </c>
      <c r="D572" s="28" t="s">
        <v>1751</v>
      </c>
      <c r="E572" s="28">
        <v>325.89999999999998</v>
      </c>
      <c r="F572" s="28">
        <v>180.9</v>
      </c>
      <c r="G572" s="28" t="s">
        <v>2926</v>
      </c>
      <c r="H572" s="28">
        <v>392.7</v>
      </c>
      <c r="I572" s="30">
        <f t="shared" si="57"/>
        <v>7.0932925102146303E-4</v>
      </c>
      <c r="J572" s="30">
        <f t="shared" si="58"/>
        <v>-1.5549981050598441E-2</v>
      </c>
      <c r="K572" s="30">
        <f t="shared" si="59"/>
        <v>5.801948934963042E-4</v>
      </c>
      <c r="L572" s="30">
        <f t="shared" si="60"/>
        <v>-1.5330372464361362E-3</v>
      </c>
      <c r="M572" s="30">
        <f t="shared" si="61"/>
        <v>-1.6570012076294581E-3</v>
      </c>
      <c r="N572" s="30">
        <f t="shared" si="62"/>
        <v>-4.2785709194024047E-3</v>
      </c>
      <c r="O572" s="30">
        <f t="shared" si="63"/>
        <v>3.1881682300408058E-3</v>
      </c>
    </row>
    <row r="573" spans="1:15" s="30" customFormat="1">
      <c r="A573" s="27">
        <v>45272</v>
      </c>
      <c r="B573" s="28" t="s">
        <v>566</v>
      </c>
      <c r="C573" s="28">
        <v>571.04999999999995</v>
      </c>
      <c r="D573" s="28" t="s">
        <v>1613</v>
      </c>
      <c r="E573" s="28">
        <v>325.31</v>
      </c>
      <c r="F573" s="28">
        <v>179.85</v>
      </c>
      <c r="G573" s="28" t="s">
        <v>2927</v>
      </c>
      <c r="H573" s="28">
        <v>397.4</v>
      </c>
      <c r="I573" s="30">
        <f t="shared" si="57"/>
        <v>-5.8438110773672341E-3</v>
      </c>
      <c r="J573" s="30">
        <f t="shared" si="58"/>
        <v>-8.755417420132533E-5</v>
      </c>
      <c r="K573" s="30">
        <f t="shared" si="59"/>
        <v>2.6237343614348456E-3</v>
      </c>
      <c r="L573" s="30">
        <f t="shared" si="60"/>
        <v>-1.8120119821046572E-3</v>
      </c>
      <c r="M573" s="30">
        <f t="shared" si="61"/>
        <v>-5.8212222596165366E-3</v>
      </c>
      <c r="N573" s="30">
        <f t="shared" si="62"/>
        <v>3.6230481165120138E-3</v>
      </c>
      <c r="O573" s="30">
        <f t="shared" si="63"/>
        <v>1.1897368533752594E-2</v>
      </c>
    </row>
    <row r="574" spans="1:15" s="30" customFormat="1">
      <c r="A574" s="27">
        <v>45271</v>
      </c>
      <c r="B574" s="28" t="s">
        <v>567</v>
      </c>
      <c r="C574" s="28">
        <v>576.5</v>
      </c>
      <c r="D574" s="28" t="s">
        <v>1752</v>
      </c>
      <c r="E574" s="28">
        <v>329.24</v>
      </c>
      <c r="F574" s="28">
        <v>180.75</v>
      </c>
      <c r="G574" s="28" t="s">
        <v>2928</v>
      </c>
      <c r="H574" s="28">
        <v>388.75</v>
      </c>
      <c r="I574" s="30">
        <f t="shared" si="57"/>
        <v>2.555070880187609E-3</v>
      </c>
      <c r="J574" s="30">
        <f t="shared" si="58"/>
        <v>9.4985682124976677E-3</v>
      </c>
      <c r="K574" s="30">
        <f t="shared" si="59"/>
        <v>2.27740202784867E-3</v>
      </c>
      <c r="L574" s="30">
        <f t="shared" si="60"/>
        <v>1.2008394243032187E-2</v>
      </c>
      <c r="M574" s="30">
        <f t="shared" si="61"/>
        <v>4.9916908972411963E-3</v>
      </c>
      <c r="N574" s="30">
        <f t="shared" si="62"/>
        <v>2.1040938327648822E-3</v>
      </c>
      <c r="O574" s="30">
        <f t="shared" si="63"/>
        <v>-2.200686662427254E-2</v>
      </c>
    </row>
    <row r="575" spans="1:15" s="30" customFormat="1">
      <c r="A575" s="27">
        <v>45268</v>
      </c>
      <c r="B575" s="28" t="s">
        <v>568</v>
      </c>
      <c r="C575" s="28">
        <v>578.95000000000005</v>
      </c>
      <c r="D575" s="28" t="s">
        <v>1753</v>
      </c>
      <c r="E575" s="28">
        <v>328.89</v>
      </c>
      <c r="F575" s="28">
        <v>181.8</v>
      </c>
      <c r="G575" s="28" t="s">
        <v>2929</v>
      </c>
      <c r="H575" s="28">
        <v>392.2</v>
      </c>
      <c r="I575" s="30">
        <f t="shared" si="57"/>
        <v>-3.0935808444713768E-4</v>
      </c>
      <c r="J575" s="30">
        <f t="shared" si="58"/>
        <v>4.240778349168489E-3</v>
      </c>
      <c r="K575" s="30">
        <f t="shared" si="59"/>
        <v>1.1041254774259806E-2</v>
      </c>
      <c r="L575" s="30">
        <f t="shared" si="60"/>
        <v>-1.0636197498849812E-3</v>
      </c>
      <c r="M575" s="30">
        <f t="shared" si="61"/>
        <v>5.7923207045043707E-3</v>
      </c>
      <c r="N575" s="30">
        <f t="shared" si="62"/>
        <v>1.5777790315783392E-2</v>
      </c>
      <c r="O575" s="30">
        <f t="shared" si="63"/>
        <v>8.8354502688018904E-3</v>
      </c>
    </row>
    <row r="576" spans="1:15" s="30" customFormat="1">
      <c r="A576" s="27">
        <v>45267</v>
      </c>
      <c r="B576" s="28" t="s">
        <v>569</v>
      </c>
      <c r="C576" s="28">
        <v>588.54999999999995</v>
      </c>
      <c r="D576" s="28" t="s">
        <v>1754</v>
      </c>
      <c r="E576" s="28">
        <v>332.42</v>
      </c>
      <c r="F576" s="28">
        <v>180.5</v>
      </c>
      <c r="G576" s="28" t="s">
        <v>2930</v>
      </c>
      <c r="H576" s="28">
        <v>390.9</v>
      </c>
      <c r="I576" s="30">
        <f t="shared" si="57"/>
        <v>6.1075485204688407E-3</v>
      </c>
      <c r="J576" s="30">
        <f t="shared" si="58"/>
        <v>1.6445766800207352E-2</v>
      </c>
      <c r="K576" s="30">
        <f t="shared" si="59"/>
        <v>1.4764112473177706E-3</v>
      </c>
      <c r="L576" s="30">
        <f t="shared" si="60"/>
        <v>1.0675881288405778E-2</v>
      </c>
      <c r="M576" s="30">
        <f t="shared" si="61"/>
        <v>-7.1764039704429166E-3</v>
      </c>
      <c r="N576" s="30">
        <f t="shared" si="62"/>
        <v>1.1565982495819693E-2</v>
      </c>
      <c r="O576" s="30">
        <f t="shared" si="63"/>
        <v>-3.320140963336814E-3</v>
      </c>
    </row>
    <row r="577" spans="1:15" s="30" customFormat="1">
      <c r="A577" s="27">
        <v>45266</v>
      </c>
      <c r="B577" s="28" t="s">
        <v>570</v>
      </c>
      <c r="C577" s="28">
        <v>578.85</v>
      </c>
      <c r="D577" s="28" t="s">
        <v>1755</v>
      </c>
      <c r="E577" s="28">
        <v>327.2</v>
      </c>
      <c r="F577" s="28">
        <v>181.7</v>
      </c>
      <c r="G577" s="28" t="s">
        <v>2931</v>
      </c>
      <c r="H577" s="28">
        <v>388.05</v>
      </c>
      <c r="I577" s="30">
        <f t="shared" si="57"/>
        <v>2.306148972069354E-4</v>
      </c>
      <c r="J577" s="30">
        <f t="shared" si="58"/>
        <v>-1.6618508206752043E-2</v>
      </c>
      <c r="K577" s="30">
        <f t="shared" si="59"/>
        <v>2.6453713084564389E-3</v>
      </c>
      <c r="L577" s="30">
        <f t="shared" si="60"/>
        <v>-1.5827624914372108E-2</v>
      </c>
      <c r="M577" s="30">
        <f t="shared" si="61"/>
        <v>6.6261976291897831E-3</v>
      </c>
      <c r="N577" s="30">
        <f t="shared" si="62"/>
        <v>-2.6590551765090155E-2</v>
      </c>
      <c r="O577" s="30">
        <f t="shared" si="63"/>
        <v>-7.3175754987612083E-3</v>
      </c>
    </row>
    <row r="578" spans="1:15" s="30" customFormat="1">
      <c r="A578" s="27">
        <v>45265</v>
      </c>
      <c r="B578" s="28" t="s">
        <v>571</v>
      </c>
      <c r="C578" s="28">
        <v>588</v>
      </c>
      <c r="D578" s="28" t="s">
        <v>1756</v>
      </c>
      <c r="E578" s="28">
        <v>321.08</v>
      </c>
      <c r="F578" s="28">
        <v>188.9</v>
      </c>
      <c r="G578" s="28" t="s">
        <v>2932</v>
      </c>
      <c r="H578" s="28">
        <v>387.15</v>
      </c>
      <c r="I578" s="30">
        <f t="shared" si="57"/>
        <v>-8.1188320258380499E-3</v>
      </c>
      <c r="J578" s="30">
        <f t="shared" si="58"/>
        <v>1.568357124688937E-2</v>
      </c>
      <c r="K578" s="30">
        <f t="shared" si="59"/>
        <v>1.2726749722826419E-2</v>
      </c>
      <c r="L578" s="30">
        <f t="shared" si="60"/>
        <v>-1.8881291465215919E-2</v>
      </c>
      <c r="M578" s="30">
        <f t="shared" si="61"/>
        <v>3.8860799105338434E-2</v>
      </c>
      <c r="N578" s="30">
        <f t="shared" si="62"/>
        <v>-1.0436886421019939E-2</v>
      </c>
      <c r="O578" s="30">
        <f t="shared" si="63"/>
        <v>-2.3219824674153102E-3</v>
      </c>
    </row>
    <row r="579" spans="1:15" s="30" customFormat="1">
      <c r="A579" s="27">
        <v>45264</v>
      </c>
      <c r="B579" s="28" t="s">
        <v>572</v>
      </c>
      <c r="C579" s="28">
        <v>585.6</v>
      </c>
      <c r="D579" s="28" t="s">
        <v>1757</v>
      </c>
      <c r="E579" s="28">
        <v>318.04000000000002</v>
      </c>
      <c r="F579" s="28">
        <v>202.1</v>
      </c>
      <c r="G579" s="28" t="s">
        <v>2933</v>
      </c>
      <c r="H579" s="28">
        <v>387</v>
      </c>
      <c r="I579" s="30">
        <f t="shared" si="57"/>
        <v>-9.8742392112092601E-3</v>
      </c>
      <c r="J579" s="30">
        <f t="shared" si="58"/>
        <v>-4.0899852515250551E-3</v>
      </c>
      <c r="K579" s="30">
        <f t="shared" si="59"/>
        <v>1.1879621249261732E-3</v>
      </c>
      <c r="L579" s="30">
        <f t="shared" si="60"/>
        <v>-9.5131522300932435E-3</v>
      </c>
      <c r="M579" s="30">
        <f t="shared" si="61"/>
        <v>6.7544849902111376E-2</v>
      </c>
      <c r="N579" s="30">
        <f t="shared" si="62"/>
        <v>-9.27301498352796E-3</v>
      </c>
      <c r="O579" s="30">
        <f t="shared" si="63"/>
        <v>-3.8752180295075048E-4</v>
      </c>
    </row>
    <row r="580" spans="1:15" s="30" customFormat="1">
      <c r="A580" s="27">
        <v>45261</v>
      </c>
      <c r="B580" s="28" t="s">
        <v>573</v>
      </c>
      <c r="C580" s="28">
        <v>586.15</v>
      </c>
      <c r="D580" s="28" t="s">
        <v>1758</v>
      </c>
      <c r="E580" s="28">
        <v>318.64</v>
      </c>
      <c r="F580" s="28">
        <v>198.7</v>
      </c>
      <c r="G580" s="28" t="s">
        <v>2934</v>
      </c>
      <c r="H580" s="28">
        <v>382.65</v>
      </c>
      <c r="I580" s="30">
        <f t="shared" ref="I580:I643" si="64">LN(B580/B579)</f>
        <v>-6.6426645216251107E-3</v>
      </c>
      <c r="J580" s="30">
        <f t="shared" ref="J580:J643" si="65">LN(C580/C579)</f>
        <v>9.3876687073547488E-4</v>
      </c>
      <c r="K580" s="30">
        <f t="shared" ref="K580:K643" si="66">LN(D580/D579)</f>
        <v>-1.2177266123501637E-2</v>
      </c>
      <c r="L580" s="30">
        <f t="shared" ref="L580:L643" si="67">LN(E580/E579)</f>
        <v>1.8847778401058491E-3</v>
      </c>
      <c r="M580" s="30">
        <f t="shared" ref="M580:M643" si="68">LN(F580/F579)</f>
        <v>-1.6966474851804199E-2</v>
      </c>
      <c r="N580" s="30">
        <f t="shared" ref="N580:N643" si="69">LN(G580/G579)</f>
        <v>2.966253499138774E-3</v>
      </c>
      <c r="O580" s="30">
        <f t="shared" ref="O580:O643" si="70">LN(H580/H579)</f>
        <v>-1.1303959773851801E-2</v>
      </c>
    </row>
    <row r="581" spans="1:15" s="30" customFormat="1">
      <c r="A581" s="27">
        <v>45260</v>
      </c>
      <c r="B581" s="28" t="s">
        <v>574</v>
      </c>
      <c r="C581" s="28">
        <v>574.4</v>
      </c>
      <c r="D581" s="28" t="s">
        <v>1759</v>
      </c>
      <c r="E581" s="28">
        <v>318.83</v>
      </c>
      <c r="F581" s="28">
        <v>168.6</v>
      </c>
      <c r="G581" s="28" t="s">
        <v>2935</v>
      </c>
      <c r="H581" s="28">
        <v>364.9</v>
      </c>
      <c r="I581" s="30">
        <f t="shared" si="64"/>
        <v>-1.7002618292165771E-2</v>
      </c>
      <c r="J581" s="30">
        <f t="shared" si="65"/>
        <v>-2.0249711783822805E-2</v>
      </c>
      <c r="K581" s="30">
        <f t="shared" si="66"/>
        <v>-6.0943129955639448E-3</v>
      </c>
      <c r="L581" s="30">
        <f t="shared" si="67"/>
        <v>5.9610650109419728E-4</v>
      </c>
      <c r="M581" s="30">
        <f t="shared" si="68"/>
        <v>-0.16426710399001607</v>
      </c>
      <c r="N581" s="30">
        <f t="shared" si="69"/>
        <v>-1.3060681711441646E-2</v>
      </c>
      <c r="O581" s="30">
        <f t="shared" si="70"/>
        <v>-4.7497389813528183E-2</v>
      </c>
    </row>
    <row r="582" spans="1:15" s="30" customFormat="1">
      <c r="A582" s="27">
        <v>45259</v>
      </c>
      <c r="B582" s="28" t="s">
        <v>575</v>
      </c>
      <c r="C582" s="28">
        <v>574.04999999999995</v>
      </c>
      <c r="D582" s="28" t="s">
        <v>1760</v>
      </c>
      <c r="E582" s="28">
        <v>318.79000000000002</v>
      </c>
      <c r="F582" s="28">
        <v>167.9</v>
      </c>
      <c r="G582" s="28" t="s">
        <v>2936</v>
      </c>
      <c r="H582" s="28">
        <v>369.75</v>
      </c>
      <c r="I582" s="30">
        <f t="shared" si="64"/>
        <v>9.077556051911212E-3</v>
      </c>
      <c r="J582" s="30">
        <f t="shared" si="65"/>
        <v>-6.0951719419348547E-4</v>
      </c>
      <c r="K582" s="30">
        <f t="shared" si="66"/>
        <v>-1.277139381767286E-3</v>
      </c>
      <c r="L582" s="30">
        <f t="shared" si="67"/>
        <v>-1.2546657900458033E-4</v>
      </c>
      <c r="M582" s="30">
        <f t="shared" si="68"/>
        <v>-4.1604814842598767E-3</v>
      </c>
      <c r="N582" s="30">
        <f t="shared" si="69"/>
        <v>1.1608922206539054E-2</v>
      </c>
      <c r="O582" s="30">
        <f t="shared" si="70"/>
        <v>1.3203758148507213E-2</v>
      </c>
    </row>
    <row r="583" spans="1:15" s="30" customFormat="1">
      <c r="A583" s="27">
        <v>45258</v>
      </c>
      <c r="B583" s="28" t="s">
        <v>575</v>
      </c>
      <c r="C583" s="28">
        <v>574.29999999999995</v>
      </c>
      <c r="D583" s="28" t="s">
        <v>1761</v>
      </c>
      <c r="E583" s="28">
        <v>321.37</v>
      </c>
      <c r="F583" s="28">
        <v>170.9</v>
      </c>
      <c r="G583" s="28" t="s">
        <v>2937</v>
      </c>
      <c r="H583" s="28">
        <v>364.4</v>
      </c>
      <c r="I583" s="30">
        <f t="shared" si="64"/>
        <v>0</v>
      </c>
      <c r="J583" s="30">
        <f t="shared" si="65"/>
        <v>4.3540733042979405E-4</v>
      </c>
      <c r="K583" s="30">
        <f t="shared" si="66"/>
        <v>8.4724984822586013E-3</v>
      </c>
      <c r="L583" s="30">
        <f t="shared" si="67"/>
        <v>8.0605285209656378E-3</v>
      </c>
      <c r="M583" s="30">
        <f t="shared" si="68"/>
        <v>1.7710026038050063E-2</v>
      </c>
      <c r="N583" s="30">
        <f t="shared" si="69"/>
        <v>-8.1853081759338375E-3</v>
      </c>
      <c r="O583" s="30">
        <f t="shared" si="70"/>
        <v>-1.4574936205105938E-2</v>
      </c>
    </row>
    <row r="584" spans="1:15" s="30" customFormat="1">
      <c r="A584" s="27">
        <v>45254</v>
      </c>
      <c r="B584" s="28" t="s">
        <v>576</v>
      </c>
      <c r="C584" s="28">
        <v>573.54999999999995</v>
      </c>
      <c r="D584" s="28" t="s">
        <v>1762</v>
      </c>
      <c r="E584" s="28">
        <v>318.93</v>
      </c>
      <c r="F584" s="28">
        <v>170.25</v>
      </c>
      <c r="G584" s="28" t="s">
        <v>2938</v>
      </c>
      <c r="H584" s="28">
        <v>370.1</v>
      </c>
      <c r="I584" s="30">
        <f t="shared" si="64"/>
        <v>-3.8825731006792694E-3</v>
      </c>
      <c r="J584" s="30">
        <f t="shared" si="65"/>
        <v>-1.3067911429741066E-3</v>
      </c>
      <c r="K584" s="30">
        <f t="shared" si="66"/>
        <v>-1.1335176197081204E-2</v>
      </c>
      <c r="L584" s="30">
        <f t="shared" si="67"/>
        <v>-7.6214643478204674E-3</v>
      </c>
      <c r="M584" s="30">
        <f t="shared" si="68"/>
        <v>-3.8106450919235006E-3</v>
      </c>
      <c r="N584" s="30">
        <f t="shared" si="69"/>
        <v>7.620165361417199E-3</v>
      </c>
      <c r="O584" s="30">
        <f t="shared" si="70"/>
        <v>1.5521074006307077E-2</v>
      </c>
    </row>
    <row r="585" spans="1:15" s="30" customFormat="1">
      <c r="A585" s="27">
        <v>45253</v>
      </c>
      <c r="B585" s="28" t="s">
        <v>577</v>
      </c>
      <c r="C585" s="28">
        <v>574.85</v>
      </c>
      <c r="D585" s="28" t="s">
        <v>1763</v>
      </c>
      <c r="E585" s="28">
        <v>318.98</v>
      </c>
      <c r="F585" s="28">
        <v>169.9</v>
      </c>
      <c r="G585" s="28" t="s">
        <v>2939</v>
      </c>
      <c r="H585" s="28">
        <v>372.3</v>
      </c>
      <c r="I585" s="30">
        <f t="shared" si="64"/>
        <v>-4.2178650507000972E-3</v>
      </c>
      <c r="J585" s="30">
        <f t="shared" si="65"/>
        <v>2.2640204724727014E-3</v>
      </c>
      <c r="K585" s="30">
        <f t="shared" si="66"/>
        <v>-6.9380090472003922E-3</v>
      </c>
      <c r="L585" s="30">
        <f t="shared" si="67"/>
        <v>1.5676192598455851E-4</v>
      </c>
      <c r="M585" s="30">
        <f t="shared" si="68"/>
        <v>-2.0579163517353348E-3</v>
      </c>
      <c r="N585" s="30">
        <f t="shared" si="69"/>
        <v>8.6039328639387191E-3</v>
      </c>
      <c r="O585" s="30">
        <f t="shared" si="70"/>
        <v>5.9267414865610026E-3</v>
      </c>
    </row>
    <row r="586" spans="1:15" s="30" customFormat="1">
      <c r="A586" s="27">
        <v>45252</v>
      </c>
      <c r="B586" s="28" t="s">
        <v>578</v>
      </c>
      <c r="C586" s="28">
        <v>569.65</v>
      </c>
      <c r="D586" s="28" t="s">
        <v>1714</v>
      </c>
      <c r="E586" s="28">
        <v>314.89999999999998</v>
      </c>
      <c r="F586" s="28">
        <v>171.2</v>
      </c>
      <c r="G586" s="28" t="s">
        <v>2940</v>
      </c>
      <c r="H586" s="28">
        <v>374.55</v>
      </c>
      <c r="I586" s="30">
        <f t="shared" si="64"/>
        <v>3.2129440438363813E-3</v>
      </c>
      <c r="J586" s="30">
        <f t="shared" si="65"/>
        <v>-9.0870000556245167E-3</v>
      </c>
      <c r="K586" s="30">
        <f t="shared" si="66"/>
        <v>1.459284530933485E-3</v>
      </c>
      <c r="L586" s="30">
        <f t="shared" si="67"/>
        <v>-1.287327678762921E-2</v>
      </c>
      <c r="M586" s="30">
        <f t="shared" si="68"/>
        <v>7.6224350297553062E-3</v>
      </c>
      <c r="N586" s="30">
        <f t="shared" si="69"/>
        <v>1.0403121874513349E-3</v>
      </c>
      <c r="O586" s="30">
        <f t="shared" si="70"/>
        <v>6.025324515220724E-3</v>
      </c>
    </row>
    <row r="587" spans="1:15" s="30" customFormat="1">
      <c r="A587" s="27">
        <v>45251</v>
      </c>
      <c r="B587" s="28" t="s">
        <v>579</v>
      </c>
      <c r="C587" s="28">
        <v>583.1</v>
      </c>
      <c r="D587" s="28" t="s">
        <v>1764</v>
      </c>
      <c r="E587" s="28">
        <v>320.58</v>
      </c>
      <c r="F587" s="28">
        <v>172.35</v>
      </c>
      <c r="G587" s="28" t="s">
        <v>2941</v>
      </c>
      <c r="H587" s="28">
        <v>372.9</v>
      </c>
      <c r="I587" s="30">
        <f t="shared" si="64"/>
        <v>7.979253943990164E-5</v>
      </c>
      <c r="J587" s="30">
        <f t="shared" si="65"/>
        <v>2.3336561083985567E-2</v>
      </c>
      <c r="K587" s="30">
        <f t="shared" si="66"/>
        <v>2.0574992866866496E-2</v>
      </c>
      <c r="L587" s="30">
        <f t="shared" si="67"/>
        <v>1.7876727090756061E-2</v>
      </c>
      <c r="M587" s="30">
        <f t="shared" si="68"/>
        <v>6.6948292552326356E-3</v>
      </c>
      <c r="N587" s="30">
        <f t="shared" si="69"/>
        <v>-9.0020710841292424E-4</v>
      </c>
      <c r="O587" s="30">
        <f t="shared" si="70"/>
        <v>-4.4150182091169431E-3</v>
      </c>
    </row>
    <row r="588" spans="1:15" s="30" customFormat="1">
      <c r="A588" s="27">
        <v>45250</v>
      </c>
      <c r="B588" s="28" t="s">
        <v>580</v>
      </c>
      <c r="C588" s="28">
        <v>582.70000000000005</v>
      </c>
      <c r="D588" s="28" t="s">
        <v>1765</v>
      </c>
      <c r="E588" s="28">
        <v>318.74</v>
      </c>
      <c r="F588" s="28">
        <v>173.55</v>
      </c>
      <c r="G588" s="28" t="s">
        <v>2942</v>
      </c>
      <c r="H588" s="28">
        <v>374</v>
      </c>
      <c r="I588" s="30">
        <f t="shared" si="64"/>
        <v>2.2634541670622367E-3</v>
      </c>
      <c r="J588" s="30">
        <f t="shared" si="65"/>
        <v>-6.8622407908178662E-4</v>
      </c>
      <c r="K588" s="30">
        <f t="shared" si="66"/>
        <v>2.1038874691356374E-2</v>
      </c>
      <c r="L588" s="30">
        <f t="shared" si="67"/>
        <v>-5.756131766247269E-3</v>
      </c>
      <c r="M588" s="30">
        <f t="shared" si="68"/>
        <v>6.9384493449210745E-3</v>
      </c>
      <c r="N588" s="30">
        <f t="shared" si="69"/>
        <v>-1.5266240524823626E-2</v>
      </c>
      <c r="O588" s="30">
        <f t="shared" si="70"/>
        <v>2.9455102297569658E-3</v>
      </c>
    </row>
    <row r="589" spans="1:15" s="30" customFormat="1">
      <c r="A589" s="27">
        <v>45247</v>
      </c>
      <c r="B589" s="28" t="s">
        <v>581</v>
      </c>
      <c r="C589" s="28">
        <v>587.79999999999995</v>
      </c>
      <c r="D589" s="28" t="s">
        <v>1766</v>
      </c>
      <c r="E589" s="28">
        <v>323.95999999999998</v>
      </c>
      <c r="F589" s="28">
        <v>178.65</v>
      </c>
      <c r="G589" s="28" t="s">
        <v>2943</v>
      </c>
      <c r="H589" s="28">
        <v>380.8</v>
      </c>
      <c r="I589" s="30">
        <f t="shared" si="64"/>
        <v>9.0502658385324224E-3</v>
      </c>
      <c r="J589" s="30">
        <f t="shared" si="65"/>
        <v>8.7142798357883362E-3</v>
      </c>
      <c r="K589" s="30">
        <f t="shared" si="66"/>
        <v>1.6901229362055114E-3</v>
      </c>
      <c r="L589" s="30">
        <f t="shared" si="67"/>
        <v>1.6244327949301356E-2</v>
      </c>
      <c r="M589" s="30">
        <f t="shared" si="68"/>
        <v>2.896284216162345E-2</v>
      </c>
      <c r="N589" s="30">
        <f t="shared" si="69"/>
        <v>8.3577501810118433E-3</v>
      </c>
      <c r="O589" s="30">
        <f t="shared" si="70"/>
        <v>1.8018505502678431E-2</v>
      </c>
    </row>
    <row r="590" spans="1:15" s="30" customFormat="1">
      <c r="A590" s="27">
        <v>45246</v>
      </c>
      <c r="B590" s="28" t="s">
        <v>582</v>
      </c>
      <c r="C590" s="28">
        <v>578.25</v>
      </c>
      <c r="D590" s="28" t="s">
        <v>1767</v>
      </c>
      <c r="E590" s="28">
        <v>316.5</v>
      </c>
      <c r="F590" s="28">
        <v>177.15</v>
      </c>
      <c r="G590" s="28" t="s">
        <v>2944</v>
      </c>
      <c r="H590" s="28">
        <v>388.2</v>
      </c>
      <c r="I590" s="30">
        <f t="shared" si="64"/>
        <v>-1.2255677910656139E-2</v>
      </c>
      <c r="J590" s="30">
        <f t="shared" si="65"/>
        <v>-1.6380452873268357E-2</v>
      </c>
      <c r="K590" s="30">
        <f t="shared" si="66"/>
        <v>-4.3236168594711161E-2</v>
      </c>
      <c r="L590" s="30">
        <f t="shared" si="67"/>
        <v>-2.3296809796558179E-2</v>
      </c>
      <c r="M590" s="30">
        <f t="shared" si="68"/>
        <v>-8.4317531579377655E-3</v>
      </c>
      <c r="N590" s="30">
        <f t="shared" si="69"/>
        <v>-5.0103139278393979E-3</v>
      </c>
      <c r="O590" s="30">
        <f t="shared" si="70"/>
        <v>1.9246367817699565E-2</v>
      </c>
    </row>
    <row r="591" spans="1:15" s="30" customFormat="1">
      <c r="A591" s="27">
        <v>45245</v>
      </c>
      <c r="B591" s="28" t="s">
        <v>583</v>
      </c>
      <c r="C591" s="28">
        <v>575.29999999999995</v>
      </c>
      <c r="D591" s="28" t="s">
        <v>1768</v>
      </c>
      <c r="E591" s="28">
        <v>313.16000000000003</v>
      </c>
      <c r="F591" s="28">
        <v>169.9</v>
      </c>
      <c r="G591" s="28" t="s">
        <v>2945</v>
      </c>
      <c r="H591" s="28">
        <v>391.4</v>
      </c>
      <c r="I591" s="30">
        <f t="shared" si="64"/>
        <v>-4.5145358033160041E-3</v>
      </c>
      <c r="J591" s="30">
        <f t="shared" si="65"/>
        <v>-5.1146572423008945E-3</v>
      </c>
      <c r="K591" s="30">
        <f t="shared" si="66"/>
        <v>3.5542053155033851E-3</v>
      </c>
      <c r="L591" s="30">
        <f t="shared" si="67"/>
        <v>-1.060899954451733E-2</v>
      </c>
      <c r="M591" s="30">
        <f t="shared" si="68"/>
        <v>-4.1786802633594647E-2</v>
      </c>
      <c r="N591" s="30">
        <f t="shared" si="69"/>
        <v>-9.1354565694908279E-3</v>
      </c>
      <c r="O591" s="30">
        <f t="shared" si="70"/>
        <v>8.2093842270660224E-3</v>
      </c>
    </row>
    <row r="592" spans="1:15" s="30" customFormat="1">
      <c r="A592" s="27">
        <v>45243</v>
      </c>
      <c r="B592" s="28" t="s">
        <v>584</v>
      </c>
      <c r="C592" s="28">
        <v>575.9</v>
      </c>
      <c r="D592" s="28" t="s">
        <v>1769</v>
      </c>
      <c r="E592" s="28">
        <v>310.02</v>
      </c>
      <c r="F592" s="28">
        <v>174.2</v>
      </c>
      <c r="G592" s="28" t="s">
        <v>2946</v>
      </c>
      <c r="H592" s="28">
        <v>385.35</v>
      </c>
      <c r="I592" s="30">
        <f t="shared" si="64"/>
        <v>-9.8681828892362017E-3</v>
      </c>
      <c r="J592" s="30">
        <f t="shared" si="65"/>
        <v>1.0423906433789805E-3</v>
      </c>
      <c r="K592" s="30">
        <f t="shared" si="66"/>
        <v>2.4762661521638758E-2</v>
      </c>
      <c r="L592" s="30">
        <f t="shared" si="67"/>
        <v>-1.0077430512565358E-2</v>
      </c>
      <c r="M592" s="30">
        <f t="shared" si="68"/>
        <v>2.4994035740515983E-2</v>
      </c>
      <c r="N592" s="30">
        <f t="shared" si="69"/>
        <v>3.9370531154254386E-3</v>
      </c>
      <c r="O592" s="30">
        <f t="shared" si="70"/>
        <v>-1.5578042737973504E-2</v>
      </c>
    </row>
    <row r="593" spans="1:15" s="30" customFormat="1">
      <c r="A593" s="27">
        <v>45242</v>
      </c>
      <c r="B593" s="28" t="s">
        <v>585</v>
      </c>
      <c r="C593" s="28">
        <v>578.65</v>
      </c>
      <c r="D593" s="28" t="s">
        <v>1770</v>
      </c>
      <c r="E593" s="28">
        <v>308.55</v>
      </c>
      <c r="F593" s="28">
        <v>173.75</v>
      </c>
      <c r="G593" s="28" t="s">
        <v>2947</v>
      </c>
      <c r="H593" s="28">
        <v>387</v>
      </c>
      <c r="I593" s="30">
        <f t="shared" si="64"/>
        <v>4.0590312450756259E-3</v>
      </c>
      <c r="J593" s="30">
        <f t="shared" si="65"/>
        <v>4.7637697814599759E-3</v>
      </c>
      <c r="K593" s="30">
        <f t="shared" si="66"/>
        <v>8.8933230335698724E-3</v>
      </c>
      <c r="L593" s="30">
        <f t="shared" si="67"/>
        <v>-4.752906760072239E-3</v>
      </c>
      <c r="M593" s="30">
        <f t="shared" si="68"/>
        <v>-2.5865799735008857E-3</v>
      </c>
      <c r="N593" s="30">
        <f t="shared" si="69"/>
        <v>4.5703454494865157E-3</v>
      </c>
      <c r="O593" s="30">
        <f t="shared" si="70"/>
        <v>4.2726808057795473E-3</v>
      </c>
    </row>
    <row r="594" spans="1:15" s="30" customFormat="1">
      <c r="A594" s="27">
        <v>45240</v>
      </c>
      <c r="B594" s="28" t="s">
        <v>586</v>
      </c>
      <c r="C594" s="28">
        <v>578.4</v>
      </c>
      <c r="D594" s="28" t="s">
        <v>1771</v>
      </c>
      <c r="E594" s="28">
        <v>303.05</v>
      </c>
      <c r="F594" s="28">
        <v>173.4</v>
      </c>
      <c r="G594" s="28" t="s">
        <v>42</v>
      </c>
      <c r="H594" s="28">
        <v>375.55</v>
      </c>
      <c r="I594" s="30">
        <f t="shared" si="64"/>
        <v>-7.0288243252998846E-3</v>
      </c>
      <c r="J594" s="30">
        <f t="shared" si="65"/>
        <v>-4.321334495318221E-4</v>
      </c>
      <c r="K594" s="30">
        <f t="shared" si="66"/>
        <v>-1.8099295726154763E-2</v>
      </c>
      <c r="L594" s="30">
        <f t="shared" si="67"/>
        <v>-1.7986096369781827E-2</v>
      </c>
      <c r="M594" s="30">
        <f t="shared" si="68"/>
        <v>-2.0164200984600545E-3</v>
      </c>
      <c r="N594" s="30">
        <f t="shared" si="69"/>
        <v>-5.8741797213070828E-3</v>
      </c>
      <c r="O594" s="30">
        <f t="shared" si="70"/>
        <v>-3.0033074897761025E-2</v>
      </c>
    </row>
    <row r="595" spans="1:15" s="30" customFormat="1">
      <c r="A595" s="27">
        <v>45239</v>
      </c>
      <c r="B595" s="28" t="s">
        <v>587</v>
      </c>
      <c r="C595" s="28">
        <v>578.95000000000005</v>
      </c>
      <c r="D595" s="28" t="s">
        <v>1772</v>
      </c>
      <c r="E595" s="28">
        <v>303.26</v>
      </c>
      <c r="F595" s="28">
        <v>175.15</v>
      </c>
      <c r="G595" s="28" t="s">
        <v>2948</v>
      </c>
      <c r="H595" s="28">
        <v>375.85</v>
      </c>
      <c r="I595" s="30">
        <f t="shared" si="64"/>
        <v>1.2181951105713167E-3</v>
      </c>
      <c r="J595" s="30">
        <f t="shared" si="65"/>
        <v>9.5044721372733085E-4</v>
      </c>
      <c r="K595" s="30">
        <f t="shared" si="66"/>
        <v>-2.3562973750984696E-2</v>
      </c>
      <c r="L595" s="30">
        <f t="shared" si="67"/>
        <v>6.9271497549917838E-4</v>
      </c>
      <c r="M595" s="30">
        <f t="shared" si="68"/>
        <v>1.0041685297054296E-2</v>
      </c>
      <c r="N595" s="30">
        <f t="shared" si="69"/>
        <v>-5.9909191093550059E-3</v>
      </c>
      <c r="O595" s="30">
        <f t="shared" si="70"/>
        <v>7.9850949145713582E-4</v>
      </c>
    </row>
    <row r="596" spans="1:15" s="30" customFormat="1">
      <c r="A596" s="27">
        <v>45238</v>
      </c>
      <c r="B596" s="28" t="s">
        <v>588</v>
      </c>
      <c r="C596" s="28">
        <v>586.25</v>
      </c>
      <c r="D596" s="28" t="s">
        <v>1773</v>
      </c>
      <c r="E596" s="28">
        <v>306.24</v>
      </c>
      <c r="F596" s="28">
        <v>172.9</v>
      </c>
      <c r="G596" s="28" t="s">
        <v>2949</v>
      </c>
      <c r="H596" s="28">
        <v>377.05</v>
      </c>
      <c r="I596" s="30">
        <f t="shared" si="64"/>
        <v>4.8741483764357559E-3</v>
      </c>
      <c r="J596" s="30">
        <f t="shared" si="65"/>
        <v>1.2530201702206983E-2</v>
      </c>
      <c r="K596" s="30">
        <f t="shared" si="66"/>
        <v>-2.6821994161154755E-2</v>
      </c>
      <c r="L596" s="30">
        <f t="shared" si="67"/>
        <v>9.7785848917963433E-3</v>
      </c>
      <c r="M596" s="30">
        <f t="shared" si="68"/>
        <v>-1.2929356954251013E-2</v>
      </c>
      <c r="N596" s="30">
        <f t="shared" si="69"/>
        <v>-4.1924474157377057E-3</v>
      </c>
      <c r="O596" s="30">
        <f t="shared" si="70"/>
        <v>3.187677025178178E-3</v>
      </c>
    </row>
    <row r="597" spans="1:15" s="30" customFormat="1">
      <c r="A597" s="27">
        <v>45237</v>
      </c>
      <c r="B597" s="28" t="s">
        <v>589</v>
      </c>
      <c r="C597" s="28">
        <v>571.45000000000005</v>
      </c>
      <c r="D597" s="28" t="s">
        <v>1774</v>
      </c>
      <c r="E597" s="28">
        <v>301.70999999999998</v>
      </c>
      <c r="F597" s="28">
        <v>173</v>
      </c>
      <c r="G597" s="28" t="s">
        <v>2950</v>
      </c>
      <c r="H597" s="28">
        <v>369</v>
      </c>
      <c r="I597" s="30">
        <f t="shared" si="64"/>
        <v>-2.0201058973569441E-2</v>
      </c>
      <c r="J597" s="30">
        <f t="shared" si="65"/>
        <v>-2.5569329416882051E-2</v>
      </c>
      <c r="K597" s="30">
        <f t="shared" si="66"/>
        <v>-1.1552398407201382E-3</v>
      </c>
      <c r="L597" s="30">
        <f t="shared" si="67"/>
        <v>-1.4902817140090766E-2</v>
      </c>
      <c r="M597" s="30">
        <f t="shared" si="68"/>
        <v>5.7820180853415106E-4</v>
      </c>
      <c r="N597" s="30">
        <f t="shared" si="69"/>
        <v>5.3197623736616247E-3</v>
      </c>
      <c r="O597" s="30">
        <f t="shared" si="70"/>
        <v>-2.1581160608128914E-2</v>
      </c>
    </row>
    <row r="598" spans="1:15" s="30" customFormat="1">
      <c r="A598" s="27">
        <v>45236</v>
      </c>
      <c r="B598" s="28" t="s">
        <v>590</v>
      </c>
      <c r="C598" s="28">
        <v>569.15</v>
      </c>
      <c r="D598" s="28" t="s">
        <v>1775</v>
      </c>
      <c r="E598" s="28">
        <v>304.45</v>
      </c>
      <c r="F598" s="28">
        <v>176.05</v>
      </c>
      <c r="G598" s="28" t="s">
        <v>2951</v>
      </c>
      <c r="H598" s="28">
        <v>364.65</v>
      </c>
      <c r="I598" s="30">
        <f t="shared" si="64"/>
        <v>-1.3360496160743976E-3</v>
      </c>
      <c r="J598" s="30">
        <f t="shared" si="65"/>
        <v>-4.0329705723813804E-3</v>
      </c>
      <c r="K598" s="30">
        <f t="shared" si="66"/>
        <v>-4.4936006805697832E-3</v>
      </c>
      <c r="L598" s="30">
        <f t="shared" si="67"/>
        <v>9.0405789300843087E-3</v>
      </c>
      <c r="M598" s="30">
        <f t="shared" si="68"/>
        <v>1.7476451103282629E-2</v>
      </c>
      <c r="N598" s="30">
        <f t="shared" si="69"/>
        <v>-2.2536134738546681E-4</v>
      </c>
      <c r="O598" s="30">
        <f t="shared" si="70"/>
        <v>-1.1858654610285176E-2</v>
      </c>
    </row>
    <row r="599" spans="1:15" s="30" customFormat="1">
      <c r="A599" s="27">
        <v>45233</v>
      </c>
      <c r="B599" s="28" t="s">
        <v>591</v>
      </c>
      <c r="C599" s="28">
        <v>553.15</v>
      </c>
      <c r="D599" s="28" t="s">
        <v>1776</v>
      </c>
      <c r="E599" s="28">
        <v>303.64999999999998</v>
      </c>
      <c r="F599" s="28">
        <v>180.45</v>
      </c>
      <c r="G599" s="28" t="s">
        <v>2952</v>
      </c>
      <c r="H599" s="28">
        <v>369</v>
      </c>
      <c r="I599" s="30">
        <f t="shared" si="64"/>
        <v>-1.7130006111202051E-2</v>
      </c>
      <c r="J599" s="30">
        <f t="shared" si="65"/>
        <v>-2.8514807290305724E-2</v>
      </c>
      <c r="K599" s="30">
        <f t="shared" si="66"/>
        <v>2.9844684232977394E-2</v>
      </c>
      <c r="L599" s="30">
        <f t="shared" si="67"/>
        <v>-2.6311477109987858E-3</v>
      </c>
      <c r="M599" s="30">
        <f t="shared" si="68"/>
        <v>2.4685685487735934E-2</v>
      </c>
      <c r="N599" s="30">
        <f t="shared" si="69"/>
        <v>9.4208248140739703E-4</v>
      </c>
      <c r="O599" s="30">
        <f t="shared" si="70"/>
        <v>1.1858654610285227E-2</v>
      </c>
    </row>
    <row r="600" spans="1:15" s="30" customFormat="1">
      <c r="A600" s="27">
        <v>45232</v>
      </c>
      <c r="B600" s="28" t="s">
        <v>592</v>
      </c>
      <c r="C600" s="28">
        <v>548.95000000000005</v>
      </c>
      <c r="D600" s="28" t="s">
        <v>1777</v>
      </c>
      <c r="E600" s="28">
        <v>309.52999999999997</v>
      </c>
      <c r="F600" s="28">
        <v>181.25</v>
      </c>
      <c r="G600" s="28" t="s">
        <v>2953</v>
      </c>
      <c r="H600" s="28">
        <v>358.7</v>
      </c>
      <c r="I600" s="30">
        <f t="shared" si="64"/>
        <v>-7.5675581304213606E-3</v>
      </c>
      <c r="J600" s="30">
        <f t="shared" si="65"/>
        <v>-7.6218498001783437E-3</v>
      </c>
      <c r="K600" s="30">
        <f t="shared" si="66"/>
        <v>-2.2168650678845461E-2</v>
      </c>
      <c r="L600" s="30">
        <f t="shared" si="67"/>
        <v>1.9179295616723727E-2</v>
      </c>
      <c r="M600" s="30">
        <f t="shared" si="68"/>
        <v>4.4235626459866268E-3</v>
      </c>
      <c r="N600" s="30">
        <f t="shared" si="69"/>
        <v>3.4793643347757363E-4</v>
      </c>
      <c r="O600" s="30">
        <f t="shared" si="70"/>
        <v>-2.831025950229037E-2</v>
      </c>
    </row>
    <row r="601" spans="1:15" s="30" customFormat="1">
      <c r="A601" s="27">
        <v>45231</v>
      </c>
      <c r="B601" s="28" t="s">
        <v>593</v>
      </c>
      <c r="C601" s="28">
        <v>550.04999999999995</v>
      </c>
      <c r="D601" s="28" t="s">
        <v>1778</v>
      </c>
      <c r="E601" s="28">
        <v>313.66000000000003</v>
      </c>
      <c r="F601" s="28">
        <v>180.35</v>
      </c>
      <c r="G601" s="28" t="s">
        <v>2954</v>
      </c>
      <c r="H601" s="28">
        <v>360.7</v>
      </c>
      <c r="I601" s="30">
        <f t="shared" si="64"/>
        <v>-7.079885938502283E-3</v>
      </c>
      <c r="J601" s="30">
        <f t="shared" si="65"/>
        <v>2.0018205047032151E-3</v>
      </c>
      <c r="K601" s="30">
        <f t="shared" si="66"/>
        <v>-6.1290796893996597E-3</v>
      </c>
      <c r="L601" s="30">
        <f t="shared" si="67"/>
        <v>1.325457874597062E-2</v>
      </c>
      <c r="M601" s="30">
        <f t="shared" si="68"/>
        <v>-4.9778863852362387E-3</v>
      </c>
      <c r="N601" s="30">
        <f t="shared" si="69"/>
        <v>-2.4128496543443859E-2</v>
      </c>
      <c r="O601" s="30">
        <f t="shared" si="70"/>
        <v>5.5602033712563318E-3</v>
      </c>
    </row>
    <row r="602" spans="1:15" s="30" customFormat="1">
      <c r="A602" s="27">
        <v>45230</v>
      </c>
      <c r="B602" s="28" t="s">
        <v>594</v>
      </c>
      <c r="C602" s="28">
        <v>558.6</v>
      </c>
      <c r="D602" s="28" t="s">
        <v>1779</v>
      </c>
      <c r="E602" s="28">
        <v>313.70999999999998</v>
      </c>
      <c r="F602" s="28">
        <v>184.3</v>
      </c>
      <c r="G602" s="28" t="s">
        <v>2955</v>
      </c>
      <c r="H602" s="28">
        <v>363.95</v>
      </c>
      <c r="I602" s="30">
        <f t="shared" si="64"/>
        <v>2.062380758103563E-2</v>
      </c>
      <c r="J602" s="30">
        <f t="shared" si="65"/>
        <v>1.5424470325631731E-2</v>
      </c>
      <c r="K602" s="30">
        <f t="shared" si="66"/>
        <v>-1.6470752227841244E-2</v>
      </c>
      <c r="L602" s="30">
        <f t="shared" si="67"/>
        <v>1.5939557232831007E-4</v>
      </c>
      <c r="M602" s="30">
        <f t="shared" si="68"/>
        <v>2.1665457326229758E-2</v>
      </c>
      <c r="N602" s="30">
        <f t="shared" si="69"/>
        <v>1.2954736096025071E-2</v>
      </c>
      <c r="O602" s="30">
        <f t="shared" si="70"/>
        <v>8.9699076547735384E-3</v>
      </c>
    </row>
    <row r="603" spans="1:15" s="30" customFormat="1">
      <c r="A603" s="27">
        <v>45229</v>
      </c>
      <c r="B603" s="28" t="s">
        <v>595</v>
      </c>
      <c r="C603" s="28">
        <v>545.75</v>
      </c>
      <c r="D603" s="28" t="s">
        <v>1663</v>
      </c>
      <c r="E603" s="28">
        <v>312.66000000000003</v>
      </c>
      <c r="F603" s="28">
        <v>181.75</v>
      </c>
      <c r="G603" s="28" t="s">
        <v>2956</v>
      </c>
      <c r="H603" s="28">
        <v>363.7</v>
      </c>
      <c r="I603" s="30">
        <f t="shared" si="64"/>
        <v>-9.5928823110212665E-3</v>
      </c>
      <c r="J603" s="30">
        <f t="shared" si="65"/>
        <v>-2.3272658081023141E-2</v>
      </c>
      <c r="K603" s="30">
        <f t="shared" si="66"/>
        <v>-1.3229988770881228E-2</v>
      </c>
      <c r="L603" s="30">
        <f t="shared" si="67"/>
        <v>-3.3526541294286549E-3</v>
      </c>
      <c r="M603" s="30">
        <f t="shared" si="68"/>
        <v>-1.3932748262148943E-2</v>
      </c>
      <c r="N603" s="30">
        <f t="shared" si="69"/>
        <v>4.1507116823933871E-3</v>
      </c>
      <c r="O603" s="30">
        <f t="shared" si="70"/>
        <v>-6.8714357132351885E-4</v>
      </c>
    </row>
    <row r="604" spans="1:15" s="30" customFormat="1">
      <c r="A604" s="27">
        <v>45226</v>
      </c>
      <c r="B604" s="28" t="s">
        <v>596</v>
      </c>
      <c r="C604" s="28">
        <v>537.54999999999995</v>
      </c>
      <c r="D604" s="28" t="s">
        <v>1780</v>
      </c>
      <c r="E604" s="28">
        <v>312.17</v>
      </c>
      <c r="F604" s="28">
        <v>184.75</v>
      </c>
      <c r="G604" s="28" t="s">
        <v>2957</v>
      </c>
      <c r="H604" s="28">
        <v>368.3</v>
      </c>
      <c r="I604" s="30">
        <f t="shared" si="64"/>
        <v>-4.0356338278445232E-3</v>
      </c>
      <c r="J604" s="30">
        <f t="shared" si="65"/>
        <v>-1.513921649881636E-2</v>
      </c>
      <c r="K604" s="30">
        <f t="shared" si="66"/>
        <v>2.1623238128902964E-2</v>
      </c>
      <c r="L604" s="30">
        <f t="shared" si="67"/>
        <v>-1.5684269335611227E-3</v>
      </c>
      <c r="M604" s="30">
        <f t="shared" si="68"/>
        <v>1.6371443414682368E-2</v>
      </c>
      <c r="N604" s="30">
        <f t="shared" si="69"/>
        <v>-2.0422273556923247E-3</v>
      </c>
      <c r="O604" s="30">
        <f t="shared" si="70"/>
        <v>1.2568471458076253E-2</v>
      </c>
    </row>
    <row r="605" spans="1:15" s="30" customFormat="1">
      <c r="A605" s="27">
        <v>45225</v>
      </c>
      <c r="B605" s="28" t="s">
        <v>597</v>
      </c>
      <c r="C605" s="28">
        <v>537.75</v>
      </c>
      <c r="D605" s="28" t="s">
        <v>1781</v>
      </c>
      <c r="E605" s="28">
        <v>310.82</v>
      </c>
      <c r="F605" s="28">
        <v>178.95</v>
      </c>
      <c r="G605" s="28" t="s">
        <v>2958</v>
      </c>
      <c r="H605" s="28">
        <v>365.95</v>
      </c>
      <c r="I605" s="30">
        <f t="shared" si="64"/>
        <v>1.7412035605552541E-3</v>
      </c>
      <c r="J605" s="30">
        <f t="shared" si="65"/>
        <v>3.7198921660251178E-4</v>
      </c>
      <c r="K605" s="30">
        <f t="shared" si="66"/>
        <v>-1.3585276060446953E-2</v>
      </c>
      <c r="L605" s="30">
        <f t="shared" si="67"/>
        <v>-4.3339447281514083E-3</v>
      </c>
      <c r="M605" s="30">
        <f t="shared" si="68"/>
        <v>-3.1897122616276363E-2</v>
      </c>
      <c r="N605" s="30">
        <f t="shared" si="69"/>
        <v>-2.7087679269706603E-3</v>
      </c>
      <c r="O605" s="30">
        <f t="shared" si="70"/>
        <v>-6.4011114037835267E-3</v>
      </c>
    </row>
    <row r="606" spans="1:15" s="30" customFormat="1">
      <c r="A606" s="27">
        <v>45224</v>
      </c>
      <c r="B606" s="28" t="s">
        <v>598</v>
      </c>
      <c r="C606" s="28">
        <v>563.20000000000005</v>
      </c>
      <c r="D606" s="28" t="s">
        <v>1782</v>
      </c>
      <c r="E606" s="28">
        <v>316.7</v>
      </c>
      <c r="F606" s="28">
        <v>172.45</v>
      </c>
      <c r="G606" s="28" t="s">
        <v>2959</v>
      </c>
      <c r="H606" s="28">
        <v>358.15</v>
      </c>
      <c r="I606" s="30">
        <f t="shared" si="64"/>
        <v>3.3385705152232326E-2</v>
      </c>
      <c r="J606" s="30">
        <f t="shared" si="65"/>
        <v>4.6241036695993304E-2</v>
      </c>
      <c r="K606" s="30">
        <f t="shared" si="66"/>
        <v>-1.8698229290679266E-2</v>
      </c>
      <c r="L606" s="30">
        <f t="shared" si="67"/>
        <v>1.8740987057128247E-2</v>
      </c>
      <c r="M606" s="30">
        <f t="shared" si="68"/>
        <v>-3.6999097829184924E-2</v>
      </c>
      <c r="N606" s="30">
        <f t="shared" si="69"/>
        <v>-3.10632968939104E-4</v>
      </c>
      <c r="O606" s="30">
        <f t="shared" si="70"/>
        <v>-2.1544818986775915E-2</v>
      </c>
    </row>
    <row r="607" spans="1:15" s="30" customFormat="1">
      <c r="A607" s="27">
        <v>45222</v>
      </c>
      <c r="B607" s="28" t="s">
        <v>599</v>
      </c>
      <c r="C607" s="28">
        <v>570.5</v>
      </c>
      <c r="D607" s="28" t="s">
        <v>1654</v>
      </c>
      <c r="E607" s="28">
        <v>317.54000000000002</v>
      </c>
      <c r="F607" s="28">
        <v>175.25</v>
      </c>
      <c r="G607" s="28" t="s">
        <v>2960</v>
      </c>
      <c r="H607" s="28">
        <v>362.4</v>
      </c>
      <c r="I607" s="30">
        <f t="shared" si="64"/>
        <v>3.6524955815742479E-3</v>
      </c>
      <c r="J607" s="30">
        <f t="shared" si="65"/>
        <v>1.2878364458297665E-2</v>
      </c>
      <c r="K607" s="30">
        <f t="shared" si="66"/>
        <v>4.6036074247212747E-2</v>
      </c>
      <c r="L607" s="30">
        <f t="shared" si="67"/>
        <v>2.6488411047714201E-3</v>
      </c>
      <c r="M607" s="30">
        <f t="shared" si="68"/>
        <v>1.6106186531849673E-2</v>
      </c>
      <c r="N607" s="30">
        <f t="shared" si="69"/>
        <v>1.0097765395010522E-2</v>
      </c>
      <c r="O607" s="30">
        <f t="shared" si="70"/>
        <v>1.1796681108363953E-2</v>
      </c>
    </row>
    <row r="608" spans="1:15" s="30" customFormat="1">
      <c r="A608" s="27">
        <v>45219</v>
      </c>
      <c r="B608" s="28" t="s">
        <v>600</v>
      </c>
      <c r="C608" s="28">
        <v>584.25</v>
      </c>
      <c r="D608" s="28" t="s">
        <v>1783</v>
      </c>
      <c r="E608" s="28">
        <v>319.83</v>
      </c>
      <c r="F608" s="28">
        <v>186.15</v>
      </c>
      <c r="G608" s="28" t="s">
        <v>2961</v>
      </c>
      <c r="H608" s="28">
        <v>371.15</v>
      </c>
      <c r="I608" s="30">
        <f t="shared" si="64"/>
        <v>1.095861464965343E-2</v>
      </c>
      <c r="J608" s="30">
        <f t="shared" si="65"/>
        <v>2.3815804116836901E-2</v>
      </c>
      <c r="K608" s="30">
        <f t="shared" si="66"/>
        <v>1.8859016692674327E-2</v>
      </c>
      <c r="L608" s="30">
        <f t="shared" si="67"/>
        <v>7.1858099811279571E-3</v>
      </c>
      <c r="M608" s="30">
        <f t="shared" si="68"/>
        <v>6.0339274404026484E-2</v>
      </c>
      <c r="N608" s="30">
        <f t="shared" si="69"/>
        <v>1.352348374285903E-3</v>
      </c>
      <c r="O608" s="30">
        <f t="shared" si="70"/>
        <v>2.3857719394731747E-2</v>
      </c>
    </row>
    <row r="609" spans="1:15" s="30" customFormat="1">
      <c r="A609" s="27">
        <v>45218</v>
      </c>
      <c r="B609" s="28" t="s">
        <v>601</v>
      </c>
      <c r="C609" s="28">
        <v>576.29999999999995</v>
      </c>
      <c r="D609" s="28" t="s">
        <v>1784</v>
      </c>
      <c r="E609" s="28">
        <v>320.68</v>
      </c>
      <c r="F609" s="28">
        <v>190</v>
      </c>
      <c r="G609" s="28" t="s">
        <v>2946</v>
      </c>
      <c r="H609" s="28">
        <v>376.2</v>
      </c>
      <c r="I609" s="30">
        <f t="shared" si="64"/>
        <v>-1.3048417918636352E-3</v>
      </c>
      <c r="J609" s="30">
        <f t="shared" si="65"/>
        <v>-1.3700614976346811E-2</v>
      </c>
      <c r="K609" s="30">
        <f t="shared" si="66"/>
        <v>1.1990614499540475E-3</v>
      </c>
      <c r="L609" s="30">
        <f t="shared" si="67"/>
        <v>2.6541365442574625E-3</v>
      </c>
      <c r="M609" s="30">
        <f t="shared" si="68"/>
        <v>2.0471271841760244E-2</v>
      </c>
      <c r="N609" s="30">
        <f t="shared" si="69"/>
        <v>5.7373441030829407E-3</v>
      </c>
      <c r="O609" s="30">
        <f t="shared" si="70"/>
        <v>1.3514623303374036E-2</v>
      </c>
    </row>
    <row r="610" spans="1:15" s="30" customFormat="1">
      <c r="A610" s="27">
        <v>45217</v>
      </c>
      <c r="B610" s="28" t="s">
        <v>602</v>
      </c>
      <c r="C610" s="28">
        <v>572.35</v>
      </c>
      <c r="D610" s="28" t="s">
        <v>1785</v>
      </c>
      <c r="E610" s="28">
        <v>321.87</v>
      </c>
      <c r="F610" s="28">
        <v>189.55</v>
      </c>
      <c r="G610" s="28" t="s">
        <v>2836</v>
      </c>
      <c r="H610" s="28">
        <v>378.1</v>
      </c>
      <c r="I610" s="30">
        <f t="shared" si="64"/>
        <v>-1.7262941406443288E-3</v>
      </c>
      <c r="J610" s="30">
        <f t="shared" si="65"/>
        <v>-6.8776660781352545E-3</v>
      </c>
      <c r="K610" s="30">
        <f t="shared" si="66"/>
        <v>-1.233341483551814E-3</v>
      </c>
      <c r="L610" s="30">
        <f t="shared" si="67"/>
        <v>3.7039961420136259E-3</v>
      </c>
      <c r="M610" s="30">
        <f t="shared" si="68"/>
        <v>-2.3712301981421834E-3</v>
      </c>
      <c r="N610" s="30">
        <f t="shared" si="69"/>
        <v>3.7796472623765421E-3</v>
      </c>
      <c r="O610" s="30">
        <f t="shared" si="70"/>
        <v>5.0377940299573022E-3</v>
      </c>
    </row>
    <row r="611" spans="1:15" s="30" customFormat="1">
      <c r="A611" s="27">
        <v>45216</v>
      </c>
      <c r="B611" s="28" t="s">
        <v>603</v>
      </c>
      <c r="C611" s="28">
        <v>573.95000000000005</v>
      </c>
      <c r="D611" s="28" t="s">
        <v>1786</v>
      </c>
      <c r="E611" s="28">
        <v>320.77999999999997</v>
      </c>
      <c r="F611" s="28">
        <v>189.95</v>
      </c>
      <c r="G611" s="28" t="s">
        <v>2962</v>
      </c>
      <c r="H611" s="28">
        <v>382.9</v>
      </c>
      <c r="I611" s="30">
        <f t="shared" si="64"/>
        <v>5.5072602963312962E-3</v>
      </c>
      <c r="J611" s="30">
        <f t="shared" si="65"/>
        <v>2.7915921470205189E-3</v>
      </c>
      <c r="K611" s="30">
        <f t="shared" si="66"/>
        <v>7.8876341533857339E-3</v>
      </c>
      <c r="L611" s="30">
        <f t="shared" si="67"/>
        <v>-3.3922074075327076E-3</v>
      </c>
      <c r="M611" s="30">
        <f t="shared" si="68"/>
        <v>2.1080376712905562E-3</v>
      </c>
      <c r="N611" s="30">
        <f t="shared" si="69"/>
        <v>2.8557270620122484E-3</v>
      </c>
      <c r="O611" s="30">
        <f t="shared" si="70"/>
        <v>1.2615147586361444E-2</v>
      </c>
    </row>
    <row r="612" spans="1:15" s="30" customFormat="1">
      <c r="A612" s="27">
        <v>45215</v>
      </c>
      <c r="B612" s="28" t="s">
        <v>604</v>
      </c>
      <c r="C612" s="28">
        <v>569.20000000000005</v>
      </c>
      <c r="D612" s="28" t="s">
        <v>1787</v>
      </c>
      <c r="E612" s="28">
        <v>319.13</v>
      </c>
      <c r="F612" s="28">
        <v>190.35</v>
      </c>
      <c r="G612" s="28" t="s">
        <v>2963</v>
      </c>
      <c r="H612" s="28">
        <v>381.25</v>
      </c>
      <c r="I612" s="30">
        <f t="shared" si="64"/>
        <v>-4.8188127378121529E-4</v>
      </c>
      <c r="J612" s="30">
        <f t="shared" si="65"/>
        <v>-8.3104182958084211E-3</v>
      </c>
      <c r="K612" s="30">
        <f t="shared" si="66"/>
        <v>-4.7387798556424521E-3</v>
      </c>
      <c r="L612" s="30">
        <f t="shared" si="67"/>
        <v>-5.1569866285685146E-3</v>
      </c>
      <c r="M612" s="30">
        <f t="shared" si="68"/>
        <v>2.1036031948717462E-3</v>
      </c>
      <c r="N612" s="30">
        <f t="shared" si="69"/>
        <v>-6.4725145056173669E-3</v>
      </c>
      <c r="O612" s="30">
        <f t="shared" si="70"/>
        <v>-4.3185305616273515E-3</v>
      </c>
    </row>
    <row r="613" spans="1:15" s="30" customFormat="1">
      <c r="A613" s="27">
        <v>45212</v>
      </c>
      <c r="B613" s="28" t="s">
        <v>605</v>
      </c>
      <c r="C613" s="28">
        <v>568.25</v>
      </c>
      <c r="D613" s="28" t="s">
        <v>1788</v>
      </c>
      <c r="E613" s="28">
        <v>321.47000000000003</v>
      </c>
      <c r="F613" s="28">
        <v>192.45</v>
      </c>
      <c r="G613" s="28" t="s">
        <v>2964</v>
      </c>
      <c r="H613" s="28">
        <v>386.65</v>
      </c>
      <c r="I613" s="30">
        <f t="shared" si="64"/>
        <v>1.1739754850676097E-2</v>
      </c>
      <c r="J613" s="30">
        <f t="shared" si="65"/>
        <v>-1.6704034830448272E-3</v>
      </c>
      <c r="K613" s="30">
        <f t="shared" si="66"/>
        <v>-5.3108689012919636E-3</v>
      </c>
      <c r="L613" s="30">
        <f t="shared" si="67"/>
        <v>7.3056834459188777E-3</v>
      </c>
      <c r="M613" s="30">
        <f t="shared" si="68"/>
        <v>1.0971896901248782E-2</v>
      </c>
      <c r="N613" s="30">
        <f t="shared" si="69"/>
        <v>1.0368243219764135E-2</v>
      </c>
      <c r="O613" s="30">
        <f t="shared" si="70"/>
        <v>1.4064563133422999E-2</v>
      </c>
    </row>
    <row r="614" spans="1:15" s="30" customFormat="1">
      <c r="A614" s="27">
        <v>45211</v>
      </c>
      <c r="B614" s="28" t="s">
        <v>606</v>
      </c>
      <c r="C614" s="28">
        <v>565.85</v>
      </c>
      <c r="D614" s="28" t="s">
        <v>1789</v>
      </c>
      <c r="E614" s="28">
        <v>320.68</v>
      </c>
      <c r="F614" s="28">
        <v>180.3</v>
      </c>
      <c r="G614" s="28" t="s">
        <v>2965</v>
      </c>
      <c r="H614" s="28">
        <v>386.05</v>
      </c>
      <c r="I614" s="30">
        <f t="shared" si="64"/>
        <v>3.2657490303344338E-3</v>
      </c>
      <c r="J614" s="30">
        <f t="shared" si="65"/>
        <v>-4.2324373207019627E-3</v>
      </c>
      <c r="K614" s="30">
        <f t="shared" si="66"/>
        <v>-2.0634163728053133E-3</v>
      </c>
      <c r="L614" s="30">
        <f t="shared" si="67"/>
        <v>-2.4604855518313685E-3</v>
      </c>
      <c r="M614" s="30">
        <f t="shared" si="68"/>
        <v>-6.5214249520483408E-2</v>
      </c>
      <c r="N614" s="30">
        <f t="shared" si="69"/>
        <v>6.4445968315818964E-4</v>
      </c>
      <c r="O614" s="30">
        <f t="shared" si="70"/>
        <v>-1.5529963002196387E-3</v>
      </c>
    </row>
    <row r="615" spans="1:15" s="30" customFormat="1">
      <c r="A615" s="27">
        <v>45210</v>
      </c>
      <c r="B615" s="28" t="s">
        <v>607</v>
      </c>
      <c r="C615" s="28">
        <v>560.85</v>
      </c>
      <c r="D615" s="28" t="s">
        <v>1790</v>
      </c>
      <c r="E615" s="28">
        <v>319.13</v>
      </c>
      <c r="F615" s="28">
        <v>166.85</v>
      </c>
      <c r="G615" s="28" t="s">
        <v>2966</v>
      </c>
      <c r="H615" s="28">
        <v>388.55</v>
      </c>
      <c r="I615" s="30">
        <f t="shared" si="64"/>
        <v>1.5182669372303741E-3</v>
      </c>
      <c r="J615" s="30">
        <f t="shared" si="65"/>
        <v>-8.8755353207181295E-3</v>
      </c>
      <c r="K615" s="30">
        <f t="shared" si="66"/>
        <v>-4.9004480853844911E-3</v>
      </c>
      <c r="L615" s="30">
        <f t="shared" si="67"/>
        <v>-4.8451978940875816E-3</v>
      </c>
      <c r="M615" s="30">
        <f t="shared" si="68"/>
        <v>-7.7526925011888626E-2</v>
      </c>
      <c r="N615" s="30">
        <f t="shared" si="69"/>
        <v>-5.6387950583834678E-4</v>
      </c>
      <c r="O615" s="30">
        <f t="shared" si="70"/>
        <v>6.4549669004264846E-3</v>
      </c>
    </row>
    <row r="616" spans="1:15" s="30" customFormat="1">
      <c r="A616" s="27">
        <v>45209</v>
      </c>
      <c r="B616" s="28" t="s">
        <v>608</v>
      </c>
      <c r="C616" s="28">
        <v>561.79999999999995</v>
      </c>
      <c r="D616" s="28" t="s">
        <v>1791</v>
      </c>
      <c r="E616" s="28">
        <v>317.24</v>
      </c>
      <c r="F616" s="28">
        <v>165.05</v>
      </c>
      <c r="G616" s="28" t="s">
        <v>2967</v>
      </c>
      <c r="H616" s="28">
        <v>381.6</v>
      </c>
      <c r="I616" s="30">
        <f t="shared" si="64"/>
        <v>-3.9269138723343972E-3</v>
      </c>
      <c r="J616" s="30">
        <f t="shared" si="65"/>
        <v>1.6924245789107673E-3</v>
      </c>
      <c r="K616" s="30">
        <f t="shared" si="66"/>
        <v>1.4323004993560991E-2</v>
      </c>
      <c r="L616" s="30">
        <f t="shared" si="67"/>
        <v>-5.9399580655444114E-3</v>
      </c>
      <c r="M616" s="30">
        <f t="shared" si="68"/>
        <v>-1.0846746898180902E-2</v>
      </c>
      <c r="N616" s="30">
        <f t="shared" si="69"/>
        <v>-1.088380637520358E-3</v>
      </c>
      <c r="O616" s="30">
        <f t="shared" si="70"/>
        <v>-1.8048922081119721E-2</v>
      </c>
    </row>
    <row r="617" spans="1:15" s="30" customFormat="1">
      <c r="A617" s="27">
        <v>45208</v>
      </c>
      <c r="B617" s="28" t="s">
        <v>609</v>
      </c>
      <c r="C617" s="28">
        <v>562.79999999999995</v>
      </c>
      <c r="D617" s="28" t="s">
        <v>1792</v>
      </c>
      <c r="E617" s="28">
        <v>314.75</v>
      </c>
      <c r="F617" s="28">
        <v>164.9</v>
      </c>
      <c r="G617" s="28" t="s">
        <v>2968</v>
      </c>
      <c r="H617" s="28">
        <v>375.95</v>
      </c>
      <c r="I617" s="30">
        <f t="shared" si="64"/>
        <v>4.1241692762917695E-4</v>
      </c>
      <c r="J617" s="30">
        <f t="shared" si="65"/>
        <v>1.7784105700906091E-3</v>
      </c>
      <c r="K617" s="30">
        <f t="shared" si="66"/>
        <v>9.2035525389427386E-4</v>
      </c>
      <c r="L617" s="30">
        <f t="shared" si="67"/>
        <v>-7.8799122906624015E-3</v>
      </c>
      <c r="M617" s="30">
        <f t="shared" si="68"/>
        <v>-9.0922873364883351E-4</v>
      </c>
      <c r="N617" s="30">
        <f t="shared" si="69"/>
        <v>-5.2569978321058966E-3</v>
      </c>
      <c r="O617" s="30">
        <f t="shared" si="70"/>
        <v>-1.4916783750095697E-2</v>
      </c>
    </row>
    <row r="618" spans="1:15" s="30" customFormat="1">
      <c r="A618" s="27">
        <v>45205</v>
      </c>
      <c r="B618" s="28" t="s">
        <v>610</v>
      </c>
      <c r="C618" s="28">
        <v>565.35</v>
      </c>
      <c r="D618" s="28" t="s">
        <v>1793</v>
      </c>
      <c r="E618" s="28">
        <v>322.37</v>
      </c>
      <c r="F618" s="28">
        <v>164</v>
      </c>
      <c r="G618" s="28" t="s">
        <v>2969</v>
      </c>
      <c r="H618" s="28">
        <v>387.3</v>
      </c>
      <c r="I618" s="30">
        <f t="shared" si="64"/>
        <v>1.3530855167337019E-2</v>
      </c>
      <c r="J618" s="30">
        <f t="shared" si="65"/>
        <v>4.5206831410201541E-3</v>
      </c>
      <c r="K618" s="30">
        <f t="shared" si="66"/>
        <v>2.6195616805206254E-2</v>
      </c>
      <c r="L618" s="30">
        <f t="shared" si="67"/>
        <v>2.3921281269219372E-2</v>
      </c>
      <c r="M618" s="30">
        <f t="shared" si="68"/>
        <v>-5.4728017413547764E-3</v>
      </c>
      <c r="N618" s="30">
        <f t="shared" si="69"/>
        <v>1.6666214779823996E-2</v>
      </c>
      <c r="O618" s="30">
        <f t="shared" si="70"/>
        <v>2.9743430696670747E-2</v>
      </c>
    </row>
    <row r="619" spans="1:15" s="30" customFormat="1">
      <c r="A619" s="27">
        <v>45204</v>
      </c>
      <c r="B619" s="28" t="s">
        <v>611</v>
      </c>
      <c r="C619" s="28">
        <v>563.20000000000005</v>
      </c>
      <c r="D619" s="28" t="s">
        <v>1794</v>
      </c>
      <c r="E619" s="28">
        <v>321.62</v>
      </c>
      <c r="F619" s="28">
        <v>162.80000000000001</v>
      </c>
      <c r="G619" s="28" t="s">
        <v>2834</v>
      </c>
      <c r="H619" s="28">
        <v>387.7</v>
      </c>
      <c r="I619" s="30">
        <f t="shared" si="64"/>
        <v>3.2802278709485777E-3</v>
      </c>
      <c r="J619" s="30">
        <f t="shared" si="65"/>
        <v>-3.8102035374214687E-3</v>
      </c>
      <c r="K619" s="30">
        <f t="shared" si="66"/>
        <v>-2.2927787544832802E-3</v>
      </c>
      <c r="L619" s="30">
        <f t="shared" si="67"/>
        <v>-2.3292297677974141E-3</v>
      </c>
      <c r="M619" s="30">
        <f t="shared" si="68"/>
        <v>-7.3439742557583941E-3</v>
      </c>
      <c r="N619" s="30">
        <f t="shared" si="69"/>
        <v>-1.396592541753057E-3</v>
      </c>
      <c r="O619" s="30">
        <f t="shared" si="70"/>
        <v>1.0322581561769187E-3</v>
      </c>
    </row>
    <row r="620" spans="1:15" s="30" customFormat="1">
      <c r="A620" s="27">
        <v>45203</v>
      </c>
      <c r="B620" s="28" t="s">
        <v>612</v>
      </c>
      <c r="C620" s="28">
        <v>560.25</v>
      </c>
      <c r="D620" s="28" t="s">
        <v>1795</v>
      </c>
      <c r="E620" s="28">
        <v>321.32</v>
      </c>
      <c r="F620" s="28">
        <v>162.30000000000001</v>
      </c>
      <c r="G620" s="28" t="s">
        <v>2970</v>
      </c>
      <c r="H620" s="28">
        <v>384.3</v>
      </c>
      <c r="I620" s="30">
        <f t="shared" si="64"/>
        <v>-1.14019882866556E-2</v>
      </c>
      <c r="J620" s="30">
        <f t="shared" si="65"/>
        <v>-5.251692162796388E-3</v>
      </c>
      <c r="K620" s="30">
        <f t="shared" si="66"/>
        <v>-6.8430543258726998E-3</v>
      </c>
      <c r="L620" s="30">
        <f t="shared" si="67"/>
        <v>-9.3321312026684229E-4</v>
      </c>
      <c r="M620" s="30">
        <f t="shared" si="68"/>
        <v>-3.0759790478944336E-3</v>
      </c>
      <c r="N620" s="30">
        <f t="shared" si="69"/>
        <v>3.5276217187803138E-3</v>
      </c>
      <c r="O620" s="30">
        <f t="shared" si="70"/>
        <v>-8.808347106085088E-3</v>
      </c>
    </row>
    <row r="621" spans="1:15" s="30" customFormat="1">
      <c r="A621" s="27">
        <v>45202</v>
      </c>
      <c r="B621" s="28" t="s">
        <v>613</v>
      </c>
      <c r="C621" s="28">
        <v>561.5</v>
      </c>
      <c r="D621" s="28" t="s">
        <v>1796</v>
      </c>
      <c r="E621" s="28">
        <v>323.70999999999998</v>
      </c>
      <c r="F621" s="28">
        <v>164.1</v>
      </c>
      <c r="G621" s="28" t="s">
        <v>2971</v>
      </c>
      <c r="H621" s="28">
        <v>387.55</v>
      </c>
      <c r="I621" s="30">
        <f t="shared" si="64"/>
        <v>-9.6263865089504775E-4</v>
      </c>
      <c r="J621" s="30">
        <f t="shared" si="65"/>
        <v>2.228661497461446E-3</v>
      </c>
      <c r="K621" s="30">
        <f t="shared" si="66"/>
        <v>1.7333413115559859E-2</v>
      </c>
      <c r="L621" s="30">
        <f t="shared" si="67"/>
        <v>7.4105419513912701E-3</v>
      </c>
      <c r="M621" s="30">
        <f t="shared" si="68"/>
        <v>1.1029523575499604E-2</v>
      </c>
      <c r="N621" s="30">
        <f t="shared" si="69"/>
        <v>-3.8471169190857145E-3</v>
      </c>
      <c r="O621" s="30">
        <f t="shared" si="70"/>
        <v>8.4213751567222151E-3</v>
      </c>
    </row>
    <row r="622" spans="1:15" s="30" customFormat="1">
      <c r="A622" s="27">
        <v>45198</v>
      </c>
      <c r="B622" s="28" t="s">
        <v>614</v>
      </c>
      <c r="C622" s="28">
        <v>568.85</v>
      </c>
      <c r="D622" s="28" t="s">
        <v>1797</v>
      </c>
      <c r="E622" s="28">
        <v>316.05</v>
      </c>
      <c r="F622" s="28">
        <v>161.30000000000001</v>
      </c>
      <c r="G622" s="28" t="s">
        <v>2972</v>
      </c>
      <c r="H622" s="28">
        <v>388.65</v>
      </c>
      <c r="I622" s="30">
        <f t="shared" si="64"/>
        <v>-1.8331521118271018E-3</v>
      </c>
      <c r="J622" s="30">
        <f t="shared" si="65"/>
        <v>1.3005004807227698E-2</v>
      </c>
      <c r="K622" s="30">
        <f t="shared" si="66"/>
        <v>-2.200012182495583E-2</v>
      </c>
      <c r="L622" s="30">
        <f t="shared" si="67"/>
        <v>-2.394762433869517E-2</v>
      </c>
      <c r="M622" s="30">
        <f t="shared" si="68"/>
        <v>-1.7210012964881963E-2</v>
      </c>
      <c r="N622" s="30">
        <f t="shared" si="69"/>
        <v>2.0151039808680104E-3</v>
      </c>
      <c r="O622" s="30">
        <f t="shared" si="70"/>
        <v>2.8343229487080858E-3</v>
      </c>
    </row>
    <row r="623" spans="1:15" s="30" customFormat="1">
      <c r="A623" s="27">
        <v>45197</v>
      </c>
      <c r="B623" s="28" t="s">
        <v>615</v>
      </c>
      <c r="C623" s="28">
        <v>569.54999999999995</v>
      </c>
      <c r="D623" s="28" t="s">
        <v>1798</v>
      </c>
      <c r="E623" s="28">
        <v>320.58</v>
      </c>
      <c r="F623" s="28">
        <v>161.19999999999999</v>
      </c>
      <c r="G623" s="28" t="s">
        <v>2973</v>
      </c>
      <c r="H623" s="28">
        <v>380.3</v>
      </c>
      <c r="I623" s="30">
        <f t="shared" si="64"/>
        <v>2.9377410015156828E-3</v>
      </c>
      <c r="J623" s="30">
        <f t="shared" si="65"/>
        <v>1.2297963601952879E-3</v>
      </c>
      <c r="K623" s="30">
        <f t="shared" si="66"/>
        <v>-3.3657568221880503E-4</v>
      </c>
      <c r="L623" s="30">
        <f t="shared" si="67"/>
        <v>1.4231426279427051E-2</v>
      </c>
      <c r="M623" s="30">
        <f t="shared" si="68"/>
        <v>-6.2015505863537168E-4</v>
      </c>
      <c r="N623" s="30">
        <f t="shared" si="69"/>
        <v>-2.4576020487710175E-2</v>
      </c>
      <c r="O623" s="30">
        <f t="shared" si="70"/>
        <v>-2.1718780742014568E-2</v>
      </c>
    </row>
    <row r="624" spans="1:15" s="30" customFormat="1">
      <c r="A624" s="27">
        <v>45196</v>
      </c>
      <c r="B624" s="28" t="s">
        <v>616</v>
      </c>
      <c r="C624" s="28">
        <v>603.70000000000005</v>
      </c>
      <c r="D624" s="28" t="s">
        <v>1799</v>
      </c>
      <c r="E624" s="28">
        <v>325.95</v>
      </c>
      <c r="F624" s="28">
        <v>159</v>
      </c>
      <c r="G624" s="28" t="s">
        <v>2834</v>
      </c>
      <c r="H624" s="28">
        <v>379.65</v>
      </c>
      <c r="I624" s="30">
        <f t="shared" si="64"/>
        <v>4.0625782422550633E-2</v>
      </c>
      <c r="J624" s="30">
        <f t="shared" si="65"/>
        <v>5.8230810456459503E-2</v>
      </c>
      <c r="K624" s="30">
        <f t="shared" si="66"/>
        <v>1.1214069682597409E-2</v>
      </c>
      <c r="L624" s="30">
        <f t="shared" si="67"/>
        <v>1.6612140172813351E-2</v>
      </c>
      <c r="M624" s="30">
        <f t="shared" si="68"/>
        <v>-1.3741627852296353E-2</v>
      </c>
      <c r="N624" s="30">
        <f t="shared" si="69"/>
        <v>2.2880411707147649E-2</v>
      </c>
      <c r="O624" s="30">
        <f t="shared" si="70"/>
        <v>-1.7106392749713277E-3</v>
      </c>
    </row>
    <row r="625" spans="1:15" s="30" customFormat="1">
      <c r="A625" s="27">
        <v>45195</v>
      </c>
      <c r="B625" s="28" t="s">
        <v>617</v>
      </c>
      <c r="C625" s="28">
        <v>599.5</v>
      </c>
      <c r="D625" s="28" t="s">
        <v>1800</v>
      </c>
      <c r="E625" s="28">
        <v>326.45</v>
      </c>
      <c r="F625" s="28">
        <v>156.25</v>
      </c>
      <c r="G625" s="28" t="s">
        <v>2974</v>
      </c>
      <c r="H625" s="28">
        <v>380.8</v>
      </c>
      <c r="I625" s="30">
        <f t="shared" si="64"/>
        <v>-2.7295076540376174E-3</v>
      </c>
      <c r="J625" s="30">
        <f t="shared" si="65"/>
        <v>-6.9814113348115898E-3</v>
      </c>
      <c r="K625" s="30">
        <f t="shared" si="66"/>
        <v>9.0135481170858754E-3</v>
      </c>
      <c r="L625" s="30">
        <f t="shared" si="67"/>
        <v>1.5328022620940958E-3</v>
      </c>
      <c r="M625" s="30">
        <f t="shared" si="68"/>
        <v>-1.74469136037207E-2</v>
      </c>
      <c r="N625" s="30">
        <f t="shared" si="69"/>
        <v>-2.7389882873031096E-3</v>
      </c>
      <c r="O625" s="30">
        <f t="shared" si="70"/>
        <v>3.0245272579676932E-3</v>
      </c>
    </row>
    <row r="626" spans="1:15" s="30" customFormat="1">
      <c r="A626" s="27">
        <v>45194</v>
      </c>
      <c r="B626" s="28" t="s">
        <v>618</v>
      </c>
      <c r="C626" s="28">
        <v>611.4</v>
      </c>
      <c r="D626" s="28" t="s">
        <v>1801</v>
      </c>
      <c r="E626" s="28">
        <v>323.56</v>
      </c>
      <c r="F626" s="28">
        <v>158.25</v>
      </c>
      <c r="G626" s="28" t="s">
        <v>2975</v>
      </c>
      <c r="H626" s="28">
        <v>382.35</v>
      </c>
      <c r="I626" s="30">
        <f t="shared" si="64"/>
        <v>9.2049531079779912E-3</v>
      </c>
      <c r="J626" s="30">
        <f t="shared" si="65"/>
        <v>1.965543498916526E-2</v>
      </c>
      <c r="K626" s="30">
        <f t="shared" si="66"/>
        <v>1.4996024586359132E-2</v>
      </c>
      <c r="L626" s="30">
        <f t="shared" si="67"/>
        <v>-8.8922294828906057E-3</v>
      </c>
      <c r="M626" s="30">
        <f t="shared" si="68"/>
        <v>1.2718772407774612E-2</v>
      </c>
      <c r="N626" s="30">
        <f t="shared" si="69"/>
        <v>4.5143196333802781E-3</v>
      </c>
      <c r="O626" s="30">
        <f t="shared" si="70"/>
        <v>4.0621165730239323E-3</v>
      </c>
    </row>
    <row r="627" spans="1:15" s="30" customFormat="1">
      <c r="A627" s="27">
        <v>45191</v>
      </c>
      <c r="B627" s="28" t="s">
        <v>619</v>
      </c>
      <c r="C627" s="28">
        <v>669.3</v>
      </c>
      <c r="D627" s="28" t="s">
        <v>1802</v>
      </c>
      <c r="E627" s="28">
        <v>321.02999999999997</v>
      </c>
      <c r="F627" s="28">
        <v>153.25</v>
      </c>
      <c r="G627" s="28" t="s">
        <v>2976</v>
      </c>
      <c r="H627" s="28">
        <v>390.1</v>
      </c>
      <c r="I627" s="30">
        <f t="shared" si="64"/>
        <v>-1.467115325399577E-2</v>
      </c>
      <c r="J627" s="30">
        <f t="shared" si="65"/>
        <v>9.0480980649862444E-2</v>
      </c>
      <c r="K627" s="30">
        <f t="shared" si="66"/>
        <v>6.8659789757900616E-3</v>
      </c>
      <c r="L627" s="30">
        <f t="shared" si="67"/>
        <v>-7.849991442732452E-3</v>
      </c>
      <c r="M627" s="30">
        <f t="shared" si="68"/>
        <v>-3.2105486207964745E-2</v>
      </c>
      <c r="N627" s="30">
        <f t="shared" si="69"/>
        <v>4.4940321017315349E-3</v>
      </c>
      <c r="O627" s="30">
        <f t="shared" si="70"/>
        <v>2.0066697022376602E-2</v>
      </c>
    </row>
    <row r="628" spans="1:15" s="30" customFormat="1">
      <c r="A628" s="27">
        <v>45190</v>
      </c>
      <c r="B628" s="28" t="s">
        <v>620</v>
      </c>
      <c r="C628" s="28">
        <v>627.71</v>
      </c>
      <c r="D628" s="28" t="s">
        <v>1803</v>
      </c>
      <c r="E628" s="28">
        <v>324.61</v>
      </c>
      <c r="F628" s="28">
        <v>154.4</v>
      </c>
      <c r="G628" s="28" t="s">
        <v>2925</v>
      </c>
      <c r="H628" s="28">
        <v>393.4</v>
      </c>
      <c r="I628" s="30">
        <f t="shared" si="64"/>
        <v>-9.4032798776986469E-3</v>
      </c>
      <c r="J628" s="30">
        <f t="shared" si="65"/>
        <v>-6.4154113732696208E-2</v>
      </c>
      <c r="K628" s="30">
        <f t="shared" si="66"/>
        <v>-5.4370825549672364E-3</v>
      </c>
      <c r="L628" s="30">
        <f t="shared" si="67"/>
        <v>1.1089885046199168E-2</v>
      </c>
      <c r="M628" s="30">
        <f t="shared" si="68"/>
        <v>7.4760627743551602E-3</v>
      </c>
      <c r="N628" s="30">
        <f t="shared" si="69"/>
        <v>-8.7336250092880227E-4</v>
      </c>
      <c r="O628" s="30">
        <f t="shared" si="70"/>
        <v>8.4237894423476786E-3</v>
      </c>
    </row>
    <row r="629" spans="1:15" s="30" customFormat="1">
      <c r="A629" s="27">
        <v>45189</v>
      </c>
      <c r="B629" s="28" t="s">
        <v>621</v>
      </c>
      <c r="C629" s="28">
        <v>622.58000000000004</v>
      </c>
      <c r="D629" s="28" t="s">
        <v>1804</v>
      </c>
      <c r="E629" s="28">
        <v>324.91000000000003</v>
      </c>
      <c r="F629" s="28">
        <v>156.9</v>
      </c>
      <c r="G629" s="28" t="s">
        <v>2977</v>
      </c>
      <c r="H629" s="28">
        <v>392.8</v>
      </c>
      <c r="I629" s="30">
        <f t="shared" si="64"/>
        <v>-9.2436266788132344E-3</v>
      </c>
      <c r="J629" s="30">
        <f t="shared" si="65"/>
        <v>-8.2061422360365024E-3</v>
      </c>
      <c r="K629" s="30">
        <f t="shared" si="66"/>
        <v>-3.5109427827590468E-3</v>
      </c>
      <c r="L629" s="30">
        <f t="shared" si="67"/>
        <v>9.2375914932031524E-4</v>
      </c>
      <c r="M629" s="30">
        <f t="shared" si="68"/>
        <v>1.6062022148311168E-2</v>
      </c>
      <c r="N629" s="30">
        <f t="shared" si="69"/>
        <v>1.2700934432107694E-3</v>
      </c>
      <c r="O629" s="30">
        <f t="shared" si="70"/>
        <v>-1.5263294746478359E-3</v>
      </c>
    </row>
    <row r="630" spans="1:15" s="30" customFormat="1">
      <c r="A630" s="27">
        <v>45187</v>
      </c>
      <c r="B630" s="28" t="s">
        <v>622</v>
      </c>
      <c r="C630" s="28">
        <v>617.83000000000004</v>
      </c>
      <c r="D630" s="28" t="s">
        <v>1805</v>
      </c>
      <c r="E630" s="28">
        <v>326.45</v>
      </c>
      <c r="F630" s="28">
        <v>156.94999999999999</v>
      </c>
      <c r="G630" s="28" t="s">
        <v>2978</v>
      </c>
      <c r="H630" s="28">
        <v>394.6</v>
      </c>
      <c r="I630" s="30">
        <f t="shared" si="64"/>
        <v>-2.5075355978044058E-3</v>
      </c>
      <c r="J630" s="30">
        <f t="shared" si="65"/>
        <v>-7.6587954280140742E-3</v>
      </c>
      <c r="K630" s="30">
        <f t="shared" si="66"/>
        <v>-1.368702553500345E-3</v>
      </c>
      <c r="L630" s="30">
        <f t="shared" si="67"/>
        <v>4.7285767301034161E-3</v>
      </c>
      <c r="M630" s="30">
        <f t="shared" si="68"/>
        <v>3.1862354897564812E-4</v>
      </c>
      <c r="N630" s="30">
        <f t="shared" si="69"/>
        <v>2.9083862067181235E-2</v>
      </c>
      <c r="O630" s="30">
        <f t="shared" si="70"/>
        <v>4.5720171082040831E-3</v>
      </c>
    </row>
    <row r="631" spans="1:15" s="30" customFormat="1">
      <c r="A631" s="27">
        <v>45184</v>
      </c>
      <c r="B631" s="28" t="s">
        <v>623</v>
      </c>
      <c r="C631" s="28">
        <v>599.75</v>
      </c>
      <c r="D631" s="28" t="s">
        <v>1806</v>
      </c>
      <c r="E631" s="28">
        <v>325.20999999999998</v>
      </c>
      <c r="F631" s="28">
        <v>157.9</v>
      </c>
      <c r="G631" s="28" t="s">
        <v>2979</v>
      </c>
      <c r="H631" s="28">
        <v>400.5</v>
      </c>
      <c r="I631" s="30">
        <f t="shared" si="64"/>
        <v>-3.0142379079517753E-3</v>
      </c>
      <c r="J631" s="30">
        <f t="shared" si="65"/>
        <v>-2.9700436990045664E-2</v>
      </c>
      <c r="K631" s="30">
        <f t="shared" si="66"/>
        <v>1.2384306106357932E-3</v>
      </c>
      <c r="L631" s="30">
        <f t="shared" si="67"/>
        <v>-3.805670124264878E-3</v>
      </c>
      <c r="M631" s="30">
        <f t="shared" si="68"/>
        <v>6.0346379736339129E-3</v>
      </c>
      <c r="N631" s="30">
        <f t="shared" si="69"/>
        <v>-7.705941284532647E-5</v>
      </c>
      <c r="O631" s="30">
        <f t="shared" si="70"/>
        <v>1.4841172919898985E-2</v>
      </c>
    </row>
    <row r="632" spans="1:15" s="30" customFormat="1">
      <c r="A632" s="27">
        <v>45183</v>
      </c>
      <c r="B632" s="28" t="s">
        <v>624</v>
      </c>
      <c r="C632" s="28">
        <v>607.5</v>
      </c>
      <c r="D632" s="28" t="s">
        <v>1807</v>
      </c>
      <c r="E632" s="28">
        <v>329.29</v>
      </c>
      <c r="F632" s="28">
        <v>161.5</v>
      </c>
      <c r="G632" s="28" t="s">
        <v>2980</v>
      </c>
      <c r="H632" s="28">
        <v>401.35</v>
      </c>
      <c r="I632" s="30">
        <f t="shared" si="64"/>
        <v>1.3547100872039877E-2</v>
      </c>
      <c r="J632" s="30">
        <f t="shared" si="65"/>
        <v>1.2839273494899543E-2</v>
      </c>
      <c r="K632" s="30">
        <f t="shared" si="66"/>
        <v>6.6223257762646039E-3</v>
      </c>
      <c r="L632" s="30">
        <f t="shared" si="67"/>
        <v>1.2467693966743165E-2</v>
      </c>
      <c r="M632" s="30">
        <f t="shared" si="68"/>
        <v>2.2543221401114848E-2</v>
      </c>
      <c r="N632" s="30">
        <f t="shared" si="69"/>
        <v>1.7569103327317079E-2</v>
      </c>
      <c r="O632" s="30">
        <f t="shared" si="70"/>
        <v>2.1200980691719763E-3</v>
      </c>
    </row>
    <row r="633" spans="1:15" s="30" customFormat="1">
      <c r="A633" s="27">
        <v>45182</v>
      </c>
      <c r="B633" s="28" t="s">
        <v>625</v>
      </c>
      <c r="C633" s="28">
        <v>603.33000000000004</v>
      </c>
      <c r="D633" s="28" t="s">
        <v>1808</v>
      </c>
      <c r="E633" s="28">
        <v>328.39</v>
      </c>
      <c r="F633" s="28">
        <v>160.30000000000001</v>
      </c>
      <c r="G633" s="28" t="s">
        <v>2981</v>
      </c>
      <c r="H633" s="28">
        <v>399.75</v>
      </c>
      <c r="I633" s="30">
        <f t="shared" si="64"/>
        <v>1.1506724076026669E-2</v>
      </c>
      <c r="J633" s="30">
        <f t="shared" si="65"/>
        <v>-6.8878645000822339E-3</v>
      </c>
      <c r="K633" s="30">
        <f t="shared" si="66"/>
        <v>-1.171621434181447E-2</v>
      </c>
      <c r="L633" s="30">
        <f t="shared" si="67"/>
        <v>-2.7368950303933793E-3</v>
      </c>
      <c r="M633" s="30">
        <f t="shared" si="68"/>
        <v>-7.4580830472038466E-3</v>
      </c>
      <c r="N633" s="30">
        <f t="shared" si="69"/>
        <v>6.9609132147199961E-3</v>
      </c>
      <c r="O633" s="30">
        <f t="shared" si="70"/>
        <v>-3.9945128635222593E-3</v>
      </c>
    </row>
    <row r="634" spans="1:15" s="30" customFormat="1">
      <c r="A634" s="27">
        <v>45181</v>
      </c>
      <c r="B634" s="28" t="s">
        <v>626</v>
      </c>
      <c r="C634" s="28">
        <v>599.33000000000004</v>
      </c>
      <c r="D634" s="28" t="s">
        <v>1809</v>
      </c>
      <c r="E634" s="28">
        <v>328.94</v>
      </c>
      <c r="F634" s="28">
        <v>155.35</v>
      </c>
      <c r="G634" s="28" t="s">
        <v>2982</v>
      </c>
      <c r="H634" s="28">
        <v>398.25</v>
      </c>
      <c r="I634" s="30">
        <f t="shared" si="64"/>
        <v>-6.3967408153455963E-3</v>
      </c>
      <c r="J634" s="30">
        <f t="shared" si="65"/>
        <v>-6.651946101893149E-3</v>
      </c>
      <c r="K634" s="30">
        <f t="shared" si="66"/>
        <v>-1.3095432986456795E-4</v>
      </c>
      <c r="L634" s="30">
        <f t="shared" si="67"/>
        <v>1.6734368683955498E-3</v>
      </c>
      <c r="M634" s="30">
        <f t="shared" si="68"/>
        <v>-3.1366423776451005E-2</v>
      </c>
      <c r="N634" s="30">
        <f t="shared" si="69"/>
        <v>5.418136784089627E-3</v>
      </c>
      <c r="O634" s="30">
        <f t="shared" si="70"/>
        <v>-3.7594029239057013E-3</v>
      </c>
    </row>
    <row r="635" spans="1:15" s="30" customFormat="1">
      <c r="A635" s="27">
        <v>45180</v>
      </c>
      <c r="B635" s="28" t="s">
        <v>627</v>
      </c>
      <c r="C635" s="28">
        <v>601.46</v>
      </c>
      <c r="D635" s="28" t="s">
        <v>1810</v>
      </c>
      <c r="E635" s="28">
        <v>333.17</v>
      </c>
      <c r="F635" s="28">
        <v>159.94999999999999</v>
      </c>
      <c r="G635" s="28" t="s">
        <v>2983</v>
      </c>
      <c r="H635" s="28">
        <v>414.75</v>
      </c>
      <c r="I635" s="30">
        <f t="shared" si="64"/>
        <v>7.8265877772270241E-4</v>
      </c>
      <c r="J635" s="30">
        <f t="shared" si="65"/>
        <v>3.547668175127203E-3</v>
      </c>
      <c r="K635" s="30">
        <f t="shared" si="66"/>
        <v>3.4401268549560299E-2</v>
      </c>
      <c r="L635" s="30">
        <f t="shared" si="67"/>
        <v>1.2777506911673599E-2</v>
      </c>
      <c r="M635" s="30">
        <f t="shared" si="68"/>
        <v>2.918063055647066E-2</v>
      </c>
      <c r="N635" s="30">
        <f t="shared" si="69"/>
        <v>2.8732154201234865E-2</v>
      </c>
      <c r="O635" s="30">
        <f t="shared" si="70"/>
        <v>4.0595980280395953E-2</v>
      </c>
    </row>
    <row r="636" spans="1:15" s="30" customFormat="1">
      <c r="A636" s="27">
        <v>45177</v>
      </c>
      <c r="B636" s="28" t="s">
        <v>628</v>
      </c>
      <c r="C636" s="28">
        <v>597.41999999999996</v>
      </c>
      <c r="D636" s="28" t="s">
        <v>1811</v>
      </c>
      <c r="E636" s="28">
        <v>335.76</v>
      </c>
      <c r="F636" s="28">
        <v>160.1</v>
      </c>
      <c r="G636" s="28" t="s">
        <v>2984</v>
      </c>
      <c r="H636" s="28">
        <v>415.15</v>
      </c>
      <c r="I636" s="30">
        <f t="shared" si="64"/>
        <v>-6.571832592892464E-3</v>
      </c>
      <c r="J636" s="30">
        <f t="shared" si="65"/>
        <v>-6.7396491598074627E-3</v>
      </c>
      <c r="K636" s="30">
        <f t="shared" si="66"/>
        <v>1.2652622272840323E-4</v>
      </c>
      <c r="L636" s="30">
        <f t="shared" si="67"/>
        <v>7.7437488005386345E-3</v>
      </c>
      <c r="M636" s="30">
        <f t="shared" si="68"/>
        <v>9.373536071420088E-4</v>
      </c>
      <c r="N636" s="30">
        <f t="shared" si="69"/>
        <v>-1.6375191897858781E-2</v>
      </c>
      <c r="O636" s="30">
        <f t="shared" si="70"/>
        <v>9.6397163748570842E-4</v>
      </c>
    </row>
    <row r="637" spans="1:15" s="30" customFormat="1">
      <c r="A637" s="27">
        <v>45176</v>
      </c>
      <c r="B637" s="28" t="s">
        <v>629</v>
      </c>
      <c r="C637" s="28">
        <v>592.83000000000004</v>
      </c>
      <c r="D637" s="28" t="s">
        <v>1812</v>
      </c>
      <c r="E637" s="28">
        <v>335.26</v>
      </c>
      <c r="F637" s="28">
        <v>160.15</v>
      </c>
      <c r="G637" s="28" t="s">
        <v>2985</v>
      </c>
      <c r="H637" s="28">
        <v>409.65</v>
      </c>
      <c r="I637" s="30">
        <f t="shared" si="64"/>
        <v>2.5599915282449896E-3</v>
      </c>
      <c r="J637" s="30">
        <f t="shared" si="65"/>
        <v>-7.7127036392268889E-3</v>
      </c>
      <c r="K637" s="30">
        <f t="shared" si="66"/>
        <v>4.1349111199767002E-3</v>
      </c>
      <c r="L637" s="30">
        <f t="shared" si="67"/>
        <v>-1.4902688222036241E-3</v>
      </c>
      <c r="M637" s="30">
        <f t="shared" si="68"/>
        <v>3.122560524982615E-4</v>
      </c>
      <c r="N637" s="30">
        <f t="shared" si="69"/>
        <v>-9.0157550549293461E-3</v>
      </c>
      <c r="O637" s="30">
        <f t="shared" si="70"/>
        <v>-1.3336764120215885E-2</v>
      </c>
    </row>
    <row r="638" spans="1:15" s="30" customFormat="1">
      <c r="A638" s="27">
        <v>45175</v>
      </c>
      <c r="B638" s="28" t="s">
        <v>630</v>
      </c>
      <c r="C638" s="28">
        <v>596.46</v>
      </c>
      <c r="D638" s="28" t="s">
        <v>1813</v>
      </c>
      <c r="E638" s="28">
        <v>333.62</v>
      </c>
      <c r="F638" s="28">
        <v>161.05000000000001</v>
      </c>
      <c r="G638" s="28" t="s">
        <v>2986</v>
      </c>
      <c r="H638" s="28">
        <v>413</v>
      </c>
      <c r="I638" s="30">
        <f t="shared" si="64"/>
        <v>-6.5053191179488415E-3</v>
      </c>
      <c r="J638" s="30">
        <f t="shared" si="65"/>
        <v>6.1045014632877702E-3</v>
      </c>
      <c r="K638" s="30">
        <f t="shared" si="66"/>
        <v>1.1018591050105512E-3</v>
      </c>
      <c r="L638" s="30">
        <f t="shared" si="67"/>
        <v>-4.903729477222331E-3</v>
      </c>
      <c r="M638" s="30">
        <f t="shared" si="68"/>
        <v>5.6039997220407815E-3</v>
      </c>
      <c r="N638" s="30">
        <f t="shared" si="69"/>
        <v>6.6120855299136643E-3</v>
      </c>
      <c r="O638" s="30">
        <f t="shared" si="70"/>
        <v>8.1444563732090483E-3</v>
      </c>
    </row>
    <row r="639" spans="1:15" s="30" customFormat="1">
      <c r="A639" s="27">
        <v>45174</v>
      </c>
      <c r="B639" s="28" t="s">
        <v>631</v>
      </c>
      <c r="C639" s="28">
        <v>591.21</v>
      </c>
      <c r="D639" s="28" t="s">
        <v>1814</v>
      </c>
      <c r="E639" s="28">
        <v>336.61</v>
      </c>
      <c r="F639" s="28">
        <v>161.1</v>
      </c>
      <c r="G639" s="28" t="s">
        <v>2987</v>
      </c>
      <c r="H639" s="28">
        <v>419.8</v>
      </c>
      <c r="I639" s="30">
        <f t="shared" si="64"/>
        <v>-6.2028969516688163E-4</v>
      </c>
      <c r="J639" s="30">
        <f t="shared" si="65"/>
        <v>-8.8408972115078237E-3</v>
      </c>
      <c r="K639" s="30">
        <f t="shared" si="66"/>
        <v>-1.7005200130043891E-3</v>
      </c>
      <c r="L639" s="30">
        <f t="shared" si="67"/>
        <v>8.9223694427353496E-3</v>
      </c>
      <c r="M639" s="30">
        <f t="shared" si="68"/>
        <v>3.1041440572068872E-4</v>
      </c>
      <c r="N639" s="30">
        <f t="shared" si="69"/>
        <v>1.2235325538966562E-2</v>
      </c>
      <c r="O639" s="30">
        <f t="shared" si="70"/>
        <v>1.6330814425499853E-2</v>
      </c>
    </row>
    <row r="640" spans="1:15" s="30" customFormat="1">
      <c r="A640" s="27">
        <v>45173</v>
      </c>
      <c r="B640" s="28" t="s">
        <v>632</v>
      </c>
      <c r="C640" s="28">
        <v>589.83000000000004</v>
      </c>
      <c r="D640" s="28" t="s">
        <v>1815</v>
      </c>
      <c r="E640" s="28">
        <v>338.75</v>
      </c>
      <c r="F640" s="28">
        <v>160.05000000000001</v>
      </c>
      <c r="G640" s="28" t="s">
        <v>2988</v>
      </c>
      <c r="H640" s="28">
        <v>422.4</v>
      </c>
      <c r="I640" s="30">
        <f t="shared" si="64"/>
        <v>3.7932494758366646E-3</v>
      </c>
      <c r="J640" s="30">
        <f t="shared" si="65"/>
        <v>-2.3369244530917505E-3</v>
      </c>
      <c r="K640" s="30">
        <f t="shared" si="66"/>
        <v>6.3015945118895581E-4</v>
      </c>
      <c r="L640" s="30">
        <f t="shared" si="67"/>
        <v>6.3373820252659993E-3</v>
      </c>
      <c r="M640" s="30">
        <f t="shared" si="68"/>
        <v>-6.5390237670565404E-3</v>
      </c>
      <c r="N640" s="30">
        <f t="shared" si="69"/>
        <v>1.2250021419436451E-2</v>
      </c>
      <c r="O640" s="30">
        <f t="shared" si="70"/>
        <v>6.1743250055189703E-3</v>
      </c>
    </row>
    <row r="641" spans="1:15" s="30" customFormat="1">
      <c r="A641" s="27">
        <v>45170</v>
      </c>
      <c r="B641" s="28" t="s">
        <v>633</v>
      </c>
      <c r="C641" s="28">
        <v>599.88</v>
      </c>
      <c r="D641" s="28" t="s">
        <v>1816</v>
      </c>
      <c r="E641" s="28">
        <v>338.5</v>
      </c>
      <c r="F641" s="28">
        <v>160.35</v>
      </c>
      <c r="G641" s="28" t="s">
        <v>2989</v>
      </c>
      <c r="H641" s="28">
        <v>418.25</v>
      </c>
      <c r="I641" s="30">
        <f t="shared" si="64"/>
        <v>7.3902200830183173E-3</v>
      </c>
      <c r="J641" s="30">
        <f t="shared" si="65"/>
        <v>1.6895275425970028E-2</v>
      </c>
      <c r="K641" s="30">
        <f t="shared" si="66"/>
        <v>-2.64934236841919E-3</v>
      </c>
      <c r="L641" s="30">
        <f t="shared" si="67"/>
        <v>-7.3827984158096203E-4</v>
      </c>
      <c r="M641" s="30">
        <f t="shared" si="68"/>
        <v>1.8726597232918325E-3</v>
      </c>
      <c r="N641" s="30">
        <f t="shared" si="69"/>
        <v>-1.1390906985568961E-2</v>
      </c>
      <c r="O641" s="30">
        <f t="shared" si="70"/>
        <v>-9.8733925251183099E-3</v>
      </c>
    </row>
    <row r="642" spans="1:15" s="30" customFormat="1">
      <c r="A642" s="27">
        <v>45169</v>
      </c>
      <c r="B642" s="28" t="s">
        <v>634</v>
      </c>
      <c r="C642" s="28">
        <v>598.83000000000004</v>
      </c>
      <c r="D642" s="28" t="s">
        <v>1817</v>
      </c>
      <c r="E642" s="28">
        <v>331.18</v>
      </c>
      <c r="F642" s="28">
        <v>161.44999999999999</v>
      </c>
      <c r="G642" s="28" t="s">
        <v>2990</v>
      </c>
      <c r="H642" s="28">
        <v>409.8</v>
      </c>
      <c r="I642" s="30">
        <f t="shared" si="64"/>
        <v>-1.0589888414569179E-3</v>
      </c>
      <c r="J642" s="30">
        <f t="shared" si="65"/>
        <v>-1.7518837225782252E-3</v>
      </c>
      <c r="K642" s="30">
        <f t="shared" si="66"/>
        <v>-8.1814313974478917E-3</v>
      </c>
      <c r="L642" s="30">
        <f t="shared" si="67"/>
        <v>-2.1862058137991452E-2</v>
      </c>
      <c r="M642" s="30">
        <f t="shared" si="68"/>
        <v>6.8365710651202569E-3</v>
      </c>
      <c r="N642" s="30">
        <f t="shared" si="69"/>
        <v>3.9934043460171176E-3</v>
      </c>
      <c r="O642" s="30">
        <f t="shared" si="70"/>
        <v>-2.041010406213396E-2</v>
      </c>
    </row>
    <row r="643" spans="1:15" s="30" customFormat="1">
      <c r="A643" s="27">
        <v>45168</v>
      </c>
      <c r="B643" s="28" t="s">
        <v>635</v>
      </c>
      <c r="C643" s="28">
        <v>596.38</v>
      </c>
      <c r="D643" s="28" t="s">
        <v>1818</v>
      </c>
      <c r="E643" s="28">
        <v>333.42</v>
      </c>
      <c r="F643" s="28">
        <v>163</v>
      </c>
      <c r="G643" s="28" t="s">
        <v>2991</v>
      </c>
      <c r="H643" s="28">
        <v>408.35</v>
      </c>
      <c r="I643" s="30">
        <f t="shared" si="64"/>
        <v>1.1784956569079595E-2</v>
      </c>
      <c r="J643" s="30">
        <f t="shared" si="65"/>
        <v>-4.099703703189763E-3</v>
      </c>
      <c r="K643" s="30">
        <f t="shared" si="66"/>
        <v>2.3852317826678093E-3</v>
      </c>
      <c r="L643" s="30">
        <f t="shared" si="67"/>
        <v>6.7409223055466356E-3</v>
      </c>
      <c r="M643" s="30">
        <f t="shared" si="68"/>
        <v>9.5547036024782126E-3</v>
      </c>
      <c r="N643" s="30">
        <f t="shared" si="69"/>
        <v>9.148200207074509E-3</v>
      </c>
      <c r="O643" s="30">
        <f t="shared" si="70"/>
        <v>-3.5445860005147108E-3</v>
      </c>
    </row>
    <row r="644" spans="1:15" s="30" customFormat="1">
      <c r="A644" s="27">
        <v>45167</v>
      </c>
      <c r="B644" s="28" t="s">
        <v>636</v>
      </c>
      <c r="C644" s="28">
        <v>600.38</v>
      </c>
      <c r="D644" s="28" t="s">
        <v>1819</v>
      </c>
      <c r="E644" s="28">
        <v>328.19</v>
      </c>
      <c r="F644" s="28">
        <v>164.3</v>
      </c>
      <c r="G644" s="28" t="s">
        <v>2992</v>
      </c>
      <c r="H644" s="28">
        <v>407.3</v>
      </c>
      <c r="I644" s="30">
        <f t="shared" ref="I644:I707" si="71">LN(B644/B643)</f>
        <v>-2.7353977301683265E-3</v>
      </c>
      <c r="J644" s="30">
        <f t="shared" ref="J644:J707" si="72">LN(C644/C643)</f>
        <v>6.6847402908517097E-3</v>
      </c>
      <c r="K644" s="30">
        <f t="shared" ref="K644:K707" si="73">LN(D644/D643)</f>
        <v>-1.3366788938653919E-2</v>
      </c>
      <c r="L644" s="30">
        <f t="shared" ref="L644:L707" si="74">LN(E644/E643)</f>
        <v>-1.5810247554172322E-2</v>
      </c>
      <c r="M644" s="30">
        <f t="shared" ref="M644:M707" si="75">LN(F644/F643)</f>
        <v>7.9438242364602372E-3</v>
      </c>
      <c r="N644" s="30">
        <f t="shared" ref="N644:N707" si="76">LN(G644/G643)</f>
        <v>-1.5245000940725676E-2</v>
      </c>
      <c r="O644" s="30">
        <f t="shared" ref="O644:O707" si="77">LN(H644/H643)</f>
        <v>-2.5746351499178113E-3</v>
      </c>
    </row>
    <row r="645" spans="1:15" s="30" customFormat="1">
      <c r="A645" s="27">
        <v>45166</v>
      </c>
      <c r="B645" s="28" t="s">
        <v>637</v>
      </c>
      <c r="C645" s="28">
        <v>590.83000000000004</v>
      </c>
      <c r="D645" s="28" t="s">
        <v>1820</v>
      </c>
      <c r="E645" s="28">
        <v>325.56</v>
      </c>
      <c r="F645" s="28">
        <v>163.4</v>
      </c>
      <c r="G645" s="28" t="s">
        <v>2993</v>
      </c>
      <c r="H645" s="28">
        <v>409.6</v>
      </c>
      <c r="I645" s="30">
        <f t="shared" si="71"/>
        <v>-7.9445524340764455E-3</v>
      </c>
      <c r="J645" s="30">
        <f t="shared" si="72"/>
        <v>-1.6034460105246891E-2</v>
      </c>
      <c r="K645" s="30">
        <f t="shared" si="73"/>
        <v>-2.5629051943035282E-2</v>
      </c>
      <c r="L645" s="30">
        <f t="shared" si="74"/>
        <v>-8.0459325068718592E-3</v>
      </c>
      <c r="M645" s="30">
        <f t="shared" si="75"/>
        <v>-5.4928426173199074E-3</v>
      </c>
      <c r="N645" s="30">
        <f t="shared" si="76"/>
        <v>-8.901371901720136E-3</v>
      </c>
      <c r="O645" s="30">
        <f t="shared" si="77"/>
        <v>5.6310590709311463E-3</v>
      </c>
    </row>
    <row r="646" spans="1:15" s="30" customFormat="1">
      <c r="A646" s="27">
        <v>45163</v>
      </c>
      <c r="B646" s="28" t="s">
        <v>638</v>
      </c>
      <c r="C646" s="28">
        <v>586.96</v>
      </c>
      <c r="D646" s="28" t="s">
        <v>1821</v>
      </c>
      <c r="E646" s="28">
        <v>320.77999999999997</v>
      </c>
      <c r="F646" s="28">
        <v>157</v>
      </c>
      <c r="G646" s="28" t="s">
        <v>2994</v>
      </c>
      <c r="H646" s="28">
        <v>404.6</v>
      </c>
      <c r="I646" s="30">
        <f t="shared" si="71"/>
        <v>-1.2271820846802346E-4</v>
      </c>
      <c r="J646" s="30">
        <f t="shared" si="72"/>
        <v>-6.5716535675771131E-3</v>
      </c>
      <c r="K646" s="30">
        <f t="shared" si="73"/>
        <v>1.1223345734787044E-3</v>
      </c>
      <c r="L646" s="30">
        <f t="shared" si="74"/>
        <v>-1.4791246549608859E-2</v>
      </c>
      <c r="M646" s="30">
        <f t="shared" si="75"/>
        <v>-3.9955377077594507E-2</v>
      </c>
      <c r="N646" s="30">
        <f t="shared" si="76"/>
        <v>2.1220810023336298E-2</v>
      </c>
      <c r="O646" s="30">
        <f t="shared" si="77"/>
        <v>-1.2282148991652938E-2</v>
      </c>
    </row>
    <row r="647" spans="1:15" s="30" customFormat="1">
      <c r="A647" s="27">
        <v>45162</v>
      </c>
      <c r="B647" s="28" t="s">
        <v>639</v>
      </c>
      <c r="C647" s="28">
        <v>594.46</v>
      </c>
      <c r="D647" s="28" t="s">
        <v>1822</v>
      </c>
      <c r="E647" s="28">
        <v>322.52</v>
      </c>
      <c r="F647" s="28">
        <v>160.1</v>
      </c>
      <c r="G647" s="28" t="s">
        <v>2995</v>
      </c>
      <c r="H647" s="28">
        <v>416.15</v>
      </c>
      <c r="I647" s="30">
        <f t="shared" si="71"/>
        <v>-1.0393468940895441E-2</v>
      </c>
      <c r="J647" s="30">
        <f t="shared" si="72"/>
        <v>1.2696756030011152E-2</v>
      </c>
      <c r="K647" s="30">
        <f t="shared" si="73"/>
        <v>1.0730385653285006E-2</v>
      </c>
      <c r="L647" s="30">
        <f t="shared" si="74"/>
        <v>5.409619907589462E-3</v>
      </c>
      <c r="M647" s="30">
        <f t="shared" si="75"/>
        <v>1.9552814654360831E-2</v>
      </c>
      <c r="N647" s="30">
        <f t="shared" si="76"/>
        <v>1.5541422818791267E-3</v>
      </c>
      <c r="O647" s="30">
        <f t="shared" si="77"/>
        <v>2.8146847458458992E-2</v>
      </c>
    </row>
    <row r="648" spans="1:15" s="30" customFormat="1">
      <c r="A648" s="27">
        <v>45161</v>
      </c>
      <c r="B648" s="28" t="s">
        <v>640</v>
      </c>
      <c r="C648" s="28">
        <v>585.66999999999996</v>
      </c>
      <c r="D648" s="28" t="s">
        <v>1823</v>
      </c>
      <c r="E648" s="28">
        <v>319.77999999999997</v>
      </c>
      <c r="F648" s="28">
        <v>160.55000000000001</v>
      </c>
      <c r="G648" s="28" t="s">
        <v>2996</v>
      </c>
      <c r="H648" s="28">
        <v>417.5</v>
      </c>
      <c r="I648" s="30">
        <f t="shared" si="71"/>
        <v>-1.776601212928778E-2</v>
      </c>
      <c r="J648" s="30">
        <f t="shared" si="72"/>
        <v>-1.489693941332338E-2</v>
      </c>
      <c r="K648" s="30">
        <f t="shared" si="73"/>
        <v>-1.2083804275783237E-3</v>
      </c>
      <c r="L648" s="30">
        <f t="shared" si="74"/>
        <v>-8.5318904595470518E-3</v>
      </c>
      <c r="M648" s="30">
        <f t="shared" si="75"/>
        <v>2.8068005328540668E-3</v>
      </c>
      <c r="N648" s="30">
        <f t="shared" si="76"/>
        <v>7.4479529698549462E-3</v>
      </c>
      <c r="O648" s="30">
        <f t="shared" si="77"/>
        <v>3.2387720988061633E-3</v>
      </c>
    </row>
    <row r="649" spans="1:15" s="30" customFormat="1">
      <c r="A649" s="27">
        <v>45160</v>
      </c>
      <c r="B649" s="28" t="s">
        <v>641</v>
      </c>
      <c r="C649" s="28">
        <v>588.04</v>
      </c>
      <c r="D649" s="28" t="s">
        <v>1824</v>
      </c>
      <c r="E649" s="28">
        <v>324.41000000000003</v>
      </c>
      <c r="F649" s="28">
        <v>162.35</v>
      </c>
      <c r="G649" s="28" t="s">
        <v>2997</v>
      </c>
      <c r="H649" s="28">
        <v>426.8</v>
      </c>
      <c r="I649" s="30">
        <f t="shared" si="71"/>
        <v>3.4338853936119415E-3</v>
      </c>
      <c r="J649" s="30">
        <f t="shared" si="72"/>
        <v>4.0384817733389328E-3</v>
      </c>
      <c r="K649" s="30">
        <f t="shared" si="73"/>
        <v>-3.9947662816380456E-3</v>
      </c>
      <c r="L649" s="30">
        <f t="shared" si="74"/>
        <v>1.4374888549435322E-2</v>
      </c>
      <c r="M649" s="30">
        <f t="shared" si="75"/>
        <v>1.1149078013331974E-2</v>
      </c>
      <c r="N649" s="30">
        <f t="shared" si="76"/>
        <v>3.9889507229806343E-3</v>
      </c>
      <c r="O649" s="30">
        <f t="shared" si="77"/>
        <v>2.2030975136688183E-2</v>
      </c>
    </row>
    <row r="650" spans="1:15" s="30" customFormat="1">
      <c r="A650" s="27">
        <v>45159</v>
      </c>
      <c r="B650" s="28" t="s">
        <v>642</v>
      </c>
      <c r="C650" s="28">
        <v>588.16999999999996</v>
      </c>
      <c r="D650" s="28" t="s">
        <v>1825</v>
      </c>
      <c r="E650" s="28">
        <v>324.51</v>
      </c>
      <c r="F650" s="28">
        <v>161</v>
      </c>
      <c r="G650" s="28" t="s">
        <v>2998</v>
      </c>
      <c r="H650" s="28">
        <v>424.4</v>
      </c>
      <c r="I650" s="30">
        <f t="shared" si="71"/>
        <v>8.1735307914107395E-4</v>
      </c>
      <c r="J650" s="30">
        <f t="shared" si="72"/>
        <v>2.2104896324532877E-4</v>
      </c>
      <c r="K650" s="30">
        <f t="shared" si="73"/>
        <v>-2.2969270498530853E-4</v>
      </c>
      <c r="L650" s="30">
        <f t="shared" si="74"/>
        <v>3.0820440359844147E-4</v>
      </c>
      <c r="M650" s="30">
        <f t="shared" si="75"/>
        <v>-8.3501335643918779E-3</v>
      </c>
      <c r="N650" s="30">
        <f t="shared" si="76"/>
        <v>-1.9477682774829801E-3</v>
      </c>
      <c r="O650" s="30">
        <f t="shared" si="77"/>
        <v>-5.6391126877702617E-3</v>
      </c>
    </row>
    <row r="651" spans="1:15" s="30" customFormat="1">
      <c r="A651" s="27">
        <v>45156</v>
      </c>
      <c r="B651" s="28" t="s">
        <v>643</v>
      </c>
      <c r="C651" s="28">
        <v>587.71</v>
      </c>
      <c r="D651" s="28" t="s">
        <v>1826</v>
      </c>
      <c r="E651" s="28">
        <v>326.64999999999998</v>
      </c>
      <c r="F651" s="28">
        <v>156.6</v>
      </c>
      <c r="G651" s="28" t="s">
        <v>2999</v>
      </c>
      <c r="H651" s="28">
        <v>418.2</v>
      </c>
      <c r="I651" s="30">
        <f t="shared" si="71"/>
        <v>-5.9093910394599075E-3</v>
      </c>
      <c r="J651" s="30">
        <f t="shared" si="72"/>
        <v>-7.8239280107701421E-4</v>
      </c>
      <c r="K651" s="30">
        <f t="shared" si="73"/>
        <v>-1.6911693247195669E-2</v>
      </c>
      <c r="L651" s="30">
        <f t="shared" si="74"/>
        <v>6.5729089764513847E-3</v>
      </c>
      <c r="M651" s="30">
        <f t="shared" si="75"/>
        <v>-2.7709581427760255E-2</v>
      </c>
      <c r="N651" s="30">
        <f t="shared" si="76"/>
        <v>1.1134942511068181E-2</v>
      </c>
      <c r="O651" s="30">
        <f t="shared" si="77"/>
        <v>-1.4716619745294873E-2</v>
      </c>
    </row>
    <row r="652" spans="1:15" s="30" customFormat="1">
      <c r="A652" s="27">
        <v>45155</v>
      </c>
      <c r="B652" s="28" t="s">
        <v>644</v>
      </c>
      <c r="C652" s="28">
        <v>587.54</v>
      </c>
      <c r="D652" s="28" t="s">
        <v>1827</v>
      </c>
      <c r="E652" s="28">
        <v>320.58</v>
      </c>
      <c r="F652" s="28">
        <v>155.55000000000001</v>
      </c>
      <c r="G652" s="28" t="s">
        <v>3000</v>
      </c>
      <c r="H652" s="28">
        <v>398.55</v>
      </c>
      <c r="I652" s="30">
        <f t="shared" si="71"/>
        <v>6.2078727125447382E-3</v>
      </c>
      <c r="J652" s="30">
        <f t="shared" si="72"/>
        <v>-2.8930015092238287E-4</v>
      </c>
      <c r="K652" s="30">
        <f t="shared" si="73"/>
        <v>2.0743931277654965E-2</v>
      </c>
      <c r="L652" s="30">
        <f t="shared" si="74"/>
        <v>-1.8757406089024369E-2</v>
      </c>
      <c r="M652" s="30">
        <f t="shared" si="75"/>
        <v>-6.7275602130566449E-3</v>
      </c>
      <c r="N652" s="30">
        <f t="shared" si="76"/>
        <v>7.963536861803509E-3</v>
      </c>
      <c r="O652" s="30">
        <f t="shared" si="77"/>
        <v>-4.8126826120600888E-2</v>
      </c>
    </row>
    <row r="653" spans="1:15" s="30" customFormat="1">
      <c r="A653" s="27">
        <v>45154</v>
      </c>
      <c r="B653" s="28" t="s">
        <v>645</v>
      </c>
      <c r="C653" s="28">
        <v>581.79</v>
      </c>
      <c r="D653" s="28" t="s">
        <v>1828</v>
      </c>
      <c r="E653" s="28">
        <v>323.91000000000003</v>
      </c>
      <c r="F653" s="28">
        <v>158</v>
      </c>
      <c r="G653" s="28" t="s">
        <v>3001</v>
      </c>
      <c r="H653" s="28">
        <v>398.6</v>
      </c>
      <c r="I653" s="30">
        <f t="shared" si="71"/>
        <v>3.3870165507946127E-3</v>
      </c>
      <c r="J653" s="30">
        <f t="shared" si="72"/>
        <v>-9.8347709307522561E-3</v>
      </c>
      <c r="K653" s="30">
        <f t="shared" si="73"/>
        <v>1.4314011253526658E-2</v>
      </c>
      <c r="L653" s="30">
        <f t="shared" si="74"/>
        <v>1.0333844229423806E-2</v>
      </c>
      <c r="M653" s="30">
        <f t="shared" si="75"/>
        <v>1.5627809683320767E-2</v>
      </c>
      <c r="N653" s="30">
        <f t="shared" si="76"/>
        <v>8.5271969979442818E-3</v>
      </c>
      <c r="O653" s="30">
        <f t="shared" si="77"/>
        <v>1.2544690476208668E-4</v>
      </c>
    </row>
    <row r="654" spans="1:15" s="30" customFormat="1">
      <c r="A654" s="27">
        <v>45152</v>
      </c>
      <c r="B654" s="28" t="s">
        <v>646</v>
      </c>
      <c r="C654" s="28">
        <v>582.79</v>
      </c>
      <c r="D654" s="28" t="s">
        <v>1829</v>
      </c>
      <c r="E654" s="28">
        <v>320.18</v>
      </c>
      <c r="F654" s="28">
        <v>153.25</v>
      </c>
      <c r="G654" s="28" t="s">
        <v>3002</v>
      </c>
      <c r="H654" s="28">
        <v>391.95</v>
      </c>
      <c r="I654" s="30">
        <f t="shared" si="71"/>
        <v>2.6732758840368642E-3</v>
      </c>
      <c r="J654" s="30">
        <f t="shared" si="72"/>
        <v>1.7173577526258059E-3</v>
      </c>
      <c r="K654" s="30">
        <f t="shared" si="73"/>
        <v>-2.1433347109301632E-2</v>
      </c>
      <c r="L654" s="30">
        <f t="shared" si="74"/>
        <v>-1.1582361777210434E-2</v>
      </c>
      <c r="M654" s="30">
        <f t="shared" si="75"/>
        <v>-3.0524458210646074E-2</v>
      </c>
      <c r="N654" s="30">
        <f t="shared" si="76"/>
        <v>-2.1918203727858392E-2</v>
      </c>
      <c r="O654" s="30">
        <f t="shared" si="77"/>
        <v>-1.682412714396328E-2</v>
      </c>
    </row>
    <row r="655" spans="1:15" s="30" customFormat="1">
      <c r="A655" s="27">
        <v>45149</v>
      </c>
      <c r="B655" s="28" t="s">
        <v>647</v>
      </c>
      <c r="C655" s="28">
        <v>583.91999999999996</v>
      </c>
      <c r="D655" s="28" t="s">
        <v>1830</v>
      </c>
      <c r="E655" s="28">
        <v>327.55</v>
      </c>
      <c r="F655" s="28">
        <v>156.55000000000001</v>
      </c>
      <c r="G655" s="28" t="s">
        <v>3003</v>
      </c>
      <c r="H655" s="28">
        <v>387.5</v>
      </c>
      <c r="I655" s="30">
        <f t="shared" si="71"/>
        <v>-5.4008068096983511E-3</v>
      </c>
      <c r="J655" s="30">
        <f t="shared" si="72"/>
        <v>1.9370715144920363E-3</v>
      </c>
      <c r="K655" s="30">
        <f t="shared" si="73"/>
        <v>1.7137960460787E-2</v>
      </c>
      <c r="L655" s="30">
        <f t="shared" si="74"/>
        <v>2.2757377527936957E-2</v>
      </c>
      <c r="M655" s="30">
        <f t="shared" si="75"/>
        <v>2.1304872956094057E-2</v>
      </c>
      <c r="N655" s="30">
        <f t="shared" si="76"/>
        <v>2.7351537369815632E-3</v>
      </c>
      <c r="O655" s="30">
        <f t="shared" si="77"/>
        <v>-1.1418431841329438E-2</v>
      </c>
    </row>
    <row r="656" spans="1:15" s="30" customFormat="1">
      <c r="A656" s="27">
        <v>45148</v>
      </c>
      <c r="B656" s="28" t="s">
        <v>648</v>
      </c>
      <c r="C656" s="28">
        <v>577.63</v>
      </c>
      <c r="D656" s="28" t="s">
        <v>1831</v>
      </c>
      <c r="E656" s="28">
        <v>328.94</v>
      </c>
      <c r="F656" s="28">
        <v>156.75</v>
      </c>
      <c r="G656" s="28" t="s">
        <v>3004</v>
      </c>
      <c r="H656" s="28">
        <v>393.15</v>
      </c>
      <c r="I656" s="30">
        <f t="shared" si="71"/>
        <v>1.6362798420732461E-2</v>
      </c>
      <c r="J656" s="30">
        <f t="shared" si="72"/>
        <v>-1.0830461855374758E-2</v>
      </c>
      <c r="K656" s="30">
        <f t="shared" si="73"/>
        <v>1.4650864468701981E-2</v>
      </c>
      <c r="L656" s="30">
        <f t="shared" si="74"/>
        <v>4.2346481352375353E-3</v>
      </c>
      <c r="M656" s="30">
        <f t="shared" si="75"/>
        <v>1.2767317406153459E-3</v>
      </c>
      <c r="N656" s="30">
        <f t="shared" si="76"/>
        <v>-1.5265010596721377E-3</v>
      </c>
      <c r="O656" s="30">
        <f t="shared" si="77"/>
        <v>1.4475369644123239E-2</v>
      </c>
    </row>
    <row r="657" spans="1:15" s="30" customFormat="1">
      <c r="A657" s="27">
        <v>45147</v>
      </c>
      <c r="B657" s="28" t="s">
        <v>649</v>
      </c>
      <c r="C657" s="28">
        <v>582.16999999999996</v>
      </c>
      <c r="D657" s="28" t="s">
        <v>1832</v>
      </c>
      <c r="E657" s="28">
        <v>328.54</v>
      </c>
      <c r="F657" s="28">
        <v>157.19999999999999</v>
      </c>
      <c r="G657" s="28" t="s">
        <v>3005</v>
      </c>
      <c r="H657" s="28">
        <v>393.2</v>
      </c>
      <c r="I657" s="30">
        <f t="shared" si="71"/>
        <v>2.8347587694269229E-2</v>
      </c>
      <c r="J657" s="30">
        <f t="shared" si="72"/>
        <v>7.8289760115716079E-3</v>
      </c>
      <c r="K657" s="30">
        <f t="shared" si="73"/>
        <v>1.9988350788202616E-2</v>
      </c>
      <c r="L657" s="30">
        <f t="shared" si="74"/>
        <v>-1.2167672000690801E-3</v>
      </c>
      <c r="M657" s="30">
        <f t="shared" si="75"/>
        <v>2.8667004820760421E-3</v>
      </c>
      <c r="N657" s="30">
        <f t="shared" si="76"/>
        <v>-1.2782296940736147E-2</v>
      </c>
      <c r="O657" s="30">
        <f t="shared" si="77"/>
        <v>1.2716983548643834E-4</v>
      </c>
    </row>
    <row r="658" spans="1:15" s="30" customFormat="1">
      <c r="A658" s="27">
        <v>45146</v>
      </c>
      <c r="B658" s="28" t="s">
        <v>650</v>
      </c>
      <c r="C658" s="28">
        <v>591.08000000000004</v>
      </c>
      <c r="D658" s="28" t="s">
        <v>1833</v>
      </c>
      <c r="E658" s="28">
        <v>327.99</v>
      </c>
      <c r="F658" s="28">
        <v>156.05000000000001</v>
      </c>
      <c r="G658" s="28" t="s">
        <v>3006</v>
      </c>
      <c r="H658" s="28">
        <v>387.65</v>
      </c>
      <c r="I658" s="30">
        <f t="shared" si="71"/>
        <v>5.1055275932988123E-3</v>
      </c>
      <c r="J658" s="30">
        <f t="shared" si="72"/>
        <v>1.5188870735859606E-2</v>
      </c>
      <c r="K658" s="30">
        <f t="shared" si="73"/>
        <v>-1.0433784157587554E-2</v>
      </c>
      <c r="L658" s="30">
        <f t="shared" si="74"/>
        <v>-1.6754759985506589E-3</v>
      </c>
      <c r="M658" s="30">
        <f t="shared" si="75"/>
        <v>-7.3424112783175835E-3</v>
      </c>
      <c r="N658" s="30">
        <f t="shared" si="76"/>
        <v>9.757921748060781E-3</v>
      </c>
      <c r="O658" s="30">
        <f t="shared" si="77"/>
        <v>-1.4215517608043486E-2</v>
      </c>
    </row>
    <row r="659" spans="1:15" s="30" customFormat="1">
      <c r="A659" s="27">
        <v>45145</v>
      </c>
      <c r="B659" s="28" t="s">
        <v>651</v>
      </c>
      <c r="C659" s="28">
        <v>589.04</v>
      </c>
      <c r="D659" s="28" t="s">
        <v>1834</v>
      </c>
      <c r="E659" s="28">
        <v>327</v>
      </c>
      <c r="F659" s="28">
        <v>156.4</v>
      </c>
      <c r="G659" s="28" t="s">
        <v>3007</v>
      </c>
      <c r="H659" s="28">
        <v>382.55</v>
      </c>
      <c r="I659" s="30">
        <f t="shared" si="71"/>
        <v>-1.5094793668798253E-3</v>
      </c>
      <c r="J659" s="30">
        <f t="shared" si="72"/>
        <v>-3.4572789749718631E-3</v>
      </c>
      <c r="K659" s="30">
        <f t="shared" si="73"/>
        <v>9.0885415764529864E-3</v>
      </c>
      <c r="L659" s="30">
        <f t="shared" si="74"/>
        <v>-3.0229492172497998E-3</v>
      </c>
      <c r="M659" s="30">
        <f t="shared" si="75"/>
        <v>2.2403593944221555E-3</v>
      </c>
      <c r="N659" s="30">
        <f t="shared" si="76"/>
        <v>8.4099711461177572E-3</v>
      </c>
      <c r="O659" s="30">
        <f t="shared" si="77"/>
        <v>-1.3243506987107044E-2</v>
      </c>
    </row>
    <row r="660" spans="1:15" s="30" customFormat="1">
      <c r="A660" s="27">
        <v>45142</v>
      </c>
      <c r="B660" s="28" t="s">
        <v>652</v>
      </c>
      <c r="C660" s="28">
        <v>587.21</v>
      </c>
      <c r="D660" s="28" t="s">
        <v>1835</v>
      </c>
      <c r="E660" s="28">
        <v>325.64999999999998</v>
      </c>
      <c r="F660" s="28">
        <v>155</v>
      </c>
      <c r="G660" s="28" t="s">
        <v>3008</v>
      </c>
      <c r="H660" s="28">
        <v>395.7</v>
      </c>
      <c r="I660" s="30">
        <f t="shared" si="71"/>
        <v>-1.0025963594136871E-3</v>
      </c>
      <c r="J660" s="30">
        <f t="shared" si="72"/>
        <v>-3.1115859324117403E-3</v>
      </c>
      <c r="K660" s="30">
        <f t="shared" si="73"/>
        <v>-8.6779352947251396E-3</v>
      </c>
      <c r="L660" s="30">
        <f t="shared" si="74"/>
        <v>-4.1369859048429481E-3</v>
      </c>
      <c r="M660" s="30">
        <f t="shared" si="75"/>
        <v>-8.9917111919640726E-3</v>
      </c>
      <c r="N660" s="30">
        <f t="shared" si="76"/>
        <v>-2.5297435100068238E-3</v>
      </c>
      <c r="O660" s="30">
        <f t="shared" si="77"/>
        <v>3.3796984713517594E-2</v>
      </c>
    </row>
    <row r="661" spans="1:15" s="30" customFormat="1">
      <c r="A661" s="27">
        <v>45141</v>
      </c>
      <c r="B661" s="28" t="s">
        <v>653</v>
      </c>
      <c r="C661" s="28">
        <v>582.08000000000004</v>
      </c>
      <c r="D661" s="28" t="s">
        <v>1836</v>
      </c>
      <c r="E661" s="28">
        <v>319.08</v>
      </c>
      <c r="F661" s="28">
        <v>154.44999999999999</v>
      </c>
      <c r="G661" s="28" t="s">
        <v>3009</v>
      </c>
      <c r="H661" s="28">
        <v>365.55</v>
      </c>
      <c r="I661" s="30">
        <f t="shared" si="71"/>
        <v>-9.8861601820690571E-4</v>
      </c>
      <c r="J661" s="30">
        <f t="shared" si="72"/>
        <v>-8.7746117982920573E-3</v>
      </c>
      <c r="K661" s="30">
        <f t="shared" si="73"/>
        <v>-2.7013964648014029E-2</v>
      </c>
      <c r="L661" s="30">
        <f t="shared" si="74"/>
        <v>-2.0381329949481747E-2</v>
      </c>
      <c r="M661" s="30">
        <f t="shared" si="75"/>
        <v>-3.5546975546560115E-3</v>
      </c>
      <c r="N661" s="30">
        <f t="shared" si="76"/>
        <v>2.6929711372219722E-2</v>
      </c>
      <c r="O661" s="30">
        <f t="shared" si="77"/>
        <v>-7.9253279652053685E-2</v>
      </c>
    </row>
    <row r="662" spans="1:15" s="30" customFormat="1">
      <c r="A662" s="27">
        <v>45140</v>
      </c>
      <c r="B662" s="28" t="s">
        <v>654</v>
      </c>
      <c r="C662" s="28">
        <v>593.04</v>
      </c>
      <c r="D662" s="28" t="s">
        <v>1837</v>
      </c>
      <c r="E662" s="28">
        <v>335.51</v>
      </c>
      <c r="F662" s="28">
        <v>153.9</v>
      </c>
      <c r="G662" s="28" t="s">
        <v>3010</v>
      </c>
      <c r="H662" s="28">
        <v>370.8</v>
      </c>
      <c r="I662" s="30">
        <f t="shared" si="71"/>
        <v>7.9263019003497463E-3</v>
      </c>
      <c r="J662" s="30">
        <f t="shared" si="72"/>
        <v>1.8653955018706852E-2</v>
      </c>
      <c r="K662" s="30">
        <f t="shared" si="73"/>
        <v>3.8533197520716259E-3</v>
      </c>
      <c r="L662" s="30">
        <f t="shared" si="74"/>
        <v>5.0209907183924388E-2</v>
      </c>
      <c r="M662" s="30">
        <f t="shared" si="75"/>
        <v>-3.5673785197570069E-3</v>
      </c>
      <c r="N662" s="30">
        <f t="shared" si="76"/>
        <v>-4.1830457282360213E-2</v>
      </c>
      <c r="O662" s="30">
        <f t="shared" si="77"/>
        <v>1.4259764952375126E-2</v>
      </c>
    </row>
    <row r="663" spans="1:15" s="30" customFormat="1">
      <c r="A663" s="27">
        <v>45139</v>
      </c>
      <c r="B663" s="28" t="s">
        <v>655</v>
      </c>
      <c r="C663" s="28">
        <v>585.33000000000004</v>
      </c>
      <c r="D663" s="28" t="s">
        <v>1838</v>
      </c>
      <c r="E663" s="28">
        <v>337.4</v>
      </c>
      <c r="F663" s="28">
        <v>154.80000000000001</v>
      </c>
      <c r="G663" s="28" t="s">
        <v>3011</v>
      </c>
      <c r="H663" s="28">
        <v>381.25</v>
      </c>
      <c r="I663" s="30">
        <f t="shared" si="71"/>
        <v>-5.9500462603658396E-3</v>
      </c>
      <c r="J663" s="30">
        <f t="shared" si="72"/>
        <v>-1.3086059598547169E-2</v>
      </c>
      <c r="K663" s="30">
        <f t="shared" si="73"/>
        <v>2.0726130517116952E-2</v>
      </c>
      <c r="L663" s="30">
        <f t="shared" si="74"/>
        <v>5.617407885014687E-3</v>
      </c>
      <c r="M663" s="30">
        <f t="shared" si="75"/>
        <v>5.8309203107931437E-3</v>
      </c>
      <c r="N663" s="30">
        <f t="shared" si="76"/>
        <v>1.4865319464294818E-2</v>
      </c>
      <c r="O663" s="30">
        <f t="shared" si="77"/>
        <v>2.7792494229921177E-2</v>
      </c>
    </row>
    <row r="664" spans="1:15" s="30" customFormat="1">
      <c r="A664" s="27">
        <v>45138</v>
      </c>
      <c r="B664" s="28" t="s">
        <v>656</v>
      </c>
      <c r="C664" s="28">
        <v>568.66999999999996</v>
      </c>
      <c r="D664" s="28" t="s">
        <v>1839</v>
      </c>
      <c r="E664" s="28">
        <v>333.92</v>
      </c>
      <c r="F664" s="28">
        <v>154.1</v>
      </c>
      <c r="G664" s="28" t="s">
        <v>3012</v>
      </c>
      <c r="H664" s="28">
        <v>373.25</v>
      </c>
      <c r="I664" s="30">
        <f t="shared" si="71"/>
        <v>1.0237727618667777E-2</v>
      </c>
      <c r="J664" s="30">
        <f t="shared" si="72"/>
        <v>-2.8875489718869125E-2</v>
      </c>
      <c r="K664" s="30">
        <f t="shared" si="73"/>
        <v>8.1025712451154586E-3</v>
      </c>
      <c r="L664" s="30">
        <f t="shared" si="74"/>
        <v>-1.0367726782977158E-2</v>
      </c>
      <c r="M664" s="30">
        <f t="shared" si="75"/>
        <v>-4.5322188295567568E-3</v>
      </c>
      <c r="N664" s="30">
        <f t="shared" si="76"/>
        <v>-1.6971057025289674E-2</v>
      </c>
      <c r="O664" s="30">
        <f t="shared" si="77"/>
        <v>-2.1206891502321641E-2</v>
      </c>
    </row>
    <row r="665" spans="1:15" s="30" customFormat="1">
      <c r="A665" s="27">
        <v>45135</v>
      </c>
      <c r="B665" s="28" t="s">
        <v>657</v>
      </c>
      <c r="C665" s="28">
        <v>566.38</v>
      </c>
      <c r="D665" s="28" t="s">
        <v>1840</v>
      </c>
      <c r="E665" s="28">
        <v>326.14999999999998</v>
      </c>
      <c r="F665" s="28">
        <v>154.80000000000001</v>
      </c>
      <c r="G665" s="28" t="s">
        <v>3013</v>
      </c>
      <c r="H665" s="28">
        <v>372.8</v>
      </c>
      <c r="I665" s="30">
        <f t="shared" si="71"/>
        <v>3.9450114328237378E-3</v>
      </c>
      <c r="J665" s="30">
        <f t="shared" si="72"/>
        <v>-4.0350700094399176E-3</v>
      </c>
      <c r="K665" s="30">
        <f t="shared" si="73"/>
        <v>-1.0923894699670457E-2</v>
      </c>
      <c r="L665" s="30">
        <f t="shared" si="74"/>
        <v>-2.3544045086785745E-2</v>
      </c>
      <c r="M665" s="30">
        <f t="shared" si="75"/>
        <v>4.5322188295567837E-3</v>
      </c>
      <c r="N665" s="30">
        <f t="shared" si="76"/>
        <v>-2.0329935511752956E-2</v>
      </c>
      <c r="O665" s="30">
        <f t="shared" si="77"/>
        <v>-1.20635360786359E-3</v>
      </c>
    </row>
    <row r="666" spans="1:15" s="30" customFormat="1">
      <c r="A666" s="27">
        <v>45134</v>
      </c>
      <c r="B666" s="28" t="s">
        <v>658</v>
      </c>
      <c r="C666" s="28">
        <v>561.71</v>
      </c>
      <c r="D666" s="28" t="s">
        <v>1841</v>
      </c>
      <c r="E666" s="28">
        <v>324.06</v>
      </c>
      <c r="F666" s="28">
        <v>154.85</v>
      </c>
      <c r="G666" s="28" t="s">
        <v>3014</v>
      </c>
      <c r="H666" s="28">
        <v>362.1</v>
      </c>
      <c r="I666" s="30">
        <f t="shared" si="71"/>
        <v>-6.3017027818496113E-3</v>
      </c>
      <c r="J666" s="30">
        <f t="shared" si="72"/>
        <v>-8.2795285439551929E-3</v>
      </c>
      <c r="K666" s="30">
        <f t="shared" si="73"/>
        <v>-2.5984675794526103E-2</v>
      </c>
      <c r="L666" s="30">
        <f t="shared" si="74"/>
        <v>-6.4287144092502017E-3</v>
      </c>
      <c r="M666" s="30">
        <f t="shared" si="75"/>
        <v>3.2294526358498613E-4</v>
      </c>
      <c r="N666" s="30">
        <f t="shared" si="76"/>
        <v>8.5864152664225698E-3</v>
      </c>
      <c r="O666" s="30">
        <f t="shared" si="77"/>
        <v>-2.9121666039840621E-2</v>
      </c>
    </row>
    <row r="667" spans="1:15" s="30" customFormat="1">
      <c r="A667" s="27">
        <v>45133</v>
      </c>
      <c r="B667" s="28" t="s">
        <v>659</v>
      </c>
      <c r="C667" s="28">
        <v>561.25</v>
      </c>
      <c r="D667" s="28" t="s">
        <v>1842</v>
      </c>
      <c r="E667" s="28">
        <v>322.27</v>
      </c>
      <c r="F667" s="28">
        <v>152.4</v>
      </c>
      <c r="G667" s="28" t="s">
        <v>3015</v>
      </c>
      <c r="H667" s="28">
        <v>369.7</v>
      </c>
      <c r="I667" s="30">
        <f t="shared" si="71"/>
        <v>1.0678691095464526E-3</v>
      </c>
      <c r="J667" s="30">
        <f t="shared" si="72"/>
        <v>-8.1926342118875594E-4</v>
      </c>
      <c r="K667" s="30">
        <f t="shared" si="73"/>
        <v>-1.4439262451714925E-2</v>
      </c>
      <c r="L667" s="30">
        <f t="shared" si="74"/>
        <v>-5.5389803242190004E-3</v>
      </c>
      <c r="M667" s="30">
        <f t="shared" si="75"/>
        <v>-1.5948263166665831E-2</v>
      </c>
      <c r="N667" s="30">
        <f t="shared" si="76"/>
        <v>-1.105327955128709E-2</v>
      </c>
      <c r="O667" s="30">
        <f t="shared" si="77"/>
        <v>2.0771449170990532E-2</v>
      </c>
    </row>
    <row r="668" spans="1:15" s="30" customFormat="1">
      <c r="A668" s="27">
        <v>45132</v>
      </c>
      <c r="B668" s="28" t="s">
        <v>660</v>
      </c>
      <c r="C668" s="28">
        <v>562.96</v>
      </c>
      <c r="D668" s="28" t="s">
        <v>1843</v>
      </c>
      <c r="E668" s="28">
        <v>320.18</v>
      </c>
      <c r="F668" s="28">
        <v>153.4</v>
      </c>
      <c r="G668" s="28" t="s">
        <v>3016</v>
      </c>
      <c r="H668" s="28">
        <v>368.65</v>
      </c>
      <c r="I668" s="30">
        <f t="shared" si="71"/>
        <v>8.090515681553485E-3</v>
      </c>
      <c r="J668" s="30">
        <f t="shared" si="72"/>
        <v>3.0421386018295304E-3</v>
      </c>
      <c r="K668" s="30">
        <f t="shared" si="73"/>
        <v>-7.2985760077414049E-3</v>
      </c>
      <c r="L668" s="30">
        <f t="shared" si="74"/>
        <v>-6.5063658586874589E-3</v>
      </c>
      <c r="M668" s="30">
        <f t="shared" si="75"/>
        <v>6.5402456806099747E-3</v>
      </c>
      <c r="N668" s="30">
        <f t="shared" si="76"/>
        <v>-2.5292759464597043E-2</v>
      </c>
      <c r="O668" s="30">
        <f t="shared" si="77"/>
        <v>-2.8441815069266663E-3</v>
      </c>
    </row>
    <row r="669" spans="1:15" s="30" customFormat="1">
      <c r="A669" s="27">
        <v>45131</v>
      </c>
      <c r="B669" s="28" t="s">
        <v>661</v>
      </c>
      <c r="C669" s="28">
        <v>571.54</v>
      </c>
      <c r="D669" s="28" t="s">
        <v>1844</v>
      </c>
      <c r="E669" s="28">
        <v>321.52</v>
      </c>
      <c r="F669" s="28">
        <v>154.05000000000001</v>
      </c>
      <c r="G669" s="28" t="s">
        <v>3017</v>
      </c>
      <c r="H669" s="28">
        <v>365.05</v>
      </c>
      <c r="I669" s="30">
        <f t="shared" si="71"/>
        <v>4.1278307285877891E-2</v>
      </c>
      <c r="J669" s="30">
        <f t="shared" si="72"/>
        <v>1.5125894378392108E-2</v>
      </c>
      <c r="K669" s="30">
        <f t="shared" si="73"/>
        <v>-5.6765211864142802E-3</v>
      </c>
      <c r="L669" s="30">
        <f t="shared" si="74"/>
        <v>4.1764124909972403E-3</v>
      </c>
      <c r="M669" s="30">
        <f t="shared" si="75"/>
        <v>4.2283361095211049E-3</v>
      </c>
      <c r="N669" s="30">
        <f t="shared" si="76"/>
        <v>5.3544622648813364E-3</v>
      </c>
      <c r="O669" s="30">
        <f t="shared" si="77"/>
        <v>-9.8133539335647241E-3</v>
      </c>
    </row>
    <row r="670" spans="1:15" s="30" customFormat="1">
      <c r="A670" s="27">
        <v>45128</v>
      </c>
      <c r="B670" s="28" t="s">
        <v>662</v>
      </c>
      <c r="C670" s="28">
        <v>575.96</v>
      </c>
      <c r="D670" s="28" t="s">
        <v>1845</v>
      </c>
      <c r="E670" s="28">
        <v>321.37</v>
      </c>
      <c r="F670" s="28">
        <v>154.05000000000001</v>
      </c>
      <c r="G670" s="28" t="s">
        <v>3018</v>
      </c>
      <c r="H670" s="28">
        <v>353.65</v>
      </c>
      <c r="I670" s="30">
        <f t="shared" si="71"/>
        <v>-7.3640120926033179E-3</v>
      </c>
      <c r="J670" s="30">
        <f t="shared" si="72"/>
        <v>7.7037418033842038E-3</v>
      </c>
      <c r="K670" s="30">
        <f t="shared" si="73"/>
        <v>4.5104568541255831E-3</v>
      </c>
      <c r="L670" s="30">
        <f t="shared" si="74"/>
        <v>-4.6664282450159571E-4</v>
      </c>
      <c r="M670" s="30">
        <f t="shared" si="75"/>
        <v>0</v>
      </c>
      <c r="N670" s="30">
        <f t="shared" si="76"/>
        <v>8.6682748576489329E-3</v>
      </c>
      <c r="O670" s="30">
        <f t="shared" si="77"/>
        <v>-3.172660702009595E-2</v>
      </c>
    </row>
    <row r="671" spans="1:15" s="30" customFormat="1">
      <c r="A671" s="27">
        <v>45127</v>
      </c>
      <c r="B671" s="28" t="s">
        <v>663</v>
      </c>
      <c r="C671" s="28">
        <v>570.41999999999996</v>
      </c>
      <c r="D671" s="28" t="s">
        <v>1846</v>
      </c>
      <c r="E671" s="28">
        <v>316.99</v>
      </c>
      <c r="F671" s="28">
        <v>154</v>
      </c>
      <c r="G671" s="28" t="s">
        <v>3019</v>
      </c>
      <c r="H671" s="28">
        <v>347.85</v>
      </c>
      <c r="I671" s="30">
        <f t="shared" si="71"/>
        <v>2.3567170213370228E-3</v>
      </c>
      <c r="J671" s="30">
        <f t="shared" si="72"/>
        <v>-9.6652822410757712E-3</v>
      </c>
      <c r="K671" s="30">
        <f t="shared" si="73"/>
        <v>1.199360484921133E-3</v>
      </c>
      <c r="L671" s="30">
        <f t="shared" si="74"/>
        <v>-1.3722879678065625E-2</v>
      </c>
      <c r="M671" s="30">
        <f t="shared" si="75"/>
        <v>-3.2462262904787672E-4</v>
      </c>
      <c r="N671" s="30">
        <f t="shared" si="76"/>
        <v>3.4612413132780444E-3</v>
      </c>
      <c r="O671" s="30">
        <f t="shared" si="77"/>
        <v>-1.6536371112348437E-2</v>
      </c>
    </row>
    <row r="672" spans="1:15" s="30" customFormat="1">
      <c r="A672" s="27">
        <v>45126</v>
      </c>
      <c r="B672" s="28" t="s">
        <v>664</v>
      </c>
      <c r="C672" s="28">
        <v>569.63</v>
      </c>
      <c r="D672" s="28" t="s">
        <v>1847</v>
      </c>
      <c r="E672" s="28">
        <v>314.01</v>
      </c>
      <c r="F672" s="28">
        <v>153.30000000000001</v>
      </c>
      <c r="G672" s="28" t="s">
        <v>3020</v>
      </c>
      <c r="H672" s="28">
        <v>345.75</v>
      </c>
      <c r="I672" s="30">
        <f t="shared" si="71"/>
        <v>-3.2241369282640952E-3</v>
      </c>
      <c r="J672" s="30">
        <f t="shared" si="72"/>
        <v>-1.3859043488409254E-3</v>
      </c>
      <c r="K672" s="30">
        <f t="shared" si="73"/>
        <v>-8.4594669823945985E-3</v>
      </c>
      <c r="L672" s="30">
        <f t="shared" si="74"/>
        <v>-9.4453951034762472E-3</v>
      </c>
      <c r="M672" s="30">
        <f t="shared" si="75"/>
        <v>-4.5558165358606907E-3</v>
      </c>
      <c r="N672" s="30">
        <f t="shared" si="76"/>
        <v>-3.6103809641948579E-3</v>
      </c>
      <c r="O672" s="30">
        <f t="shared" si="77"/>
        <v>-6.0553818247828786E-3</v>
      </c>
    </row>
    <row r="673" spans="1:15" s="30" customFormat="1">
      <c r="A673" s="27">
        <v>45125</v>
      </c>
      <c r="B673" s="28" t="s">
        <v>665</v>
      </c>
      <c r="C673" s="28">
        <v>565.88</v>
      </c>
      <c r="D673" s="28" t="s">
        <v>1848</v>
      </c>
      <c r="E673" s="28">
        <v>313.56</v>
      </c>
      <c r="F673" s="28">
        <v>154.80000000000001</v>
      </c>
      <c r="G673" s="28" t="s">
        <v>3021</v>
      </c>
      <c r="H673" s="28">
        <v>343.9</v>
      </c>
      <c r="I673" s="30">
        <f t="shared" si="71"/>
        <v>-3.41486322522942E-4</v>
      </c>
      <c r="J673" s="30">
        <f t="shared" si="72"/>
        <v>-6.6049856594194824E-3</v>
      </c>
      <c r="K673" s="30">
        <f t="shared" si="73"/>
        <v>1.7110366008251747E-3</v>
      </c>
      <c r="L673" s="30">
        <f t="shared" si="74"/>
        <v>-1.434103214380618E-3</v>
      </c>
      <c r="M673" s="30">
        <f t="shared" si="75"/>
        <v>9.737175277858244E-3</v>
      </c>
      <c r="N673" s="30">
        <f t="shared" si="76"/>
        <v>2.2946297464489604E-2</v>
      </c>
      <c r="O673" s="30">
        <f t="shared" si="77"/>
        <v>-5.365053106647092E-3</v>
      </c>
    </row>
    <row r="674" spans="1:15" s="30" customFormat="1">
      <c r="A674" s="27">
        <v>45124</v>
      </c>
      <c r="B674" s="28" t="s">
        <v>666</v>
      </c>
      <c r="C674" s="28">
        <v>560.88</v>
      </c>
      <c r="D674" s="28" t="s">
        <v>1849</v>
      </c>
      <c r="E674" s="28">
        <v>310.52</v>
      </c>
      <c r="F674" s="28">
        <v>154.65</v>
      </c>
      <c r="G674" s="28" t="s">
        <v>3022</v>
      </c>
      <c r="H674" s="28">
        <v>345.85</v>
      </c>
      <c r="I674" s="30">
        <f t="shared" si="71"/>
        <v>-1.5214271400809283E-2</v>
      </c>
      <c r="J674" s="30">
        <f t="shared" si="72"/>
        <v>-8.8750626920213391E-3</v>
      </c>
      <c r="K674" s="30">
        <f t="shared" si="73"/>
        <v>-4.0979534020033201E-3</v>
      </c>
      <c r="L674" s="30">
        <f t="shared" si="74"/>
        <v>-9.7424177830418967E-3</v>
      </c>
      <c r="M674" s="30">
        <f t="shared" si="75"/>
        <v>-9.6946202454811954E-4</v>
      </c>
      <c r="N674" s="30">
        <f t="shared" si="76"/>
        <v>7.3704608868108406E-3</v>
      </c>
      <c r="O674" s="30">
        <f t="shared" si="77"/>
        <v>5.6542376083733191E-3</v>
      </c>
    </row>
    <row r="675" spans="1:15" s="30" customFormat="1">
      <c r="A675" s="27">
        <v>45121</v>
      </c>
      <c r="B675" s="28" t="s">
        <v>667</v>
      </c>
      <c r="C675" s="28">
        <v>556.75</v>
      </c>
      <c r="D675" s="28" t="s">
        <v>1850</v>
      </c>
      <c r="E675" s="28">
        <v>306.54000000000002</v>
      </c>
      <c r="F675" s="28">
        <v>155.85</v>
      </c>
      <c r="G675" s="28" t="s">
        <v>3023</v>
      </c>
      <c r="H675" s="28">
        <v>349.15</v>
      </c>
      <c r="I675" s="30">
        <f t="shared" si="71"/>
        <v>-8.8968170999450119E-3</v>
      </c>
      <c r="J675" s="30">
        <f t="shared" si="72"/>
        <v>-7.390672761235232E-3</v>
      </c>
      <c r="K675" s="30">
        <f t="shared" si="73"/>
        <v>-4.1088494742747068E-2</v>
      </c>
      <c r="L675" s="30">
        <f t="shared" si="74"/>
        <v>-1.2900058966717873E-2</v>
      </c>
      <c r="M675" s="30">
        <f t="shared" si="75"/>
        <v>7.7295070822673909E-3</v>
      </c>
      <c r="N675" s="30">
        <f t="shared" si="76"/>
        <v>-8.190738186516543E-3</v>
      </c>
      <c r="O675" s="30">
        <f t="shared" si="77"/>
        <v>9.4964742454505188E-3</v>
      </c>
    </row>
    <row r="676" spans="1:15" s="30" customFormat="1">
      <c r="A676" s="27">
        <v>45120</v>
      </c>
      <c r="B676" s="28" t="s">
        <v>668</v>
      </c>
      <c r="C676" s="28">
        <v>551.25</v>
      </c>
      <c r="D676" s="28" t="s">
        <v>1851</v>
      </c>
      <c r="E676" s="28">
        <v>303.64999999999998</v>
      </c>
      <c r="F676" s="28">
        <v>152.1</v>
      </c>
      <c r="G676" s="28" t="s">
        <v>3024</v>
      </c>
      <c r="H676" s="28">
        <v>350.55</v>
      </c>
      <c r="I676" s="30">
        <f t="shared" si="71"/>
        <v>-9.138502154701458E-3</v>
      </c>
      <c r="J676" s="30">
        <f t="shared" si="72"/>
        <v>-9.9278793764212472E-3</v>
      </c>
      <c r="K676" s="30">
        <f t="shared" si="73"/>
        <v>1.4368573850570333E-3</v>
      </c>
      <c r="L676" s="30">
        <f t="shared" si="74"/>
        <v>-9.4725302271774017E-3</v>
      </c>
      <c r="M676" s="30">
        <f t="shared" si="75"/>
        <v>-2.4355806948098944E-2</v>
      </c>
      <c r="N676" s="30">
        <f t="shared" si="76"/>
        <v>-1.4964598748542285E-3</v>
      </c>
      <c r="O676" s="30">
        <f t="shared" si="77"/>
        <v>4.0017203609324361E-3</v>
      </c>
    </row>
    <row r="677" spans="1:15" s="30" customFormat="1">
      <c r="A677" s="27">
        <v>45119</v>
      </c>
      <c r="B677" s="28" t="s">
        <v>669</v>
      </c>
      <c r="C677" s="28">
        <v>557.66999999999996</v>
      </c>
      <c r="D677" s="28" t="s">
        <v>1852</v>
      </c>
      <c r="E677" s="28">
        <v>301.36</v>
      </c>
      <c r="F677" s="28">
        <v>154.15</v>
      </c>
      <c r="G677" s="28" t="s">
        <v>3025</v>
      </c>
      <c r="H677" s="28">
        <v>356.5</v>
      </c>
      <c r="I677" s="30">
        <f t="shared" si="71"/>
        <v>2.4098875783572426E-3</v>
      </c>
      <c r="J677" s="30">
        <f t="shared" si="72"/>
        <v>1.1578962826106678E-2</v>
      </c>
      <c r="K677" s="30">
        <f t="shared" si="73"/>
        <v>4.681721918689109E-3</v>
      </c>
      <c r="L677" s="30">
        <f t="shared" si="74"/>
        <v>-7.5701589597985475E-3</v>
      </c>
      <c r="M677" s="30">
        <f t="shared" si="75"/>
        <v>1.3387955066912299E-2</v>
      </c>
      <c r="N677" s="30">
        <f t="shared" si="76"/>
        <v>-5.5674740444852265E-3</v>
      </c>
      <c r="O677" s="30">
        <f t="shared" si="77"/>
        <v>1.6830890201373922E-2</v>
      </c>
    </row>
    <row r="678" spans="1:15" s="30" customFormat="1">
      <c r="A678" s="27">
        <v>45118</v>
      </c>
      <c r="B678" s="28" t="s">
        <v>670</v>
      </c>
      <c r="C678" s="28">
        <v>558.46</v>
      </c>
      <c r="D678" s="28" t="s">
        <v>1853</v>
      </c>
      <c r="E678" s="28">
        <v>303.89999999999998</v>
      </c>
      <c r="F678" s="28">
        <v>153.69999999999999</v>
      </c>
      <c r="G678" s="28" t="s">
        <v>3026</v>
      </c>
      <c r="H678" s="28">
        <v>358.9</v>
      </c>
      <c r="I678" s="30">
        <f t="shared" si="71"/>
        <v>-4.1769066359998164E-3</v>
      </c>
      <c r="J678" s="30">
        <f t="shared" si="72"/>
        <v>1.4156059454116946E-3</v>
      </c>
      <c r="K678" s="30">
        <f t="shared" si="73"/>
        <v>4.6945994102767083E-3</v>
      </c>
      <c r="L678" s="30">
        <f t="shared" si="74"/>
        <v>8.3931365389616971E-3</v>
      </c>
      <c r="M678" s="30">
        <f t="shared" si="75"/>
        <v>-2.9235037876092448E-3</v>
      </c>
      <c r="N678" s="30">
        <f t="shared" si="76"/>
        <v>-8.5023704530416064E-3</v>
      </c>
      <c r="O678" s="30">
        <f t="shared" si="77"/>
        <v>6.709558299210867E-3</v>
      </c>
    </row>
    <row r="679" spans="1:15" s="30" customFormat="1">
      <c r="A679" s="27">
        <v>45117</v>
      </c>
      <c r="B679" s="28" t="s">
        <v>671</v>
      </c>
      <c r="C679" s="28">
        <v>555.54</v>
      </c>
      <c r="D679" s="28" t="s">
        <v>1854</v>
      </c>
      <c r="E679" s="28">
        <v>306.99</v>
      </c>
      <c r="F679" s="28">
        <v>152.80000000000001</v>
      </c>
      <c r="G679" s="28" t="s">
        <v>3027</v>
      </c>
      <c r="H679" s="28">
        <v>356.8</v>
      </c>
      <c r="I679" s="30">
        <f t="shared" si="71"/>
        <v>-1.4668374703098787E-2</v>
      </c>
      <c r="J679" s="30">
        <f t="shared" si="72"/>
        <v>-5.2423818445632778E-3</v>
      </c>
      <c r="K679" s="30">
        <f t="shared" si="73"/>
        <v>-1.0066124871564567E-3</v>
      </c>
      <c r="L679" s="30">
        <f t="shared" si="74"/>
        <v>1.0116473844026501E-2</v>
      </c>
      <c r="M679" s="30">
        <f t="shared" si="75"/>
        <v>-5.8727738121299201E-3</v>
      </c>
      <c r="N679" s="30">
        <f t="shared" si="76"/>
        <v>-6.1309992327175187E-3</v>
      </c>
      <c r="O679" s="30">
        <f t="shared" si="77"/>
        <v>-5.8683974477071856E-3</v>
      </c>
    </row>
    <row r="680" spans="1:15" s="30" customFormat="1">
      <c r="A680" s="27">
        <v>45114</v>
      </c>
      <c r="B680" s="28" t="s">
        <v>672</v>
      </c>
      <c r="C680" s="28">
        <v>560.71</v>
      </c>
      <c r="D680" s="28" t="s">
        <v>1855</v>
      </c>
      <c r="E680" s="28">
        <v>312.41000000000003</v>
      </c>
      <c r="F680" s="28">
        <v>153.35</v>
      </c>
      <c r="G680" s="28" t="s">
        <v>2927</v>
      </c>
      <c r="H680" s="28">
        <v>358.2</v>
      </c>
      <c r="I680" s="30">
        <f t="shared" si="71"/>
        <v>1.6450197065590624E-4</v>
      </c>
      <c r="J680" s="30">
        <f t="shared" si="72"/>
        <v>9.2632241318727614E-3</v>
      </c>
      <c r="K680" s="30">
        <f t="shared" si="73"/>
        <v>6.0245317594672188E-3</v>
      </c>
      <c r="L680" s="30">
        <f t="shared" si="74"/>
        <v>1.7501253929718109E-2</v>
      </c>
      <c r="M680" s="30">
        <f t="shared" si="75"/>
        <v>3.593013827840265E-3</v>
      </c>
      <c r="N680" s="30">
        <f t="shared" si="76"/>
        <v>-6.4165873471622933E-2</v>
      </c>
      <c r="O680" s="30">
        <f t="shared" si="77"/>
        <v>3.9160889207569645E-3</v>
      </c>
    </row>
    <row r="681" spans="1:15" s="30" customFormat="1">
      <c r="A681" s="27">
        <v>45113</v>
      </c>
      <c r="B681" s="28" t="s">
        <v>673</v>
      </c>
      <c r="C681" s="28">
        <v>567.16999999999996</v>
      </c>
      <c r="D681" s="28" t="s">
        <v>1856</v>
      </c>
      <c r="E681" s="28">
        <v>318.39</v>
      </c>
      <c r="F681" s="28">
        <v>154.19999999999999</v>
      </c>
      <c r="G681" s="28" t="s">
        <v>3028</v>
      </c>
      <c r="H681" s="28">
        <v>360.4</v>
      </c>
      <c r="I681" s="30">
        <f t="shared" si="71"/>
        <v>1.6520967181763737E-2</v>
      </c>
      <c r="J681" s="30">
        <f t="shared" si="72"/>
        <v>1.1455244602902169E-2</v>
      </c>
      <c r="K681" s="30">
        <f t="shared" si="73"/>
        <v>5.5216207359321673E-4</v>
      </c>
      <c r="L681" s="30">
        <f t="shared" si="74"/>
        <v>1.8960618745348889E-2</v>
      </c>
      <c r="M681" s="30">
        <f t="shared" si="75"/>
        <v>5.5275705689685154E-3</v>
      </c>
      <c r="N681" s="30">
        <f t="shared" si="76"/>
        <v>-1.5418807667183395E-2</v>
      </c>
      <c r="O681" s="30">
        <f t="shared" si="77"/>
        <v>6.1230361075713859E-3</v>
      </c>
    </row>
    <row r="682" spans="1:15" s="30" customFormat="1">
      <c r="A682" s="27">
        <v>45112</v>
      </c>
      <c r="B682" s="28" t="s">
        <v>674</v>
      </c>
      <c r="C682" s="28">
        <v>564.16999999999996</v>
      </c>
      <c r="D682" s="28" t="s">
        <v>1857</v>
      </c>
      <c r="E682" s="28">
        <v>321.87</v>
      </c>
      <c r="F682" s="28">
        <v>153.94999999999999</v>
      </c>
      <c r="G682" s="28" t="s">
        <v>3029</v>
      </c>
      <c r="H682" s="28">
        <v>356.95</v>
      </c>
      <c r="I682" s="30">
        <f t="shared" si="71"/>
        <v>-7.3814147187409081E-3</v>
      </c>
      <c r="J682" s="30">
        <f t="shared" si="72"/>
        <v>-5.3034579024221155E-3</v>
      </c>
      <c r="K682" s="30">
        <f t="shared" si="73"/>
        <v>-1.459626261527037E-2</v>
      </c>
      <c r="L682" s="30">
        <f t="shared" si="74"/>
        <v>1.0870690874923766E-2</v>
      </c>
      <c r="M682" s="30">
        <f t="shared" si="75"/>
        <v>-1.6225867587197295E-3</v>
      </c>
      <c r="N682" s="30">
        <f t="shared" si="76"/>
        <v>3.3643272362885611E-3</v>
      </c>
      <c r="O682" s="30">
        <f t="shared" si="77"/>
        <v>-9.6188097857133042E-3</v>
      </c>
    </row>
    <row r="683" spans="1:15" s="30" customFormat="1">
      <c r="A683" s="27">
        <v>45111</v>
      </c>
      <c r="B683" s="28" t="s">
        <v>675</v>
      </c>
      <c r="C683" s="28">
        <v>558.71</v>
      </c>
      <c r="D683" s="28" t="s">
        <v>1858</v>
      </c>
      <c r="E683" s="28">
        <v>317.69</v>
      </c>
      <c r="F683" s="28">
        <v>150.69999999999999</v>
      </c>
      <c r="G683" s="28" t="s">
        <v>3030</v>
      </c>
      <c r="H683" s="28">
        <v>353.65</v>
      </c>
      <c r="I683" s="30">
        <f t="shared" si="71"/>
        <v>-7.9439878647450234E-3</v>
      </c>
      <c r="J683" s="30">
        <f t="shared" si="72"/>
        <v>-9.7250695220446378E-3</v>
      </c>
      <c r="K683" s="30">
        <f t="shared" si="73"/>
        <v>5.5856315583935005E-3</v>
      </c>
      <c r="L683" s="30">
        <f t="shared" si="74"/>
        <v>-1.3071672772123465E-2</v>
      </c>
      <c r="M683" s="30">
        <f t="shared" si="75"/>
        <v>-2.1336768738059578E-2</v>
      </c>
      <c r="N683" s="30">
        <f t="shared" si="76"/>
        <v>-2.3729720059403117E-2</v>
      </c>
      <c r="O683" s="30">
        <f t="shared" si="77"/>
        <v>-9.2879924664706036E-3</v>
      </c>
    </row>
    <row r="684" spans="1:15" s="30" customFormat="1">
      <c r="A684" s="27">
        <v>45110</v>
      </c>
      <c r="B684" s="28" t="s">
        <v>676</v>
      </c>
      <c r="C684" s="28">
        <v>562.5</v>
      </c>
      <c r="D684" s="28" t="s">
        <v>1859</v>
      </c>
      <c r="E684" s="28">
        <v>306.33999999999997</v>
      </c>
      <c r="F684" s="28">
        <v>150.69999999999999</v>
      </c>
      <c r="G684" s="28" t="s">
        <v>3031</v>
      </c>
      <c r="H684" s="28">
        <v>356.05</v>
      </c>
      <c r="I684" s="30">
        <f t="shared" si="71"/>
        <v>3.2804514686210584E-3</v>
      </c>
      <c r="J684" s="30">
        <f t="shared" si="72"/>
        <v>6.7605790802562713E-3</v>
      </c>
      <c r="K684" s="30">
        <f t="shared" si="73"/>
        <v>1.2872477293684576E-3</v>
      </c>
      <c r="L684" s="30">
        <f t="shared" si="74"/>
        <v>-3.6380468308233216E-2</v>
      </c>
      <c r="M684" s="30">
        <f t="shared" si="75"/>
        <v>0</v>
      </c>
      <c r="N684" s="30">
        <f t="shared" si="76"/>
        <v>6.6096264604003137E-3</v>
      </c>
      <c r="O684" s="30">
        <f t="shared" si="77"/>
        <v>6.7634469461348504E-3</v>
      </c>
    </row>
    <row r="685" spans="1:15" s="30" customFormat="1">
      <c r="A685" s="27">
        <v>45107</v>
      </c>
      <c r="B685" s="28" t="s">
        <v>677</v>
      </c>
      <c r="C685" s="28">
        <v>565.08000000000004</v>
      </c>
      <c r="D685" s="28" t="s">
        <v>1860</v>
      </c>
      <c r="E685" s="28">
        <v>298.97000000000003</v>
      </c>
      <c r="F685" s="28">
        <v>152.4</v>
      </c>
      <c r="G685" s="28" t="s">
        <v>3032</v>
      </c>
      <c r="H685" s="28">
        <v>345.7</v>
      </c>
      <c r="I685" s="30">
        <f t="shared" si="71"/>
        <v>9.9691262952669745E-4</v>
      </c>
      <c r="J685" s="30">
        <f t="shared" si="72"/>
        <v>4.5761799648883971E-3</v>
      </c>
      <c r="K685" s="30">
        <f t="shared" si="73"/>
        <v>-6.4178804174094134E-3</v>
      </c>
      <c r="L685" s="30">
        <f t="shared" si="74"/>
        <v>-2.4352362327719351E-2</v>
      </c>
      <c r="M685" s="30">
        <f t="shared" si="75"/>
        <v>1.12175376200963E-2</v>
      </c>
      <c r="N685" s="30">
        <f t="shared" si="76"/>
        <v>-4.5317143222955375E-3</v>
      </c>
      <c r="O685" s="30">
        <f t="shared" si="77"/>
        <v>-2.9499823500555026E-2</v>
      </c>
    </row>
    <row r="686" spans="1:15" s="30" customFormat="1">
      <c r="A686" s="27">
        <v>45105</v>
      </c>
      <c r="B686" s="28" t="s">
        <v>678</v>
      </c>
      <c r="C686" s="28">
        <v>562.63</v>
      </c>
      <c r="D686" s="28" t="s">
        <v>1861</v>
      </c>
      <c r="E686" s="28">
        <v>303.29000000000002</v>
      </c>
      <c r="F686" s="28">
        <v>149.15</v>
      </c>
      <c r="G686" s="28" t="s">
        <v>3033</v>
      </c>
      <c r="H686" s="28">
        <v>347.2</v>
      </c>
      <c r="I686" s="30">
        <f t="shared" si="71"/>
        <v>-4.1130856906813921E-3</v>
      </c>
      <c r="J686" s="30">
        <f t="shared" si="72"/>
        <v>-4.3450955558360883E-3</v>
      </c>
      <c r="K686" s="30">
        <f t="shared" si="73"/>
        <v>-2.7331037721735601E-3</v>
      </c>
      <c r="L686" s="30">
        <f t="shared" si="74"/>
        <v>1.434620958618681E-2</v>
      </c>
      <c r="M686" s="30">
        <f t="shared" si="75"/>
        <v>-2.1556132291788412E-2</v>
      </c>
      <c r="N686" s="30">
        <f t="shared" si="76"/>
        <v>1.5812552708981999E-3</v>
      </c>
      <c r="O686" s="30">
        <f t="shared" si="77"/>
        <v>4.3296358586162693E-3</v>
      </c>
    </row>
    <row r="687" spans="1:15" s="30" customFormat="1">
      <c r="A687" s="27">
        <v>45104</v>
      </c>
      <c r="B687" s="28" t="s">
        <v>679</v>
      </c>
      <c r="C687" s="28">
        <v>565.46</v>
      </c>
      <c r="D687" s="28" t="s">
        <v>1715</v>
      </c>
      <c r="E687" s="28">
        <v>302.45999999999998</v>
      </c>
      <c r="F687" s="28">
        <v>148.65</v>
      </c>
      <c r="G687" s="28" t="s">
        <v>3034</v>
      </c>
      <c r="H687" s="28">
        <v>345.05</v>
      </c>
      <c r="I687" s="30">
        <f t="shared" si="71"/>
        <v>-6.6674405143585342E-3</v>
      </c>
      <c r="J687" s="30">
        <f t="shared" si="72"/>
        <v>5.0173407029526253E-3</v>
      </c>
      <c r="K687" s="30">
        <f t="shared" si="73"/>
        <v>-1.193694626171322E-3</v>
      </c>
      <c r="L687" s="30">
        <f t="shared" si="74"/>
        <v>-2.7404061722809676E-3</v>
      </c>
      <c r="M687" s="30">
        <f t="shared" si="75"/>
        <v>-3.3579615166508532E-3</v>
      </c>
      <c r="N687" s="30">
        <f t="shared" si="76"/>
        <v>2.3569690056323388E-3</v>
      </c>
      <c r="O687" s="30">
        <f t="shared" si="77"/>
        <v>-6.2116487195842023E-3</v>
      </c>
    </row>
    <row r="688" spans="1:15" s="30" customFormat="1">
      <c r="A688" s="27">
        <v>45103</v>
      </c>
      <c r="B688" s="28" t="s">
        <v>680</v>
      </c>
      <c r="C688" s="28">
        <v>564.16999999999996</v>
      </c>
      <c r="D688" s="28" t="s">
        <v>1862</v>
      </c>
      <c r="E688" s="28">
        <v>305.20999999999998</v>
      </c>
      <c r="F688" s="28">
        <v>150</v>
      </c>
      <c r="G688" s="28" t="s">
        <v>3035</v>
      </c>
      <c r="H688" s="28">
        <v>351.7</v>
      </c>
      <c r="I688" s="30">
        <f t="shared" si="71"/>
        <v>-5.3812600182220061E-3</v>
      </c>
      <c r="J688" s="30">
        <f t="shared" si="72"/>
        <v>-2.2839346702167138E-3</v>
      </c>
      <c r="K688" s="30">
        <f t="shared" si="73"/>
        <v>1.0182406385292535E-3</v>
      </c>
      <c r="L688" s="30">
        <f t="shared" si="74"/>
        <v>9.0510269506712988E-3</v>
      </c>
      <c r="M688" s="30">
        <f t="shared" si="75"/>
        <v>9.0407446521490239E-3</v>
      </c>
      <c r="N688" s="30">
        <f t="shared" si="76"/>
        <v>-3.3629330194732904E-3</v>
      </c>
      <c r="O688" s="30">
        <f t="shared" si="77"/>
        <v>1.9089205413325906E-2</v>
      </c>
    </row>
    <row r="689" spans="1:15" s="30" customFormat="1">
      <c r="A689" s="27">
        <v>45100</v>
      </c>
      <c r="B689" s="28" t="s">
        <v>681</v>
      </c>
      <c r="C689" s="28">
        <v>563.04</v>
      </c>
      <c r="D689" s="28" t="s">
        <v>1863</v>
      </c>
      <c r="E689" s="28">
        <v>304.25</v>
      </c>
      <c r="F689" s="28">
        <v>150.35</v>
      </c>
      <c r="G689" s="28" t="s">
        <v>3036</v>
      </c>
      <c r="H689" s="28">
        <v>345.65</v>
      </c>
      <c r="I689" s="30">
        <f t="shared" si="71"/>
        <v>-3.1638649733422841E-3</v>
      </c>
      <c r="J689" s="30">
        <f t="shared" si="72"/>
        <v>-2.0049509470884972E-3</v>
      </c>
      <c r="K689" s="30">
        <f t="shared" si="73"/>
        <v>-2.4947745682368837E-3</v>
      </c>
      <c r="L689" s="30">
        <f t="shared" si="74"/>
        <v>-3.1503324056291627E-3</v>
      </c>
      <c r="M689" s="30">
        <f t="shared" si="75"/>
        <v>2.3306153382822896E-3</v>
      </c>
      <c r="N689" s="30">
        <f t="shared" si="76"/>
        <v>7.3876588159687544E-3</v>
      </c>
      <c r="O689" s="30">
        <f t="shared" si="77"/>
        <v>-1.7351837088662801E-2</v>
      </c>
    </row>
    <row r="690" spans="1:15" s="30" customFormat="1">
      <c r="A690" s="27">
        <v>45099</v>
      </c>
      <c r="B690" s="28" t="s">
        <v>682</v>
      </c>
      <c r="C690" s="28">
        <v>558.38</v>
      </c>
      <c r="D690" s="28" t="s">
        <v>1864</v>
      </c>
      <c r="E690" s="28">
        <v>307.67</v>
      </c>
      <c r="F690" s="28">
        <v>152.25</v>
      </c>
      <c r="G690" s="28" t="s">
        <v>3037</v>
      </c>
      <c r="H690" s="28">
        <v>350.6</v>
      </c>
      <c r="I690" s="30">
        <f t="shared" si="71"/>
        <v>-1.5170439509557874E-2</v>
      </c>
      <c r="J690" s="30">
        <f t="shared" si="72"/>
        <v>-8.3109393854538041E-3</v>
      </c>
      <c r="K690" s="30">
        <f t="shared" si="73"/>
        <v>1.8198166496686739E-2</v>
      </c>
      <c r="L690" s="30">
        <f t="shared" si="74"/>
        <v>1.1178048144602397E-2</v>
      </c>
      <c r="M690" s="30">
        <f t="shared" si="75"/>
        <v>1.2557997155468435E-2</v>
      </c>
      <c r="N690" s="30">
        <f t="shared" si="76"/>
        <v>4.2807783516315035E-4</v>
      </c>
      <c r="O690" s="30">
        <f t="shared" si="77"/>
        <v>1.4219270095860253E-2</v>
      </c>
    </row>
    <row r="691" spans="1:15" s="30" customFormat="1">
      <c r="A691" s="27">
        <v>45098</v>
      </c>
      <c r="B691" s="28" t="s">
        <v>683</v>
      </c>
      <c r="C691" s="28">
        <v>569.58000000000004</v>
      </c>
      <c r="D691" s="28" t="s">
        <v>1791</v>
      </c>
      <c r="E691" s="28">
        <v>306.24</v>
      </c>
      <c r="F691" s="28">
        <v>151.9</v>
      </c>
      <c r="G691" s="28" t="s">
        <v>3038</v>
      </c>
      <c r="H691" s="28">
        <v>355.75</v>
      </c>
      <c r="I691" s="30">
        <f t="shared" si="71"/>
        <v>2.0734577364167499E-2</v>
      </c>
      <c r="J691" s="30">
        <f t="shared" si="72"/>
        <v>1.9859512933941028E-2</v>
      </c>
      <c r="K691" s="30">
        <f t="shared" si="73"/>
        <v>1.2940165804798487E-2</v>
      </c>
      <c r="L691" s="30">
        <f t="shared" si="74"/>
        <v>-4.6586717476494307E-3</v>
      </c>
      <c r="M691" s="30">
        <f t="shared" si="75"/>
        <v>-2.301496988279163E-3</v>
      </c>
      <c r="N691" s="30">
        <f t="shared" si="76"/>
        <v>-1.2235660314776342E-3</v>
      </c>
      <c r="O691" s="30">
        <f t="shared" si="77"/>
        <v>1.4582264482827531E-2</v>
      </c>
    </row>
    <row r="692" spans="1:15" s="30" customFormat="1">
      <c r="A692" s="27">
        <v>45097</v>
      </c>
      <c r="B692" s="28" t="s">
        <v>684</v>
      </c>
      <c r="C692" s="28">
        <v>562.33000000000004</v>
      </c>
      <c r="D692" s="28" t="s">
        <v>1865</v>
      </c>
      <c r="E692" s="28">
        <v>301.5</v>
      </c>
      <c r="F692" s="28">
        <v>149.65</v>
      </c>
      <c r="G692" s="28" t="s">
        <v>3039</v>
      </c>
      <c r="H692" s="28">
        <v>360.25</v>
      </c>
      <c r="I692" s="30">
        <f t="shared" si="71"/>
        <v>7.8374634746761207E-4</v>
      </c>
      <c r="J692" s="30">
        <f t="shared" si="72"/>
        <v>-1.2810380943748529E-2</v>
      </c>
      <c r="K692" s="30">
        <f t="shared" si="73"/>
        <v>-2.5245232603139038E-2</v>
      </c>
      <c r="L692" s="30">
        <f t="shared" si="74"/>
        <v>-1.5599092097349285E-2</v>
      </c>
      <c r="M692" s="30">
        <f t="shared" si="75"/>
        <v>-1.4923175303019225E-2</v>
      </c>
      <c r="N692" s="30">
        <f t="shared" si="76"/>
        <v>-2.0630567099983546E-3</v>
      </c>
      <c r="O692" s="30">
        <f t="shared" si="77"/>
        <v>1.2569997909669664E-2</v>
      </c>
    </row>
    <row r="693" spans="1:15" s="30" customFormat="1">
      <c r="A693" s="27">
        <v>45096</v>
      </c>
      <c r="B693" s="28" t="s">
        <v>685</v>
      </c>
      <c r="C693" s="28">
        <v>563</v>
      </c>
      <c r="D693" s="28" t="s">
        <v>1866</v>
      </c>
      <c r="E693" s="28">
        <v>305.45</v>
      </c>
      <c r="F693" s="28">
        <v>150.19999999999999</v>
      </c>
      <c r="G693" s="28" t="s">
        <v>2945</v>
      </c>
      <c r="H693" s="28">
        <v>359.5</v>
      </c>
      <c r="I693" s="30">
        <f t="shared" si="71"/>
        <v>-2.7155891409141597E-3</v>
      </c>
      <c r="J693" s="30">
        <f t="shared" si="72"/>
        <v>1.1907619616766489E-3</v>
      </c>
      <c r="K693" s="30">
        <f t="shared" si="73"/>
        <v>-5.7523834524233963E-3</v>
      </c>
      <c r="L693" s="30">
        <f t="shared" si="74"/>
        <v>1.3016082928535727E-2</v>
      </c>
      <c r="M693" s="30">
        <f t="shared" si="75"/>
        <v>3.6685050313262665E-3</v>
      </c>
      <c r="N693" s="30">
        <f t="shared" si="76"/>
        <v>3.8842494176440502E-4</v>
      </c>
      <c r="O693" s="30">
        <f t="shared" si="77"/>
        <v>-2.0840577185301241E-3</v>
      </c>
    </row>
    <row r="694" spans="1:15" s="30" customFormat="1">
      <c r="A694" s="27">
        <v>45093</v>
      </c>
      <c r="B694" s="28" t="s">
        <v>686</v>
      </c>
      <c r="C694" s="28">
        <v>561.29</v>
      </c>
      <c r="D694" s="28" t="s">
        <v>1867</v>
      </c>
      <c r="E694" s="28">
        <v>300.5</v>
      </c>
      <c r="F694" s="28">
        <v>149.19999999999999</v>
      </c>
      <c r="G694" s="28" t="s">
        <v>3040</v>
      </c>
      <c r="H694" s="28">
        <v>352.5</v>
      </c>
      <c r="I694" s="30">
        <f t="shared" si="71"/>
        <v>2.1579865162837013E-3</v>
      </c>
      <c r="J694" s="30">
        <f t="shared" si="72"/>
        <v>-3.0419221350251034E-3</v>
      </c>
      <c r="K694" s="30">
        <f t="shared" si="73"/>
        <v>-2.3596129914854745E-3</v>
      </c>
      <c r="L694" s="30">
        <f t="shared" si="74"/>
        <v>-1.6338345120513683E-2</v>
      </c>
      <c r="M694" s="30">
        <f t="shared" si="75"/>
        <v>-6.6800515603739107E-3</v>
      </c>
      <c r="N694" s="30">
        <f t="shared" si="76"/>
        <v>2.5312851615701083E-3</v>
      </c>
      <c r="O694" s="30">
        <f t="shared" si="77"/>
        <v>-1.9663554908778021E-2</v>
      </c>
    </row>
    <row r="695" spans="1:15" s="30" customFormat="1">
      <c r="A695" s="27">
        <v>45092</v>
      </c>
      <c r="B695" s="28" t="s">
        <v>687</v>
      </c>
      <c r="C695" s="28">
        <v>563.96</v>
      </c>
      <c r="D695" s="28" t="s">
        <v>1868</v>
      </c>
      <c r="E695" s="28">
        <v>305.18</v>
      </c>
      <c r="F695" s="28">
        <v>151.1</v>
      </c>
      <c r="G695" s="28" t="s">
        <v>3041</v>
      </c>
      <c r="H695" s="28">
        <v>350.45</v>
      </c>
      <c r="I695" s="30">
        <f t="shared" si="71"/>
        <v>-6.8066574509260515E-3</v>
      </c>
      <c r="J695" s="30">
        <f t="shared" si="72"/>
        <v>4.7456209924951476E-3</v>
      </c>
      <c r="K695" s="30">
        <f t="shared" si="73"/>
        <v>-8.9963063360024367E-3</v>
      </c>
      <c r="L695" s="30">
        <f t="shared" si="74"/>
        <v>1.5454012488327229E-2</v>
      </c>
      <c r="M695" s="30">
        <f t="shared" si="75"/>
        <v>1.2654181509033363E-2</v>
      </c>
      <c r="N695" s="30">
        <f t="shared" si="76"/>
        <v>-3.6765498224071809E-3</v>
      </c>
      <c r="O695" s="30">
        <f t="shared" si="77"/>
        <v>-5.8325793059895766E-3</v>
      </c>
    </row>
    <row r="696" spans="1:15" s="30" customFormat="1">
      <c r="A696" s="27">
        <v>45091</v>
      </c>
      <c r="B696" s="28" t="s">
        <v>688</v>
      </c>
      <c r="C696" s="28">
        <v>558.58000000000004</v>
      </c>
      <c r="D696" s="28" t="s">
        <v>1869</v>
      </c>
      <c r="E696" s="28">
        <v>298.74</v>
      </c>
      <c r="F696" s="28">
        <v>149.80000000000001</v>
      </c>
      <c r="G696" s="28" t="s">
        <v>3042</v>
      </c>
      <c r="H696" s="28">
        <v>353.15</v>
      </c>
      <c r="I696" s="30">
        <f t="shared" si="71"/>
        <v>-7.3577347873434009E-3</v>
      </c>
      <c r="J696" s="30">
        <f t="shared" si="72"/>
        <v>-9.5854779222573974E-3</v>
      </c>
      <c r="K696" s="30">
        <f t="shared" si="73"/>
        <v>1.1637292430075854E-2</v>
      </c>
      <c r="L696" s="30">
        <f t="shared" si="74"/>
        <v>-2.1328136581443211E-2</v>
      </c>
      <c r="M696" s="30">
        <f t="shared" si="75"/>
        <v>-8.6407981955746328E-3</v>
      </c>
      <c r="N696" s="30">
        <f t="shared" si="76"/>
        <v>-7.6206886415404896E-3</v>
      </c>
      <c r="O696" s="30">
        <f t="shared" si="77"/>
        <v>7.674852908597516E-3</v>
      </c>
    </row>
    <row r="697" spans="1:15" s="30" customFormat="1">
      <c r="A697" s="27">
        <v>45090</v>
      </c>
      <c r="B697" s="28" t="s">
        <v>689</v>
      </c>
      <c r="C697" s="28">
        <v>557.63</v>
      </c>
      <c r="D697" s="28" t="s">
        <v>1870</v>
      </c>
      <c r="E697" s="28">
        <v>293.07</v>
      </c>
      <c r="F697" s="28">
        <v>148.9</v>
      </c>
      <c r="G697" s="28" t="s">
        <v>3043</v>
      </c>
      <c r="H697" s="28">
        <v>343.9</v>
      </c>
      <c r="I697" s="30">
        <f t="shared" si="71"/>
        <v>-2.2500985301054334E-3</v>
      </c>
      <c r="J697" s="30">
        <f t="shared" si="72"/>
        <v>-1.7021890672567451E-3</v>
      </c>
      <c r="K697" s="30">
        <f t="shared" si="73"/>
        <v>2.3183121837836765E-3</v>
      </c>
      <c r="L697" s="30">
        <f t="shared" si="74"/>
        <v>-1.9162141549185586E-2</v>
      </c>
      <c r="M697" s="30">
        <f t="shared" si="75"/>
        <v>-6.0261313931558756E-3</v>
      </c>
      <c r="N697" s="30">
        <f t="shared" si="76"/>
        <v>-1.0050752407264722E-2</v>
      </c>
      <c r="O697" s="30">
        <f t="shared" si="77"/>
        <v>-2.6541978416710771E-2</v>
      </c>
    </row>
    <row r="698" spans="1:15" s="30" customFormat="1">
      <c r="A698" s="27">
        <v>45089</v>
      </c>
      <c r="B698" s="28" t="s">
        <v>690</v>
      </c>
      <c r="C698" s="28">
        <v>540.25</v>
      </c>
      <c r="D698" s="28" t="s">
        <v>1871</v>
      </c>
      <c r="E698" s="28">
        <v>286.2</v>
      </c>
      <c r="F698" s="28">
        <v>149.19999999999999</v>
      </c>
      <c r="G698" s="28" t="s">
        <v>3044</v>
      </c>
      <c r="H698" s="28">
        <v>339.55</v>
      </c>
      <c r="I698" s="30">
        <f t="shared" si="71"/>
        <v>-2.1092209081567947E-2</v>
      </c>
      <c r="J698" s="30">
        <f t="shared" si="72"/>
        <v>-3.1663664620650879E-2</v>
      </c>
      <c r="K698" s="30">
        <f t="shared" si="73"/>
        <v>-2.9867026190236712E-3</v>
      </c>
      <c r="L698" s="30">
        <f t="shared" si="74"/>
        <v>-2.3720621210610391E-2</v>
      </c>
      <c r="M698" s="30">
        <f t="shared" si="75"/>
        <v>2.0127480796969777E-3</v>
      </c>
      <c r="N698" s="30">
        <f t="shared" si="76"/>
        <v>-1.7416955499577304E-2</v>
      </c>
      <c r="O698" s="30">
        <f t="shared" si="77"/>
        <v>-1.2729705878419973E-2</v>
      </c>
    </row>
    <row r="699" spans="1:15" s="30" customFormat="1">
      <c r="A699" s="27">
        <v>45086</v>
      </c>
      <c r="B699" s="28" t="s">
        <v>691</v>
      </c>
      <c r="C699" s="28">
        <v>539.75</v>
      </c>
      <c r="D699" s="28" t="s">
        <v>1872</v>
      </c>
      <c r="E699" s="28">
        <v>287.79000000000002</v>
      </c>
      <c r="F699" s="28">
        <v>148</v>
      </c>
      <c r="G699" s="28" t="s">
        <v>3045</v>
      </c>
      <c r="H699" s="28">
        <v>343.75</v>
      </c>
      <c r="I699" s="30">
        <f t="shared" si="71"/>
        <v>-4.4546996949076127E-3</v>
      </c>
      <c r="J699" s="30">
        <f t="shared" si="72"/>
        <v>-9.2592599207864045E-4</v>
      </c>
      <c r="K699" s="30">
        <f t="shared" si="73"/>
        <v>-2.7133233694623176E-3</v>
      </c>
      <c r="L699" s="30">
        <f t="shared" si="74"/>
        <v>5.5401803756155721E-3</v>
      </c>
      <c r="M699" s="30">
        <f t="shared" si="75"/>
        <v>-8.0754140055453068E-3</v>
      </c>
      <c r="N699" s="30">
        <f t="shared" si="76"/>
        <v>-1.102676221826103E-3</v>
      </c>
      <c r="O699" s="30">
        <f t="shared" si="77"/>
        <v>1.2293437420980704E-2</v>
      </c>
    </row>
    <row r="700" spans="1:15" s="30" customFormat="1">
      <c r="A700" s="27">
        <v>45085</v>
      </c>
      <c r="B700" s="28" t="s">
        <v>692</v>
      </c>
      <c r="C700" s="28">
        <v>541.91999999999996</v>
      </c>
      <c r="D700" s="28" t="s">
        <v>1873</v>
      </c>
      <c r="E700" s="28">
        <v>285.52999999999997</v>
      </c>
      <c r="F700" s="28">
        <v>147.85</v>
      </c>
      <c r="G700" s="28" t="s">
        <v>3046</v>
      </c>
      <c r="H700" s="28">
        <v>345.1</v>
      </c>
      <c r="I700" s="30">
        <f t="shared" si="71"/>
        <v>9.9174883696848855E-3</v>
      </c>
      <c r="J700" s="30">
        <f t="shared" si="72"/>
        <v>4.0123196745447858E-3</v>
      </c>
      <c r="K700" s="30">
        <f t="shared" si="73"/>
        <v>1.6344178901705274E-2</v>
      </c>
      <c r="L700" s="30">
        <f t="shared" si="74"/>
        <v>-7.8839451131856968E-3</v>
      </c>
      <c r="M700" s="30">
        <f t="shared" si="75"/>
        <v>-1.0140274656288567E-3</v>
      </c>
      <c r="N700" s="30">
        <f t="shared" si="76"/>
        <v>1.5348800685819482E-2</v>
      </c>
      <c r="O700" s="30">
        <f t="shared" si="77"/>
        <v>3.9195811231767311E-3</v>
      </c>
    </row>
    <row r="701" spans="1:15" s="30" customFormat="1">
      <c r="A701" s="27">
        <v>45084</v>
      </c>
      <c r="B701" s="28" t="s">
        <v>693</v>
      </c>
      <c r="C701" s="28">
        <v>543.79</v>
      </c>
      <c r="D701" s="28" t="s">
        <v>1874</v>
      </c>
      <c r="E701" s="28">
        <v>288.69</v>
      </c>
      <c r="F701" s="28">
        <v>150.15</v>
      </c>
      <c r="G701" s="28" t="s">
        <v>3047</v>
      </c>
      <c r="H701" s="28">
        <v>318.25</v>
      </c>
      <c r="I701" s="30">
        <f t="shared" si="71"/>
        <v>3.8993066393660115E-3</v>
      </c>
      <c r="J701" s="30">
        <f t="shared" si="72"/>
        <v>3.4447538461821942E-3</v>
      </c>
      <c r="K701" s="30">
        <f t="shared" si="73"/>
        <v>1.577384957894476E-2</v>
      </c>
      <c r="L701" s="30">
        <f t="shared" si="74"/>
        <v>1.1006345651638801E-2</v>
      </c>
      <c r="M701" s="30">
        <f t="shared" si="75"/>
        <v>1.5436548130853045E-2</v>
      </c>
      <c r="N701" s="30">
        <f t="shared" si="76"/>
        <v>4.7940728803968109E-3</v>
      </c>
      <c r="O701" s="30">
        <f t="shared" si="77"/>
        <v>-8.0996992666441933E-2</v>
      </c>
    </row>
    <row r="702" spans="1:15" s="30" customFormat="1">
      <c r="A702" s="27">
        <v>45083</v>
      </c>
      <c r="B702" s="28" t="s">
        <v>694</v>
      </c>
      <c r="C702" s="28">
        <v>543.58000000000004</v>
      </c>
      <c r="D702" s="28" t="s">
        <v>1875</v>
      </c>
      <c r="E702" s="28">
        <v>283.67</v>
      </c>
      <c r="F702" s="28">
        <v>150.65</v>
      </c>
      <c r="G702" s="28" t="s">
        <v>27</v>
      </c>
      <c r="H702" s="28">
        <v>316.64999999999998</v>
      </c>
      <c r="I702" s="30">
        <f t="shared" si="71"/>
        <v>-3.7436646157055615E-3</v>
      </c>
      <c r="J702" s="30">
        <f t="shared" si="72"/>
        <v>-3.8625307413443121E-4</v>
      </c>
      <c r="K702" s="30">
        <f t="shared" si="73"/>
        <v>2.4913413223868054E-3</v>
      </c>
      <c r="L702" s="30">
        <f t="shared" si="74"/>
        <v>-1.7541857318879646E-2</v>
      </c>
      <c r="M702" s="30">
        <f t="shared" si="75"/>
        <v>3.3244711469710671E-3</v>
      </c>
      <c r="N702" s="30">
        <f t="shared" si="76"/>
        <v>-4.0212995255935174E-3</v>
      </c>
      <c r="O702" s="30">
        <f t="shared" si="77"/>
        <v>-5.0401744750766687E-3</v>
      </c>
    </row>
    <row r="703" spans="1:15" s="30" customFormat="1">
      <c r="A703" s="27">
        <v>45082</v>
      </c>
      <c r="B703" s="28" t="s">
        <v>695</v>
      </c>
      <c r="C703" s="28">
        <v>541.75</v>
      </c>
      <c r="D703" s="28" t="s">
        <v>1876</v>
      </c>
      <c r="E703" s="28">
        <v>283.97000000000003</v>
      </c>
      <c r="F703" s="28">
        <v>151.1</v>
      </c>
      <c r="G703" s="28" t="s">
        <v>3048</v>
      </c>
      <c r="H703" s="28">
        <v>307.25</v>
      </c>
      <c r="I703" s="30">
        <f t="shared" si="71"/>
        <v>-4.0545864513493769E-3</v>
      </c>
      <c r="J703" s="30">
        <f t="shared" si="72"/>
        <v>-3.3722494250409169E-3</v>
      </c>
      <c r="K703" s="30">
        <f t="shared" si="73"/>
        <v>4.014020425150925E-3</v>
      </c>
      <c r="L703" s="30">
        <f t="shared" si="74"/>
        <v>1.0570080612066349E-3</v>
      </c>
      <c r="M703" s="30">
        <f t="shared" si="75"/>
        <v>2.982603702383557E-3</v>
      </c>
      <c r="N703" s="30">
        <f t="shared" si="76"/>
        <v>5.351225121110679E-3</v>
      </c>
      <c r="O703" s="30">
        <f t="shared" si="77"/>
        <v>-3.0135314516295083E-2</v>
      </c>
    </row>
    <row r="704" spans="1:15" s="30" customFormat="1">
      <c r="A704" s="27">
        <v>45079</v>
      </c>
      <c r="B704" s="28" t="s">
        <v>696</v>
      </c>
      <c r="C704" s="28">
        <v>543.71</v>
      </c>
      <c r="D704" s="28" t="s">
        <v>1563</v>
      </c>
      <c r="E704" s="28">
        <v>282.81</v>
      </c>
      <c r="F704" s="28">
        <v>152.30000000000001</v>
      </c>
      <c r="G704" s="28" t="s">
        <v>237</v>
      </c>
      <c r="H704" s="28">
        <v>305.45</v>
      </c>
      <c r="I704" s="30">
        <f t="shared" si="71"/>
        <v>1.1651522213048333E-2</v>
      </c>
      <c r="J704" s="30">
        <f t="shared" si="72"/>
        <v>3.6113760621283319E-3</v>
      </c>
      <c r="K704" s="30">
        <f t="shared" si="73"/>
        <v>-8.4207435281767121E-3</v>
      </c>
      <c r="L704" s="30">
        <f t="shared" si="74"/>
        <v>-4.0933047025775108E-3</v>
      </c>
      <c r="M704" s="30">
        <f t="shared" si="75"/>
        <v>7.9103906224224467E-3</v>
      </c>
      <c r="N704" s="30">
        <f t="shared" si="76"/>
        <v>1.8659829395067572E-2</v>
      </c>
      <c r="O704" s="30">
        <f t="shared" si="77"/>
        <v>-5.8756493503682719E-3</v>
      </c>
    </row>
    <row r="705" spans="1:15" s="30" customFormat="1">
      <c r="A705" s="27">
        <v>45078</v>
      </c>
      <c r="B705" s="28" t="s">
        <v>697</v>
      </c>
      <c r="C705" s="28">
        <v>542.08000000000004</v>
      </c>
      <c r="D705" s="28" t="s">
        <v>1877</v>
      </c>
      <c r="E705" s="28">
        <v>285.86</v>
      </c>
      <c r="F705" s="28">
        <v>154</v>
      </c>
      <c r="G705" s="28" t="s">
        <v>3049</v>
      </c>
      <c r="H705" s="28">
        <v>304.95</v>
      </c>
      <c r="I705" s="30">
        <f t="shared" si="71"/>
        <v>1.0651518848347041E-3</v>
      </c>
      <c r="J705" s="30">
        <f t="shared" si="72"/>
        <v>-3.0024244549618512E-3</v>
      </c>
      <c r="K705" s="30">
        <f t="shared" si="73"/>
        <v>8.8280478580217963E-3</v>
      </c>
      <c r="L705" s="30">
        <f t="shared" si="74"/>
        <v>1.0726886404800606E-2</v>
      </c>
      <c r="M705" s="30">
        <f t="shared" si="75"/>
        <v>1.1100342512512976E-2</v>
      </c>
      <c r="N705" s="30">
        <f t="shared" si="76"/>
        <v>5.4678822722604879E-3</v>
      </c>
      <c r="O705" s="30">
        <f t="shared" si="77"/>
        <v>-1.6382703533105798E-3</v>
      </c>
    </row>
    <row r="706" spans="1:15" s="30" customFormat="1">
      <c r="A706" s="27">
        <v>45077</v>
      </c>
      <c r="B706" s="28" t="s">
        <v>698</v>
      </c>
      <c r="C706" s="28">
        <v>542.04</v>
      </c>
      <c r="D706" s="28" t="s">
        <v>1878</v>
      </c>
      <c r="E706" s="28">
        <v>292.60000000000002</v>
      </c>
      <c r="F706" s="28">
        <v>155.30000000000001</v>
      </c>
      <c r="G706" s="28" t="s">
        <v>3050</v>
      </c>
      <c r="H706" s="28">
        <v>301.05</v>
      </c>
      <c r="I706" s="30">
        <f t="shared" si="71"/>
        <v>-1.4844101496229129E-2</v>
      </c>
      <c r="J706" s="30">
        <f t="shared" si="72"/>
        <v>-7.379256912195055E-5</v>
      </c>
      <c r="K706" s="30">
        <f t="shared" si="73"/>
        <v>-1.1708016934702567E-2</v>
      </c>
      <c r="L706" s="30">
        <f t="shared" si="74"/>
        <v>2.3304308105054922E-2</v>
      </c>
      <c r="M706" s="30">
        <f t="shared" si="75"/>
        <v>8.4061277410122578E-3</v>
      </c>
      <c r="N706" s="30">
        <f t="shared" si="76"/>
        <v>-5.2437012961343687E-3</v>
      </c>
      <c r="O706" s="30">
        <f t="shared" si="77"/>
        <v>-1.2871464832008446E-2</v>
      </c>
    </row>
    <row r="707" spans="1:15" s="30" customFormat="1">
      <c r="A707" s="27">
        <v>45076</v>
      </c>
      <c r="B707" s="28" t="s">
        <v>699</v>
      </c>
      <c r="C707" s="28">
        <v>540.71</v>
      </c>
      <c r="D707" s="28" t="s">
        <v>1879</v>
      </c>
      <c r="E707" s="28">
        <v>282.25</v>
      </c>
      <c r="F707" s="28">
        <v>152.6</v>
      </c>
      <c r="G707" s="28" t="s">
        <v>3051</v>
      </c>
      <c r="H707" s="28">
        <v>299.55</v>
      </c>
      <c r="I707" s="30">
        <f t="shared" si="71"/>
        <v>-1.5322161417953664E-2</v>
      </c>
      <c r="J707" s="30">
        <f t="shared" si="72"/>
        <v>-2.4567086934663396E-3</v>
      </c>
      <c r="K707" s="30">
        <f t="shared" si="73"/>
        <v>6.9116815215996621E-3</v>
      </c>
      <c r="L707" s="30">
        <f t="shared" si="74"/>
        <v>-3.6013285556252557E-2</v>
      </c>
      <c r="M707" s="30">
        <f t="shared" si="75"/>
        <v>-1.7538611304284836E-2</v>
      </c>
      <c r="N707" s="30">
        <f t="shared" si="76"/>
        <v>5.0409684567747359E-3</v>
      </c>
      <c r="O707" s="30">
        <f t="shared" si="77"/>
        <v>-4.9950153805229649E-3</v>
      </c>
    </row>
    <row r="708" spans="1:15" s="30" customFormat="1">
      <c r="A708" s="27">
        <v>45075</v>
      </c>
      <c r="B708" s="28" t="s">
        <v>700</v>
      </c>
      <c r="C708" s="28">
        <v>534.13</v>
      </c>
      <c r="D708" s="28" t="s">
        <v>1880</v>
      </c>
      <c r="E708" s="28">
        <v>274.55</v>
      </c>
      <c r="F708" s="28">
        <v>151.4</v>
      </c>
      <c r="G708" s="28" t="s">
        <v>3052</v>
      </c>
      <c r="H708" s="28">
        <v>299.75</v>
      </c>
      <c r="I708" s="30">
        <f t="shared" ref="I708:I771" si="78">LN(B708/B707)</f>
        <v>-2.2286614974614764E-3</v>
      </c>
      <c r="J708" s="30">
        <f t="shared" ref="J708:J771" si="79">LN(C708/C707)</f>
        <v>-1.2243835736062306E-2</v>
      </c>
      <c r="K708" s="30">
        <f t="shared" ref="K708:K771" si="80">LN(D708/D707)</f>
        <v>3.6758490727603847E-3</v>
      </c>
      <c r="L708" s="30">
        <f t="shared" ref="L708:L771" si="81">LN(E708/E707)</f>
        <v>-2.7659809304889715E-2</v>
      </c>
      <c r="M708" s="30">
        <f t="shared" ref="M708:M771" si="82">LN(F708/F707)</f>
        <v>-7.8947778470081498E-3</v>
      </c>
      <c r="N708" s="30">
        <f t="shared" ref="N708:N771" si="83">LN(G708/G707)</f>
        <v>1.0537622309723411E-3</v>
      </c>
      <c r="O708" s="30">
        <f t="shared" ref="O708:O771" si="84">LN(H708/H707)</f>
        <v>6.6744537768960888E-4</v>
      </c>
    </row>
    <row r="709" spans="1:15" s="30" customFormat="1">
      <c r="A709" s="27">
        <v>45072</v>
      </c>
      <c r="B709" s="28" t="s">
        <v>701</v>
      </c>
      <c r="C709" s="28">
        <v>539.25</v>
      </c>
      <c r="D709" s="28" t="s">
        <v>1881</v>
      </c>
      <c r="E709" s="28">
        <v>272.33</v>
      </c>
      <c r="F709" s="28">
        <v>154</v>
      </c>
      <c r="G709" s="28" t="s">
        <v>3053</v>
      </c>
      <c r="H709" s="28">
        <v>298.95</v>
      </c>
      <c r="I709" s="30">
        <f t="shared" si="78"/>
        <v>-2.8727396946835286E-3</v>
      </c>
      <c r="J709" s="30">
        <f t="shared" si="79"/>
        <v>9.5400302442813049E-3</v>
      </c>
      <c r="K709" s="30">
        <f t="shared" si="80"/>
        <v>2.3934143500998904E-2</v>
      </c>
      <c r="L709" s="30">
        <f t="shared" si="81"/>
        <v>-8.1188275099775258E-3</v>
      </c>
      <c r="M709" s="30">
        <f t="shared" si="82"/>
        <v>1.7027261410280801E-2</v>
      </c>
      <c r="N709" s="30">
        <f t="shared" si="83"/>
        <v>1.2259224540821323E-2</v>
      </c>
      <c r="O709" s="30">
        <f t="shared" si="84"/>
        <v>-2.6724585807102394E-3</v>
      </c>
    </row>
    <row r="710" spans="1:15" s="30" customFormat="1">
      <c r="A710" s="27">
        <v>45071</v>
      </c>
      <c r="B710" s="28" t="s">
        <v>702</v>
      </c>
      <c r="C710" s="28">
        <v>534.66999999999996</v>
      </c>
      <c r="D710" s="28" t="s">
        <v>1882</v>
      </c>
      <c r="E710" s="28">
        <v>272.23</v>
      </c>
      <c r="F710" s="28">
        <v>153.9</v>
      </c>
      <c r="G710" s="28" t="s">
        <v>3054</v>
      </c>
      <c r="H710" s="28">
        <v>302.10000000000002</v>
      </c>
      <c r="I710" s="30">
        <f t="shared" si="78"/>
        <v>-1.5515162382651567E-3</v>
      </c>
      <c r="J710" s="30">
        <f t="shared" si="79"/>
        <v>-8.5295511163844765E-3</v>
      </c>
      <c r="K710" s="30">
        <f t="shared" si="80"/>
        <v>-3.266931352179344E-2</v>
      </c>
      <c r="L710" s="30">
        <f t="shared" si="81"/>
        <v>-3.6726899193485307E-4</v>
      </c>
      <c r="M710" s="30">
        <f t="shared" si="82"/>
        <v>-6.4956156879553389E-4</v>
      </c>
      <c r="N710" s="30">
        <f t="shared" si="83"/>
        <v>-2.9048148765029622E-2</v>
      </c>
      <c r="O710" s="30">
        <f t="shared" si="84"/>
        <v>1.0481753065713006E-2</v>
      </c>
    </row>
    <row r="711" spans="1:15" s="30" customFormat="1">
      <c r="A711" s="27">
        <v>45070</v>
      </c>
      <c r="B711" s="28" t="s">
        <v>703</v>
      </c>
      <c r="C711" s="28">
        <v>528.75</v>
      </c>
      <c r="D711" s="28" t="s">
        <v>1883</v>
      </c>
      <c r="E711" s="28">
        <v>272.92</v>
      </c>
      <c r="F711" s="28">
        <v>159.4</v>
      </c>
      <c r="G711" s="28" t="s">
        <v>3055</v>
      </c>
      <c r="H711" s="28">
        <v>304.64999999999998</v>
      </c>
      <c r="I711" s="30">
        <f t="shared" si="78"/>
        <v>-7.0843100760189497E-3</v>
      </c>
      <c r="J711" s="30">
        <f t="shared" si="79"/>
        <v>-1.1134003792393527E-2</v>
      </c>
      <c r="K711" s="30">
        <f t="shared" si="80"/>
        <v>-2.0707111066678073E-2</v>
      </c>
      <c r="L711" s="30">
        <f t="shared" si="81"/>
        <v>2.5314147242536224E-3</v>
      </c>
      <c r="M711" s="30">
        <f t="shared" si="82"/>
        <v>3.5113725511281176E-2</v>
      </c>
      <c r="N711" s="30">
        <f t="shared" si="83"/>
        <v>1.4984692914861672E-2</v>
      </c>
      <c r="O711" s="30">
        <f t="shared" si="84"/>
        <v>8.4054883018769583E-3</v>
      </c>
    </row>
    <row r="712" spans="1:15" s="30" customFormat="1">
      <c r="A712" s="27">
        <v>45069</v>
      </c>
      <c r="B712" s="28" t="s">
        <v>704</v>
      </c>
      <c r="C712" s="28">
        <v>525.16999999999996</v>
      </c>
      <c r="D712" s="28" t="s">
        <v>1884</v>
      </c>
      <c r="E712" s="28">
        <v>272.06</v>
      </c>
      <c r="F712" s="28">
        <v>154.44999999999999</v>
      </c>
      <c r="G712" s="28" t="s">
        <v>2969</v>
      </c>
      <c r="H712" s="28">
        <v>315.8</v>
      </c>
      <c r="I712" s="30">
        <f t="shared" si="78"/>
        <v>6.1394255939096346E-3</v>
      </c>
      <c r="J712" s="30">
        <f t="shared" si="79"/>
        <v>-6.7937106600436618E-3</v>
      </c>
      <c r="K712" s="30">
        <f t="shared" si="80"/>
        <v>-1.1613306196716177E-2</v>
      </c>
      <c r="L712" s="30">
        <f t="shared" si="81"/>
        <v>-3.1560817419389727E-3</v>
      </c>
      <c r="M712" s="30">
        <f t="shared" si="82"/>
        <v>-3.1546346991524109E-2</v>
      </c>
      <c r="N712" s="30">
        <f t="shared" si="83"/>
        <v>1.7558601161196952E-2</v>
      </c>
      <c r="O712" s="30">
        <f t="shared" si="84"/>
        <v>3.59455251270384E-2</v>
      </c>
    </row>
    <row r="713" spans="1:15" s="30" customFormat="1">
      <c r="A713" s="27">
        <v>45068</v>
      </c>
      <c r="B713" s="28" t="s">
        <v>705</v>
      </c>
      <c r="C713" s="28">
        <v>521.83000000000004</v>
      </c>
      <c r="D713" s="28" t="s">
        <v>1885</v>
      </c>
      <c r="E713" s="28">
        <v>270.86</v>
      </c>
      <c r="F713" s="28">
        <v>154.35</v>
      </c>
      <c r="G713" s="28" t="s">
        <v>2362</v>
      </c>
      <c r="H713" s="28">
        <v>311.14999999999998</v>
      </c>
      <c r="I713" s="30">
        <f t="shared" si="78"/>
        <v>-1.1506049103827083E-2</v>
      </c>
      <c r="J713" s="30">
        <f t="shared" si="79"/>
        <v>-6.3801553580426608E-3</v>
      </c>
      <c r="K713" s="30">
        <f t="shared" si="80"/>
        <v>-2.4098959106112041E-3</v>
      </c>
      <c r="L713" s="30">
        <f t="shared" si="81"/>
        <v>-4.4205479780586379E-3</v>
      </c>
      <c r="M713" s="30">
        <f t="shared" si="82"/>
        <v>-6.4766841642231764E-4</v>
      </c>
      <c r="N713" s="30">
        <f t="shared" si="83"/>
        <v>-2.7058988614845913E-2</v>
      </c>
      <c r="O713" s="30">
        <f t="shared" si="84"/>
        <v>-1.4833990806314963E-2</v>
      </c>
    </row>
    <row r="714" spans="1:15" s="30" customFormat="1">
      <c r="A714" s="27">
        <v>45065</v>
      </c>
      <c r="B714" s="28" t="s">
        <v>410</v>
      </c>
      <c r="C714" s="28">
        <v>521.04</v>
      </c>
      <c r="D714" s="28" t="s">
        <v>1886</v>
      </c>
      <c r="E714" s="28">
        <v>271.06</v>
      </c>
      <c r="F714" s="28">
        <v>150.9</v>
      </c>
      <c r="G714" s="28" t="s">
        <v>3056</v>
      </c>
      <c r="H714" s="28">
        <v>311.10000000000002</v>
      </c>
      <c r="I714" s="30">
        <f t="shared" si="78"/>
        <v>-1.4588246761762925E-4</v>
      </c>
      <c r="J714" s="30">
        <f t="shared" si="79"/>
        <v>-1.515050104255319E-3</v>
      </c>
      <c r="K714" s="30">
        <f t="shared" si="80"/>
        <v>-3.9106989544577999E-3</v>
      </c>
      <c r="L714" s="30">
        <f t="shared" si="81"/>
        <v>7.3811636064456633E-4</v>
      </c>
      <c r="M714" s="30">
        <f t="shared" si="82"/>
        <v>-2.2605385174365066E-2</v>
      </c>
      <c r="N714" s="30">
        <f t="shared" si="83"/>
        <v>-2.8308291894463028E-3</v>
      </c>
      <c r="O714" s="30">
        <f t="shared" si="84"/>
        <v>-1.6070711163540587E-4</v>
      </c>
    </row>
    <row r="715" spans="1:15" s="30" customFormat="1">
      <c r="A715" s="27">
        <v>45064</v>
      </c>
      <c r="B715" s="28" t="s">
        <v>706</v>
      </c>
      <c r="C715" s="28">
        <v>518.96</v>
      </c>
      <c r="D715" s="28" t="s">
        <v>1887</v>
      </c>
      <c r="E715" s="28">
        <v>275.70999999999998</v>
      </c>
      <c r="F715" s="28">
        <v>150.6</v>
      </c>
      <c r="G715" s="28" t="s">
        <v>3057</v>
      </c>
      <c r="H715" s="28">
        <v>315.85000000000002</v>
      </c>
      <c r="I715" s="30">
        <f t="shared" si="78"/>
        <v>7.9438538353863285E-3</v>
      </c>
      <c r="J715" s="30">
        <f t="shared" si="79"/>
        <v>-4.0000053333460166E-3</v>
      </c>
      <c r="K715" s="30">
        <f t="shared" si="80"/>
        <v>4.6910068609726926E-3</v>
      </c>
      <c r="L715" s="30">
        <f t="shared" si="81"/>
        <v>1.7009390093487217E-2</v>
      </c>
      <c r="M715" s="30">
        <f t="shared" si="82"/>
        <v>-1.9900504080100361E-3</v>
      </c>
      <c r="N715" s="30">
        <f t="shared" si="83"/>
        <v>-3.8900544058860938E-3</v>
      </c>
      <c r="O715" s="30">
        <f t="shared" si="84"/>
        <v>1.5153013441118031E-2</v>
      </c>
    </row>
    <row r="716" spans="1:15" s="30" customFormat="1">
      <c r="A716" s="27">
        <v>45063</v>
      </c>
      <c r="B716" s="28" t="s">
        <v>707</v>
      </c>
      <c r="C716" s="28">
        <v>516.75</v>
      </c>
      <c r="D716" s="28" t="s">
        <v>1888</v>
      </c>
      <c r="E716" s="28">
        <v>271.26</v>
      </c>
      <c r="F716" s="28">
        <v>153.55000000000001</v>
      </c>
      <c r="G716" s="28" t="s">
        <v>3058</v>
      </c>
      <c r="H716" s="28">
        <v>324.45</v>
      </c>
      <c r="I716" s="30">
        <f t="shared" si="78"/>
        <v>-5.3535562838333568E-3</v>
      </c>
      <c r="J716" s="30">
        <f t="shared" si="79"/>
        <v>-4.2676103429223925E-3</v>
      </c>
      <c r="K716" s="30">
        <f t="shared" si="80"/>
        <v>-6.0469519503991542E-2</v>
      </c>
      <c r="L716" s="30">
        <f t="shared" si="81"/>
        <v>-1.6271818146788502E-2</v>
      </c>
      <c r="M716" s="30">
        <f t="shared" si="82"/>
        <v>1.9398931521038373E-2</v>
      </c>
      <c r="N716" s="30">
        <f t="shared" si="83"/>
        <v>2.1503133797422268E-2</v>
      </c>
      <c r="O716" s="30">
        <f t="shared" si="84"/>
        <v>2.6864023722467902E-2</v>
      </c>
    </row>
    <row r="717" spans="1:15" s="30" customFormat="1">
      <c r="A717" s="27">
        <v>45062</v>
      </c>
      <c r="B717" s="28" t="s">
        <v>708</v>
      </c>
      <c r="C717" s="28">
        <v>510.08</v>
      </c>
      <c r="D717" s="28" t="s">
        <v>1889</v>
      </c>
      <c r="E717" s="28">
        <v>272.58999999999997</v>
      </c>
      <c r="F717" s="28">
        <v>153.94999999999999</v>
      </c>
      <c r="G717" s="28" t="s">
        <v>2962</v>
      </c>
      <c r="H717" s="28">
        <v>332.95</v>
      </c>
      <c r="I717" s="30">
        <f t="shared" si="78"/>
        <v>1.4653864229517151E-2</v>
      </c>
      <c r="J717" s="30">
        <f t="shared" si="79"/>
        <v>-1.2991622400082165E-2</v>
      </c>
      <c r="K717" s="30">
        <f t="shared" si="80"/>
        <v>-7.6753311746164711E-3</v>
      </c>
      <c r="L717" s="30">
        <f t="shared" si="81"/>
        <v>4.8910642692301751E-3</v>
      </c>
      <c r="M717" s="30">
        <f t="shared" si="82"/>
        <v>2.6016274836778643E-3</v>
      </c>
      <c r="N717" s="30">
        <f t="shared" si="83"/>
        <v>-2.0204067889084969E-3</v>
      </c>
      <c r="O717" s="30">
        <f t="shared" si="84"/>
        <v>2.5860887489454018E-2</v>
      </c>
    </row>
    <row r="718" spans="1:15" s="30" customFormat="1">
      <c r="A718" s="27">
        <v>45061</v>
      </c>
      <c r="B718" s="28" t="s">
        <v>709</v>
      </c>
      <c r="C718" s="28">
        <v>524.33000000000004</v>
      </c>
      <c r="D718" s="28" t="s">
        <v>1890</v>
      </c>
      <c r="E718" s="28">
        <v>272.56</v>
      </c>
      <c r="F718" s="28">
        <v>153.5</v>
      </c>
      <c r="G718" s="28" t="s">
        <v>3059</v>
      </c>
      <c r="H718" s="28">
        <v>325.85000000000002</v>
      </c>
      <c r="I718" s="30">
        <f t="shared" si="78"/>
        <v>-1.9457431060133786E-3</v>
      </c>
      <c r="J718" s="30">
        <f t="shared" si="79"/>
        <v>2.7553680929080508E-2</v>
      </c>
      <c r="K718" s="30">
        <f t="shared" si="80"/>
        <v>1.0871723855631137E-2</v>
      </c>
      <c r="L718" s="30">
        <f t="shared" si="81"/>
        <v>-1.1006145108775583E-4</v>
      </c>
      <c r="M718" s="30">
        <f t="shared" si="82"/>
        <v>-2.9273073432575097E-3</v>
      </c>
      <c r="N718" s="30">
        <f t="shared" si="83"/>
        <v>2.7669239178098578E-3</v>
      </c>
      <c r="O718" s="30">
        <f t="shared" si="84"/>
        <v>-2.1555175778241932E-2</v>
      </c>
    </row>
    <row r="719" spans="1:15" s="30" customFormat="1">
      <c r="A719" s="27">
        <v>45058</v>
      </c>
      <c r="B719" s="28" t="s">
        <v>710</v>
      </c>
      <c r="C719" s="28">
        <v>528.04</v>
      </c>
      <c r="D719" s="28" t="s">
        <v>1891</v>
      </c>
      <c r="E719" s="28">
        <v>277.67</v>
      </c>
      <c r="F719" s="28">
        <v>146.05000000000001</v>
      </c>
      <c r="G719" s="28" t="s">
        <v>3060</v>
      </c>
      <c r="H719" s="28">
        <v>328.65</v>
      </c>
      <c r="I719" s="30">
        <f t="shared" si="78"/>
        <v>-2.8739761657798122E-4</v>
      </c>
      <c r="J719" s="30">
        <f t="shared" si="79"/>
        <v>7.0507813216827498E-3</v>
      </c>
      <c r="K719" s="30">
        <f t="shared" si="80"/>
        <v>-2.3322236047689154E-2</v>
      </c>
      <c r="L719" s="30">
        <f t="shared" si="81"/>
        <v>1.8574584875885689E-2</v>
      </c>
      <c r="M719" s="30">
        <f t="shared" si="82"/>
        <v>-4.9751538193501754E-2</v>
      </c>
      <c r="N719" s="30">
        <f t="shared" si="83"/>
        <v>-3.4952708049660929E-3</v>
      </c>
      <c r="O719" s="30">
        <f t="shared" si="84"/>
        <v>8.5562019311957432E-3</v>
      </c>
    </row>
    <row r="720" spans="1:15" s="30" customFormat="1">
      <c r="A720" s="27">
        <v>45057</v>
      </c>
      <c r="B720" s="28" t="s">
        <v>711</v>
      </c>
      <c r="C720" s="28">
        <v>530.63</v>
      </c>
      <c r="D720" s="28" t="s">
        <v>1892</v>
      </c>
      <c r="E720" s="28">
        <v>272.33</v>
      </c>
      <c r="F720" s="28">
        <v>145.6</v>
      </c>
      <c r="G720" s="28" t="s">
        <v>3061</v>
      </c>
      <c r="H720" s="28">
        <v>336.75</v>
      </c>
      <c r="I720" s="30">
        <f t="shared" si="78"/>
        <v>2.7587984041203347E-3</v>
      </c>
      <c r="J720" s="30">
        <f t="shared" si="79"/>
        <v>4.8929414590705772E-3</v>
      </c>
      <c r="K720" s="30">
        <f t="shared" si="80"/>
        <v>-8.6844631731423129E-3</v>
      </c>
      <c r="L720" s="30">
        <f t="shared" si="81"/>
        <v>-1.94187920136926E-2</v>
      </c>
      <c r="M720" s="30">
        <f t="shared" si="82"/>
        <v>-3.0858930711644621E-3</v>
      </c>
      <c r="N720" s="30">
        <f t="shared" si="83"/>
        <v>-5.061087432031774E-4</v>
      </c>
      <c r="O720" s="30">
        <f t="shared" si="84"/>
        <v>2.434746058088821E-2</v>
      </c>
    </row>
    <row r="721" spans="1:15" s="30" customFormat="1">
      <c r="A721" s="27">
        <v>45056</v>
      </c>
      <c r="B721" s="28" t="s">
        <v>712</v>
      </c>
      <c r="C721" s="28">
        <v>523.54</v>
      </c>
      <c r="D721" s="28" t="s">
        <v>1893</v>
      </c>
      <c r="E721" s="28">
        <v>268.77</v>
      </c>
      <c r="F721" s="28">
        <v>144.30000000000001</v>
      </c>
      <c r="G721" s="28" t="s">
        <v>322</v>
      </c>
      <c r="H721" s="28">
        <v>307.77</v>
      </c>
      <c r="I721" s="30">
        <f t="shared" si="78"/>
        <v>-3.1825243191877371E-2</v>
      </c>
      <c r="J721" s="30">
        <f t="shared" si="79"/>
        <v>-1.3451543693029949E-2</v>
      </c>
      <c r="K721" s="30">
        <f t="shared" si="80"/>
        <v>-1.0521900587631906E-2</v>
      </c>
      <c r="L721" s="30">
        <f t="shared" si="81"/>
        <v>-1.3158570937307441E-2</v>
      </c>
      <c r="M721" s="30">
        <f t="shared" si="82"/>
        <v>-8.9686699827602624E-3</v>
      </c>
      <c r="N721" s="30">
        <f t="shared" si="83"/>
        <v>-2.124299670768549E-2</v>
      </c>
      <c r="O721" s="30">
        <f t="shared" si="84"/>
        <v>-8.9988064522742384E-2</v>
      </c>
    </row>
    <row r="722" spans="1:15" s="30" customFormat="1">
      <c r="A722" s="27">
        <v>45055</v>
      </c>
      <c r="B722" s="28" t="s">
        <v>713</v>
      </c>
      <c r="C722" s="28">
        <v>522.08000000000004</v>
      </c>
      <c r="D722" s="28" t="s">
        <v>1894</v>
      </c>
      <c r="E722" s="28">
        <v>263.43</v>
      </c>
      <c r="F722" s="28">
        <v>145.9</v>
      </c>
      <c r="G722" s="28" t="s">
        <v>3062</v>
      </c>
      <c r="H722" s="28">
        <v>309.8</v>
      </c>
      <c r="I722" s="30">
        <f t="shared" si="78"/>
        <v>-2.1724112424389209E-3</v>
      </c>
      <c r="J722" s="30">
        <f t="shared" si="79"/>
        <v>-2.7926033335886947E-3</v>
      </c>
      <c r="K722" s="30">
        <f t="shared" si="80"/>
        <v>-1.1505249054949462E-2</v>
      </c>
      <c r="L722" s="30">
        <f t="shared" si="81"/>
        <v>-2.006831723758272E-2</v>
      </c>
      <c r="M722" s="30">
        <f t="shared" si="82"/>
        <v>1.1026989748914629E-2</v>
      </c>
      <c r="N722" s="30">
        <f t="shared" si="83"/>
        <v>8.9779039733752838E-3</v>
      </c>
      <c r="O722" s="30">
        <f t="shared" si="84"/>
        <v>6.5741772150373235E-3</v>
      </c>
    </row>
    <row r="723" spans="1:15" s="30" customFormat="1">
      <c r="A723" s="27">
        <v>45054</v>
      </c>
      <c r="B723" s="28" t="s">
        <v>714</v>
      </c>
      <c r="C723" s="28">
        <v>516.46</v>
      </c>
      <c r="D723" s="28" t="s">
        <v>1895</v>
      </c>
      <c r="E723" s="28">
        <v>267.25</v>
      </c>
      <c r="F723" s="28">
        <v>145.05000000000001</v>
      </c>
      <c r="G723" s="28" t="s">
        <v>3063</v>
      </c>
      <c r="H723" s="28">
        <v>310.10000000000002</v>
      </c>
      <c r="I723" s="30">
        <f t="shared" si="78"/>
        <v>-5.0708288860187613E-3</v>
      </c>
      <c r="J723" s="30">
        <f t="shared" si="79"/>
        <v>-1.0822991621167665E-2</v>
      </c>
      <c r="K723" s="30">
        <f t="shared" si="80"/>
        <v>1.0643011102254945E-2</v>
      </c>
      <c r="L723" s="30">
        <f t="shared" si="81"/>
        <v>1.4396871865140824E-2</v>
      </c>
      <c r="M723" s="30">
        <f t="shared" si="82"/>
        <v>-5.8429449613268949E-3</v>
      </c>
      <c r="N723" s="30">
        <f t="shared" si="83"/>
        <v>3.9689898457722118E-3</v>
      </c>
      <c r="O723" s="30">
        <f t="shared" si="84"/>
        <v>9.6789812363497175E-4</v>
      </c>
    </row>
    <row r="724" spans="1:15" s="30" customFormat="1">
      <c r="A724" s="27">
        <v>45051</v>
      </c>
      <c r="B724" s="28" t="s">
        <v>715</v>
      </c>
      <c r="C724" s="28">
        <v>514.38</v>
      </c>
      <c r="D724" s="28" t="s">
        <v>1896</v>
      </c>
      <c r="E724" s="28">
        <v>261.61</v>
      </c>
      <c r="F724" s="28">
        <v>143</v>
      </c>
      <c r="G724" s="28" t="s">
        <v>3064</v>
      </c>
      <c r="H724" s="28">
        <v>307.8</v>
      </c>
      <c r="I724" s="30">
        <f t="shared" si="78"/>
        <v>-2.1550303413513743E-3</v>
      </c>
      <c r="J724" s="30">
        <f t="shared" si="79"/>
        <v>-4.03554930512334E-3</v>
      </c>
      <c r="K724" s="30">
        <f t="shared" si="80"/>
        <v>-5.2895977985868654E-2</v>
      </c>
      <c r="L724" s="30">
        <f t="shared" si="81"/>
        <v>-2.1329704753023072E-2</v>
      </c>
      <c r="M724" s="30">
        <f t="shared" si="82"/>
        <v>-1.4233880307505838E-2</v>
      </c>
      <c r="N724" s="30">
        <f t="shared" si="83"/>
        <v>-1.657320196739933E-2</v>
      </c>
      <c r="O724" s="30">
        <f t="shared" si="84"/>
        <v>-7.4446047016244726E-3</v>
      </c>
    </row>
    <row r="725" spans="1:15" s="30" customFormat="1">
      <c r="A725" s="27">
        <v>45050</v>
      </c>
      <c r="B725" s="28" t="s">
        <v>716</v>
      </c>
      <c r="C725" s="28">
        <v>517.13</v>
      </c>
      <c r="D725" s="28" t="s">
        <v>1897</v>
      </c>
      <c r="E725" s="28">
        <v>261.70999999999998</v>
      </c>
      <c r="F725" s="28">
        <v>143.1</v>
      </c>
      <c r="G725" s="28" t="s">
        <v>334</v>
      </c>
      <c r="H725" s="28">
        <v>304.64999999999998</v>
      </c>
      <c r="I725" s="30">
        <f t="shared" si="78"/>
        <v>-1.0040445934170354E-2</v>
      </c>
      <c r="J725" s="30">
        <f t="shared" si="79"/>
        <v>5.3320016582690966E-3</v>
      </c>
      <c r="K725" s="30">
        <f t="shared" si="80"/>
        <v>-9.177995861082448E-3</v>
      </c>
      <c r="L725" s="30">
        <f t="shared" si="81"/>
        <v>3.8217534669845473E-4</v>
      </c>
      <c r="M725" s="30">
        <f t="shared" si="82"/>
        <v>6.9905630249782072E-4</v>
      </c>
      <c r="N725" s="30">
        <f t="shared" si="83"/>
        <v>8.1047438495013557E-3</v>
      </c>
      <c r="O725" s="30">
        <f t="shared" si="84"/>
        <v>-1.0286644710275537E-2</v>
      </c>
    </row>
    <row r="726" spans="1:15" s="30" customFormat="1">
      <c r="A726" s="27">
        <v>45049</v>
      </c>
      <c r="B726" s="28" t="s">
        <v>717</v>
      </c>
      <c r="C726" s="28">
        <v>511.75</v>
      </c>
      <c r="D726" s="28" t="s">
        <v>1898</v>
      </c>
      <c r="E726" s="28">
        <v>258.98</v>
      </c>
      <c r="F726" s="28">
        <v>145.30000000000001</v>
      </c>
      <c r="G726" s="28" t="s">
        <v>3065</v>
      </c>
      <c r="H726" s="28">
        <v>304.5</v>
      </c>
      <c r="I726" s="30">
        <f t="shared" si="78"/>
        <v>-1.7979190611884095E-2</v>
      </c>
      <c r="J726" s="30">
        <f t="shared" si="79"/>
        <v>-1.0458069035589835E-2</v>
      </c>
      <c r="K726" s="30">
        <f t="shared" si="80"/>
        <v>-2.6378500337953019E-2</v>
      </c>
      <c r="L726" s="30">
        <f t="shared" si="81"/>
        <v>-1.0486181858135905E-2</v>
      </c>
      <c r="M726" s="30">
        <f t="shared" si="82"/>
        <v>1.5256884013832187E-2</v>
      </c>
      <c r="N726" s="30">
        <f t="shared" si="83"/>
        <v>-3.9407901621297094E-3</v>
      </c>
      <c r="O726" s="30">
        <f t="shared" si="84"/>
        <v>-4.9248954455155471E-4</v>
      </c>
    </row>
    <row r="727" spans="1:15" s="30" customFormat="1">
      <c r="A727" s="27">
        <v>45048</v>
      </c>
      <c r="B727" s="28" t="s">
        <v>718</v>
      </c>
      <c r="C727" s="28">
        <v>512.41999999999996</v>
      </c>
      <c r="D727" s="28" t="s">
        <v>1899</v>
      </c>
      <c r="E727" s="28">
        <v>252.58</v>
      </c>
      <c r="F727" s="28">
        <v>146.19999999999999</v>
      </c>
      <c r="G727" s="28" t="s">
        <v>117</v>
      </c>
      <c r="H727" s="28">
        <v>304.52</v>
      </c>
      <c r="I727" s="30">
        <f t="shared" si="78"/>
        <v>-1.0344476170207352E-2</v>
      </c>
      <c r="J727" s="30">
        <f t="shared" si="79"/>
        <v>1.3083767256964706E-3</v>
      </c>
      <c r="K727" s="30">
        <f t="shared" si="80"/>
        <v>-8.1289022061422044E-3</v>
      </c>
      <c r="L727" s="30">
        <f t="shared" si="81"/>
        <v>-2.5022808422669976E-2</v>
      </c>
      <c r="M727" s="30">
        <f t="shared" si="82"/>
        <v>6.1749767394407573E-3</v>
      </c>
      <c r="N727" s="30">
        <f t="shared" si="83"/>
        <v>-3.6866019427187913E-3</v>
      </c>
      <c r="O727" s="30">
        <f t="shared" si="84"/>
        <v>6.5679288060088077E-5</v>
      </c>
    </row>
    <row r="728" spans="1:15" s="30" customFormat="1">
      <c r="A728" s="27">
        <v>45044</v>
      </c>
      <c r="B728" s="28" t="s">
        <v>719</v>
      </c>
      <c r="C728" s="28">
        <v>508.63</v>
      </c>
      <c r="D728" s="28" t="s">
        <v>1900</v>
      </c>
      <c r="E728" s="28">
        <v>252.31</v>
      </c>
      <c r="F728" s="28">
        <v>147.30000000000001</v>
      </c>
      <c r="G728" s="28" t="s">
        <v>3066</v>
      </c>
      <c r="H728" s="28">
        <v>303.73</v>
      </c>
      <c r="I728" s="30">
        <f t="shared" si="78"/>
        <v>9.6520112975957879E-4</v>
      </c>
      <c r="J728" s="30">
        <f t="shared" si="79"/>
        <v>-7.4237645683937516E-3</v>
      </c>
      <c r="K728" s="30">
        <f t="shared" si="80"/>
        <v>-3.6775086332867172E-3</v>
      </c>
      <c r="L728" s="30">
        <f t="shared" si="81"/>
        <v>-1.0695400017355346E-3</v>
      </c>
      <c r="M728" s="30">
        <f t="shared" si="82"/>
        <v>7.4957761529065737E-3</v>
      </c>
      <c r="N728" s="30">
        <f t="shared" si="83"/>
        <v>-3.5911259970442158E-2</v>
      </c>
      <c r="O728" s="30">
        <f t="shared" si="84"/>
        <v>-2.5976175724390983E-3</v>
      </c>
    </row>
    <row r="729" spans="1:15" s="30" customFormat="1">
      <c r="A729" s="27">
        <v>45043</v>
      </c>
      <c r="B729" s="28" t="s">
        <v>720</v>
      </c>
      <c r="C729" s="28">
        <v>502.17</v>
      </c>
      <c r="D729" s="28" t="s">
        <v>1901</v>
      </c>
      <c r="E729" s="28">
        <v>252.18</v>
      </c>
      <c r="F729" s="28">
        <v>147.55000000000001</v>
      </c>
      <c r="G729" s="28" t="s">
        <v>3067</v>
      </c>
      <c r="H729" s="28">
        <v>300.3</v>
      </c>
      <c r="I729" s="30">
        <f t="shared" si="78"/>
        <v>-8.272582034266388E-4</v>
      </c>
      <c r="J729" s="30">
        <f t="shared" si="79"/>
        <v>-1.2782128916063255E-2</v>
      </c>
      <c r="K729" s="30">
        <f t="shared" si="80"/>
        <v>-1.168431133145832E-2</v>
      </c>
      <c r="L729" s="30">
        <f t="shared" si="81"/>
        <v>-5.1537197120816905E-4</v>
      </c>
      <c r="M729" s="30">
        <f t="shared" si="82"/>
        <v>1.6957779203638399E-3</v>
      </c>
      <c r="N729" s="30">
        <f t="shared" si="83"/>
        <v>-1.4318916325070879E-2</v>
      </c>
      <c r="O729" s="30">
        <f t="shared" si="84"/>
        <v>-1.1357173876288056E-2</v>
      </c>
    </row>
    <row r="730" spans="1:15" s="30" customFormat="1">
      <c r="A730" s="27">
        <v>45042</v>
      </c>
      <c r="B730" s="28" t="s">
        <v>442</v>
      </c>
      <c r="C730" s="28">
        <v>503.96</v>
      </c>
      <c r="D730" s="28" t="s">
        <v>1902</v>
      </c>
      <c r="E730" s="28">
        <v>248.86</v>
      </c>
      <c r="F730" s="28">
        <v>147.5</v>
      </c>
      <c r="G730" s="28" t="s">
        <v>3068</v>
      </c>
      <c r="H730" s="28">
        <v>298.64999999999998</v>
      </c>
      <c r="I730" s="30">
        <f t="shared" si="78"/>
        <v>3.459585718917441E-3</v>
      </c>
      <c r="J730" s="30">
        <f t="shared" si="79"/>
        <v>3.5581920597905076E-3</v>
      </c>
      <c r="K730" s="30">
        <f t="shared" si="80"/>
        <v>9.862185013865923E-3</v>
      </c>
      <c r="L730" s="30">
        <f t="shared" si="81"/>
        <v>-1.3252628897595103E-2</v>
      </c>
      <c r="M730" s="30">
        <f t="shared" si="82"/>
        <v>-3.3892560907398137E-4</v>
      </c>
      <c r="N730" s="30">
        <f t="shared" si="83"/>
        <v>6.5452879404688077E-5</v>
      </c>
      <c r="O730" s="30">
        <f t="shared" si="84"/>
        <v>-5.5096558109696955E-3</v>
      </c>
    </row>
    <row r="731" spans="1:15" s="30" customFormat="1">
      <c r="A731" s="27">
        <v>45041</v>
      </c>
      <c r="B731" s="28" t="s">
        <v>721</v>
      </c>
      <c r="C731" s="28">
        <v>495.04</v>
      </c>
      <c r="D731" s="28" t="s">
        <v>1903</v>
      </c>
      <c r="E731" s="28">
        <v>249.39</v>
      </c>
      <c r="F731" s="28">
        <v>148.4</v>
      </c>
      <c r="G731" s="28" t="s">
        <v>3069</v>
      </c>
      <c r="H731" s="28">
        <v>289.10000000000002</v>
      </c>
      <c r="I731" s="30">
        <f t="shared" si="78"/>
        <v>-4.1322372849104949E-3</v>
      </c>
      <c r="J731" s="30">
        <f t="shared" si="79"/>
        <v>-1.7858332457727579E-2</v>
      </c>
      <c r="K731" s="30">
        <f t="shared" si="80"/>
        <v>3.4245866531400341E-3</v>
      </c>
      <c r="L731" s="30">
        <f t="shared" si="81"/>
        <v>2.1274468636211337E-3</v>
      </c>
      <c r="M731" s="30">
        <f t="shared" si="82"/>
        <v>6.0831549534056837E-3</v>
      </c>
      <c r="N731" s="30">
        <f t="shared" si="83"/>
        <v>-1.8998750050568142E-3</v>
      </c>
      <c r="O731" s="30">
        <f t="shared" si="84"/>
        <v>-3.2499670156014453E-2</v>
      </c>
    </row>
    <row r="732" spans="1:15" s="30" customFormat="1">
      <c r="A732" s="27">
        <v>45040</v>
      </c>
      <c r="B732" s="28" t="s">
        <v>722</v>
      </c>
      <c r="C732" s="28">
        <v>494.04</v>
      </c>
      <c r="D732" s="28" t="s">
        <v>1272</v>
      </c>
      <c r="E732" s="28">
        <v>253.51</v>
      </c>
      <c r="F732" s="28">
        <v>149.35</v>
      </c>
      <c r="G732" s="28" t="s">
        <v>3070</v>
      </c>
      <c r="H732" s="28">
        <v>291.17</v>
      </c>
      <c r="I732" s="30">
        <f t="shared" si="78"/>
        <v>-2.3837913552762504E-3</v>
      </c>
      <c r="J732" s="30">
        <f t="shared" si="79"/>
        <v>-2.0220818148876641E-3</v>
      </c>
      <c r="K732" s="30">
        <f t="shared" si="80"/>
        <v>-1.2990951465431673E-3</v>
      </c>
      <c r="L732" s="30">
        <f t="shared" si="81"/>
        <v>1.6385333773845597E-2</v>
      </c>
      <c r="M732" s="30">
        <f t="shared" si="82"/>
        <v>6.3812139288386624E-3</v>
      </c>
      <c r="N732" s="30">
        <f t="shared" si="83"/>
        <v>4.9495876462954886E-3</v>
      </c>
      <c r="O732" s="30">
        <f t="shared" si="84"/>
        <v>7.1346400150799627E-3</v>
      </c>
    </row>
    <row r="733" spans="1:15" s="30" customFormat="1">
      <c r="A733" s="27">
        <v>45037</v>
      </c>
      <c r="B733" s="28" t="s">
        <v>723</v>
      </c>
      <c r="C733" s="28">
        <v>487.17</v>
      </c>
      <c r="D733" s="28" t="s">
        <v>1904</v>
      </c>
      <c r="E733" s="28">
        <v>253.71</v>
      </c>
      <c r="F733" s="28">
        <v>148.65</v>
      </c>
      <c r="G733" s="28" t="s">
        <v>3071</v>
      </c>
      <c r="H733" s="28">
        <v>292.88</v>
      </c>
      <c r="I733" s="30">
        <f t="shared" si="78"/>
        <v>-3.1178574415489375E-3</v>
      </c>
      <c r="J733" s="30">
        <f t="shared" si="79"/>
        <v>-1.4003347424707723E-2</v>
      </c>
      <c r="K733" s="30">
        <f t="shared" si="80"/>
        <v>-6.1284555603975778E-3</v>
      </c>
      <c r="L733" s="30">
        <f t="shared" si="81"/>
        <v>7.8861247728865571E-4</v>
      </c>
      <c r="M733" s="30">
        <f t="shared" si="82"/>
        <v>-4.6979952180120493E-3</v>
      </c>
      <c r="N733" s="30">
        <f t="shared" si="83"/>
        <v>2.0424577423851652E-3</v>
      </c>
      <c r="O733" s="30">
        <f t="shared" si="84"/>
        <v>5.8556797746002875E-3</v>
      </c>
    </row>
    <row r="734" spans="1:15" s="30" customFormat="1">
      <c r="A734" s="27">
        <v>45036</v>
      </c>
      <c r="B734" s="28" t="s">
        <v>724</v>
      </c>
      <c r="C734" s="28">
        <v>480.67</v>
      </c>
      <c r="D734" s="28" t="s">
        <v>1474</v>
      </c>
      <c r="E734" s="28">
        <v>252.95</v>
      </c>
      <c r="F734" s="28">
        <v>149.30000000000001</v>
      </c>
      <c r="G734" s="28" t="s">
        <v>3072</v>
      </c>
      <c r="H734" s="28">
        <v>293.8</v>
      </c>
      <c r="I734" s="30">
        <f t="shared" si="78"/>
        <v>-1.3360427167645442E-2</v>
      </c>
      <c r="J734" s="30">
        <f t="shared" si="79"/>
        <v>-1.3432174179606841E-2</v>
      </c>
      <c r="K734" s="30">
        <f t="shared" si="80"/>
        <v>-9.5497484122831749E-3</v>
      </c>
      <c r="L734" s="30">
        <f t="shared" si="81"/>
        <v>-3.0000417242954888E-3</v>
      </c>
      <c r="M734" s="30">
        <f t="shared" si="82"/>
        <v>4.3631551010380777E-3</v>
      </c>
      <c r="N734" s="30">
        <f t="shared" si="83"/>
        <v>2.211574804840132E-3</v>
      </c>
      <c r="O734" s="30">
        <f t="shared" si="84"/>
        <v>3.1362949277961992E-3</v>
      </c>
    </row>
    <row r="735" spans="1:15" s="30" customFormat="1">
      <c r="A735" s="27">
        <v>45035</v>
      </c>
      <c r="B735" s="28" t="s">
        <v>725</v>
      </c>
      <c r="C735" s="28">
        <v>479.71</v>
      </c>
      <c r="D735" s="28" t="s">
        <v>1905</v>
      </c>
      <c r="E735" s="28">
        <v>254.24</v>
      </c>
      <c r="F735" s="28">
        <v>148.69999999999999</v>
      </c>
      <c r="G735" s="28" t="s">
        <v>3073</v>
      </c>
      <c r="H735" s="28">
        <v>299.58</v>
      </c>
      <c r="I735" s="30">
        <f t="shared" si="78"/>
        <v>-1.208105185362352E-2</v>
      </c>
      <c r="J735" s="30">
        <f t="shared" si="79"/>
        <v>-1.9992093124535149E-3</v>
      </c>
      <c r="K735" s="30">
        <f t="shared" si="80"/>
        <v>-6.1634749324257783E-2</v>
      </c>
      <c r="L735" s="30">
        <f t="shared" si="81"/>
        <v>5.0868620504607538E-3</v>
      </c>
      <c r="M735" s="30">
        <f t="shared" si="82"/>
        <v>-4.0268510790354914E-3</v>
      </c>
      <c r="N735" s="30">
        <f t="shared" si="83"/>
        <v>-1.1051760196548867E-3</v>
      </c>
      <c r="O735" s="30">
        <f t="shared" si="84"/>
        <v>1.9482230000795801E-2</v>
      </c>
    </row>
    <row r="736" spans="1:15" s="30" customFormat="1">
      <c r="A736" s="27">
        <v>45034</v>
      </c>
      <c r="B736" s="28" t="s">
        <v>726</v>
      </c>
      <c r="C736" s="28">
        <v>483.08</v>
      </c>
      <c r="D736" s="28" t="s">
        <v>1906</v>
      </c>
      <c r="E736" s="28">
        <v>252.21</v>
      </c>
      <c r="F736" s="28">
        <v>148.4</v>
      </c>
      <c r="G736" s="28" t="s">
        <v>3074</v>
      </c>
      <c r="H736" s="28">
        <v>302.7</v>
      </c>
      <c r="I736" s="30">
        <f t="shared" si="78"/>
        <v>1.5854012133134573E-2</v>
      </c>
      <c r="J736" s="30">
        <f t="shared" si="79"/>
        <v>7.0005167541289754E-3</v>
      </c>
      <c r="K736" s="30">
        <f t="shared" si="80"/>
        <v>4.1111947651202201E-3</v>
      </c>
      <c r="L736" s="30">
        <f t="shared" si="81"/>
        <v>-8.0166289730906736E-3</v>
      </c>
      <c r="M736" s="30">
        <f t="shared" si="82"/>
        <v>-2.0195227328291599E-3</v>
      </c>
      <c r="N736" s="30">
        <f t="shared" si="83"/>
        <v>-6.9406791637833132E-4</v>
      </c>
      <c r="O736" s="30">
        <f t="shared" si="84"/>
        <v>1.036072228710014E-2</v>
      </c>
    </row>
    <row r="737" spans="1:15" s="30" customFormat="1">
      <c r="A737" s="27">
        <v>45033</v>
      </c>
      <c r="B737" s="28" t="s">
        <v>727</v>
      </c>
      <c r="C737" s="28">
        <v>483.96</v>
      </c>
      <c r="D737" s="28" t="s">
        <v>1907</v>
      </c>
      <c r="E737" s="28">
        <v>252.28</v>
      </c>
      <c r="F737" s="28">
        <v>150</v>
      </c>
      <c r="G737" s="28" t="s">
        <v>3075</v>
      </c>
      <c r="H737" s="28">
        <v>303.13</v>
      </c>
      <c r="I737" s="30">
        <f t="shared" si="78"/>
        <v>-4.0367220514092514E-3</v>
      </c>
      <c r="J737" s="30">
        <f t="shared" si="79"/>
        <v>1.8199872661025418E-3</v>
      </c>
      <c r="K737" s="30">
        <f t="shared" si="80"/>
        <v>1.8631520597660219E-3</v>
      </c>
      <c r="L737" s="30">
        <f t="shared" si="81"/>
        <v>2.7750798013538211E-4</v>
      </c>
      <c r="M737" s="30">
        <f t="shared" si="82"/>
        <v>1.0723963362975642E-2</v>
      </c>
      <c r="N737" s="30">
        <f t="shared" si="83"/>
        <v>5.2059609427232314E-4</v>
      </c>
      <c r="O737" s="30">
        <f t="shared" si="84"/>
        <v>1.4195403733971159E-3</v>
      </c>
    </row>
    <row r="738" spans="1:15" s="30" customFormat="1">
      <c r="A738" s="27">
        <v>45029</v>
      </c>
      <c r="B738" s="28" t="s">
        <v>728</v>
      </c>
      <c r="C738" s="28">
        <v>482.17</v>
      </c>
      <c r="D738" s="28" t="s">
        <v>1908</v>
      </c>
      <c r="E738" s="28">
        <v>253.01</v>
      </c>
      <c r="F738" s="28">
        <v>148.69999999999999</v>
      </c>
      <c r="G738" s="28" t="s">
        <v>3076</v>
      </c>
      <c r="H738" s="28">
        <v>303.08</v>
      </c>
      <c r="I738" s="30">
        <f t="shared" si="78"/>
        <v>-1.1799494745882339E-2</v>
      </c>
      <c r="J738" s="30">
        <f t="shared" si="79"/>
        <v>-3.705509710240828E-3</v>
      </c>
      <c r="K738" s="30">
        <f t="shared" si="80"/>
        <v>7.6028366777288869E-3</v>
      </c>
      <c r="L738" s="30">
        <f t="shared" si="81"/>
        <v>2.8894318426498648E-3</v>
      </c>
      <c r="M738" s="30">
        <f t="shared" si="82"/>
        <v>-8.7044406301464063E-3</v>
      </c>
      <c r="N738" s="30">
        <f t="shared" si="83"/>
        <v>-7.8099580930397869E-4</v>
      </c>
      <c r="O738" s="30">
        <f t="shared" si="84"/>
        <v>-1.6495933789744814E-4</v>
      </c>
    </row>
    <row r="739" spans="1:15" s="30" customFormat="1">
      <c r="A739" s="27">
        <v>45028</v>
      </c>
      <c r="B739" s="28" t="s">
        <v>729</v>
      </c>
      <c r="C739" s="28">
        <v>486.58</v>
      </c>
      <c r="D739" s="28" t="s">
        <v>1909</v>
      </c>
      <c r="E739" s="28">
        <v>255.8</v>
      </c>
      <c r="F739" s="28">
        <v>147.15</v>
      </c>
      <c r="G739" s="28" t="s">
        <v>3077</v>
      </c>
      <c r="H739" s="28">
        <v>302.98</v>
      </c>
      <c r="I739" s="30">
        <f t="shared" si="78"/>
        <v>-8.219469128643582E-3</v>
      </c>
      <c r="J739" s="30">
        <f t="shared" si="79"/>
        <v>9.1045790209390871E-3</v>
      </c>
      <c r="K739" s="30">
        <f t="shared" si="80"/>
        <v>2.9513510009612984E-3</v>
      </c>
      <c r="L739" s="30">
        <f t="shared" si="81"/>
        <v>1.0966875506642108E-2</v>
      </c>
      <c r="M739" s="30">
        <f t="shared" si="82"/>
        <v>-1.0478378786627452E-2</v>
      </c>
      <c r="N739" s="30">
        <f t="shared" si="83"/>
        <v>-2.0655911351482623E-2</v>
      </c>
      <c r="O739" s="30">
        <f t="shared" si="84"/>
        <v>-3.3000033299500348E-4</v>
      </c>
    </row>
    <row r="740" spans="1:15" s="30" customFormat="1">
      <c r="A740" s="27">
        <v>45027</v>
      </c>
      <c r="B740" s="28" t="s">
        <v>730</v>
      </c>
      <c r="C740" s="28">
        <v>478.33</v>
      </c>
      <c r="D740" s="28" t="s">
        <v>1910</v>
      </c>
      <c r="E740" s="28">
        <v>256.06</v>
      </c>
      <c r="F740" s="28">
        <v>149.19999999999999</v>
      </c>
      <c r="G740" s="28" t="s">
        <v>3078</v>
      </c>
      <c r="H740" s="28">
        <v>301.7</v>
      </c>
      <c r="I740" s="30">
        <f t="shared" si="78"/>
        <v>-1.1894266259460778E-2</v>
      </c>
      <c r="J740" s="30">
        <f t="shared" si="79"/>
        <v>-1.7100457123759648E-2</v>
      </c>
      <c r="K740" s="30">
        <f t="shared" si="80"/>
        <v>-1.2930315709786113E-2</v>
      </c>
      <c r="L740" s="30">
        <f t="shared" si="81"/>
        <v>1.0159028732906459E-3</v>
      </c>
      <c r="M740" s="30">
        <f t="shared" si="82"/>
        <v>1.3835213090178475E-2</v>
      </c>
      <c r="N740" s="30">
        <f t="shared" si="83"/>
        <v>1.1301795721026041E-2</v>
      </c>
      <c r="O740" s="30">
        <f t="shared" si="84"/>
        <v>-4.233650565162235E-3</v>
      </c>
    </row>
    <row r="741" spans="1:15" s="30" customFormat="1">
      <c r="A741" s="27">
        <v>45026</v>
      </c>
      <c r="B741" s="28" t="s">
        <v>731</v>
      </c>
      <c r="C741" s="28">
        <v>496.04</v>
      </c>
      <c r="D741" s="28" t="s">
        <v>1911</v>
      </c>
      <c r="E741" s="28">
        <v>256.79000000000002</v>
      </c>
      <c r="F741" s="28">
        <v>148.9</v>
      </c>
      <c r="G741" s="28" t="s">
        <v>3079</v>
      </c>
      <c r="H741" s="28">
        <v>313.27</v>
      </c>
      <c r="I741" s="30">
        <f t="shared" si="78"/>
        <v>8.1553393605632539E-3</v>
      </c>
      <c r="J741" s="30">
        <f t="shared" si="79"/>
        <v>3.6355697774355995E-2</v>
      </c>
      <c r="K741" s="30">
        <f t="shared" si="80"/>
        <v>-5.1323925073911726E-4</v>
      </c>
      <c r="L741" s="30">
        <f t="shared" si="81"/>
        <v>2.8468382295913563E-3</v>
      </c>
      <c r="M741" s="30">
        <f t="shared" si="82"/>
        <v>-2.0127480796970098E-3</v>
      </c>
      <c r="N741" s="30">
        <f t="shared" si="83"/>
        <v>1.9259394905261156E-3</v>
      </c>
      <c r="O741" s="30">
        <f t="shared" si="84"/>
        <v>3.7632292340801551E-2</v>
      </c>
    </row>
    <row r="742" spans="1:15" s="30" customFormat="1">
      <c r="A742" s="27">
        <v>45022</v>
      </c>
      <c r="B742" s="28" t="s">
        <v>732</v>
      </c>
      <c r="C742" s="28">
        <v>497.67</v>
      </c>
      <c r="D742" s="28" t="s">
        <v>1912</v>
      </c>
      <c r="E742" s="28">
        <v>260.11</v>
      </c>
      <c r="F742" s="28">
        <v>147.5</v>
      </c>
      <c r="G742" s="28" t="s">
        <v>3080</v>
      </c>
      <c r="H742" s="28">
        <v>311.05</v>
      </c>
      <c r="I742" s="30">
        <f t="shared" si="78"/>
        <v>1.1993985749233277E-2</v>
      </c>
      <c r="J742" s="30">
        <f t="shared" si="79"/>
        <v>3.2806381377217799E-3</v>
      </c>
      <c r="K742" s="30">
        <f t="shared" si="80"/>
        <v>1.4272055422166722E-2</v>
      </c>
      <c r="L742" s="30">
        <f t="shared" si="81"/>
        <v>1.2845988219173658E-2</v>
      </c>
      <c r="M742" s="30">
        <f t="shared" si="82"/>
        <v>-9.4467639100887877E-3</v>
      </c>
      <c r="N742" s="30">
        <f t="shared" si="83"/>
        <v>-2.4501862024578634E-2</v>
      </c>
      <c r="O742" s="30">
        <f t="shared" si="84"/>
        <v>-7.1117675447881033E-3</v>
      </c>
    </row>
    <row r="743" spans="1:15" s="30" customFormat="1">
      <c r="A743" s="27">
        <v>45021</v>
      </c>
      <c r="B743" s="28" t="s">
        <v>733</v>
      </c>
      <c r="C743" s="28">
        <v>493.33</v>
      </c>
      <c r="D743" s="28" t="s">
        <v>1913</v>
      </c>
      <c r="E743" s="28">
        <v>258.79000000000002</v>
      </c>
      <c r="F743" s="28">
        <v>139.19999999999999</v>
      </c>
      <c r="G743" s="28" t="s">
        <v>3081</v>
      </c>
      <c r="H743" s="28">
        <v>322.48</v>
      </c>
      <c r="I743" s="30">
        <f t="shared" si="78"/>
        <v>-4.8056814758110962E-4</v>
      </c>
      <c r="J743" s="30">
        <f t="shared" si="79"/>
        <v>-8.7588854618260801E-3</v>
      </c>
      <c r="K743" s="30">
        <f t="shared" si="80"/>
        <v>-2.4734021315195663E-2</v>
      </c>
      <c r="L743" s="30">
        <f t="shared" si="81"/>
        <v>-5.0876964629440642E-3</v>
      </c>
      <c r="M743" s="30">
        <f t="shared" si="82"/>
        <v>-5.7916427879555366E-2</v>
      </c>
      <c r="N743" s="30">
        <f t="shared" si="83"/>
        <v>5.5638250045193923E-3</v>
      </c>
      <c r="O743" s="30">
        <f t="shared" si="84"/>
        <v>3.6087447847881475E-2</v>
      </c>
    </row>
    <row r="744" spans="1:15" s="30" customFormat="1">
      <c r="A744" s="27">
        <v>45019</v>
      </c>
      <c r="B744" s="28" t="s">
        <v>734</v>
      </c>
      <c r="C744" s="28">
        <v>483</v>
      </c>
      <c r="D744" s="28" t="s">
        <v>1914</v>
      </c>
      <c r="E744" s="28">
        <v>257.66000000000003</v>
      </c>
      <c r="F744" s="28">
        <v>135.05000000000001</v>
      </c>
      <c r="G744" s="28" t="s">
        <v>3082</v>
      </c>
      <c r="H744" s="28">
        <v>324.64999999999998</v>
      </c>
      <c r="I744" s="30">
        <f t="shared" si="78"/>
        <v>-1.1279324665687913E-2</v>
      </c>
      <c r="J744" s="30">
        <f t="shared" si="79"/>
        <v>-2.1161667657894612E-2</v>
      </c>
      <c r="K744" s="30">
        <f t="shared" si="80"/>
        <v>2.4964097654286972E-3</v>
      </c>
      <c r="L744" s="30">
        <f t="shared" si="81"/>
        <v>-4.3760356404751203E-3</v>
      </c>
      <c r="M744" s="30">
        <f t="shared" si="82"/>
        <v>-3.0266667661694509E-2</v>
      </c>
      <c r="N744" s="30">
        <f t="shared" si="83"/>
        <v>1.7055910099366332E-2</v>
      </c>
      <c r="O744" s="30">
        <f t="shared" si="84"/>
        <v>6.7065601455853921E-3</v>
      </c>
    </row>
    <row r="745" spans="1:15" s="30" customFormat="1">
      <c r="A745" s="27">
        <v>45016</v>
      </c>
      <c r="B745" s="28" t="s">
        <v>735</v>
      </c>
      <c r="C745" s="28">
        <v>484.75</v>
      </c>
      <c r="D745" s="28" t="s">
        <v>1915</v>
      </c>
      <c r="E745" s="28">
        <v>256.73</v>
      </c>
      <c r="F745" s="28">
        <v>136.05000000000001</v>
      </c>
      <c r="G745" s="28" t="s">
        <v>3083</v>
      </c>
      <c r="H745" s="28">
        <v>322.27</v>
      </c>
      <c r="I745" s="30">
        <f t="shared" si="78"/>
        <v>-5.5428811354741436E-3</v>
      </c>
      <c r="J745" s="30">
        <f t="shared" si="79"/>
        <v>3.6166404701885148E-3</v>
      </c>
      <c r="K745" s="30">
        <f t="shared" si="80"/>
        <v>-5.2638647733283611E-2</v>
      </c>
      <c r="L745" s="30">
        <f t="shared" si="81"/>
        <v>-3.6159373755808668E-3</v>
      </c>
      <c r="M745" s="30">
        <f t="shared" si="82"/>
        <v>7.3773849906306607E-3</v>
      </c>
      <c r="N745" s="30">
        <f t="shared" si="83"/>
        <v>7.8768912957750369E-3</v>
      </c>
      <c r="O745" s="30">
        <f t="shared" si="84"/>
        <v>-7.357975445859922E-3</v>
      </c>
    </row>
    <row r="746" spans="1:15" s="30" customFormat="1">
      <c r="A746" s="27">
        <v>45014</v>
      </c>
      <c r="B746" s="28" t="s">
        <v>736</v>
      </c>
      <c r="C746" s="28">
        <v>477.71</v>
      </c>
      <c r="D746" s="28" t="s">
        <v>1916</v>
      </c>
      <c r="E746" s="28">
        <v>254.01</v>
      </c>
      <c r="F746" s="28">
        <v>135.25</v>
      </c>
      <c r="G746" s="28" t="s">
        <v>3084</v>
      </c>
      <c r="H746" s="28">
        <v>321.89999999999998</v>
      </c>
      <c r="I746" s="30">
        <f t="shared" si="78"/>
        <v>3.1994821360789363E-3</v>
      </c>
      <c r="J746" s="30">
        <f t="shared" si="79"/>
        <v>-1.4629440305590597E-2</v>
      </c>
      <c r="K746" s="30">
        <f t="shared" si="80"/>
        <v>1.8329994481013569E-3</v>
      </c>
      <c r="L746" s="30">
        <f t="shared" si="81"/>
        <v>-1.0651312665502417E-2</v>
      </c>
      <c r="M746" s="30">
        <f t="shared" si="82"/>
        <v>-5.8975475026645215E-3</v>
      </c>
      <c r="N746" s="30">
        <f t="shared" si="83"/>
        <v>2.9947939049710876E-3</v>
      </c>
      <c r="O746" s="30">
        <f t="shared" si="84"/>
        <v>-1.1487652038733708E-3</v>
      </c>
    </row>
    <row r="747" spans="1:15" s="30" customFormat="1">
      <c r="A747" s="27">
        <v>45013</v>
      </c>
      <c r="B747" s="28" t="s">
        <v>737</v>
      </c>
      <c r="C747" s="28">
        <v>478.33</v>
      </c>
      <c r="D747" s="28" t="s">
        <v>1917</v>
      </c>
      <c r="E747" s="28">
        <v>256.02999999999997</v>
      </c>
      <c r="F747" s="28">
        <v>136.69999999999999</v>
      </c>
      <c r="G747" s="28" t="s">
        <v>3085</v>
      </c>
      <c r="H747" s="28">
        <v>320.75</v>
      </c>
      <c r="I747" s="30">
        <f t="shared" si="78"/>
        <v>5.0225580159375949E-3</v>
      </c>
      <c r="J747" s="30">
        <f t="shared" si="79"/>
        <v>1.2970170430450251E-3</v>
      </c>
      <c r="K747" s="30">
        <f t="shared" si="80"/>
        <v>-2.5820500446110773E-2</v>
      </c>
      <c r="L747" s="30">
        <f t="shared" si="81"/>
        <v>7.9209887913480881E-3</v>
      </c>
      <c r="M747" s="30">
        <f t="shared" si="82"/>
        <v>1.0663826003312801E-2</v>
      </c>
      <c r="N747" s="30">
        <f t="shared" si="83"/>
        <v>1.024013777107058E-2</v>
      </c>
      <c r="O747" s="30">
        <f t="shared" si="84"/>
        <v>-3.5789348090165527E-3</v>
      </c>
    </row>
    <row r="748" spans="1:15" s="30" customFormat="1">
      <c r="A748" s="27">
        <v>45012</v>
      </c>
      <c r="B748" s="28" t="s">
        <v>738</v>
      </c>
      <c r="C748" s="28">
        <v>480.67</v>
      </c>
      <c r="D748" s="28" t="s">
        <v>1918</v>
      </c>
      <c r="E748" s="28">
        <v>256.06</v>
      </c>
      <c r="F748" s="28">
        <v>139.9</v>
      </c>
      <c r="G748" s="28" t="s">
        <v>3086</v>
      </c>
      <c r="H748" s="28">
        <v>323.3</v>
      </c>
      <c r="I748" s="30">
        <f t="shared" si="78"/>
        <v>6.9074395110761706E-3</v>
      </c>
      <c r="J748" s="30">
        <f t="shared" si="79"/>
        <v>4.8800931052833648E-3</v>
      </c>
      <c r="K748" s="30">
        <f t="shared" si="80"/>
        <v>1.7570366677375791E-2</v>
      </c>
      <c r="L748" s="30">
        <f t="shared" si="81"/>
        <v>1.1716690438930087E-4</v>
      </c>
      <c r="M748" s="30">
        <f t="shared" si="82"/>
        <v>2.3139137941531811E-2</v>
      </c>
      <c r="N748" s="30">
        <f t="shared" si="83"/>
        <v>-6.0451742175441575E-3</v>
      </c>
      <c r="O748" s="30">
        <f t="shared" si="84"/>
        <v>7.9186812356416957E-3</v>
      </c>
    </row>
    <row r="749" spans="1:15" s="30" customFormat="1">
      <c r="A749" s="27">
        <v>45009</v>
      </c>
      <c r="B749" s="28" t="s">
        <v>739</v>
      </c>
      <c r="C749" s="28">
        <v>478.08</v>
      </c>
      <c r="D749" s="28" t="s">
        <v>1919</v>
      </c>
      <c r="E749" s="28">
        <v>255.13</v>
      </c>
      <c r="F749" s="28">
        <v>143.44999999999999</v>
      </c>
      <c r="G749" s="28" t="s">
        <v>3087</v>
      </c>
      <c r="H749" s="28">
        <v>321.33</v>
      </c>
      <c r="I749" s="30">
        <f t="shared" si="78"/>
        <v>-1.8742475030037889E-3</v>
      </c>
      <c r="J749" s="30">
        <f t="shared" si="79"/>
        <v>-5.4028814611013429E-3</v>
      </c>
      <c r="K749" s="30">
        <f t="shared" si="80"/>
        <v>1.4860586531874442E-2</v>
      </c>
      <c r="L749" s="30">
        <f t="shared" si="81"/>
        <v>-3.6385728439082914E-3</v>
      </c>
      <c r="M749" s="30">
        <f t="shared" si="82"/>
        <v>2.5058660755938284E-2</v>
      </c>
      <c r="N749" s="30">
        <f t="shared" si="83"/>
        <v>1.5098101362404779E-2</v>
      </c>
      <c r="O749" s="30">
        <f t="shared" si="84"/>
        <v>-6.1120522867395381E-3</v>
      </c>
    </row>
    <row r="750" spans="1:15" s="30" customFormat="1">
      <c r="A750" s="27">
        <v>45008</v>
      </c>
      <c r="B750" s="28" t="s">
        <v>740</v>
      </c>
      <c r="C750" s="28">
        <v>479.96</v>
      </c>
      <c r="D750" s="28" t="s">
        <v>1432</v>
      </c>
      <c r="E750" s="28">
        <v>255.33</v>
      </c>
      <c r="F750" s="28">
        <v>145.4</v>
      </c>
      <c r="G750" s="28" t="s">
        <v>3088</v>
      </c>
      <c r="H750" s="28">
        <v>326.02</v>
      </c>
      <c r="I750" s="30">
        <f t="shared" si="78"/>
        <v>-2.5016528908398624E-4</v>
      </c>
      <c r="J750" s="30">
        <f t="shared" si="79"/>
        <v>3.9246845917902872E-3</v>
      </c>
      <c r="K750" s="30">
        <f t="shared" si="80"/>
        <v>2.4383159516220384E-2</v>
      </c>
      <c r="L750" s="30">
        <f t="shared" si="81"/>
        <v>7.8360698285476215E-4</v>
      </c>
      <c r="M750" s="30">
        <f t="shared" si="82"/>
        <v>1.3502022672045368E-2</v>
      </c>
      <c r="N750" s="30">
        <f t="shared" si="83"/>
        <v>4.39011128936455E-3</v>
      </c>
      <c r="O750" s="30">
        <f t="shared" si="84"/>
        <v>1.4490096733495829E-2</v>
      </c>
    </row>
    <row r="751" spans="1:15" s="30" customFormat="1">
      <c r="A751" s="27">
        <v>45007</v>
      </c>
      <c r="B751" s="28" t="s">
        <v>741</v>
      </c>
      <c r="C751" s="28">
        <v>495.21</v>
      </c>
      <c r="D751" s="28" t="s">
        <v>1920</v>
      </c>
      <c r="E751" s="28">
        <v>255.23</v>
      </c>
      <c r="F751" s="28">
        <v>144.1</v>
      </c>
      <c r="G751" s="28" t="s">
        <v>3089</v>
      </c>
      <c r="H751" s="28">
        <v>316.95</v>
      </c>
      <c r="I751" s="30">
        <f t="shared" si="78"/>
        <v>1.4917839816651382E-2</v>
      </c>
      <c r="J751" s="30">
        <f t="shared" si="79"/>
        <v>3.1279147931371147E-2</v>
      </c>
      <c r="K751" s="30">
        <f t="shared" si="80"/>
        <v>2.7313911127946713E-3</v>
      </c>
      <c r="L751" s="30">
        <f t="shared" si="81"/>
        <v>-3.9172673644144782E-4</v>
      </c>
      <c r="M751" s="30">
        <f t="shared" si="82"/>
        <v>-8.9810620939426589E-3</v>
      </c>
      <c r="N751" s="30">
        <f t="shared" si="83"/>
        <v>-1.5396730136295909E-2</v>
      </c>
      <c r="O751" s="30">
        <f t="shared" si="84"/>
        <v>-2.8214696447968299E-2</v>
      </c>
    </row>
    <row r="752" spans="1:15" s="30" customFormat="1">
      <c r="A752" s="27">
        <v>45006</v>
      </c>
      <c r="B752" s="28" t="s">
        <v>742</v>
      </c>
      <c r="C752" s="28">
        <v>495.58</v>
      </c>
      <c r="D752" s="28" t="s">
        <v>1921</v>
      </c>
      <c r="E752" s="28">
        <v>257.19</v>
      </c>
      <c r="F752" s="28">
        <v>145.15</v>
      </c>
      <c r="G752" s="28" t="s">
        <v>3090</v>
      </c>
      <c r="H752" s="28">
        <v>316.10000000000002</v>
      </c>
      <c r="I752" s="30">
        <f t="shared" si="78"/>
        <v>-2.6413333604289474E-4</v>
      </c>
      <c r="J752" s="30">
        <f t="shared" si="79"/>
        <v>7.468787880371172E-4</v>
      </c>
      <c r="K752" s="30">
        <f t="shared" si="80"/>
        <v>-1.2449723883469468E-3</v>
      </c>
      <c r="L752" s="30">
        <f t="shared" si="81"/>
        <v>7.6500119382362196E-3</v>
      </c>
      <c r="M752" s="30">
        <f t="shared" si="82"/>
        <v>7.2601874651625018E-3</v>
      </c>
      <c r="N752" s="30">
        <f t="shared" si="83"/>
        <v>-1.8347944773060055E-2</v>
      </c>
      <c r="O752" s="30">
        <f t="shared" si="84"/>
        <v>-2.685413508603201E-3</v>
      </c>
    </row>
    <row r="753" spans="1:15" s="30" customFormat="1">
      <c r="A753" s="27">
        <v>45005</v>
      </c>
      <c r="B753" s="28" t="s">
        <v>743</v>
      </c>
      <c r="C753" s="28">
        <v>496.92</v>
      </c>
      <c r="D753" s="28" t="s">
        <v>1922</v>
      </c>
      <c r="E753" s="28">
        <v>262.47000000000003</v>
      </c>
      <c r="F753" s="28">
        <v>144.35</v>
      </c>
      <c r="G753" s="28" t="s">
        <v>3091</v>
      </c>
      <c r="H753" s="28">
        <v>313.88</v>
      </c>
      <c r="I753" s="30">
        <f t="shared" si="78"/>
        <v>5.6372805915791899E-3</v>
      </c>
      <c r="J753" s="30">
        <f t="shared" si="79"/>
        <v>2.7002535298796719E-3</v>
      </c>
      <c r="K753" s="30">
        <f t="shared" si="80"/>
        <v>-1.224465742118299E-2</v>
      </c>
      <c r="L753" s="30">
        <f t="shared" si="81"/>
        <v>2.0321678427508788E-2</v>
      </c>
      <c r="M753" s="30">
        <f t="shared" si="82"/>
        <v>-5.5267843616948979E-3</v>
      </c>
      <c r="N753" s="30">
        <f t="shared" si="83"/>
        <v>-9.0587897681864323E-3</v>
      </c>
      <c r="O753" s="30">
        <f t="shared" si="84"/>
        <v>-7.047871962299699E-3</v>
      </c>
    </row>
    <row r="754" spans="1:15" s="30" customFormat="1">
      <c r="A754" s="27">
        <v>45002</v>
      </c>
      <c r="B754" s="28" t="s">
        <v>744</v>
      </c>
      <c r="C754" s="28">
        <v>494.54</v>
      </c>
      <c r="D754" s="28" t="s">
        <v>1923</v>
      </c>
      <c r="E754" s="28">
        <v>264.95999999999998</v>
      </c>
      <c r="F754" s="28">
        <v>147.35</v>
      </c>
      <c r="G754" s="28" t="s">
        <v>3092</v>
      </c>
      <c r="H754" s="28">
        <v>304.77</v>
      </c>
      <c r="I754" s="30">
        <f t="shared" si="78"/>
        <v>2.6233881217786201E-3</v>
      </c>
      <c r="J754" s="30">
        <f t="shared" si="79"/>
        <v>-4.8010097664475115E-3</v>
      </c>
      <c r="K754" s="30">
        <f t="shared" si="80"/>
        <v>1.1381844598027616E-2</v>
      </c>
      <c r="L754" s="30">
        <f t="shared" si="81"/>
        <v>9.4420814106117544E-3</v>
      </c>
      <c r="M754" s="30">
        <f t="shared" si="82"/>
        <v>2.0569803074759637E-2</v>
      </c>
      <c r="N754" s="30">
        <f t="shared" si="83"/>
        <v>1.7754212475122842E-2</v>
      </c>
      <c r="O754" s="30">
        <f t="shared" si="84"/>
        <v>-2.9453353487709281E-2</v>
      </c>
    </row>
    <row r="755" spans="1:15" s="30" customFormat="1">
      <c r="A755" s="27">
        <v>45001</v>
      </c>
      <c r="B755" s="28" t="s">
        <v>745</v>
      </c>
      <c r="C755" s="28">
        <v>503.08</v>
      </c>
      <c r="D755" s="28" t="s">
        <v>1251</v>
      </c>
      <c r="E755" s="28">
        <v>263.39999999999998</v>
      </c>
      <c r="F755" s="28">
        <v>148.69999999999999</v>
      </c>
      <c r="G755" s="28" t="s">
        <v>3093</v>
      </c>
      <c r="H755" s="28">
        <v>306.35000000000002</v>
      </c>
      <c r="I755" s="30">
        <f t="shared" si="78"/>
        <v>1.0632668491890629E-2</v>
      </c>
      <c r="J755" s="30">
        <f t="shared" si="79"/>
        <v>1.7121165599925964E-2</v>
      </c>
      <c r="K755" s="30">
        <f t="shared" si="80"/>
        <v>1.1680426473158376E-2</v>
      </c>
      <c r="L755" s="30">
        <f t="shared" si="81"/>
        <v>-5.9050818877142029E-3</v>
      </c>
      <c r="M755" s="30">
        <f t="shared" si="82"/>
        <v>9.1201442824055644E-3</v>
      </c>
      <c r="N755" s="30">
        <f t="shared" si="83"/>
        <v>-4.7415100685419351E-3</v>
      </c>
      <c r="O755" s="30">
        <f t="shared" si="84"/>
        <v>5.1708454001004054E-3</v>
      </c>
    </row>
    <row r="756" spans="1:15" s="30" customFormat="1">
      <c r="A756" s="27">
        <v>45000</v>
      </c>
      <c r="B756" s="28" t="s">
        <v>746</v>
      </c>
      <c r="C756" s="28">
        <v>492.63</v>
      </c>
      <c r="D756" s="28" t="s">
        <v>1924</v>
      </c>
      <c r="E756" s="28">
        <v>261.27</v>
      </c>
      <c r="F756" s="28">
        <v>146.65</v>
      </c>
      <c r="G756" s="28" t="s">
        <v>3094</v>
      </c>
      <c r="H756" s="28">
        <v>304.60000000000002</v>
      </c>
      <c r="I756" s="30">
        <f t="shared" si="78"/>
        <v>-2.3022876295254974E-2</v>
      </c>
      <c r="J756" s="30">
        <f t="shared" si="79"/>
        <v>-2.0990818007099038E-2</v>
      </c>
      <c r="K756" s="30">
        <f t="shared" si="80"/>
        <v>1.1842449454889268E-3</v>
      </c>
      <c r="L756" s="30">
        <f t="shared" si="81"/>
        <v>-8.1194339364227125E-3</v>
      </c>
      <c r="M756" s="30">
        <f t="shared" si="82"/>
        <v>-1.3882058042649191E-2</v>
      </c>
      <c r="N756" s="30">
        <f t="shared" si="83"/>
        <v>1.1811886228983236E-2</v>
      </c>
      <c r="O756" s="30">
        <f t="shared" si="84"/>
        <v>-5.728798710602178E-3</v>
      </c>
    </row>
    <row r="757" spans="1:15" s="30" customFormat="1">
      <c r="A757" s="27">
        <v>44999</v>
      </c>
      <c r="B757" s="28" t="s">
        <v>747</v>
      </c>
      <c r="C757" s="28">
        <v>484.67</v>
      </c>
      <c r="D757" s="28" t="s">
        <v>1925</v>
      </c>
      <c r="E757" s="28">
        <v>262.57</v>
      </c>
      <c r="F757" s="28">
        <v>149.69999999999999</v>
      </c>
      <c r="G757" s="28" t="s">
        <v>219</v>
      </c>
      <c r="H757" s="28">
        <v>304.45</v>
      </c>
      <c r="I757" s="30">
        <f t="shared" si="78"/>
        <v>-2.9357931139289115E-2</v>
      </c>
      <c r="J757" s="30">
        <f t="shared" si="79"/>
        <v>-1.6290138191059018E-2</v>
      </c>
      <c r="K757" s="30">
        <f t="shared" si="80"/>
        <v>-4.3640825851513451E-2</v>
      </c>
      <c r="L757" s="30">
        <f t="shared" si="81"/>
        <v>4.9633577763513719E-3</v>
      </c>
      <c r="M757" s="30">
        <f t="shared" si="82"/>
        <v>2.0584496002122445E-2</v>
      </c>
      <c r="N757" s="30">
        <f t="shared" si="83"/>
        <v>-1.0853071598979943E-2</v>
      </c>
      <c r="O757" s="30">
        <f t="shared" si="84"/>
        <v>-4.9257040647845377E-4</v>
      </c>
    </row>
    <row r="758" spans="1:15" s="30" customFormat="1">
      <c r="A758" s="27">
        <v>44998</v>
      </c>
      <c r="B758" s="28" t="s">
        <v>748</v>
      </c>
      <c r="C758" s="28">
        <v>483.38</v>
      </c>
      <c r="D758" s="28" t="s">
        <v>1926</v>
      </c>
      <c r="E758" s="28">
        <v>267.41000000000003</v>
      </c>
      <c r="F758" s="28">
        <v>150.15</v>
      </c>
      <c r="G758" s="28" t="s">
        <v>3068</v>
      </c>
      <c r="H758" s="28">
        <v>304.10000000000002</v>
      </c>
      <c r="I758" s="30">
        <f t="shared" si="78"/>
        <v>1.3960948660823768E-2</v>
      </c>
      <c r="J758" s="30">
        <f t="shared" si="79"/>
        <v>-2.6651531709661587E-3</v>
      </c>
      <c r="K758" s="30">
        <f t="shared" si="80"/>
        <v>4.4409428557560708E-3</v>
      </c>
      <c r="L758" s="30">
        <f t="shared" si="81"/>
        <v>1.8265347977293404E-2</v>
      </c>
      <c r="M758" s="30">
        <f t="shared" si="82"/>
        <v>3.0015030037567796E-3</v>
      </c>
      <c r="N758" s="30">
        <f t="shared" si="83"/>
        <v>-1.6567122418595709E-3</v>
      </c>
      <c r="O758" s="30">
        <f t="shared" si="84"/>
        <v>-1.1502753712640129E-3</v>
      </c>
    </row>
    <row r="759" spans="1:15" s="30" customFormat="1">
      <c r="A759" s="27">
        <v>44995</v>
      </c>
      <c r="B759" s="28" t="s">
        <v>749</v>
      </c>
      <c r="C759" s="28">
        <v>490.92</v>
      </c>
      <c r="D759" s="28" t="s">
        <v>1927</v>
      </c>
      <c r="E759" s="28">
        <v>270.95999999999998</v>
      </c>
      <c r="F759" s="28">
        <v>152</v>
      </c>
      <c r="G759" s="28" t="s">
        <v>3095</v>
      </c>
      <c r="H759" s="28">
        <v>311.48</v>
      </c>
      <c r="I759" s="30">
        <f t="shared" si="78"/>
        <v>1.6386801563804152E-2</v>
      </c>
      <c r="J759" s="30">
        <f t="shared" si="79"/>
        <v>1.5478087919476925E-2</v>
      </c>
      <c r="K759" s="30">
        <f t="shared" si="80"/>
        <v>2.6143374254570619E-2</v>
      </c>
      <c r="L759" s="30">
        <f t="shared" si="81"/>
        <v>1.3188147383113571E-2</v>
      </c>
      <c r="M759" s="30">
        <f t="shared" si="82"/>
        <v>1.2245726416937022E-2</v>
      </c>
      <c r="N759" s="30">
        <f t="shared" si="83"/>
        <v>-4.7893545015870696E-3</v>
      </c>
      <c r="O759" s="30">
        <f t="shared" si="84"/>
        <v>2.3978536025466336E-2</v>
      </c>
    </row>
    <row r="760" spans="1:15" s="30" customFormat="1">
      <c r="A760" s="27">
        <v>44994</v>
      </c>
      <c r="B760" s="28" t="s">
        <v>750</v>
      </c>
      <c r="C760" s="28">
        <v>491.75</v>
      </c>
      <c r="D760" s="28" t="s">
        <v>1928</v>
      </c>
      <c r="E760" s="28">
        <v>271.52999999999997</v>
      </c>
      <c r="F760" s="28">
        <v>153.4</v>
      </c>
      <c r="G760" s="28" t="s">
        <v>3096</v>
      </c>
      <c r="H760" s="28">
        <v>314.38</v>
      </c>
      <c r="I760" s="30">
        <f t="shared" si="78"/>
        <v>8.2164526459622567E-3</v>
      </c>
      <c r="J760" s="30">
        <f t="shared" si="79"/>
        <v>1.6892755398609646E-3</v>
      </c>
      <c r="K760" s="30">
        <f t="shared" si="80"/>
        <v>7.8353083476145283E-3</v>
      </c>
      <c r="L760" s="30">
        <f t="shared" si="81"/>
        <v>2.1014219976728519E-3</v>
      </c>
      <c r="M760" s="30">
        <f t="shared" si="82"/>
        <v>9.1683680868795067E-3</v>
      </c>
      <c r="N760" s="30">
        <f t="shared" si="83"/>
        <v>-6.7968367241475992E-3</v>
      </c>
      <c r="O760" s="30">
        <f t="shared" si="84"/>
        <v>9.2673145913065528E-3</v>
      </c>
    </row>
    <row r="761" spans="1:15" s="30" customFormat="1">
      <c r="A761" s="27">
        <v>44993</v>
      </c>
      <c r="B761" s="28" t="s">
        <v>513</v>
      </c>
      <c r="C761" s="28">
        <v>489.54</v>
      </c>
      <c r="D761" s="28" t="s">
        <v>1929</v>
      </c>
      <c r="E761" s="28">
        <v>271.26</v>
      </c>
      <c r="F761" s="28">
        <v>154.6</v>
      </c>
      <c r="G761" s="28" t="s">
        <v>3097</v>
      </c>
      <c r="H761" s="28">
        <v>317.39999999999998</v>
      </c>
      <c r="I761" s="30">
        <f t="shared" si="78"/>
        <v>2.100436612667908E-3</v>
      </c>
      <c r="J761" s="30">
        <f t="shared" si="79"/>
        <v>-4.5042826004045838E-3</v>
      </c>
      <c r="K761" s="30">
        <f t="shared" si="80"/>
        <v>-2.7162922655605474E-3</v>
      </c>
      <c r="L761" s="30">
        <f t="shared" si="81"/>
        <v>-9.9485997262024266E-4</v>
      </c>
      <c r="M761" s="30">
        <f t="shared" si="82"/>
        <v>7.7922472201656014E-3</v>
      </c>
      <c r="N761" s="30">
        <f t="shared" si="83"/>
        <v>-9.7160277925591339E-4</v>
      </c>
      <c r="O761" s="30">
        <f t="shared" si="84"/>
        <v>9.5603627922166909E-3</v>
      </c>
    </row>
    <row r="762" spans="1:15" s="30" customFormat="1">
      <c r="A762" s="27">
        <v>44991</v>
      </c>
      <c r="B762" s="28" t="s">
        <v>751</v>
      </c>
      <c r="C762" s="28">
        <v>488.58</v>
      </c>
      <c r="D762" s="28" t="s">
        <v>1930</v>
      </c>
      <c r="E762" s="28">
        <v>275.83999999999997</v>
      </c>
      <c r="F762" s="28">
        <v>148.19999999999999</v>
      </c>
      <c r="G762" s="28" t="s">
        <v>3098</v>
      </c>
      <c r="H762" s="28">
        <v>311.75</v>
      </c>
      <c r="I762" s="30">
        <f t="shared" si="78"/>
        <v>1.7469999726315798E-3</v>
      </c>
      <c r="J762" s="30">
        <f t="shared" si="79"/>
        <v>-1.9629499616689683E-3</v>
      </c>
      <c r="K762" s="30">
        <f t="shared" si="80"/>
        <v>3.7151745518633778E-3</v>
      </c>
      <c r="L762" s="30">
        <f t="shared" si="81"/>
        <v>1.6743216940759375E-2</v>
      </c>
      <c r="M762" s="30">
        <f t="shared" si="82"/>
        <v>-4.227842329133507E-2</v>
      </c>
      <c r="N762" s="30">
        <f t="shared" si="83"/>
        <v>-1.1755821559651982E-2</v>
      </c>
      <c r="O762" s="30">
        <f t="shared" si="84"/>
        <v>-1.7961223532162795E-2</v>
      </c>
    </row>
    <row r="763" spans="1:15" s="30" customFormat="1">
      <c r="A763" s="27">
        <v>44988</v>
      </c>
      <c r="B763" s="28" t="s">
        <v>752</v>
      </c>
      <c r="C763" s="28">
        <v>483.96</v>
      </c>
      <c r="D763" s="28" t="s">
        <v>1931</v>
      </c>
      <c r="E763" s="28">
        <v>272.52</v>
      </c>
      <c r="F763" s="28">
        <v>149.05000000000001</v>
      </c>
      <c r="G763" s="28" t="s">
        <v>3099</v>
      </c>
      <c r="H763" s="28">
        <v>306.75</v>
      </c>
      <c r="I763" s="30">
        <f t="shared" si="78"/>
        <v>-1.2541001123048937E-2</v>
      </c>
      <c r="J763" s="30">
        <f t="shared" si="79"/>
        <v>-9.5009660338179029E-3</v>
      </c>
      <c r="K763" s="30">
        <f t="shared" si="80"/>
        <v>2.6090068428879187E-2</v>
      </c>
      <c r="L763" s="30">
        <f t="shared" si="81"/>
        <v>-1.210898156986083E-2</v>
      </c>
      <c r="M763" s="30">
        <f t="shared" si="82"/>
        <v>5.7191072620941851E-3</v>
      </c>
      <c r="N763" s="30">
        <f t="shared" si="83"/>
        <v>-2.3476743140109609E-2</v>
      </c>
      <c r="O763" s="30">
        <f t="shared" si="84"/>
        <v>-1.6168500969125071E-2</v>
      </c>
    </row>
    <row r="764" spans="1:15" s="30" customFormat="1">
      <c r="A764" s="27">
        <v>44987</v>
      </c>
      <c r="B764" s="28" t="s">
        <v>753</v>
      </c>
      <c r="C764" s="28">
        <v>485.63</v>
      </c>
      <c r="D764" s="28" t="s">
        <v>1932</v>
      </c>
      <c r="E764" s="28">
        <v>271.06</v>
      </c>
      <c r="F764" s="28">
        <v>145.85</v>
      </c>
      <c r="G764" s="28" t="s">
        <v>3100</v>
      </c>
      <c r="H764" s="28">
        <v>305</v>
      </c>
      <c r="I764" s="30">
        <f t="shared" si="78"/>
        <v>1.7835861864805862E-3</v>
      </c>
      <c r="J764" s="30">
        <f t="shared" si="79"/>
        <v>3.4447584059272285E-3</v>
      </c>
      <c r="K764" s="30">
        <f t="shared" si="80"/>
        <v>-8.1711538025612512E-2</v>
      </c>
      <c r="L764" s="30">
        <f t="shared" si="81"/>
        <v>-5.3718073175974572E-3</v>
      </c>
      <c r="M764" s="30">
        <f t="shared" si="82"/>
        <v>-2.170312381035009E-2</v>
      </c>
      <c r="N764" s="30">
        <f t="shared" si="83"/>
        <v>-1.5056601521303862E-2</v>
      </c>
      <c r="O764" s="30">
        <f t="shared" si="84"/>
        <v>-5.7213069836091653E-3</v>
      </c>
    </row>
    <row r="765" spans="1:15" s="30" customFormat="1">
      <c r="A765" s="27">
        <v>44986</v>
      </c>
      <c r="B765" s="28" t="s">
        <v>754</v>
      </c>
      <c r="C765" s="28">
        <v>483.92</v>
      </c>
      <c r="D765" s="28" t="s">
        <v>1933</v>
      </c>
      <c r="E765" s="28">
        <v>271.16000000000003</v>
      </c>
      <c r="F765" s="28">
        <v>148</v>
      </c>
      <c r="G765" s="28" t="s">
        <v>3101</v>
      </c>
      <c r="H765" s="28">
        <v>304.5</v>
      </c>
      <c r="I765" s="30">
        <f t="shared" si="78"/>
        <v>2.467048548092612E-3</v>
      </c>
      <c r="J765" s="30">
        <f t="shared" si="79"/>
        <v>-3.5274132805455491E-3</v>
      </c>
      <c r="K765" s="30">
        <f t="shared" si="80"/>
        <v>5.0260096007375034E-5</v>
      </c>
      <c r="L765" s="30">
        <f t="shared" si="81"/>
        <v>3.6885397489511818E-4</v>
      </c>
      <c r="M765" s="30">
        <f t="shared" si="82"/>
        <v>1.4633577450384695E-2</v>
      </c>
      <c r="N765" s="30">
        <f t="shared" si="83"/>
        <v>-3.2810947792377004E-3</v>
      </c>
      <c r="O765" s="30">
        <f t="shared" si="84"/>
        <v>-1.6406894574598886E-3</v>
      </c>
    </row>
    <row r="766" spans="1:15" s="30" customFormat="1">
      <c r="A766" s="27">
        <v>44985</v>
      </c>
      <c r="B766" s="28" t="s">
        <v>755</v>
      </c>
      <c r="C766" s="28">
        <v>483</v>
      </c>
      <c r="D766" s="28" t="s">
        <v>1934</v>
      </c>
      <c r="E766" s="28">
        <v>267.27999999999997</v>
      </c>
      <c r="F766" s="28">
        <v>148.15</v>
      </c>
      <c r="G766" s="28" t="s">
        <v>3102</v>
      </c>
      <c r="H766" s="28">
        <v>310.60000000000002</v>
      </c>
      <c r="I766" s="30">
        <f t="shared" si="78"/>
        <v>-4.2683099177326499E-3</v>
      </c>
      <c r="J766" s="30">
        <f t="shared" si="79"/>
        <v>-1.9029501460861868E-3</v>
      </c>
      <c r="K766" s="30">
        <f t="shared" si="80"/>
        <v>3.461860317122496E-3</v>
      </c>
      <c r="L766" s="30">
        <f t="shared" si="81"/>
        <v>-1.4412254514264016E-2</v>
      </c>
      <c r="M766" s="30">
        <f t="shared" si="82"/>
        <v>1.0130002554593128E-3</v>
      </c>
      <c r="N766" s="30">
        <f t="shared" si="83"/>
        <v>2.4676425595598662E-3</v>
      </c>
      <c r="O766" s="30">
        <f t="shared" si="84"/>
        <v>1.9834823564634979E-2</v>
      </c>
    </row>
    <row r="767" spans="1:15" s="30" customFormat="1">
      <c r="A767" s="27">
        <v>44984</v>
      </c>
      <c r="B767" s="28" t="s">
        <v>756</v>
      </c>
      <c r="C767" s="28">
        <v>464.13</v>
      </c>
      <c r="D767" s="28" t="s">
        <v>1935</v>
      </c>
      <c r="E767" s="28">
        <v>274.42</v>
      </c>
      <c r="F767" s="28">
        <v>147.30000000000001</v>
      </c>
      <c r="G767" s="28" t="s">
        <v>3103</v>
      </c>
      <c r="H767" s="28">
        <v>304.3</v>
      </c>
      <c r="I767" s="30">
        <f t="shared" si="78"/>
        <v>-2.8288046080244052E-2</v>
      </c>
      <c r="J767" s="30">
        <f t="shared" si="79"/>
        <v>-3.9851968253485685E-2</v>
      </c>
      <c r="K767" s="30">
        <f t="shared" si="80"/>
        <v>2.90072721523962E-3</v>
      </c>
      <c r="L767" s="30">
        <f t="shared" si="81"/>
        <v>2.6362981444528168E-2</v>
      </c>
      <c r="M767" s="30">
        <f t="shared" si="82"/>
        <v>-5.7539505509895941E-3</v>
      </c>
      <c r="N767" s="30">
        <f t="shared" si="83"/>
        <v>-2.2345857858750815E-3</v>
      </c>
      <c r="O767" s="30">
        <f t="shared" si="84"/>
        <v>-2.0491853811661322E-2</v>
      </c>
    </row>
    <row r="768" spans="1:15" s="30" customFormat="1">
      <c r="A768" s="27">
        <v>44981</v>
      </c>
      <c r="B768" s="28" t="s">
        <v>757</v>
      </c>
      <c r="C768" s="28">
        <v>465.04</v>
      </c>
      <c r="D768" s="28" t="s">
        <v>1919</v>
      </c>
      <c r="E768" s="28">
        <v>278.23</v>
      </c>
      <c r="F768" s="28">
        <v>152.25</v>
      </c>
      <c r="G768" s="28" t="s">
        <v>3104</v>
      </c>
      <c r="H768" s="28">
        <v>313.95</v>
      </c>
      <c r="I768" s="30">
        <f t="shared" si="78"/>
        <v>-4.1542221393043475E-3</v>
      </c>
      <c r="J768" s="30">
        <f t="shared" si="79"/>
        <v>1.9587379940081378E-3</v>
      </c>
      <c r="K768" s="30">
        <f t="shared" si="80"/>
        <v>1.555950323947259E-2</v>
      </c>
      <c r="L768" s="30">
        <f t="shared" si="81"/>
        <v>1.3788330271564867E-2</v>
      </c>
      <c r="M768" s="30">
        <f t="shared" si="82"/>
        <v>3.305258312142164E-2</v>
      </c>
      <c r="N768" s="30">
        <f t="shared" si="83"/>
        <v>2.2466123862654747E-2</v>
      </c>
      <c r="O768" s="30">
        <f t="shared" si="84"/>
        <v>3.1219680657192932E-2</v>
      </c>
    </row>
    <row r="769" spans="1:15" s="30" customFormat="1">
      <c r="A769" s="27">
        <v>44980</v>
      </c>
      <c r="B769" s="28" t="s">
        <v>758</v>
      </c>
      <c r="C769" s="28">
        <v>467.21</v>
      </c>
      <c r="D769" s="28" t="s">
        <v>1936</v>
      </c>
      <c r="E769" s="28">
        <v>274.85000000000002</v>
      </c>
      <c r="F769" s="28">
        <v>149.15</v>
      </c>
      <c r="G769" s="28" t="s">
        <v>3105</v>
      </c>
      <c r="H769" s="28">
        <v>309.55</v>
      </c>
      <c r="I769" s="30">
        <f t="shared" si="78"/>
        <v>-1.1957273121254851E-2</v>
      </c>
      <c r="J769" s="30">
        <f t="shared" si="79"/>
        <v>4.6554120014464604E-3</v>
      </c>
      <c r="K769" s="30">
        <f t="shared" si="80"/>
        <v>1.5224262038096133E-2</v>
      </c>
      <c r="L769" s="30">
        <f t="shared" si="81"/>
        <v>-1.2222615457924574E-2</v>
      </c>
      <c r="M769" s="30">
        <f t="shared" si="82"/>
        <v>-2.0571395629248788E-2</v>
      </c>
      <c r="N769" s="30">
        <f t="shared" si="83"/>
        <v>-5.1398726534874102E-3</v>
      </c>
      <c r="O769" s="30">
        <f t="shared" si="84"/>
        <v>-1.4114107594877259E-2</v>
      </c>
    </row>
    <row r="770" spans="1:15" s="30" customFormat="1">
      <c r="A770" s="27">
        <v>44979</v>
      </c>
      <c r="B770" s="28" t="s">
        <v>759</v>
      </c>
      <c r="C770" s="28">
        <v>472.13</v>
      </c>
      <c r="D770" s="28" t="s">
        <v>1937</v>
      </c>
      <c r="E770" s="28">
        <v>276.54000000000002</v>
      </c>
      <c r="F770" s="28">
        <v>149.55000000000001</v>
      </c>
      <c r="G770" s="28" t="s">
        <v>3106</v>
      </c>
      <c r="H770" s="28">
        <v>312.73</v>
      </c>
      <c r="I770" s="30">
        <f t="shared" si="78"/>
        <v>3.2718889401726008E-2</v>
      </c>
      <c r="J770" s="30">
        <f t="shared" si="79"/>
        <v>1.0475535997675157E-2</v>
      </c>
      <c r="K770" s="30">
        <f t="shared" si="80"/>
        <v>-7.7511872885761032E-4</v>
      </c>
      <c r="L770" s="30">
        <f t="shared" si="81"/>
        <v>6.1299816538025109E-3</v>
      </c>
      <c r="M770" s="30">
        <f t="shared" si="82"/>
        <v>2.6782741151995617E-3</v>
      </c>
      <c r="N770" s="30">
        <f t="shared" si="83"/>
        <v>-5.6960580291516042E-3</v>
      </c>
      <c r="O770" s="30">
        <f t="shared" si="84"/>
        <v>1.022056849603787E-2</v>
      </c>
    </row>
    <row r="771" spans="1:15" s="30" customFormat="1">
      <c r="A771" s="27">
        <v>44978</v>
      </c>
      <c r="B771" s="28" t="s">
        <v>760</v>
      </c>
      <c r="C771" s="28">
        <v>475.5</v>
      </c>
      <c r="D771" s="28" t="s">
        <v>1406</v>
      </c>
      <c r="E771" s="28">
        <v>274.35000000000002</v>
      </c>
      <c r="F771" s="28">
        <v>149.65</v>
      </c>
      <c r="G771" s="28" t="s">
        <v>3107</v>
      </c>
      <c r="H771" s="28">
        <v>313.7</v>
      </c>
      <c r="I771" s="30">
        <f t="shared" si="78"/>
        <v>7.5360454996029362E-3</v>
      </c>
      <c r="J771" s="30">
        <f t="shared" si="79"/>
        <v>7.1125105932282797E-3</v>
      </c>
      <c r="K771" s="30">
        <f t="shared" si="80"/>
        <v>2.4179474955364787E-2</v>
      </c>
      <c r="L771" s="30">
        <f t="shared" si="81"/>
        <v>-7.9508124554874497E-3</v>
      </c>
      <c r="M771" s="30">
        <f t="shared" si="82"/>
        <v>6.6844922275078808E-4</v>
      </c>
      <c r="N771" s="30">
        <f t="shared" si="83"/>
        <v>1.1970259940864729E-3</v>
      </c>
      <c r="O771" s="30">
        <f t="shared" si="84"/>
        <v>3.0969167353533059E-3</v>
      </c>
    </row>
    <row r="772" spans="1:15" s="30" customFormat="1">
      <c r="A772" s="27">
        <v>44977</v>
      </c>
      <c r="B772" s="28" t="s">
        <v>761</v>
      </c>
      <c r="C772" s="28">
        <v>475.33</v>
      </c>
      <c r="D772" s="28" t="s">
        <v>1938</v>
      </c>
      <c r="E772" s="28">
        <v>272.86</v>
      </c>
      <c r="F772" s="28">
        <v>149.69999999999999</v>
      </c>
      <c r="G772" s="28" t="s">
        <v>3108</v>
      </c>
      <c r="H772" s="28">
        <v>319.67</v>
      </c>
      <c r="I772" s="30">
        <f t="shared" ref="I772:I835" si="85">LN(B772/B771)</f>
        <v>2.9950488924879049E-3</v>
      </c>
      <c r="J772" s="30">
        <f t="shared" ref="J772:J835" si="86">LN(C772/C771)</f>
        <v>-3.5758232662297488E-4</v>
      </c>
      <c r="K772" s="30">
        <f t="shared" ref="K772:K835" si="87">LN(D772/D771)</f>
        <v>-8.8378414265779422E-3</v>
      </c>
      <c r="L772" s="30">
        <f t="shared" ref="L772:L835" si="88">LN(E772/E771)</f>
        <v>-5.4458203702563669E-3</v>
      </c>
      <c r="M772" s="30">
        <f t="shared" ref="M772:M835" si="89">LN(F772/F771)</f>
        <v>3.3405712687471821E-4</v>
      </c>
      <c r="N772" s="30">
        <f t="shared" ref="N772:N835" si="90">LN(G772/G771)</f>
        <v>1.4684484610153413E-2</v>
      </c>
      <c r="O772" s="30">
        <f t="shared" ref="O772:O835" si="91">LN(H772/H771)</f>
        <v>1.8852098493005627E-2</v>
      </c>
    </row>
    <row r="773" spans="1:15" s="30" customFormat="1">
      <c r="A773" s="27">
        <v>44974</v>
      </c>
      <c r="B773" s="28" t="s">
        <v>762</v>
      </c>
      <c r="C773" s="28">
        <v>474.13</v>
      </c>
      <c r="D773" s="28" t="s">
        <v>1939</v>
      </c>
      <c r="E773" s="28">
        <v>275.20999999999998</v>
      </c>
      <c r="F773" s="28">
        <v>148.5</v>
      </c>
      <c r="G773" s="28" t="s">
        <v>3109</v>
      </c>
      <c r="H773" s="28">
        <v>323.45</v>
      </c>
      <c r="I773" s="30">
        <f t="shared" si="85"/>
        <v>2.8449521322311232E-3</v>
      </c>
      <c r="J773" s="30">
        <f t="shared" si="86"/>
        <v>-2.5277539632084464E-3</v>
      </c>
      <c r="K773" s="30">
        <f t="shared" si="87"/>
        <v>3.10594186740028E-2</v>
      </c>
      <c r="L773" s="30">
        <f t="shared" si="88"/>
        <v>8.5755994735824473E-3</v>
      </c>
      <c r="M773" s="30">
        <f t="shared" si="89"/>
        <v>-8.0483331828282607E-3</v>
      </c>
      <c r="N773" s="30">
        <f t="shared" si="90"/>
        <v>-1.263904763303381E-2</v>
      </c>
      <c r="O773" s="30">
        <f t="shared" si="91"/>
        <v>1.1755328800356492E-2</v>
      </c>
    </row>
    <row r="774" spans="1:15" s="30" customFormat="1">
      <c r="A774" s="27">
        <v>44973</v>
      </c>
      <c r="B774" s="28" t="s">
        <v>763</v>
      </c>
      <c r="C774" s="28">
        <v>468.58</v>
      </c>
      <c r="D774" s="28" t="s">
        <v>1940</v>
      </c>
      <c r="E774" s="28">
        <v>274.27999999999997</v>
      </c>
      <c r="F774" s="28">
        <v>149</v>
      </c>
      <c r="G774" s="28" t="s">
        <v>3110</v>
      </c>
      <c r="H774" s="28">
        <v>320.77</v>
      </c>
      <c r="I774" s="30">
        <f t="shared" si="85"/>
        <v>-9.8058254842952018E-3</v>
      </c>
      <c r="J774" s="30">
        <f t="shared" si="86"/>
        <v>-1.1774700857119885E-2</v>
      </c>
      <c r="K774" s="30">
        <f t="shared" si="87"/>
        <v>2.1738494173715688E-2</v>
      </c>
      <c r="L774" s="30">
        <f t="shared" si="88"/>
        <v>-3.3849601921468694E-3</v>
      </c>
      <c r="M774" s="30">
        <f t="shared" si="89"/>
        <v>3.3613477027049274E-3</v>
      </c>
      <c r="N774" s="30">
        <f t="shared" si="90"/>
        <v>1.9954363895871496E-3</v>
      </c>
      <c r="O774" s="30">
        <f t="shared" si="91"/>
        <v>-8.3201870800246967E-3</v>
      </c>
    </row>
    <row r="775" spans="1:15" s="30" customFormat="1">
      <c r="A775" s="27">
        <v>44972</v>
      </c>
      <c r="B775" s="28" t="s">
        <v>764</v>
      </c>
      <c r="C775" s="28">
        <v>465.54</v>
      </c>
      <c r="D775" s="28" t="s">
        <v>1941</v>
      </c>
      <c r="E775" s="28">
        <v>275.38</v>
      </c>
      <c r="F775" s="28">
        <v>151.15</v>
      </c>
      <c r="G775" s="28" t="s">
        <v>3111</v>
      </c>
      <c r="H775" s="28">
        <v>320.60000000000002</v>
      </c>
      <c r="I775" s="30">
        <f t="shared" si="85"/>
        <v>-7.0814480221475145E-3</v>
      </c>
      <c r="J775" s="30">
        <f t="shared" si="86"/>
        <v>-6.508822704580931E-3</v>
      </c>
      <c r="K775" s="30">
        <f t="shared" si="87"/>
        <v>-2.1460934843627311E-2</v>
      </c>
      <c r="L775" s="30">
        <f t="shared" si="88"/>
        <v>4.002479600062777E-3</v>
      </c>
      <c r="M775" s="30">
        <f t="shared" si="89"/>
        <v>1.4326415280008045E-2</v>
      </c>
      <c r="N775" s="30">
        <f t="shared" si="90"/>
        <v>-1.3298484098623344E-3</v>
      </c>
      <c r="O775" s="30">
        <f t="shared" si="91"/>
        <v>-5.3011523451708777E-4</v>
      </c>
    </row>
    <row r="776" spans="1:15" s="30" customFormat="1">
      <c r="A776" s="27">
        <v>44971</v>
      </c>
      <c r="B776" s="28" t="s">
        <v>734</v>
      </c>
      <c r="C776" s="28">
        <v>461.83</v>
      </c>
      <c r="D776" s="28" t="s">
        <v>1942</v>
      </c>
      <c r="E776" s="28">
        <v>274.61</v>
      </c>
      <c r="F776" s="28">
        <v>149.9</v>
      </c>
      <c r="G776" s="28" t="s">
        <v>3112</v>
      </c>
      <c r="H776" s="28">
        <v>320.98</v>
      </c>
      <c r="I776" s="30">
        <f t="shared" si="85"/>
        <v>-3.2895062153268369E-3</v>
      </c>
      <c r="J776" s="30">
        <f t="shared" si="86"/>
        <v>-8.0011641360073597E-3</v>
      </c>
      <c r="K776" s="30">
        <f t="shared" si="87"/>
        <v>-9.2470629403831849E-3</v>
      </c>
      <c r="L776" s="30">
        <f t="shared" si="88"/>
        <v>-2.8000527394517671E-3</v>
      </c>
      <c r="M776" s="30">
        <f t="shared" si="89"/>
        <v>-8.3043161169150271E-3</v>
      </c>
      <c r="N776" s="30">
        <f t="shared" si="90"/>
        <v>1.4673180521993781E-3</v>
      </c>
      <c r="O776" s="30">
        <f t="shared" si="91"/>
        <v>1.1845757175575821E-3</v>
      </c>
    </row>
    <row r="777" spans="1:15" s="30" customFormat="1">
      <c r="A777" s="27">
        <v>44970</v>
      </c>
      <c r="B777" s="28" t="s">
        <v>765</v>
      </c>
      <c r="C777" s="28">
        <v>465.54</v>
      </c>
      <c r="D777" s="28" t="s">
        <v>1943</v>
      </c>
      <c r="E777" s="28">
        <v>275.08</v>
      </c>
      <c r="F777" s="28">
        <v>146.65</v>
      </c>
      <c r="G777" s="28" t="s">
        <v>3113</v>
      </c>
      <c r="H777" s="28">
        <v>320.42</v>
      </c>
      <c r="I777" s="30">
        <f t="shared" si="85"/>
        <v>4.9391685880420342E-3</v>
      </c>
      <c r="J777" s="30">
        <f t="shared" si="86"/>
        <v>8.0011641360074048E-3</v>
      </c>
      <c r="K777" s="30">
        <f t="shared" si="87"/>
        <v>4.433200294247322E-2</v>
      </c>
      <c r="L777" s="30">
        <f t="shared" si="88"/>
        <v>1.7100551748608173E-3</v>
      </c>
      <c r="M777" s="30">
        <f t="shared" si="89"/>
        <v>-2.1919609685091972E-2</v>
      </c>
      <c r="N777" s="30">
        <f t="shared" si="90"/>
        <v>3.7413594521034023E-2</v>
      </c>
      <c r="O777" s="30">
        <f t="shared" si="91"/>
        <v>-1.7461806744418949E-3</v>
      </c>
    </row>
    <row r="778" spans="1:15" s="30" customFormat="1">
      <c r="A778" s="27">
        <v>44967</v>
      </c>
      <c r="B778" s="28" t="s">
        <v>766</v>
      </c>
      <c r="C778" s="28">
        <v>476.33</v>
      </c>
      <c r="D778" s="28" t="s">
        <v>1944</v>
      </c>
      <c r="E778" s="28">
        <v>278.5</v>
      </c>
      <c r="F778" s="28">
        <v>145.25</v>
      </c>
      <c r="G778" s="28" t="s">
        <v>3114</v>
      </c>
      <c r="H778" s="28">
        <v>323.67</v>
      </c>
      <c r="I778" s="30">
        <f t="shared" si="85"/>
        <v>4.9505493977087377E-3</v>
      </c>
      <c r="J778" s="30">
        <f t="shared" si="86"/>
        <v>2.2912869202729558E-2</v>
      </c>
      <c r="K778" s="30">
        <f t="shared" si="87"/>
        <v>3.699904791713382E-2</v>
      </c>
      <c r="L778" s="30">
        <f t="shared" si="88"/>
        <v>1.2356094915703436E-2</v>
      </c>
      <c r="M778" s="30">
        <f t="shared" si="89"/>
        <v>-9.5923996914395217E-3</v>
      </c>
      <c r="N778" s="30">
        <f t="shared" si="90"/>
        <v>2.1677575292234037E-2</v>
      </c>
      <c r="O778" s="30">
        <f t="shared" si="91"/>
        <v>1.0091843012790229E-2</v>
      </c>
    </row>
    <row r="779" spans="1:15" s="30" customFormat="1">
      <c r="A779" s="27">
        <v>44966</v>
      </c>
      <c r="B779" s="28" t="s">
        <v>767</v>
      </c>
      <c r="C779" s="28">
        <v>473.79</v>
      </c>
      <c r="D779" s="28" t="s">
        <v>1945</v>
      </c>
      <c r="E779" s="28">
        <v>277.37</v>
      </c>
      <c r="F779" s="28">
        <v>145.80000000000001</v>
      </c>
      <c r="G779" s="28" t="s">
        <v>3115</v>
      </c>
      <c r="H779" s="28">
        <v>328.42</v>
      </c>
      <c r="I779" s="30">
        <f t="shared" si="85"/>
        <v>3.5592292699169544E-3</v>
      </c>
      <c r="J779" s="30">
        <f t="shared" si="86"/>
        <v>-5.3467057865695163E-3</v>
      </c>
      <c r="K779" s="30">
        <f t="shared" si="87"/>
        <v>1.8059083894986566E-3</v>
      </c>
      <c r="L779" s="30">
        <f t="shared" si="88"/>
        <v>-4.0657044149534707E-3</v>
      </c>
      <c r="M779" s="30">
        <f t="shared" si="89"/>
        <v>3.7794238425372171E-3</v>
      </c>
      <c r="N779" s="30">
        <f t="shared" si="90"/>
        <v>-4.1154080060981986E-2</v>
      </c>
      <c r="O779" s="30">
        <f t="shared" si="91"/>
        <v>1.4568798832332887E-2</v>
      </c>
    </row>
    <row r="780" spans="1:15" s="30" customFormat="1">
      <c r="A780" s="27">
        <v>44965</v>
      </c>
      <c r="B780" s="28" t="s">
        <v>768</v>
      </c>
      <c r="C780" s="28">
        <v>469.38</v>
      </c>
      <c r="D780" s="28" t="s">
        <v>1946</v>
      </c>
      <c r="E780" s="28">
        <v>275.05</v>
      </c>
      <c r="F780" s="28">
        <v>140.75</v>
      </c>
      <c r="G780" s="28" t="s">
        <v>3116</v>
      </c>
      <c r="H780" s="28">
        <v>321.63</v>
      </c>
      <c r="I780" s="30">
        <f t="shared" si="85"/>
        <v>-1.7562545955052623E-2</v>
      </c>
      <c r="J780" s="30">
        <f t="shared" si="86"/>
        <v>-9.3515106250287305E-3</v>
      </c>
      <c r="K780" s="30">
        <f t="shared" si="87"/>
        <v>-1.074552552300575E-3</v>
      </c>
      <c r="L780" s="30">
        <f t="shared" si="88"/>
        <v>-8.3994556309181755E-3</v>
      </c>
      <c r="M780" s="30">
        <f t="shared" si="89"/>
        <v>-3.5250552554758147E-2</v>
      </c>
      <c r="N780" s="30">
        <f t="shared" si="90"/>
        <v>3.4594337673022591E-3</v>
      </c>
      <c r="O780" s="30">
        <f t="shared" si="91"/>
        <v>-2.0891460527433278E-2</v>
      </c>
    </row>
    <row r="781" spans="1:15" s="30" customFormat="1">
      <c r="A781" s="27">
        <v>44964</v>
      </c>
      <c r="B781" s="28" t="s">
        <v>769</v>
      </c>
      <c r="C781" s="28">
        <v>468.71</v>
      </c>
      <c r="D781" s="28" t="s">
        <v>1947</v>
      </c>
      <c r="E781" s="28">
        <v>275.48</v>
      </c>
      <c r="F781" s="28">
        <v>141.35</v>
      </c>
      <c r="G781" s="28" t="s">
        <v>3117</v>
      </c>
      <c r="H781" s="28">
        <v>320</v>
      </c>
      <c r="I781" s="30">
        <f t="shared" si="85"/>
        <v>-2.7337013394545077E-3</v>
      </c>
      <c r="J781" s="30">
        <f t="shared" si="86"/>
        <v>-1.4284346148530644E-3</v>
      </c>
      <c r="K781" s="30">
        <f t="shared" si="87"/>
        <v>-1.8972111735598794E-2</v>
      </c>
      <c r="L781" s="30">
        <f t="shared" si="88"/>
        <v>1.5621313550303211E-3</v>
      </c>
      <c r="M781" s="30">
        <f t="shared" si="89"/>
        <v>4.2538171197995453E-3</v>
      </c>
      <c r="N781" s="30">
        <f t="shared" si="90"/>
        <v>9.1900440193231053E-4</v>
      </c>
      <c r="O781" s="30">
        <f t="shared" si="91"/>
        <v>-5.0808207424857853E-3</v>
      </c>
    </row>
    <row r="782" spans="1:15" s="30" customFormat="1">
      <c r="A782" s="27">
        <v>44963</v>
      </c>
      <c r="B782" s="28" t="s">
        <v>770</v>
      </c>
      <c r="C782" s="28">
        <v>469.71</v>
      </c>
      <c r="D782" s="28" t="s">
        <v>1948</v>
      </c>
      <c r="E782" s="28">
        <v>275.18</v>
      </c>
      <c r="F782" s="28">
        <v>139.69999999999999</v>
      </c>
      <c r="G782" s="28" t="s">
        <v>3118</v>
      </c>
      <c r="H782" s="28">
        <v>319.2</v>
      </c>
      <c r="I782" s="30">
        <f t="shared" si="85"/>
        <v>-1.3968889749347575E-3</v>
      </c>
      <c r="J782" s="30">
        <f t="shared" si="86"/>
        <v>2.1312426813499996E-3</v>
      </c>
      <c r="K782" s="30">
        <f t="shared" si="87"/>
        <v>3.7621987592621757E-3</v>
      </c>
      <c r="L782" s="30">
        <f t="shared" si="88"/>
        <v>-1.0896016768271262E-3</v>
      </c>
      <c r="M782" s="30">
        <f t="shared" si="89"/>
        <v>-1.1741817876683287E-2</v>
      </c>
      <c r="N782" s="30">
        <f t="shared" si="90"/>
        <v>-1.3034348477078747E-2</v>
      </c>
      <c r="O782" s="30">
        <f t="shared" si="91"/>
        <v>-2.5031302181185884E-3</v>
      </c>
    </row>
    <row r="783" spans="1:15" s="30" customFormat="1">
      <c r="A783" s="27">
        <v>44960</v>
      </c>
      <c r="B783" s="28" t="s">
        <v>771</v>
      </c>
      <c r="C783" s="28">
        <v>465.25</v>
      </c>
      <c r="D783" s="28" t="s">
        <v>1949</v>
      </c>
      <c r="E783" s="28">
        <v>277.2</v>
      </c>
      <c r="F783" s="28">
        <v>141.6</v>
      </c>
      <c r="G783" s="28" t="s">
        <v>3119</v>
      </c>
      <c r="H783" s="28">
        <v>318.88</v>
      </c>
      <c r="I783" s="30">
        <f t="shared" si="85"/>
        <v>2.2485774534212522E-3</v>
      </c>
      <c r="J783" s="30">
        <f t="shared" si="86"/>
        <v>-9.5405874691811207E-3</v>
      </c>
      <c r="K783" s="30">
        <f t="shared" si="87"/>
        <v>-7.8906248434348868E-3</v>
      </c>
      <c r="L783" s="30">
        <f t="shared" si="88"/>
        <v>7.3138383160776636E-3</v>
      </c>
      <c r="M783" s="30">
        <f t="shared" si="89"/>
        <v>1.3508914996703189E-2</v>
      </c>
      <c r="N783" s="30">
        <f t="shared" si="90"/>
        <v>3.3989745170699883E-3</v>
      </c>
      <c r="O783" s="30">
        <f t="shared" si="91"/>
        <v>-1.0030091111690679E-3</v>
      </c>
    </row>
    <row r="784" spans="1:15" s="30" customFormat="1">
      <c r="A784" s="27">
        <v>44959</v>
      </c>
      <c r="B784" s="28" t="s">
        <v>772</v>
      </c>
      <c r="C784" s="28">
        <v>450.5</v>
      </c>
      <c r="D784" s="28" t="s">
        <v>1950</v>
      </c>
      <c r="E784" s="28">
        <v>274.64999999999998</v>
      </c>
      <c r="F784" s="28">
        <v>140.5</v>
      </c>
      <c r="G784" s="28" t="s">
        <v>3120</v>
      </c>
      <c r="H784" s="28">
        <v>319.60000000000002</v>
      </c>
      <c r="I784" s="30">
        <f t="shared" si="85"/>
        <v>-2.0033417583650417E-2</v>
      </c>
      <c r="J784" s="30">
        <f t="shared" si="86"/>
        <v>-3.2216818473967478E-2</v>
      </c>
      <c r="K784" s="30">
        <f t="shared" si="87"/>
        <v>1.2160597781436902E-2</v>
      </c>
      <c r="L784" s="30">
        <f t="shared" si="88"/>
        <v>-9.2417075271187654E-3</v>
      </c>
      <c r="M784" s="30">
        <f t="shared" si="89"/>
        <v>-7.7986924858188724E-3</v>
      </c>
      <c r="N784" s="30">
        <f t="shared" si="90"/>
        <v>1.6274132247828085E-3</v>
      </c>
      <c r="O784" s="30">
        <f t="shared" si="91"/>
        <v>2.2553574276351347E-3</v>
      </c>
    </row>
    <row r="785" spans="1:15" s="30" customFormat="1">
      <c r="A785" s="27">
        <v>44958</v>
      </c>
      <c r="B785" s="28" t="s">
        <v>773</v>
      </c>
      <c r="C785" s="28">
        <v>458.13</v>
      </c>
      <c r="D785" s="28" t="s">
        <v>1951</v>
      </c>
      <c r="E785" s="28">
        <v>275.81</v>
      </c>
      <c r="F785" s="28">
        <v>140.69999999999999</v>
      </c>
      <c r="G785" s="28" t="s">
        <v>3121</v>
      </c>
      <c r="H785" s="28">
        <v>312.67</v>
      </c>
      <c r="I785" s="30">
        <f t="shared" si="85"/>
        <v>1.3983418660685127E-2</v>
      </c>
      <c r="J785" s="30">
        <f t="shared" si="86"/>
        <v>1.6794909584807338E-2</v>
      </c>
      <c r="K785" s="30">
        <f t="shared" si="87"/>
        <v>5.8956300472044485E-3</v>
      </c>
      <c r="L785" s="30">
        <f t="shared" si="88"/>
        <v>4.2146630713465029E-3</v>
      </c>
      <c r="M785" s="30">
        <f t="shared" si="89"/>
        <v>1.4224753465427789E-3</v>
      </c>
      <c r="N785" s="30">
        <f t="shared" si="90"/>
        <v>7.7166605258949736E-3</v>
      </c>
      <c r="O785" s="30">
        <f t="shared" si="91"/>
        <v>-2.1921892630022234E-2</v>
      </c>
    </row>
    <row r="786" spans="1:15" s="30" customFormat="1">
      <c r="A786" s="27">
        <v>44957</v>
      </c>
      <c r="B786" s="28" t="s">
        <v>774</v>
      </c>
      <c r="C786" s="28">
        <v>457.63</v>
      </c>
      <c r="D786" s="28" t="s">
        <v>1952</v>
      </c>
      <c r="E786" s="28">
        <v>280.85000000000002</v>
      </c>
      <c r="F786" s="28">
        <v>141.1</v>
      </c>
      <c r="G786" s="28" t="s">
        <v>3122</v>
      </c>
      <c r="H786" s="28">
        <v>314.39999999999998</v>
      </c>
      <c r="I786" s="30">
        <f t="shared" si="85"/>
        <v>-6.5452917596218697E-3</v>
      </c>
      <c r="J786" s="30">
        <f t="shared" si="86"/>
        <v>-1.0919892759784469E-3</v>
      </c>
      <c r="K786" s="30">
        <f t="shared" si="87"/>
        <v>1.7438690386458931E-2</v>
      </c>
      <c r="L786" s="30">
        <f t="shared" si="88"/>
        <v>1.810849611846602E-2</v>
      </c>
      <c r="M786" s="30">
        <f t="shared" si="89"/>
        <v>2.838894738425093E-3</v>
      </c>
      <c r="N786" s="30">
        <f t="shared" si="90"/>
        <v>6.1886500983483125E-3</v>
      </c>
      <c r="O786" s="30">
        <f t="shared" si="91"/>
        <v>5.5177392929540723E-3</v>
      </c>
    </row>
    <row r="787" spans="1:15" s="30" customFormat="1">
      <c r="A787" s="27">
        <v>44956</v>
      </c>
      <c r="B787" s="28" t="s">
        <v>775</v>
      </c>
      <c r="C787" s="28">
        <v>461.75</v>
      </c>
      <c r="D787" s="28" t="s">
        <v>1377</v>
      </c>
      <c r="E787" s="28">
        <v>270.8</v>
      </c>
      <c r="F787" s="28">
        <v>140.4</v>
      </c>
      <c r="G787" s="28" t="s">
        <v>3123</v>
      </c>
      <c r="H787" s="28">
        <v>314.85000000000002</v>
      </c>
      <c r="I787" s="30">
        <f t="shared" si="85"/>
        <v>1.4694231126747724E-2</v>
      </c>
      <c r="J787" s="30">
        <f t="shared" si="86"/>
        <v>8.962621722127943E-3</v>
      </c>
      <c r="K787" s="30">
        <f t="shared" si="87"/>
        <v>1.939194676445341E-2</v>
      </c>
      <c r="L787" s="30">
        <f t="shared" si="88"/>
        <v>-3.6440177940321804E-2</v>
      </c>
      <c r="M787" s="30">
        <f t="shared" si="89"/>
        <v>-4.9733672670574857E-3</v>
      </c>
      <c r="N787" s="30">
        <f t="shared" si="90"/>
        <v>-1.2034500349294081E-3</v>
      </c>
      <c r="O787" s="30">
        <f t="shared" si="91"/>
        <v>1.4302743797003266E-3</v>
      </c>
    </row>
    <row r="788" spans="1:15" s="30" customFormat="1">
      <c r="A788" s="27">
        <v>44953</v>
      </c>
      <c r="B788" s="28" t="s">
        <v>776</v>
      </c>
      <c r="C788" s="28">
        <v>449.58</v>
      </c>
      <c r="D788" s="28" t="s">
        <v>1953</v>
      </c>
      <c r="E788" s="28">
        <v>272.36</v>
      </c>
      <c r="F788" s="28">
        <v>149.1</v>
      </c>
      <c r="G788" s="28" t="s">
        <v>3124</v>
      </c>
      <c r="H788" s="28">
        <v>313.85000000000002</v>
      </c>
      <c r="I788" s="30">
        <f t="shared" si="85"/>
        <v>-1.5868866482511079E-2</v>
      </c>
      <c r="J788" s="30">
        <f t="shared" si="86"/>
        <v>-2.6709805475074972E-2</v>
      </c>
      <c r="K788" s="30">
        <f t="shared" si="87"/>
        <v>1.0567199423648969E-2</v>
      </c>
      <c r="L788" s="30">
        <f t="shared" si="88"/>
        <v>5.7441795766459943E-3</v>
      </c>
      <c r="M788" s="30">
        <f t="shared" si="89"/>
        <v>6.0121730178981987E-2</v>
      </c>
      <c r="N788" s="30">
        <f t="shared" si="90"/>
        <v>-2.8993588159603121E-4</v>
      </c>
      <c r="O788" s="30">
        <f t="shared" si="91"/>
        <v>-3.1811701712109912E-3</v>
      </c>
    </row>
    <row r="789" spans="1:15" s="30" customFormat="1">
      <c r="A789" s="27">
        <v>44951</v>
      </c>
      <c r="B789" s="28" t="s">
        <v>777</v>
      </c>
      <c r="C789" s="28">
        <v>457.29</v>
      </c>
      <c r="D789" s="28" t="s">
        <v>1954</v>
      </c>
      <c r="E789" s="28">
        <v>273.45</v>
      </c>
      <c r="F789" s="28">
        <v>143.5</v>
      </c>
      <c r="G789" s="28" t="s">
        <v>3125</v>
      </c>
      <c r="H789" s="28">
        <v>317.42</v>
      </c>
      <c r="I789" s="30">
        <f t="shared" si="85"/>
        <v>1.9045076472438371E-2</v>
      </c>
      <c r="J789" s="30">
        <f t="shared" si="86"/>
        <v>1.7003949337585578E-2</v>
      </c>
      <c r="K789" s="30">
        <f t="shared" si="87"/>
        <v>1.0171108476926278E-2</v>
      </c>
      <c r="L789" s="30">
        <f t="shared" si="88"/>
        <v>3.9940691780157855E-3</v>
      </c>
      <c r="M789" s="30">
        <f t="shared" si="89"/>
        <v>-3.8282186571016924E-2</v>
      </c>
      <c r="N789" s="30">
        <f t="shared" si="90"/>
        <v>2.3393908203806946E-3</v>
      </c>
      <c r="O789" s="30">
        <f t="shared" si="91"/>
        <v>1.1310653315871652E-2</v>
      </c>
    </row>
    <row r="790" spans="1:15" s="30" customFormat="1">
      <c r="A790" s="27">
        <v>44950</v>
      </c>
      <c r="B790" s="28" t="s">
        <v>778</v>
      </c>
      <c r="C790" s="28">
        <v>468.33</v>
      </c>
      <c r="D790" s="28" t="s">
        <v>1955</v>
      </c>
      <c r="E790" s="28">
        <v>272.29000000000002</v>
      </c>
      <c r="F790" s="28">
        <v>133.85</v>
      </c>
      <c r="G790" s="28" t="s">
        <v>15</v>
      </c>
      <c r="H790" s="28">
        <v>318.17</v>
      </c>
      <c r="I790" s="30">
        <f t="shared" si="85"/>
        <v>1.2747236486109668E-2</v>
      </c>
      <c r="J790" s="30">
        <f t="shared" si="86"/>
        <v>2.3855412694824999E-2</v>
      </c>
      <c r="K790" s="30">
        <f t="shared" si="87"/>
        <v>3.0963561100153612E-3</v>
      </c>
      <c r="L790" s="30">
        <f t="shared" si="88"/>
        <v>-4.251114988666334E-3</v>
      </c>
      <c r="M790" s="30">
        <f t="shared" si="89"/>
        <v>-6.9615265233314377E-2</v>
      </c>
      <c r="N790" s="30">
        <f t="shared" si="90"/>
        <v>-3.8350102743510686E-3</v>
      </c>
      <c r="O790" s="30">
        <f t="shared" si="91"/>
        <v>2.3600130527660634E-3</v>
      </c>
    </row>
    <row r="791" spans="1:15" s="30" customFormat="1">
      <c r="A791" s="27">
        <v>44949</v>
      </c>
      <c r="B791" s="28" t="s">
        <v>737</v>
      </c>
      <c r="C791" s="28">
        <v>470.54</v>
      </c>
      <c r="D791" s="28" t="s">
        <v>1956</v>
      </c>
      <c r="E791" s="28">
        <v>273.98</v>
      </c>
      <c r="F791" s="28">
        <v>134.5</v>
      </c>
      <c r="G791" s="28" t="s">
        <v>3126</v>
      </c>
      <c r="H791" s="28">
        <v>325.63</v>
      </c>
      <c r="I791" s="30">
        <f t="shared" si="85"/>
        <v>-9.3476163433027712E-3</v>
      </c>
      <c r="J791" s="30">
        <f t="shared" si="86"/>
        <v>4.7077957155880201E-3</v>
      </c>
      <c r="K791" s="30">
        <f t="shared" si="87"/>
        <v>-2.035997119961639E-3</v>
      </c>
      <c r="L791" s="30">
        <f t="shared" si="88"/>
        <v>6.1874362191280613E-3</v>
      </c>
      <c r="M791" s="30">
        <f t="shared" si="89"/>
        <v>4.8444290755324275E-3</v>
      </c>
      <c r="N791" s="30">
        <f t="shared" si="90"/>
        <v>3.6347053650980371E-3</v>
      </c>
      <c r="O791" s="30">
        <f t="shared" si="91"/>
        <v>2.3175936343936828E-2</v>
      </c>
    </row>
    <row r="792" spans="1:15" s="30" customFormat="1">
      <c r="A792" s="27">
        <v>44946</v>
      </c>
      <c r="B792" s="28" t="s">
        <v>779</v>
      </c>
      <c r="C792" s="28">
        <v>464.29</v>
      </c>
      <c r="D792" s="28" t="s">
        <v>1957</v>
      </c>
      <c r="E792" s="28">
        <v>277.8</v>
      </c>
      <c r="F792" s="28">
        <v>136.75</v>
      </c>
      <c r="G792" s="28" t="s">
        <v>211</v>
      </c>
      <c r="H792" s="28">
        <v>309.83</v>
      </c>
      <c r="I792" s="30">
        <f t="shared" si="85"/>
        <v>1.2023869724442616E-3</v>
      </c>
      <c r="J792" s="30">
        <f t="shared" si="86"/>
        <v>-1.3371614357175524E-2</v>
      </c>
      <c r="K792" s="30">
        <f t="shared" si="87"/>
        <v>3.6212022075275876E-3</v>
      </c>
      <c r="L792" s="30">
        <f t="shared" si="88"/>
        <v>1.3846319296999941E-2</v>
      </c>
      <c r="M792" s="30">
        <f t="shared" si="89"/>
        <v>1.6590242260196789E-2</v>
      </c>
      <c r="N792" s="30">
        <f t="shared" si="90"/>
        <v>5.6598271141516682E-3</v>
      </c>
      <c r="O792" s="30">
        <f t="shared" si="91"/>
        <v>-4.9738007512896282E-2</v>
      </c>
    </row>
    <row r="793" spans="1:15" s="30" customFormat="1">
      <c r="A793" s="27">
        <v>44945</v>
      </c>
      <c r="B793" s="28" t="s">
        <v>464</v>
      </c>
      <c r="C793" s="28">
        <v>469.71</v>
      </c>
      <c r="D793" s="28" t="s">
        <v>1958</v>
      </c>
      <c r="E793" s="28">
        <v>276.54000000000002</v>
      </c>
      <c r="F793" s="28">
        <v>139.6</v>
      </c>
      <c r="G793" s="28" t="s">
        <v>2235</v>
      </c>
      <c r="H793" s="28">
        <v>312.60000000000002</v>
      </c>
      <c r="I793" s="30">
        <f t="shared" si="85"/>
        <v>2.7716911475724575E-2</v>
      </c>
      <c r="J793" s="30">
        <f t="shared" si="86"/>
        <v>1.1606125996443794E-2</v>
      </c>
      <c r="K793" s="30">
        <f t="shared" si="87"/>
        <v>1.7592692216455718E-2</v>
      </c>
      <c r="L793" s="30">
        <f t="shared" si="88"/>
        <v>-4.5459543597714544E-3</v>
      </c>
      <c r="M793" s="30">
        <f t="shared" si="89"/>
        <v>2.062674902618146E-2</v>
      </c>
      <c r="N793" s="30">
        <f t="shared" si="90"/>
        <v>2.5285161707525698E-2</v>
      </c>
      <c r="O793" s="30">
        <f t="shared" si="91"/>
        <v>8.9006580241570449E-3</v>
      </c>
    </row>
    <row r="794" spans="1:15" s="30" customFormat="1">
      <c r="A794" s="27">
        <v>44944</v>
      </c>
      <c r="B794" s="28" t="s">
        <v>780</v>
      </c>
      <c r="C794" s="28">
        <v>479</v>
      </c>
      <c r="D794" s="28" t="s">
        <v>1959</v>
      </c>
      <c r="E794" s="28">
        <v>276.37</v>
      </c>
      <c r="F794" s="28">
        <v>140.5</v>
      </c>
      <c r="G794" s="28" t="s">
        <v>3127</v>
      </c>
      <c r="H794" s="28">
        <v>315.45</v>
      </c>
      <c r="I794" s="30">
        <f t="shared" si="85"/>
        <v>2.7224037354718084E-2</v>
      </c>
      <c r="J794" s="30">
        <f t="shared" si="86"/>
        <v>1.9585114419373932E-2</v>
      </c>
      <c r="K794" s="30">
        <f t="shared" si="87"/>
        <v>5.3728264882323094E-3</v>
      </c>
      <c r="L794" s="30">
        <f t="shared" si="88"/>
        <v>-6.1492830788723507E-4</v>
      </c>
      <c r="M794" s="30">
        <f t="shared" si="89"/>
        <v>6.4262984455284002E-3</v>
      </c>
      <c r="N794" s="30">
        <f t="shared" si="90"/>
        <v>-1.4958426536468851E-2</v>
      </c>
      <c r="O794" s="30">
        <f t="shared" si="91"/>
        <v>9.0757728294421115E-3</v>
      </c>
    </row>
    <row r="795" spans="1:15" s="30" customFormat="1">
      <c r="A795" s="27">
        <v>44943</v>
      </c>
      <c r="B795" s="28" t="s">
        <v>781</v>
      </c>
      <c r="C795" s="28">
        <v>473.08</v>
      </c>
      <c r="D795" s="28" t="s">
        <v>1960</v>
      </c>
      <c r="E795" s="28">
        <v>272.66000000000003</v>
      </c>
      <c r="F795" s="28">
        <v>140.15</v>
      </c>
      <c r="G795" s="28" t="s">
        <v>209</v>
      </c>
      <c r="H795" s="28">
        <v>318.52</v>
      </c>
      <c r="I795" s="30">
        <f t="shared" si="85"/>
        <v>-1.4780461904385486E-3</v>
      </c>
      <c r="J795" s="30">
        <f t="shared" si="86"/>
        <v>-1.2436090027999164E-2</v>
      </c>
      <c r="K795" s="30">
        <f t="shared" si="87"/>
        <v>2.2598879674375042E-3</v>
      </c>
      <c r="L795" s="30">
        <f t="shared" si="88"/>
        <v>-1.3514949894601112E-2</v>
      </c>
      <c r="M795" s="30">
        <f t="shared" si="89"/>
        <v>-2.494211163003151E-3</v>
      </c>
      <c r="N795" s="30">
        <f t="shared" si="90"/>
        <v>-1.183289298214249E-2</v>
      </c>
      <c r="O795" s="30">
        <f t="shared" si="91"/>
        <v>9.6850765724255435E-3</v>
      </c>
    </row>
    <row r="796" spans="1:15" s="30" customFormat="1">
      <c r="A796" s="27">
        <v>44942</v>
      </c>
      <c r="B796" s="28" t="s">
        <v>782</v>
      </c>
      <c r="C796" s="28">
        <v>466.67</v>
      </c>
      <c r="D796" s="28" t="s">
        <v>1961</v>
      </c>
      <c r="E796" s="28">
        <v>273.32</v>
      </c>
      <c r="F796" s="28">
        <v>142.1</v>
      </c>
      <c r="G796" s="28" t="s">
        <v>3128</v>
      </c>
      <c r="H796" s="28">
        <v>319.35000000000002</v>
      </c>
      <c r="I796" s="30">
        <f t="shared" si="85"/>
        <v>-8.4856961778396467E-3</v>
      </c>
      <c r="J796" s="30">
        <f t="shared" si="86"/>
        <v>-1.3642137616043028E-2</v>
      </c>
      <c r="K796" s="30">
        <f t="shared" si="87"/>
        <v>7.1817844789714147E-3</v>
      </c>
      <c r="L796" s="30">
        <f t="shared" si="88"/>
        <v>2.4176721545937432E-3</v>
      </c>
      <c r="M796" s="30">
        <f t="shared" si="89"/>
        <v>1.3817757492257547E-2</v>
      </c>
      <c r="N796" s="30">
        <f t="shared" si="90"/>
        <v>-1.0943198455665763E-2</v>
      </c>
      <c r="O796" s="30">
        <f t="shared" si="91"/>
        <v>2.6024126183542494E-3</v>
      </c>
    </row>
    <row r="797" spans="1:15" s="30" customFormat="1">
      <c r="A797" s="27">
        <v>44939</v>
      </c>
      <c r="B797" s="28" t="s">
        <v>783</v>
      </c>
      <c r="C797" s="28">
        <v>468.46</v>
      </c>
      <c r="D797" s="28" t="s">
        <v>1479</v>
      </c>
      <c r="E797" s="28">
        <v>274.38</v>
      </c>
      <c r="F797" s="28">
        <v>140.80000000000001</v>
      </c>
      <c r="G797" s="28" t="s">
        <v>3129</v>
      </c>
      <c r="H797" s="28">
        <v>323.5</v>
      </c>
      <c r="I797" s="30">
        <f t="shared" si="85"/>
        <v>-2.3690184807535208E-3</v>
      </c>
      <c r="J797" s="30">
        <f t="shared" si="86"/>
        <v>3.8283493978907126E-3</v>
      </c>
      <c r="K797" s="30">
        <f t="shared" si="87"/>
        <v>7.8720519311122981E-3</v>
      </c>
      <c r="L797" s="30">
        <f t="shared" si="88"/>
        <v>3.8707369854413154E-3</v>
      </c>
      <c r="M797" s="30">
        <f t="shared" si="89"/>
        <v>-9.1905913791127565E-3</v>
      </c>
      <c r="N797" s="30">
        <f t="shared" si="90"/>
        <v>-2.6703483952869823E-3</v>
      </c>
      <c r="O797" s="30">
        <f t="shared" si="91"/>
        <v>1.2911433933357034E-2</v>
      </c>
    </row>
    <row r="798" spans="1:15" s="30" customFormat="1">
      <c r="A798" s="27">
        <v>44938</v>
      </c>
      <c r="B798" s="28" t="s">
        <v>784</v>
      </c>
      <c r="C798" s="28">
        <v>468.29</v>
      </c>
      <c r="D798" s="28" t="s">
        <v>1962</v>
      </c>
      <c r="E798" s="28">
        <v>274.14999999999998</v>
      </c>
      <c r="F798" s="28">
        <v>140.9</v>
      </c>
      <c r="G798" s="28" t="s">
        <v>3130</v>
      </c>
      <c r="H798" s="28">
        <v>316.7</v>
      </c>
      <c r="I798" s="30">
        <f t="shared" si="85"/>
        <v>2.334724927937936E-3</v>
      </c>
      <c r="J798" s="30">
        <f t="shared" si="86"/>
        <v>-3.6295703627700556E-4</v>
      </c>
      <c r="K798" s="30">
        <f t="shared" si="87"/>
        <v>-7.0074079533329284E-3</v>
      </c>
      <c r="L798" s="30">
        <f t="shared" si="88"/>
        <v>-8.3860504796143015E-4</v>
      </c>
      <c r="M798" s="30">
        <f t="shared" si="89"/>
        <v>7.0997518069252719E-4</v>
      </c>
      <c r="N798" s="30">
        <f t="shared" si="90"/>
        <v>-2.9530265887969372E-2</v>
      </c>
      <c r="O798" s="30">
        <f t="shared" si="91"/>
        <v>-2.1244160396361164E-2</v>
      </c>
    </row>
    <row r="799" spans="1:15" s="30" customFormat="1">
      <c r="A799" s="27">
        <v>44937</v>
      </c>
      <c r="B799" s="28" t="s">
        <v>785</v>
      </c>
      <c r="C799" s="28">
        <v>467.75</v>
      </c>
      <c r="D799" s="28" t="s">
        <v>1963</v>
      </c>
      <c r="E799" s="28">
        <v>271.76</v>
      </c>
      <c r="F799" s="28">
        <v>141.44999999999999</v>
      </c>
      <c r="G799" s="28" t="s">
        <v>3131</v>
      </c>
      <c r="H799" s="28">
        <v>323.85000000000002</v>
      </c>
      <c r="I799" s="30">
        <f t="shared" si="85"/>
        <v>8.3499592947975619E-3</v>
      </c>
      <c r="J799" s="30">
        <f t="shared" si="86"/>
        <v>-1.1537969742877749E-3</v>
      </c>
      <c r="K799" s="30">
        <f t="shared" si="87"/>
        <v>1.177856437705665E-3</v>
      </c>
      <c r="L799" s="30">
        <f t="shared" si="88"/>
        <v>-8.7560779977289387E-3</v>
      </c>
      <c r="M799" s="30">
        <f t="shared" si="89"/>
        <v>3.8958788429414998E-3</v>
      </c>
      <c r="N799" s="30">
        <f t="shared" si="90"/>
        <v>-1.6191852047266721E-2</v>
      </c>
      <c r="O799" s="30">
        <f t="shared" si="91"/>
        <v>2.2325492084332071E-2</v>
      </c>
    </row>
    <row r="800" spans="1:15" s="30" customFormat="1">
      <c r="A800" s="27">
        <v>44936</v>
      </c>
      <c r="B800" s="28" t="s">
        <v>786</v>
      </c>
      <c r="C800" s="28">
        <v>472.38</v>
      </c>
      <c r="D800" s="28" t="s">
        <v>1964</v>
      </c>
      <c r="E800" s="28">
        <v>275.70999999999998</v>
      </c>
      <c r="F800" s="28">
        <v>140.4</v>
      </c>
      <c r="G800" s="28" t="s">
        <v>3132</v>
      </c>
      <c r="H800" s="28">
        <v>331.13</v>
      </c>
      <c r="I800" s="30">
        <f t="shared" si="85"/>
        <v>6.761878071235513E-3</v>
      </c>
      <c r="J800" s="30">
        <f t="shared" si="86"/>
        <v>9.849781270231785E-3</v>
      </c>
      <c r="K800" s="30">
        <f t="shared" si="87"/>
        <v>-4.443840020354437E-3</v>
      </c>
      <c r="L800" s="30">
        <f t="shared" si="88"/>
        <v>1.4430264829028837E-2</v>
      </c>
      <c r="M800" s="30">
        <f t="shared" si="89"/>
        <v>-7.4508061558653032E-3</v>
      </c>
      <c r="N800" s="30">
        <f t="shared" si="90"/>
        <v>1.2203255984203324E-2</v>
      </c>
      <c r="O800" s="30">
        <f t="shared" si="91"/>
        <v>2.2230601887053288E-2</v>
      </c>
    </row>
    <row r="801" spans="1:15" s="30" customFormat="1">
      <c r="A801" s="27">
        <v>44935</v>
      </c>
      <c r="B801" s="28" t="s">
        <v>787</v>
      </c>
      <c r="C801" s="28">
        <v>473.88</v>
      </c>
      <c r="D801" s="28" t="s">
        <v>1689</v>
      </c>
      <c r="E801" s="28">
        <v>267.70999999999998</v>
      </c>
      <c r="F801" s="28">
        <v>140.05000000000001</v>
      </c>
      <c r="G801" s="28" t="s">
        <v>3133</v>
      </c>
      <c r="H801" s="28">
        <v>333.88</v>
      </c>
      <c r="I801" s="30">
        <f t="shared" si="85"/>
        <v>8.0074445855998749E-3</v>
      </c>
      <c r="J801" s="30">
        <f t="shared" si="86"/>
        <v>3.1703786621275543E-3</v>
      </c>
      <c r="K801" s="30">
        <f t="shared" si="87"/>
        <v>1.2338823575167955E-2</v>
      </c>
      <c r="L801" s="30">
        <f t="shared" si="88"/>
        <v>-2.9445283604327948E-2</v>
      </c>
      <c r="M801" s="30">
        <f t="shared" si="89"/>
        <v>-2.4959898855931311E-3</v>
      </c>
      <c r="N801" s="30">
        <f t="shared" si="90"/>
        <v>8.2379269531364582E-3</v>
      </c>
      <c r="O801" s="30">
        <f t="shared" si="91"/>
        <v>8.2705994665564411E-3</v>
      </c>
    </row>
    <row r="802" spans="1:15" s="30" customFormat="1">
      <c r="A802" s="27">
        <v>44932</v>
      </c>
      <c r="B802" s="28" t="s">
        <v>788</v>
      </c>
      <c r="C802" s="28">
        <v>473.67</v>
      </c>
      <c r="D802" s="28" t="s">
        <v>1965</v>
      </c>
      <c r="E802" s="28">
        <v>278.36</v>
      </c>
      <c r="F802" s="28">
        <v>138.44999999999999</v>
      </c>
      <c r="G802" s="28" t="s">
        <v>3134</v>
      </c>
      <c r="H802" s="28">
        <v>324.8</v>
      </c>
      <c r="I802" s="30">
        <f t="shared" si="85"/>
        <v>-1.9287055982606092E-3</v>
      </c>
      <c r="J802" s="30">
        <f t="shared" si="86"/>
        <v>-4.4324838465136787E-4</v>
      </c>
      <c r="K802" s="30">
        <f t="shared" si="87"/>
        <v>7.6786230070460693E-3</v>
      </c>
      <c r="L802" s="30">
        <f t="shared" si="88"/>
        <v>3.9010934899620063E-2</v>
      </c>
      <c r="M802" s="30">
        <f t="shared" si="89"/>
        <v>-1.1490252089146851E-2</v>
      </c>
      <c r="N802" s="30">
        <f t="shared" si="90"/>
        <v>1.890165160022619E-2</v>
      </c>
      <c r="O802" s="30">
        <f t="shared" si="91"/>
        <v>-2.7572038695012999E-2</v>
      </c>
    </row>
    <row r="803" spans="1:15" s="30" customFormat="1">
      <c r="A803" s="27">
        <v>44931</v>
      </c>
      <c r="B803" s="28" t="s">
        <v>789</v>
      </c>
      <c r="C803" s="28">
        <v>477.5</v>
      </c>
      <c r="D803" s="28" t="s">
        <v>1966</v>
      </c>
      <c r="E803" s="28">
        <v>282.38</v>
      </c>
      <c r="F803" s="28">
        <v>140.69999999999999</v>
      </c>
      <c r="G803" s="28" t="s">
        <v>3135</v>
      </c>
      <c r="H803" s="28">
        <v>333.58</v>
      </c>
      <c r="I803" s="30">
        <f t="shared" si="85"/>
        <v>8.674994856843983E-3</v>
      </c>
      <c r="J803" s="30">
        <f t="shared" si="86"/>
        <v>8.0532832188780212E-3</v>
      </c>
      <c r="K803" s="30">
        <f t="shared" si="87"/>
        <v>6.0853677239159796E-3</v>
      </c>
      <c r="L803" s="30">
        <f t="shared" si="88"/>
        <v>1.4338441604729742E-2</v>
      </c>
      <c r="M803" s="30">
        <f t="shared" si="89"/>
        <v>1.6120714503372512E-2</v>
      </c>
      <c r="N803" s="30">
        <f t="shared" si="90"/>
        <v>7.9285051676110576E-3</v>
      </c>
      <c r="O803" s="30">
        <f t="shared" si="91"/>
        <v>2.6673108361504088E-2</v>
      </c>
    </row>
    <row r="804" spans="1:15" s="30" customFormat="1">
      <c r="A804" s="27">
        <v>44930</v>
      </c>
      <c r="B804" s="28" t="s">
        <v>790</v>
      </c>
      <c r="C804" s="28">
        <v>478.04</v>
      </c>
      <c r="D804" s="28" t="s">
        <v>1967</v>
      </c>
      <c r="E804" s="28">
        <v>284.87</v>
      </c>
      <c r="F804" s="28">
        <v>133.80000000000001</v>
      </c>
      <c r="G804" s="28" t="s">
        <v>3136</v>
      </c>
      <c r="H804" s="28">
        <v>333</v>
      </c>
      <c r="I804" s="30">
        <f t="shared" si="85"/>
        <v>4.1520022445407099E-3</v>
      </c>
      <c r="J804" s="30">
        <f t="shared" si="86"/>
        <v>1.1302510778953914E-3</v>
      </c>
      <c r="K804" s="30">
        <f t="shared" si="87"/>
        <v>-2.3835164290562289E-3</v>
      </c>
      <c r="L804" s="30">
        <f t="shared" si="88"/>
        <v>8.779254272738124E-3</v>
      </c>
      <c r="M804" s="30">
        <f t="shared" si="89"/>
        <v>-5.0283816426215079E-2</v>
      </c>
      <c r="N804" s="30">
        <f t="shared" si="90"/>
        <v>-8.0189640202023207E-3</v>
      </c>
      <c r="O804" s="30">
        <f t="shared" si="91"/>
        <v>-1.7402266685832384E-3</v>
      </c>
    </row>
    <row r="805" spans="1:15" s="30" customFormat="1">
      <c r="A805" s="27">
        <v>44929</v>
      </c>
      <c r="B805" s="28" t="s">
        <v>791</v>
      </c>
      <c r="C805" s="28">
        <v>482.54</v>
      </c>
      <c r="D805" s="28" t="s">
        <v>1968</v>
      </c>
      <c r="E805" s="28">
        <v>284.17</v>
      </c>
      <c r="F805" s="28">
        <v>132.30000000000001</v>
      </c>
      <c r="G805" s="28" t="s">
        <v>3137</v>
      </c>
      <c r="H805" s="28">
        <v>336.4</v>
      </c>
      <c r="I805" s="30">
        <f t="shared" si="85"/>
        <v>3.7716542370195959E-3</v>
      </c>
      <c r="J805" s="30">
        <f t="shared" si="86"/>
        <v>9.3694078986205249E-3</v>
      </c>
      <c r="K805" s="30">
        <f t="shared" si="87"/>
        <v>7.0571381754467432E-3</v>
      </c>
      <c r="L805" s="30">
        <f t="shared" si="88"/>
        <v>-2.4602852280747566E-3</v>
      </c>
      <c r="M805" s="30">
        <f t="shared" si="89"/>
        <v>-1.1274076573218108E-2</v>
      </c>
      <c r="N805" s="30">
        <f t="shared" si="90"/>
        <v>1.352282613305124E-2</v>
      </c>
      <c r="O805" s="30">
        <f t="shared" si="91"/>
        <v>1.0158438118349131E-2</v>
      </c>
    </row>
    <row r="806" spans="1:15" s="30" customFormat="1">
      <c r="A806" s="27">
        <v>44928</v>
      </c>
      <c r="B806" s="28" t="s">
        <v>792</v>
      </c>
      <c r="C806" s="28">
        <v>481.08</v>
      </c>
      <c r="D806" s="28" t="s">
        <v>1969</v>
      </c>
      <c r="E806" s="28">
        <v>289.95</v>
      </c>
      <c r="F806" s="28">
        <v>132.5</v>
      </c>
      <c r="G806" s="28" t="s">
        <v>18</v>
      </c>
      <c r="H806" s="28">
        <v>338.63</v>
      </c>
      <c r="I806" s="30">
        <f t="shared" si="85"/>
        <v>6.254649639034192E-3</v>
      </c>
      <c r="J806" s="30">
        <f t="shared" si="86"/>
        <v>-3.0302424548849698E-3</v>
      </c>
      <c r="K806" s="30">
        <f t="shared" si="87"/>
        <v>1.1840875316360842E-3</v>
      </c>
      <c r="L806" s="30">
        <f t="shared" si="88"/>
        <v>2.0135843696407158E-2</v>
      </c>
      <c r="M806" s="30">
        <f t="shared" si="89"/>
        <v>1.5105743053668514E-3</v>
      </c>
      <c r="N806" s="30">
        <f t="shared" si="90"/>
        <v>-8.8522927164757965E-3</v>
      </c>
      <c r="O806" s="30">
        <f t="shared" si="91"/>
        <v>6.607137793616857E-3</v>
      </c>
    </row>
    <row r="807" spans="1:15" s="30" customFormat="1">
      <c r="A807" s="27">
        <v>44925</v>
      </c>
      <c r="B807" s="28" t="s">
        <v>793</v>
      </c>
      <c r="C807" s="28">
        <v>484.46</v>
      </c>
      <c r="D807" s="28" t="s">
        <v>1970</v>
      </c>
      <c r="E807" s="28">
        <v>291.54000000000002</v>
      </c>
      <c r="F807" s="28">
        <v>130.6</v>
      </c>
      <c r="G807" s="28" t="s">
        <v>259</v>
      </c>
      <c r="H807" s="28">
        <v>336</v>
      </c>
      <c r="I807" s="30">
        <f t="shared" si="85"/>
        <v>1.3251703664677591E-2</v>
      </c>
      <c r="J807" s="30">
        <f t="shared" si="86"/>
        <v>7.0012921406699428E-3</v>
      </c>
      <c r="K807" s="30">
        <f t="shared" si="87"/>
        <v>-5.5121866716520669E-3</v>
      </c>
      <c r="L807" s="30">
        <f t="shared" si="88"/>
        <v>5.4687233234170596E-3</v>
      </c>
      <c r="M807" s="30">
        <f t="shared" si="89"/>
        <v>-1.4443428583946231E-2</v>
      </c>
      <c r="N807" s="30">
        <f t="shared" si="90"/>
        <v>-7.4311775079909906E-4</v>
      </c>
      <c r="O807" s="30">
        <f t="shared" si="91"/>
        <v>-7.7969059292055942E-3</v>
      </c>
    </row>
    <row r="808" spans="1:15" s="30" customFormat="1">
      <c r="A808" s="27">
        <v>44924</v>
      </c>
      <c r="B808" s="28" t="s">
        <v>794</v>
      </c>
      <c r="C808" s="28">
        <v>486.79</v>
      </c>
      <c r="D808" s="28" t="s">
        <v>1971</v>
      </c>
      <c r="E808" s="28">
        <v>288.98</v>
      </c>
      <c r="F808" s="28">
        <v>131.5</v>
      </c>
      <c r="G808" s="28" t="s">
        <v>3138</v>
      </c>
      <c r="H808" s="28">
        <v>335.1</v>
      </c>
      <c r="I808" s="30">
        <f t="shared" si="85"/>
        <v>8.7860569546569737E-3</v>
      </c>
      <c r="J808" s="30">
        <f t="shared" si="86"/>
        <v>4.7979500021167777E-3</v>
      </c>
      <c r="K808" s="30">
        <f t="shared" si="87"/>
        <v>-1.418737676492389E-2</v>
      </c>
      <c r="L808" s="30">
        <f t="shared" si="88"/>
        <v>-8.8197360804014267E-3</v>
      </c>
      <c r="M808" s="30">
        <f t="shared" si="89"/>
        <v>6.8676347754885337E-3</v>
      </c>
      <c r="N808" s="30">
        <f t="shared" si="90"/>
        <v>1.7555710113252635E-3</v>
      </c>
      <c r="O808" s="30">
        <f t="shared" si="91"/>
        <v>-2.6821652199393972E-3</v>
      </c>
    </row>
    <row r="809" spans="1:15" s="30" customFormat="1">
      <c r="A809" s="27">
        <v>44923</v>
      </c>
      <c r="B809" s="28" t="s">
        <v>795</v>
      </c>
      <c r="C809" s="28">
        <v>492.54</v>
      </c>
      <c r="D809" s="28" t="s">
        <v>1972</v>
      </c>
      <c r="E809" s="28">
        <v>291.01</v>
      </c>
      <c r="F809" s="28">
        <v>133.75</v>
      </c>
      <c r="G809" s="28" t="s">
        <v>3139</v>
      </c>
      <c r="H809" s="28">
        <v>337.55</v>
      </c>
      <c r="I809" s="30">
        <f t="shared" si="85"/>
        <v>2.7408914632168022E-3</v>
      </c>
      <c r="J809" s="30">
        <f t="shared" si="86"/>
        <v>1.1742857003027275E-2</v>
      </c>
      <c r="K809" s="30">
        <f t="shared" si="87"/>
        <v>6.9062119766666033E-3</v>
      </c>
      <c r="L809" s="30">
        <f t="shared" si="88"/>
        <v>7.0001492767578265E-3</v>
      </c>
      <c r="M809" s="30">
        <f t="shared" si="89"/>
        <v>1.6965534158296668E-2</v>
      </c>
      <c r="N809" s="30">
        <f t="shared" si="90"/>
        <v>-1.0125524412700142E-2</v>
      </c>
      <c r="O809" s="30">
        <f t="shared" si="91"/>
        <v>7.2846527446148411E-3</v>
      </c>
    </row>
    <row r="810" spans="1:15" s="30" customFormat="1">
      <c r="A810" s="27">
        <v>44922</v>
      </c>
      <c r="B810" s="28" t="s">
        <v>796</v>
      </c>
      <c r="C810" s="28">
        <v>492.46</v>
      </c>
      <c r="D810" s="28" t="s">
        <v>1973</v>
      </c>
      <c r="E810" s="28">
        <v>288.02</v>
      </c>
      <c r="F810" s="28">
        <v>138.1</v>
      </c>
      <c r="G810" s="28" t="s">
        <v>3140</v>
      </c>
      <c r="H810" s="28">
        <v>318.2</v>
      </c>
      <c r="I810" s="30">
        <f t="shared" si="85"/>
        <v>-3.5598068475876632E-3</v>
      </c>
      <c r="J810" s="30">
        <f t="shared" si="86"/>
        <v>-1.6243654858061262E-4</v>
      </c>
      <c r="K810" s="30">
        <f t="shared" si="87"/>
        <v>-1.4095708814157757E-2</v>
      </c>
      <c r="L810" s="30">
        <f t="shared" si="88"/>
        <v>-1.032770867298669E-2</v>
      </c>
      <c r="M810" s="30">
        <f t="shared" si="89"/>
        <v>3.2005674639130455E-2</v>
      </c>
      <c r="N810" s="30">
        <f t="shared" si="90"/>
        <v>-2.7980318303679375E-3</v>
      </c>
      <c r="O810" s="30">
        <f t="shared" si="91"/>
        <v>-5.9033531584193097E-2</v>
      </c>
    </row>
    <row r="811" spans="1:15" s="30" customFormat="1">
      <c r="A811" s="27">
        <v>44921</v>
      </c>
      <c r="B811" s="28" t="s">
        <v>797</v>
      </c>
      <c r="C811" s="28">
        <v>487.83</v>
      </c>
      <c r="D811" s="28" t="s">
        <v>1974</v>
      </c>
      <c r="E811" s="28">
        <v>285.73</v>
      </c>
      <c r="F811" s="28">
        <v>128.9</v>
      </c>
      <c r="G811" s="28" t="s">
        <v>3141</v>
      </c>
      <c r="H811" s="28">
        <v>317.8</v>
      </c>
      <c r="I811" s="30">
        <f t="shared" si="85"/>
        <v>-1.8335157361797787E-2</v>
      </c>
      <c r="J811" s="30">
        <f t="shared" si="86"/>
        <v>-9.4462545339084689E-3</v>
      </c>
      <c r="K811" s="30">
        <f t="shared" si="87"/>
        <v>-1.8447655118845896E-3</v>
      </c>
      <c r="L811" s="30">
        <f t="shared" si="88"/>
        <v>-7.9826131949119715E-3</v>
      </c>
      <c r="M811" s="30">
        <f t="shared" si="89"/>
        <v>-6.8941150470104601E-2</v>
      </c>
      <c r="N811" s="30">
        <f t="shared" si="90"/>
        <v>-2.8515720067691518E-3</v>
      </c>
      <c r="O811" s="30">
        <f t="shared" si="91"/>
        <v>-1.2578618010707818E-3</v>
      </c>
    </row>
    <row r="812" spans="1:15" s="30" customFormat="1">
      <c r="A812" s="27">
        <v>44918</v>
      </c>
      <c r="B812" s="28" t="s">
        <v>798</v>
      </c>
      <c r="C812" s="28">
        <v>479.63</v>
      </c>
      <c r="D812" s="28" t="s">
        <v>1975</v>
      </c>
      <c r="E812" s="28">
        <v>280.72000000000003</v>
      </c>
      <c r="F812" s="28">
        <v>124</v>
      </c>
      <c r="G812" s="28" t="s">
        <v>3142</v>
      </c>
      <c r="H812" s="28">
        <v>315.08</v>
      </c>
      <c r="I812" s="30">
        <f t="shared" si="85"/>
        <v>6.0517343336509639E-4</v>
      </c>
      <c r="J812" s="30">
        <f t="shared" si="86"/>
        <v>-1.6952011181911929E-2</v>
      </c>
      <c r="K812" s="30">
        <f t="shared" si="87"/>
        <v>-1.5999074038981584E-2</v>
      </c>
      <c r="L812" s="30">
        <f t="shared" si="88"/>
        <v>-1.7689577699364835E-2</v>
      </c>
      <c r="M812" s="30">
        <f t="shared" si="89"/>
        <v>-3.8755344340104886E-2</v>
      </c>
      <c r="N812" s="30">
        <f t="shared" si="90"/>
        <v>8.6773845415626712E-4</v>
      </c>
      <c r="O812" s="30">
        <f t="shared" si="91"/>
        <v>-8.5956792674921397E-3</v>
      </c>
    </row>
    <row r="813" spans="1:15" s="30" customFormat="1">
      <c r="A813" s="27">
        <v>44917</v>
      </c>
      <c r="B813" s="28" t="s">
        <v>799</v>
      </c>
      <c r="C813" s="28">
        <v>493.54</v>
      </c>
      <c r="D813" s="28" t="s">
        <v>1976</v>
      </c>
      <c r="E813" s="28">
        <v>282.48</v>
      </c>
      <c r="F813" s="28">
        <v>129.80000000000001</v>
      </c>
      <c r="G813" s="28" t="s">
        <v>3143</v>
      </c>
      <c r="H813" s="28">
        <v>335.7</v>
      </c>
      <c r="I813" s="30">
        <f t="shared" si="85"/>
        <v>9.9733192509895447E-3</v>
      </c>
      <c r="J813" s="30">
        <f t="shared" si="86"/>
        <v>2.858893596310896E-2</v>
      </c>
      <c r="K813" s="30">
        <f t="shared" si="87"/>
        <v>3.2596642101826001E-2</v>
      </c>
      <c r="L813" s="30">
        <f t="shared" si="88"/>
        <v>6.2500203451713258E-3</v>
      </c>
      <c r="M813" s="30">
        <f t="shared" si="89"/>
        <v>4.5713238664952846E-2</v>
      </c>
      <c r="N813" s="30">
        <f t="shared" si="90"/>
        <v>4.213793290718984E-3</v>
      </c>
      <c r="O813" s="30">
        <f t="shared" si="91"/>
        <v>6.3391329150865663E-2</v>
      </c>
    </row>
    <row r="814" spans="1:15" s="30" customFormat="1">
      <c r="A814" s="27">
        <v>44916</v>
      </c>
      <c r="B814" s="28" t="s">
        <v>800</v>
      </c>
      <c r="C814" s="28">
        <v>491.96</v>
      </c>
      <c r="D814" s="28" t="s">
        <v>1977</v>
      </c>
      <c r="E814" s="28">
        <v>290.70999999999998</v>
      </c>
      <c r="F814" s="28">
        <v>137</v>
      </c>
      <c r="G814" s="28" t="s">
        <v>3144</v>
      </c>
      <c r="H814" s="28">
        <v>351.08</v>
      </c>
      <c r="I814" s="30">
        <f t="shared" si="85"/>
        <v>-6.1381765261181399E-3</v>
      </c>
      <c r="J814" s="30">
        <f t="shared" si="86"/>
        <v>-3.206496912728043E-3</v>
      </c>
      <c r="K814" s="30">
        <f t="shared" si="87"/>
        <v>1.3204552368774018E-2</v>
      </c>
      <c r="L814" s="30">
        <f t="shared" si="88"/>
        <v>2.8718455077844304E-2</v>
      </c>
      <c r="M814" s="30">
        <f t="shared" si="89"/>
        <v>5.3986121558135272E-2</v>
      </c>
      <c r="N814" s="30">
        <f t="shared" si="90"/>
        <v>1.7259394755451275E-3</v>
      </c>
      <c r="O814" s="30">
        <f t="shared" si="91"/>
        <v>4.4796213737927679E-2</v>
      </c>
    </row>
    <row r="815" spans="1:15" s="30" customFormat="1">
      <c r="A815" s="27">
        <v>44915</v>
      </c>
      <c r="B815" s="28" t="s">
        <v>801</v>
      </c>
      <c r="C815" s="28">
        <v>493.21</v>
      </c>
      <c r="D815" s="28" t="s">
        <v>1978</v>
      </c>
      <c r="E815" s="28">
        <v>281.42</v>
      </c>
      <c r="F815" s="28">
        <v>143.80000000000001</v>
      </c>
      <c r="G815" s="28" t="s">
        <v>3145</v>
      </c>
      <c r="H815" s="28">
        <v>371.75</v>
      </c>
      <c r="I815" s="30">
        <f t="shared" si="85"/>
        <v>4.06385682338489E-3</v>
      </c>
      <c r="J815" s="30">
        <f t="shared" si="86"/>
        <v>2.5376344606320143E-3</v>
      </c>
      <c r="K815" s="30">
        <f t="shared" si="87"/>
        <v>7.2948651762981933E-3</v>
      </c>
      <c r="L815" s="30">
        <f t="shared" si="88"/>
        <v>-3.2477991337865719E-2</v>
      </c>
      <c r="M815" s="30">
        <f t="shared" si="89"/>
        <v>4.8442519458821512E-2</v>
      </c>
      <c r="N815" s="30">
        <f t="shared" si="90"/>
        <v>3.0744155084410384E-2</v>
      </c>
      <c r="O815" s="30">
        <f t="shared" si="91"/>
        <v>5.7207467616347561E-2</v>
      </c>
    </row>
    <row r="816" spans="1:15" s="30" customFormat="1">
      <c r="A816" s="27">
        <v>44914</v>
      </c>
      <c r="B816" s="28" t="s">
        <v>802</v>
      </c>
      <c r="C816" s="28">
        <v>493.42</v>
      </c>
      <c r="D816" s="28" t="s">
        <v>1979</v>
      </c>
      <c r="E816" s="28">
        <v>285.37</v>
      </c>
      <c r="F816" s="28">
        <v>147.55000000000001</v>
      </c>
      <c r="G816" s="28" t="s">
        <v>3146</v>
      </c>
      <c r="H816" s="28">
        <v>366.6</v>
      </c>
      <c r="I816" s="30">
        <f t="shared" si="85"/>
        <v>-3.8941442298996931E-4</v>
      </c>
      <c r="J816" s="30">
        <f t="shared" si="86"/>
        <v>4.256915017206312E-4</v>
      </c>
      <c r="K816" s="30">
        <f t="shared" si="87"/>
        <v>9.8376791013274822E-4</v>
      </c>
      <c r="L816" s="30">
        <f t="shared" si="88"/>
        <v>1.3938368530401811E-2</v>
      </c>
      <c r="M816" s="30">
        <f t="shared" si="89"/>
        <v>2.5743656102001994E-2</v>
      </c>
      <c r="N816" s="30">
        <f t="shared" si="90"/>
        <v>2.022245380767649E-3</v>
      </c>
      <c r="O816" s="30">
        <f t="shared" si="91"/>
        <v>-1.3950249934659742E-2</v>
      </c>
    </row>
    <row r="817" spans="1:15" s="30" customFormat="1">
      <c r="A817" s="27">
        <v>44911</v>
      </c>
      <c r="B817" s="28" t="s">
        <v>803</v>
      </c>
      <c r="C817" s="28">
        <v>495.71</v>
      </c>
      <c r="D817" s="28" t="s">
        <v>1980</v>
      </c>
      <c r="E817" s="28">
        <v>285.2</v>
      </c>
      <c r="F817" s="28">
        <v>145.75</v>
      </c>
      <c r="G817" s="28" t="s">
        <v>3147</v>
      </c>
      <c r="H817" s="28">
        <v>370.1</v>
      </c>
      <c r="I817" s="30">
        <f t="shared" si="85"/>
        <v>-8.1638427298141494E-3</v>
      </c>
      <c r="J817" s="30">
        <f t="shared" si="86"/>
        <v>4.6303399785152105E-3</v>
      </c>
      <c r="K817" s="30">
        <f t="shared" si="87"/>
        <v>-2.2716956611768743E-3</v>
      </c>
      <c r="L817" s="30">
        <f t="shared" si="88"/>
        <v>-5.9589535037057786E-4</v>
      </c>
      <c r="M817" s="30">
        <f t="shared" si="89"/>
        <v>-1.2274276158346746E-2</v>
      </c>
      <c r="N817" s="30">
        <f t="shared" si="90"/>
        <v>-1.537228380262738E-4</v>
      </c>
      <c r="O817" s="30">
        <f t="shared" si="91"/>
        <v>9.5019039865056696E-3</v>
      </c>
    </row>
    <row r="818" spans="1:15" s="30" customFormat="1">
      <c r="A818" s="27">
        <v>44910</v>
      </c>
      <c r="B818" s="28" t="s">
        <v>804</v>
      </c>
      <c r="C818" s="28">
        <v>504.54</v>
      </c>
      <c r="D818" s="28" t="s">
        <v>1981</v>
      </c>
      <c r="E818" s="28">
        <v>290.83999999999997</v>
      </c>
      <c r="F818" s="28">
        <v>149.80000000000001</v>
      </c>
      <c r="G818" s="28" t="s">
        <v>3148</v>
      </c>
      <c r="H818" s="28">
        <v>380.77</v>
      </c>
      <c r="I818" s="30">
        <f t="shared" si="85"/>
        <v>2.4150531216193493E-2</v>
      </c>
      <c r="J818" s="30">
        <f t="shared" si="86"/>
        <v>1.7656044757784237E-2</v>
      </c>
      <c r="K818" s="30">
        <f t="shared" si="87"/>
        <v>2.8010162527636094E-3</v>
      </c>
      <c r="L818" s="30">
        <f t="shared" si="88"/>
        <v>1.9582599241715265E-2</v>
      </c>
      <c r="M818" s="30">
        <f t="shared" si="89"/>
        <v>2.7408245852517318E-2</v>
      </c>
      <c r="N818" s="30">
        <f t="shared" si="90"/>
        <v>4.032882178266149E-3</v>
      </c>
      <c r="O818" s="30">
        <f t="shared" si="91"/>
        <v>2.8422278909068417E-2</v>
      </c>
    </row>
    <row r="819" spans="1:15" s="30" customFormat="1">
      <c r="A819" s="27">
        <v>44909</v>
      </c>
      <c r="B819" s="28" t="s">
        <v>805</v>
      </c>
      <c r="C819" s="28">
        <v>507.04</v>
      </c>
      <c r="D819" s="28" t="s">
        <v>1982</v>
      </c>
      <c r="E819" s="28">
        <v>292.67</v>
      </c>
      <c r="F819" s="28">
        <v>150.75</v>
      </c>
      <c r="G819" s="28" t="s">
        <v>2377</v>
      </c>
      <c r="H819" s="28">
        <v>379.38</v>
      </c>
      <c r="I819" s="30">
        <f t="shared" si="85"/>
        <v>4.8912318400909901E-3</v>
      </c>
      <c r="J819" s="30">
        <f t="shared" si="86"/>
        <v>4.9427728697490105E-3</v>
      </c>
      <c r="K819" s="30">
        <f t="shared" si="87"/>
        <v>1.7312232132032254E-2</v>
      </c>
      <c r="L819" s="30">
        <f t="shared" si="88"/>
        <v>6.2724066419310104E-3</v>
      </c>
      <c r="M819" s="30">
        <f t="shared" si="89"/>
        <v>6.3217645241756852E-3</v>
      </c>
      <c r="N819" s="30">
        <f t="shared" si="90"/>
        <v>5.497036288315351E-3</v>
      </c>
      <c r="O819" s="30">
        <f t="shared" si="91"/>
        <v>-3.6571770026019353E-3</v>
      </c>
    </row>
    <row r="820" spans="1:15" s="30" customFormat="1">
      <c r="A820" s="27">
        <v>44908</v>
      </c>
      <c r="B820" s="28" t="s">
        <v>806</v>
      </c>
      <c r="C820" s="28">
        <v>509.42</v>
      </c>
      <c r="D820" s="28" t="s">
        <v>1983</v>
      </c>
      <c r="E820" s="28">
        <v>291.74</v>
      </c>
      <c r="F820" s="28">
        <v>145.15</v>
      </c>
      <c r="G820" s="28" t="s">
        <v>3149</v>
      </c>
      <c r="H820" s="28">
        <v>364.55</v>
      </c>
      <c r="I820" s="30">
        <f t="shared" si="85"/>
        <v>1.0293476082249925E-2</v>
      </c>
      <c r="J820" s="30">
        <f t="shared" si="86"/>
        <v>4.6829277087363482E-3</v>
      </c>
      <c r="K820" s="30">
        <f t="shared" si="87"/>
        <v>-6.0738360482560042E-3</v>
      </c>
      <c r="L820" s="30">
        <f t="shared" si="88"/>
        <v>-3.1826997657197764E-3</v>
      </c>
      <c r="M820" s="30">
        <f t="shared" si="89"/>
        <v>-3.7855145136655888E-2</v>
      </c>
      <c r="N820" s="30">
        <f t="shared" si="90"/>
        <v>5.380439508856351E-3</v>
      </c>
      <c r="O820" s="30">
        <f t="shared" si="91"/>
        <v>-3.98746250461375E-2</v>
      </c>
    </row>
    <row r="821" spans="1:15" s="30" customFormat="1">
      <c r="A821" s="27">
        <v>44907</v>
      </c>
      <c r="B821" s="28" t="s">
        <v>807</v>
      </c>
      <c r="C821" s="28">
        <v>518.66999999999996</v>
      </c>
      <c r="D821" s="28" t="s">
        <v>1984</v>
      </c>
      <c r="E821" s="28">
        <v>293.36</v>
      </c>
      <c r="F821" s="28">
        <v>146.25</v>
      </c>
      <c r="G821" s="28" t="s">
        <v>3150</v>
      </c>
      <c r="H821" s="28">
        <v>356.05</v>
      </c>
      <c r="I821" s="30">
        <f t="shared" si="85"/>
        <v>-3.82988245627438E-3</v>
      </c>
      <c r="J821" s="30">
        <f t="shared" si="86"/>
        <v>1.7995019133447268E-2</v>
      </c>
      <c r="K821" s="30">
        <f t="shared" si="87"/>
        <v>-8.4828975015601143E-3</v>
      </c>
      <c r="L821" s="30">
        <f t="shared" si="88"/>
        <v>5.5375291050033804E-3</v>
      </c>
      <c r="M821" s="30">
        <f t="shared" si="89"/>
        <v>7.5497956413270147E-3</v>
      </c>
      <c r="N821" s="30">
        <f t="shared" si="90"/>
        <v>-6.4904987171661372E-3</v>
      </c>
      <c r="O821" s="30">
        <f t="shared" si="91"/>
        <v>-2.3592545824305523E-2</v>
      </c>
    </row>
    <row r="822" spans="1:15" s="30" customFormat="1">
      <c r="A822" s="27">
        <v>44904</v>
      </c>
      <c r="B822" s="28" t="s">
        <v>808</v>
      </c>
      <c r="C822" s="28">
        <v>512.63</v>
      </c>
      <c r="D822" s="28" t="s">
        <v>1985</v>
      </c>
      <c r="E822" s="28">
        <v>296.45</v>
      </c>
      <c r="F822" s="28">
        <v>147.5</v>
      </c>
      <c r="G822" s="28" t="s">
        <v>3151</v>
      </c>
      <c r="H822" s="28">
        <v>344.77</v>
      </c>
      <c r="I822" s="30">
        <f t="shared" si="85"/>
        <v>1.8957913744613988E-2</v>
      </c>
      <c r="J822" s="30">
        <f t="shared" si="86"/>
        <v>-1.1713505401532936E-2</v>
      </c>
      <c r="K822" s="30">
        <f t="shared" si="87"/>
        <v>3.9501208182454884E-3</v>
      </c>
      <c r="L822" s="30">
        <f t="shared" si="88"/>
        <v>1.0478046390306146E-2</v>
      </c>
      <c r="M822" s="30">
        <f t="shared" si="89"/>
        <v>8.5106896679086105E-3</v>
      </c>
      <c r="N822" s="30">
        <f t="shared" si="90"/>
        <v>-1.9683726747202587E-2</v>
      </c>
      <c r="O822" s="30">
        <f t="shared" si="91"/>
        <v>-3.2193642384477798E-2</v>
      </c>
    </row>
    <row r="823" spans="1:15" s="30" customFormat="1">
      <c r="A823" s="27">
        <v>44903</v>
      </c>
      <c r="B823" s="28" t="s">
        <v>809</v>
      </c>
      <c r="C823" s="28">
        <v>516.08000000000004</v>
      </c>
      <c r="D823" s="28" t="s">
        <v>1986</v>
      </c>
      <c r="E823" s="28">
        <v>296.02</v>
      </c>
      <c r="F823" s="28">
        <v>147.5</v>
      </c>
      <c r="G823" s="28" t="s">
        <v>3152</v>
      </c>
      <c r="H823" s="28">
        <v>337.3</v>
      </c>
      <c r="I823" s="30">
        <f t="shared" si="85"/>
        <v>-1.7058499267151295E-3</v>
      </c>
      <c r="J823" s="30">
        <f t="shared" si="86"/>
        <v>6.7074548407249513E-3</v>
      </c>
      <c r="K823" s="30">
        <f t="shared" si="87"/>
        <v>-1.4277665397447901E-3</v>
      </c>
      <c r="L823" s="30">
        <f t="shared" si="88"/>
        <v>-1.4515505443340184E-3</v>
      </c>
      <c r="M823" s="30">
        <f t="shared" si="89"/>
        <v>0</v>
      </c>
      <c r="N823" s="30">
        <f t="shared" si="90"/>
        <v>4.0563510827602645E-3</v>
      </c>
      <c r="O823" s="30">
        <f t="shared" si="91"/>
        <v>-2.1904785976051323E-2</v>
      </c>
    </row>
    <row r="824" spans="1:15" s="30" customFormat="1">
      <c r="A824" s="27">
        <v>44902</v>
      </c>
      <c r="B824" s="28" t="s">
        <v>810</v>
      </c>
      <c r="C824" s="28">
        <v>517.79</v>
      </c>
      <c r="D824" s="28" t="s">
        <v>1987</v>
      </c>
      <c r="E824" s="28">
        <v>295.39</v>
      </c>
      <c r="F824" s="28">
        <v>147.44999999999999</v>
      </c>
      <c r="G824" s="28" t="s">
        <v>3153</v>
      </c>
      <c r="H824" s="28">
        <v>331.77</v>
      </c>
      <c r="I824" s="30">
        <f t="shared" si="85"/>
        <v>1.566389637806398E-3</v>
      </c>
      <c r="J824" s="30">
        <f t="shared" si="86"/>
        <v>3.3079624311032393E-3</v>
      </c>
      <c r="K824" s="30">
        <f t="shared" si="87"/>
        <v>-2.7485474484313975E-3</v>
      </c>
      <c r="L824" s="30">
        <f t="shared" si="88"/>
        <v>-2.1305024882894235E-3</v>
      </c>
      <c r="M824" s="30">
        <f t="shared" si="89"/>
        <v>-3.3904051858937151E-4</v>
      </c>
      <c r="N824" s="30">
        <f t="shared" si="90"/>
        <v>6.3726084172573642E-3</v>
      </c>
      <c r="O824" s="30">
        <f t="shared" si="91"/>
        <v>-1.6530784312226338E-2</v>
      </c>
    </row>
    <row r="825" spans="1:15" s="30" customFormat="1">
      <c r="A825" s="27">
        <v>44901</v>
      </c>
      <c r="B825" s="28" t="s">
        <v>811</v>
      </c>
      <c r="C825" s="28">
        <v>515.41999999999996</v>
      </c>
      <c r="D825" s="28" t="s">
        <v>1988</v>
      </c>
      <c r="E825" s="28">
        <v>295.16000000000003</v>
      </c>
      <c r="F825" s="28">
        <v>144.25</v>
      </c>
      <c r="G825" s="28" t="s">
        <v>3154</v>
      </c>
      <c r="H825" s="28">
        <v>334.65</v>
      </c>
      <c r="I825" s="30">
        <f t="shared" si="85"/>
        <v>-2.0288100767893797E-2</v>
      </c>
      <c r="J825" s="30">
        <f t="shared" si="86"/>
        <v>-4.587652377915529E-3</v>
      </c>
      <c r="K825" s="30">
        <f t="shared" si="87"/>
        <v>4.6642928270855168E-3</v>
      </c>
      <c r="L825" s="30">
        <f t="shared" si="88"/>
        <v>-7.7893493058722697E-4</v>
      </c>
      <c r="M825" s="30">
        <f t="shared" si="89"/>
        <v>-2.1941229873076201E-2</v>
      </c>
      <c r="N825" s="30">
        <f t="shared" si="90"/>
        <v>1.1560569752338205E-2</v>
      </c>
      <c r="O825" s="30">
        <f t="shared" si="91"/>
        <v>8.6432517912728817E-3</v>
      </c>
    </row>
    <row r="826" spans="1:15" s="30" customFormat="1">
      <c r="A826" s="27">
        <v>44900</v>
      </c>
      <c r="B826" s="28" t="s">
        <v>812</v>
      </c>
      <c r="C826" s="28">
        <v>518.5</v>
      </c>
      <c r="D826" s="28" t="s">
        <v>1989</v>
      </c>
      <c r="E826" s="28">
        <v>296.92</v>
      </c>
      <c r="F826" s="28">
        <v>145</v>
      </c>
      <c r="G826" s="28" t="s">
        <v>3155</v>
      </c>
      <c r="H826" s="28">
        <v>337.52</v>
      </c>
      <c r="I826" s="30">
        <f t="shared" si="85"/>
        <v>-1.5193241931244794E-3</v>
      </c>
      <c r="J826" s="30">
        <f t="shared" si="86"/>
        <v>5.9579253924079943E-3</v>
      </c>
      <c r="K826" s="30">
        <f t="shared" si="87"/>
        <v>2.0993447260417215E-3</v>
      </c>
      <c r="L826" s="30">
        <f t="shared" si="88"/>
        <v>5.9451600591803209E-3</v>
      </c>
      <c r="M826" s="30">
        <f t="shared" si="89"/>
        <v>5.1858370323654155E-3</v>
      </c>
      <c r="N826" s="30">
        <f t="shared" si="90"/>
        <v>5.4304737793664515E-4</v>
      </c>
      <c r="O826" s="30">
        <f t="shared" si="91"/>
        <v>8.539558269431962E-3</v>
      </c>
    </row>
    <row r="827" spans="1:15" s="30" customFormat="1">
      <c r="A827" s="27">
        <v>44897</v>
      </c>
      <c r="B827" s="28" t="s">
        <v>813</v>
      </c>
      <c r="C827" s="28">
        <v>513.66999999999996</v>
      </c>
      <c r="D827" s="28" t="s">
        <v>1990</v>
      </c>
      <c r="E827" s="28">
        <v>292.5</v>
      </c>
      <c r="F827" s="28">
        <v>145.30000000000001</v>
      </c>
      <c r="G827" s="28" t="s">
        <v>3156</v>
      </c>
      <c r="H827" s="28">
        <v>347.67</v>
      </c>
      <c r="I827" s="30">
        <f t="shared" si="85"/>
        <v>-4.2696105557020279E-3</v>
      </c>
      <c r="J827" s="30">
        <f t="shared" si="86"/>
        <v>-9.3589917459642596E-3</v>
      </c>
      <c r="K827" s="30">
        <f t="shared" si="87"/>
        <v>4.0363324224603316E-3</v>
      </c>
      <c r="L827" s="30">
        <f t="shared" si="88"/>
        <v>-1.4998075577435122E-2</v>
      </c>
      <c r="M827" s="30">
        <f t="shared" si="89"/>
        <v>2.0668281556628885E-3</v>
      </c>
      <c r="N827" s="30">
        <f t="shared" si="90"/>
        <v>-2.5440050249859064E-3</v>
      </c>
      <c r="O827" s="30">
        <f t="shared" si="91"/>
        <v>2.9628986198326199E-2</v>
      </c>
    </row>
    <row r="828" spans="1:15" s="30" customFormat="1">
      <c r="A828" s="27">
        <v>44896</v>
      </c>
      <c r="B828" s="28" t="s">
        <v>814</v>
      </c>
      <c r="C828" s="28">
        <v>517.04</v>
      </c>
      <c r="D828" s="28" t="s">
        <v>1991</v>
      </c>
      <c r="E828" s="28">
        <v>293.02999999999997</v>
      </c>
      <c r="F828" s="28">
        <v>146.25</v>
      </c>
      <c r="G828" s="28" t="s">
        <v>3157</v>
      </c>
      <c r="H828" s="28">
        <v>347.4</v>
      </c>
      <c r="I828" s="30">
        <f t="shared" si="85"/>
        <v>1.1355850506283686E-2</v>
      </c>
      <c r="J828" s="30">
        <f t="shared" si="86"/>
        <v>6.539205031022205E-3</v>
      </c>
      <c r="K828" s="30">
        <f t="shared" si="87"/>
        <v>-4.2610515245297513E-3</v>
      </c>
      <c r="L828" s="30">
        <f t="shared" si="88"/>
        <v>1.810326182250421E-3</v>
      </c>
      <c r="M828" s="30">
        <f t="shared" si="89"/>
        <v>6.516915535728641E-3</v>
      </c>
      <c r="N828" s="30">
        <f t="shared" si="90"/>
        <v>5.2237507717559019E-4</v>
      </c>
      <c r="O828" s="30">
        <f t="shared" si="91"/>
        <v>-7.7690020740488837E-4</v>
      </c>
    </row>
    <row r="829" spans="1:15" s="30" customFormat="1">
      <c r="A829" s="27">
        <v>44895</v>
      </c>
      <c r="B829" s="28" t="s">
        <v>815</v>
      </c>
      <c r="C829" s="28">
        <v>518.66999999999996</v>
      </c>
      <c r="D829" s="28" t="s">
        <v>1992</v>
      </c>
      <c r="E829" s="28">
        <v>297.61</v>
      </c>
      <c r="F829" s="28">
        <v>147.19999999999999</v>
      </c>
      <c r="G829" s="28" t="s">
        <v>3158</v>
      </c>
      <c r="H829" s="28">
        <v>348.63</v>
      </c>
      <c r="I829" s="30">
        <f t="shared" si="85"/>
        <v>-1.3218980601447886E-3</v>
      </c>
      <c r="J829" s="30">
        <f t="shared" si="86"/>
        <v>3.1476018301542317E-3</v>
      </c>
      <c r="K829" s="30">
        <f t="shared" si="87"/>
        <v>5.5283843316980283E-3</v>
      </c>
      <c r="L829" s="30">
        <f t="shared" si="88"/>
        <v>1.5508911690773203E-2</v>
      </c>
      <c r="M829" s="30">
        <f t="shared" si="89"/>
        <v>6.4747201828098773E-3</v>
      </c>
      <c r="N829" s="30">
        <f t="shared" si="90"/>
        <v>-5.6955342669534701E-3</v>
      </c>
      <c r="O829" s="30">
        <f t="shared" si="91"/>
        <v>3.534334095887466E-3</v>
      </c>
    </row>
    <row r="830" spans="1:15" s="30" customFormat="1">
      <c r="A830" s="27">
        <v>44894</v>
      </c>
      <c r="B830" s="28" t="s">
        <v>816</v>
      </c>
      <c r="C830" s="28">
        <v>510.17</v>
      </c>
      <c r="D830" s="28" t="s">
        <v>1993</v>
      </c>
      <c r="E830" s="28">
        <v>297.20999999999998</v>
      </c>
      <c r="F830" s="28">
        <v>147</v>
      </c>
      <c r="G830" s="28" t="s">
        <v>3159</v>
      </c>
      <c r="H830" s="28">
        <v>346.5</v>
      </c>
      <c r="I830" s="30">
        <f t="shared" si="85"/>
        <v>-1.2709752402157996E-2</v>
      </c>
      <c r="J830" s="30">
        <f t="shared" si="86"/>
        <v>-1.65238392763024E-2</v>
      </c>
      <c r="K830" s="30">
        <f t="shared" si="87"/>
        <v>-1.1878804921648315E-2</v>
      </c>
      <c r="L830" s="30">
        <f t="shared" si="88"/>
        <v>-1.3449448918863539E-3</v>
      </c>
      <c r="M830" s="30">
        <f t="shared" si="89"/>
        <v>-1.3596195160394844E-3</v>
      </c>
      <c r="N830" s="30">
        <f t="shared" si="90"/>
        <v>8.5420318485795454E-3</v>
      </c>
      <c r="O830" s="30">
        <f t="shared" si="91"/>
        <v>-6.1283692729340406E-3</v>
      </c>
    </row>
    <row r="831" spans="1:15" s="30" customFormat="1">
      <c r="A831" s="27">
        <v>44893</v>
      </c>
      <c r="B831" s="28" t="s">
        <v>817</v>
      </c>
      <c r="C831" s="28">
        <v>516.16999999999996</v>
      </c>
      <c r="D831" s="28" t="s">
        <v>1994</v>
      </c>
      <c r="E831" s="28">
        <v>294.95999999999998</v>
      </c>
      <c r="F831" s="28">
        <v>147.9</v>
      </c>
      <c r="G831" s="28" t="s">
        <v>3160</v>
      </c>
      <c r="H831" s="28">
        <v>346.67</v>
      </c>
      <c r="I831" s="30">
        <f t="shared" si="85"/>
        <v>5.138209753540921E-3</v>
      </c>
      <c r="J831" s="30">
        <f t="shared" si="86"/>
        <v>1.1692165078251476E-2</v>
      </c>
      <c r="K831" s="30">
        <f t="shared" si="87"/>
        <v>9.3051849561409557E-3</v>
      </c>
      <c r="L831" s="30">
        <f t="shared" si="88"/>
        <v>-7.5992057271594676E-3</v>
      </c>
      <c r="M831" s="30">
        <f t="shared" si="89"/>
        <v>6.1037829380178859E-3</v>
      </c>
      <c r="N831" s="30">
        <f t="shared" si="90"/>
        <v>-1.9329972897260553E-3</v>
      </c>
      <c r="O831" s="30">
        <f t="shared" si="91"/>
        <v>4.9050017573865545E-4</v>
      </c>
    </row>
    <row r="832" spans="1:15" s="30" customFormat="1">
      <c r="A832" s="27">
        <v>44890</v>
      </c>
      <c r="B832" s="28" t="s">
        <v>818</v>
      </c>
      <c r="C832" s="28">
        <v>513.91999999999996</v>
      </c>
      <c r="D832" s="28" t="s">
        <v>1995</v>
      </c>
      <c r="E832" s="28">
        <v>288.92</v>
      </c>
      <c r="F832" s="28">
        <v>149.6</v>
      </c>
      <c r="G832" s="28" t="s">
        <v>3161</v>
      </c>
      <c r="H832" s="28">
        <v>343.65</v>
      </c>
      <c r="I832" s="30">
        <f t="shared" si="85"/>
        <v>-1.3755638785494696E-2</v>
      </c>
      <c r="J832" s="30">
        <f t="shared" si="86"/>
        <v>-4.3685572684012642E-3</v>
      </c>
      <c r="K832" s="30">
        <f t="shared" si="87"/>
        <v>-1.5013545603811072E-2</v>
      </c>
      <c r="L832" s="30">
        <f t="shared" si="88"/>
        <v>-2.0689920743242912E-2</v>
      </c>
      <c r="M832" s="30">
        <f t="shared" si="89"/>
        <v>1.1428695823622629E-2</v>
      </c>
      <c r="N832" s="30">
        <f t="shared" si="90"/>
        <v>4.3818808046746979E-3</v>
      </c>
      <c r="O832" s="30">
        <f t="shared" si="91"/>
        <v>-8.7496212380824036E-3</v>
      </c>
    </row>
    <row r="833" spans="1:15" s="30" customFormat="1">
      <c r="A833" s="27">
        <v>44889</v>
      </c>
      <c r="B833" s="28" t="s">
        <v>819</v>
      </c>
      <c r="C833" s="28">
        <v>512.38</v>
      </c>
      <c r="D833" s="28" t="s">
        <v>1980</v>
      </c>
      <c r="E833" s="28">
        <v>287.39</v>
      </c>
      <c r="F833" s="28">
        <v>146.9</v>
      </c>
      <c r="G833" s="28" t="s">
        <v>3162</v>
      </c>
      <c r="H833" s="28">
        <v>352.88</v>
      </c>
      <c r="I833" s="30">
        <f t="shared" si="85"/>
        <v>2.2977618992125019E-3</v>
      </c>
      <c r="J833" s="30">
        <f t="shared" si="86"/>
        <v>-3.0010740637765954E-3</v>
      </c>
      <c r="K833" s="30">
        <f t="shared" si="87"/>
        <v>1.8954112151361823E-4</v>
      </c>
      <c r="L833" s="30">
        <f t="shared" si="88"/>
        <v>-5.3096548542754789E-3</v>
      </c>
      <c r="M833" s="30">
        <f t="shared" si="89"/>
        <v>-1.8212982360545152E-2</v>
      </c>
      <c r="N833" s="30">
        <f t="shared" si="90"/>
        <v>1.0507374252682073E-2</v>
      </c>
      <c r="O833" s="30">
        <f t="shared" si="91"/>
        <v>2.6504358229070088E-2</v>
      </c>
    </row>
    <row r="834" spans="1:15" s="30" customFormat="1">
      <c r="A834" s="27">
        <v>44888</v>
      </c>
      <c r="B834" s="28" t="s">
        <v>820</v>
      </c>
      <c r="C834" s="28">
        <v>511.63</v>
      </c>
      <c r="D834" s="28" t="s">
        <v>1996</v>
      </c>
      <c r="E834" s="28">
        <v>286.76</v>
      </c>
      <c r="F834" s="28">
        <v>150.75</v>
      </c>
      <c r="G834" s="28" t="s">
        <v>3163</v>
      </c>
      <c r="H834" s="28">
        <v>334.5</v>
      </c>
      <c r="I834" s="30">
        <f t="shared" si="85"/>
        <v>-4.6653130739665984E-3</v>
      </c>
      <c r="J834" s="30">
        <f t="shared" si="86"/>
        <v>-1.4648297069518408E-3</v>
      </c>
      <c r="K834" s="30">
        <f t="shared" si="87"/>
        <v>3.1789309241295658E-3</v>
      </c>
      <c r="L834" s="30">
        <f t="shared" si="88"/>
        <v>-2.1945493436991716E-3</v>
      </c>
      <c r="M834" s="30">
        <f t="shared" si="89"/>
        <v>2.5870752427463169E-2</v>
      </c>
      <c r="N834" s="30">
        <f t="shared" si="90"/>
        <v>6.7668066901389557E-3</v>
      </c>
      <c r="O834" s="30">
        <f t="shared" si="91"/>
        <v>-5.3491176228401174E-2</v>
      </c>
    </row>
    <row r="835" spans="1:15" s="30" customFormat="1">
      <c r="A835" s="27">
        <v>44887</v>
      </c>
      <c r="B835" s="28" t="s">
        <v>821</v>
      </c>
      <c r="C835" s="28">
        <v>508.04</v>
      </c>
      <c r="D835" s="28" t="s">
        <v>1997</v>
      </c>
      <c r="E835" s="28">
        <v>288.29000000000002</v>
      </c>
      <c r="F835" s="28">
        <v>150.94999999999999</v>
      </c>
      <c r="G835" s="28" t="s">
        <v>3164</v>
      </c>
      <c r="H835" s="28">
        <v>335.75</v>
      </c>
      <c r="I835" s="30">
        <f t="shared" si="85"/>
        <v>9.8313369671618059E-4</v>
      </c>
      <c r="J835" s="30">
        <f t="shared" si="86"/>
        <v>-7.0415229114949088E-3</v>
      </c>
      <c r="K835" s="30">
        <f t="shared" si="87"/>
        <v>4.0724038182584528E-3</v>
      </c>
      <c r="L835" s="30">
        <f t="shared" si="88"/>
        <v>5.3212889672311125E-3</v>
      </c>
      <c r="M835" s="30">
        <f t="shared" si="89"/>
        <v>1.3258205455528016E-3</v>
      </c>
      <c r="N835" s="30">
        <f t="shared" si="90"/>
        <v>6.3802639340057154E-4</v>
      </c>
      <c r="O835" s="30">
        <f t="shared" si="91"/>
        <v>3.729955835063789E-3</v>
      </c>
    </row>
    <row r="836" spans="1:15" s="30" customFormat="1">
      <c r="A836" s="27">
        <v>44886</v>
      </c>
      <c r="B836" s="28" t="s">
        <v>822</v>
      </c>
      <c r="C836" s="28">
        <v>504.25</v>
      </c>
      <c r="D836" s="28" t="s">
        <v>1998</v>
      </c>
      <c r="E836" s="28">
        <v>288.55</v>
      </c>
      <c r="F836" s="28">
        <v>152.94999999999999</v>
      </c>
      <c r="G836" s="28" t="s">
        <v>3164</v>
      </c>
      <c r="H836" s="28">
        <v>330.75</v>
      </c>
      <c r="I836" s="30">
        <f t="shared" ref="I836:I899" si="92">LN(B836/B835)</f>
        <v>-2.7584444388094767E-3</v>
      </c>
      <c r="J836" s="30">
        <f t="shared" ref="J836:J899" si="93">LN(C836/C835)</f>
        <v>-7.4880078017976401E-3</v>
      </c>
      <c r="K836" s="30">
        <f t="shared" ref="K836:K899" si="94">LN(D836/D835)</f>
        <v>1.0481491481400153E-2</v>
      </c>
      <c r="L836" s="30">
        <f t="shared" ref="L836:L899" si="95">LN(E836/E835)</f>
        <v>9.0146320507291202E-4</v>
      </c>
      <c r="M836" s="30">
        <f t="shared" ref="M836:M899" si="96">LN(F836/F835)</f>
        <v>1.3162414444064578E-2</v>
      </c>
      <c r="N836" s="30">
        <f t="shared" ref="N836:N899" si="97">LN(G836/G835)</f>
        <v>0</v>
      </c>
      <c r="O836" s="30">
        <f t="shared" ref="O836:O899" si="98">LN(H836/H835)</f>
        <v>-1.5004032408281898E-2</v>
      </c>
    </row>
    <row r="837" spans="1:15" s="30" customFormat="1">
      <c r="A837" s="27">
        <v>44883</v>
      </c>
      <c r="B837" s="28" t="s">
        <v>823</v>
      </c>
      <c r="C837" s="28">
        <v>502.96</v>
      </c>
      <c r="D837" s="28" t="s">
        <v>1999</v>
      </c>
      <c r="E837" s="28">
        <v>288.12</v>
      </c>
      <c r="F837" s="28">
        <v>152.69999999999999</v>
      </c>
      <c r="G837" s="28" t="s">
        <v>3165</v>
      </c>
      <c r="H837" s="28">
        <v>342.2</v>
      </c>
      <c r="I837" s="30">
        <f t="shared" si="92"/>
        <v>6.4612004932945055E-5</v>
      </c>
      <c r="J837" s="30">
        <f t="shared" si="93"/>
        <v>-2.5615327595155664E-3</v>
      </c>
      <c r="K837" s="30">
        <f t="shared" si="94"/>
        <v>-4.7030805960608683E-3</v>
      </c>
      <c r="L837" s="30">
        <f t="shared" si="95"/>
        <v>-1.4913211358133405E-3</v>
      </c>
      <c r="M837" s="30">
        <f t="shared" si="96"/>
        <v>-1.6358583723257388E-3</v>
      </c>
      <c r="N837" s="30">
        <f t="shared" si="97"/>
        <v>-5.0301702499699974E-3</v>
      </c>
      <c r="O837" s="30">
        <f t="shared" si="98"/>
        <v>3.4032558463027968E-2</v>
      </c>
    </row>
    <row r="838" spans="1:15" s="30" customFormat="1">
      <c r="A838" s="27">
        <v>44882</v>
      </c>
      <c r="B838" s="28" t="s">
        <v>824</v>
      </c>
      <c r="C838" s="28">
        <v>508.17</v>
      </c>
      <c r="D838" s="28" t="s">
        <v>2000</v>
      </c>
      <c r="E838" s="28">
        <v>294.16000000000003</v>
      </c>
      <c r="F838" s="28">
        <v>150.25</v>
      </c>
      <c r="G838" s="28" t="s">
        <v>3166</v>
      </c>
      <c r="H838" s="28">
        <v>315.95</v>
      </c>
      <c r="I838" s="30">
        <f t="shared" si="92"/>
        <v>-7.750845502898349E-3</v>
      </c>
      <c r="J838" s="30">
        <f t="shared" si="93"/>
        <v>1.0305393191594613E-2</v>
      </c>
      <c r="K838" s="30">
        <f t="shared" si="94"/>
        <v>6.6004378869275338E-3</v>
      </c>
      <c r="L838" s="30">
        <f t="shared" si="95"/>
        <v>2.0746776971854446E-2</v>
      </c>
      <c r="M838" s="30">
        <f t="shared" si="96"/>
        <v>-1.6174638809269705E-2</v>
      </c>
      <c r="N838" s="30">
        <f t="shared" si="97"/>
        <v>-2.610297173009419E-3</v>
      </c>
      <c r="O838" s="30">
        <f t="shared" si="98"/>
        <v>-7.9811388238628808E-2</v>
      </c>
    </row>
    <row r="839" spans="1:15" s="30" customFormat="1">
      <c r="A839" s="27">
        <v>44881</v>
      </c>
      <c r="B839" s="28" t="s">
        <v>825</v>
      </c>
      <c r="C839" s="28">
        <v>507.13</v>
      </c>
      <c r="D839" s="28" t="s">
        <v>2001</v>
      </c>
      <c r="E839" s="28">
        <v>295.58999999999997</v>
      </c>
      <c r="F839" s="28">
        <v>149.85</v>
      </c>
      <c r="G839" s="28" t="s">
        <v>3167</v>
      </c>
      <c r="H839" s="28">
        <v>321.35000000000002</v>
      </c>
      <c r="I839" s="30">
        <f t="shared" si="92"/>
        <v>3.7207682677623112E-3</v>
      </c>
      <c r="J839" s="30">
        <f t="shared" si="93"/>
        <v>-2.0486562862983681E-3</v>
      </c>
      <c r="K839" s="30">
        <f t="shared" si="94"/>
        <v>7.2584846324740297E-3</v>
      </c>
      <c r="L839" s="30">
        <f t="shared" si="95"/>
        <v>4.8495220094761111E-3</v>
      </c>
      <c r="M839" s="30">
        <f t="shared" si="96"/>
        <v>-2.6657796526448085E-3</v>
      </c>
      <c r="N839" s="30">
        <f t="shared" si="97"/>
        <v>-1.3393490627426808E-2</v>
      </c>
      <c r="O839" s="30">
        <f t="shared" si="98"/>
        <v>1.6946898597831092E-2</v>
      </c>
    </row>
    <row r="840" spans="1:15" s="30" customFormat="1">
      <c r="A840" s="27">
        <v>44880</v>
      </c>
      <c r="B840" s="28" t="s">
        <v>826</v>
      </c>
      <c r="C840" s="28">
        <v>507.75</v>
      </c>
      <c r="D840" s="28" t="s">
        <v>2002</v>
      </c>
      <c r="E840" s="28">
        <v>294.56</v>
      </c>
      <c r="F840" s="28">
        <v>148.6</v>
      </c>
      <c r="G840" s="28" t="s">
        <v>3168</v>
      </c>
      <c r="H840" s="28">
        <v>324.85000000000002</v>
      </c>
      <c r="I840" s="30">
        <f t="shared" si="92"/>
        <v>-1.2170683141633401E-3</v>
      </c>
      <c r="J840" s="30">
        <f t="shared" si="93"/>
        <v>1.2218194803921504E-3</v>
      </c>
      <c r="K840" s="30">
        <f t="shared" si="94"/>
        <v>1.3669475329156328E-2</v>
      </c>
      <c r="L840" s="30">
        <f t="shared" si="95"/>
        <v>-3.490641517725112E-3</v>
      </c>
      <c r="M840" s="30">
        <f t="shared" si="96"/>
        <v>-8.3766614790134614E-3</v>
      </c>
      <c r="N840" s="30">
        <f t="shared" si="97"/>
        <v>-1.3036111870901445E-3</v>
      </c>
      <c r="O840" s="30">
        <f t="shared" si="98"/>
        <v>1.0832665509244853E-2</v>
      </c>
    </row>
    <row r="841" spans="1:15" s="30" customFormat="1">
      <c r="A841" s="27">
        <v>44879</v>
      </c>
      <c r="B841" s="28" t="s">
        <v>402</v>
      </c>
      <c r="C841" s="28">
        <v>501.17</v>
      </c>
      <c r="D841" s="28" t="s">
        <v>2003</v>
      </c>
      <c r="E841" s="28">
        <v>292.7</v>
      </c>
      <c r="F841" s="28">
        <v>154.4</v>
      </c>
      <c r="G841" s="28" t="s">
        <v>120</v>
      </c>
      <c r="H841" s="28">
        <v>334.08</v>
      </c>
      <c r="I841" s="30">
        <f t="shared" si="92"/>
        <v>-8.5120774856721742E-3</v>
      </c>
      <c r="J841" s="30">
        <f t="shared" si="93"/>
        <v>-1.3043835574815867E-2</v>
      </c>
      <c r="K841" s="30">
        <f t="shared" si="94"/>
        <v>1.5780773455167253E-2</v>
      </c>
      <c r="L841" s="30">
        <f t="shared" si="95"/>
        <v>-6.334523786927569E-3</v>
      </c>
      <c r="M841" s="30">
        <f t="shared" si="96"/>
        <v>3.82885053070171E-2</v>
      </c>
      <c r="N841" s="30">
        <f t="shared" si="97"/>
        <v>1.8396572498012683E-2</v>
      </c>
      <c r="O841" s="30">
        <f t="shared" si="98"/>
        <v>2.8016947927679094E-2</v>
      </c>
    </row>
    <row r="842" spans="1:15" s="30" customFormat="1">
      <c r="A842" s="27">
        <v>44876</v>
      </c>
      <c r="B842" s="28" t="s">
        <v>827</v>
      </c>
      <c r="C842" s="28">
        <v>498.42</v>
      </c>
      <c r="D842" s="28" t="s">
        <v>2004</v>
      </c>
      <c r="E842" s="28">
        <v>297.02</v>
      </c>
      <c r="F842" s="28">
        <v>154.15</v>
      </c>
      <c r="G842" s="28" t="s">
        <v>3169</v>
      </c>
      <c r="H842" s="28">
        <v>325.85000000000002</v>
      </c>
      <c r="I842" s="30">
        <f t="shared" si="92"/>
        <v>7.2029600730723277E-4</v>
      </c>
      <c r="J842" s="30">
        <f t="shared" si="93"/>
        <v>-5.5022698066430247E-3</v>
      </c>
      <c r="K842" s="30">
        <f t="shared" si="94"/>
        <v>3.0868281482298192E-2</v>
      </c>
      <c r="L842" s="30">
        <f t="shared" si="95"/>
        <v>1.465128290495887E-2</v>
      </c>
      <c r="M842" s="30">
        <f t="shared" si="96"/>
        <v>-1.620483258516437E-3</v>
      </c>
      <c r="N842" s="30">
        <f t="shared" si="97"/>
        <v>-3.0888394402196279E-2</v>
      </c>
      <c r="O842" s="30">
        <f t="shared" si="98"/>
        <v>-2.4943332475829753E-2</v>
      </c>
    </row>
    <row r="843" spans="1:15" s="30" customFormat="1">
      <c r="A843" s="27">
        <v>44875</v>
      </c>
      <c r="B843" s="28" t="s">
        <v>828</v>
      </c>
      <c r="C843" s="28">
        <v>485.96</v>
      </c>
      <c r="D843" s="28" t="s">
        <v>2005</v>
      </c>
      <c r="E843" s="28">
        <v>294.29000000000002</v>
      </c>
      <c r="F843" s="28">
        <v>155.19999999999999</v>
      </c>
      <c r="G843" s="28" t="s">
        <v>3170</v>
      </c>
      <c r="H843" s="28">
        <v>319.85000000000002</v>
      </c>
      <c r="I843" s="30">
        <f t="shared" si="92"/>
        <v>-3.3603559171685718E-3</v>
      </c>
      <c r="J843" s="30">
        <f t="shared" si="93"/>
        <v>-2.5316779092493909E-2</v>
      </c>
      <c r="K843" s="30">
        <f t="shared" si="94"/>
        <v>-6.7272252168803972E-3</v>
      </c>
      <c r="L843" s="30">
        <f t="shared" si="95"/>
        <v>-9.2338008737304841E-3</v>
      </c>
      <c r="M843" s="30">
        <f t="shared" si="96"/>
        <v>6.7884534169588492E-3</v>
      </c>
      <c r="N843" s="30">
        <f t="shared" si="97"/>
        <v>-1.8126981891857945E-2</v>
      </c>
      <c r="O843" s="30">
        <f t="shared" si="98"/>
        <v>-1.8585016882242799E-2</v>
      </c>
    </row>
    <row r="844" spans="1:15" s="30" customFormat="1">
      <c r="A844" s="27">
        <v>44874</v>
      </c>
      <c r="B844" s="28" t="s">
        <v>829</v>
      </c>
      <c r="C844" s="28">
        <v>490.58</v>
      </c>
      <c r="D844" s="28" t="s">
        <v>2006</v>
      </c>
      <c r="E844" s="28">
        <v>295.12</v>
      </c>
      <c r="F844" s="28">
        <v>157.85</v>
      </c>
      <c r="G844" s="28" t="s">
        <v>3171</v>
      </c>
      <c r="H844" s="28">
        <v>315.60000000000002</v>
      </c>
      <c r="I844" s="30">
        <f t="shared" si="92"/>
        <v>1.3487601819496573E-2</v>
      </c>
      <c r="J844" s="30">
        <f t="shared" si="93"/>
        <v>9.462048598395523E-3</v>
      </c>
      <c r="K844" s="30">
        <f t="shared" si="94"/>
        <v>9.0890029329094538E-4</v>
      </c>
      <c r="L844" s="30">
        <f t="shared" si="95"/>
        <v>2.8163775593514802E-3</v>
      </c>
      <c r="M844" s="30">
        <f t="shared" si="96"/>
        <v>1.6930607254882334E-2</v>
      </c>
      <c r="N844" s="30">
        <f t="shared" si="97"/>
        <v>-1.798223137706929E-2</v>
      </c>
      <c r="O844" s="30">
        <f t="shared" si="98"/>
        <v>-1.3376546924427432E-2</v>
      </c>
    </row>
    <row r="845" spans="1:15" s="30" customFormat="1">
      <c r="A845" s="27">
        <v>44872</v>
      </c>
      <c r="B845" s="28" t="s">
        <v>830</v>
      </c>
      <c r="C845" s="28">
        <v>512.04</v>
      </c>
      <c r="D845" s="28" t="s">
        <v>2007</v>
      </c>
      <c r="E845" s="28">
        <v>300.73</v>
      </c>
      <c r="F845" s="28">
        <v>157.80000000000001</v>
      </c>
      <c r="G845" s="28" t="s">
        <v>3172</v>
      </c>
      <c r="H845" s="28">
        <v>324.08</v>
      </c>
      <c r="I845" s="30">
        <f t="shared" si="92"/>
        <v>5.5088547325756456E-3</v>
      </c>
      <c r="J845" s="30">
        <f t="shared" si="93"/>
        <v>4.2814382402972015E-2</v>
      </c>
      <c r="K845" s="30">
        <f t="shared" si="94"/>
        <v>4.2147507198101876E-2</v>
      </c>
      <c r="L845" s="30">
        <f t="shared" si="95"/>
        <v>1.8830798939489919E-2</v>
      </c>
      <c r="M845" s="30">
        <f t="shared" si="96"/>
        <v>-3.1680659222667806E-4</v>
      </c>
      <c r="N845" s="30">
        <f t="shared" si="97"/>
        <v>-3.9264535723007227E-2</v>
      </c>
      <c r="O845" s="30">
        <f t="shared" si="98"/>
        <v>2.651480992271589E-2</v>
      </c>
    </row>
    <row r="846" spans="1:15" s="30" customFormat="1">
      <c r="A846" s="27">
        <v>44869</v>
      </c>
      <c r="B846" s="28" t="s">
        <v>831</v>
      </c>
      <c r="C846" s="28">
        <v>503.54</v>
      </c>
      <c r="D846" s="28" t="s">
        <v>2008</v>
      </c>
      <c r="E846" s="28">
        <v>297.35000000000002</v>
      </c>
      <c r="F846" s="28">
        <v>157.44999999999999</v>
      </c>
      <c r="G846" s="28" t="s">
        <v>3173</v>
      </c>
      <c r="H846" s="28">
        <v>325.23</v>
      </c>
      <c r="I846" s="30">
        <f t="shared" si="92"/>
        <v>2.4759017422938689E-2</v>
      </c>
      <c r="J846" s="30">
        <f t="shared" si="93"/>
        <v>-1.6739594092039976E-2</v>
      </c>
      <c r="K846" s="30">
        <f t="shared" si="94"/>
        <v>3.3015650241019878E-2</v>
      </c>
      <c r="L846" s="30">
        <f t="shared" si="95"/>
        <v>-1.1302956075307307E-2</v>
      </c>
      <c r="M846" s="30">
        <f t="shared" si="96"/>
        <v>-2.22046086474041E-3</v>
      </c>
      <c r="N846" s="30">
        <f t="shared" si="97"/>
        <v>-5.4611723882263684E-4</v>
      </c>
      <c r="O846" s="30">
        <f t="shared" si="98"/>
        <v>3.5422254468750634E-3</v>
      </c>
    </row>
    <row r="847" spans="1:15" s="30" customFormat="1">
      <c r="A847" s="27">
        <v>44868</v>
      </c>
      <c r="B847" s="28" t="s">
        <v>832</v>
      </c>
      <c r="C847" s="28">
        <v>505.58</v>
      </c>
      <c r="D847" s="28" t="s">
        <v>2009</v>
      </c>
      <c r="E847" s="28">
        <v>308.2</v>
      </c>
      <c r="F847" s="28">
        <v>157.6</v>
      </c>
      <c r="G847" s="28" t="s">
        <v>3174</v>
      </c>
      <c r="H847" s="28">
        <v>314.23</v>
      </c>
      <c r="I847" s="30">
        <f t="shared" si="92"/>
        <v>-1.2668908027938889E-2</v>
      </c>
      <c r="J847" s="30">
        <f t="shared" si="93"/>
        <v>4.0431321923563249E-3</v>
      </c>
      <c r="K847" s="30">
        <f t="shared" si="94"/>
        <v>5.4894231997785752E-2</v>
      </c>
      <c r="L847" s="30">
        <f t="shared" si="95"/>
        <v>3.58390267334125E-2</v>
      </c>
      <c r="M847" s="30">
        <f t="shared" si="96"/>
        <v>9.5222987674519041E-4</v>
      </c>
      <c r="N847" s="30">
        <f t="shared" si="97"/>
        <v>2.1731558928707803E-2</v>
      </c>
      <c r="O847" s="30">
        <f t="shared" si="98"/>
        <v>-3.4407422492155962E-2</v>
      </c>
    </row>
    <row r="848" spans="1:15" s="30" customFormat="1">
      <c r="A848" s="27">
        <v>44867</v>
      </c>
      <c r="B848" s="28" t="s">
        <v>833</v>
      </c>
      <c r="C848" s="28">
        <v>496.33</v>
      </c>
      <c r="D848" s="28" t="s">
        <v>1878</v>
      </c>
      <c r="E848" s="28">
        <v>310.02</v>
      </c>
      <c r="F848" s="28">
        <v>159.55000000000001</v>
      </c>
      <c r="G848" s="28" t="s">
        <v>3175</v>
      </c>
      <c r="H848" s="28">
        <v>312.39999999999998</v>
      </c>
      <c r="I848" s="30">
        <f t="shared" si="92"/>
        <v>-2.9968778407615118E-3</v>
      </c>
      <c r="J848" s="30">
        <f t="shared" si="93"/>
        <v>-1.8465257011600334E-2</v>
      </c>
      <c r="K848" s="30">
        <f t="shared" si="94"/>
        <v>-0.11253131046793241</v>
      </c>
      <c r="L848" s="30">
        <f t="shared" si="95"/>
        <v>5.8878886411328109E-3</v>
      </c>
      <c r="M848" s="30">
        <f t="shared" si="96"/>
        <v>1.2297175300473849E-2</v>
      </c>
      <c r="N848" s="30">
        <f t="shared" si="97"/>
        <v>-1.4186543770273413E-3</v>
      </c>
      <c r="O848" s="30">
        <f t="shared" si="98"/>
        <v>-5.8407838836233425E-3</v>
      </c>
    </row>
    <row r="849" spans="1:15" s="30" customFormat="1">
      <c r="A849" s="27">
        <v>44866</v>
      </c>
      <c r="B849" s="28" t="s">
        <v>834</v>
      </c>
      <c r="C849" s="28">
        <v>498.75</v>
      </c>
      <c r="D849" s="28" t="s">
        <v>2010</v>
      </c>
      <c r="E849" s="28">
        <v>321.51</v>
      </c>
      <c r="F849" s="28">
        <v>159</v>
      </c>
      <c r="G849" s="28" t="s">
        <v>3176</v>
      </c>
      <c r="H849" s="28">
        <v>300.02</v>
      </c>
      <c r="I849" s="30">
        <f t="shared" si="92"/>
        <v>8.7422870142322227E-3</v>
      </c>
      <c r="J849" s="30">
        <f t="shared" si="93"/>
        <v>4.8639401274483502E-3</v>
      </c>
      <c r="K849" s="30">
        <f t="shared" si="94"/>
        <v>-1.1152082710673805E-2</v>
      </c>
      <c r="L849" s="30">
        <f t="shared" si="95"/>
        <v>3.6391835865867188E-2</v>
      </c>
      <c r="M849" s="30">
        <f t="shared" si="96"/>
        <v>-3.4531505040210179E-3</v>
      </c>
      <c r="N849" s="30">
        <f t="shared" si="97"/>
        <v>-1.4672833440740468E-3</v>
      </c>
      <c r="O849" s="30">
        <f t="shared" si="98"/>
        <v>-4.0435278864786595E-2</v>
      </c>
    </row>
    <row r="850" spans="1:15" s="30" customFormat="1">
      <c r="A850" s="27">
        <v>44865</v>
      </c>
      <c r="B850" s="28" t="s">
        <v>835</v>
      </c>
      <c r="C850" s="28">
        <v>488.17</v>
      </c>
      <c r="D850" s="28" t="s">
        <v>2011</v>
      </c>
      <c r="E850" s="28">
        <v>322.57</v>
      </c>
      <c r="F850" s="28">
        <v>162.05000000000001</v>
      </c>
      <c r="G850" s="28" t="s">
        <v>3177</v>
      </c>
      <c r="H850" s="28">
        <v>292.92</v>
      </c>
      <c r="I850" s="30">
        <f t="shared" si="92"/>
        <v>-1.6499233402830916E-2</v>
      </c>
      <c r="J850" s="30">
        <f t="shared" si="93"/>
        <v>-2.1441262358673396E-2</v>
      </c>
      <c r="K850" s="30">
        <f t="shared" si="94"/>
        <v>2.565971101723713E-3</v>
      </c>
      <c r="L850" s="30">
        <f t="shared" si="95"/>
        <v>3.2915195535092021E-3</v>
      </c>
      <c r="M850" s="30">
        <f t="shared" si="96"/>
        <v>1.900072736732502E-2</v>
      </c>
      <c r="N850" s="30">
        <f t="shared" si="97"/>
        <v>-6.0548863550420103E-3</v>
      </c>
      <c r="O850" s="30">
        <f t="shared" si="98"/>
        <v>-2.3949604907875129E-2</v>
      </c>
    </row>
    <row r="851" spans="1:15" s="30" customFormat="1">
      <c r="A851" s="27">
        <v>44862</v>
      </c>
      <c r="B851" s="28" t="s">
        <v>836</v>
      </c>
      <c r="C851" s="28">
        <v>479.04</v>
      </c>
      <c r="D851" s="28" t="s">
        <v>2012</v>
      </c>
      <c r="E851" s="28">
        <v>316.07</v>
      </c>
      <c r="F851" s="28">
        <v>159.4</v>
      </c>
      <c r="G851" s="28" t="s">
        <v>3178</v>
      </c>
      <c r="H851" s="28">
        <v>292.75</v>
      </c>
      <c r="I851" s="30">
        <f t="shared" si="92"/>
        <v>-1.7627178909323912E-2</v>
      </c>
      <c r="J851" s="30">
        <f t="shared" si="93"/>
        <v>-1.8879604614136167E-2</v>
      </c>
      <c r="K851" s="30">
        <f t="shared" si="94"/>
        <v>-9.5691180274052063E-3</v>
      </c>
      <c r="L851" s="30">
        <f t="shared" si="95"/>
        <v>-2.0356458903978733E-2</v>
      </c>
      <c r="M851" s="30">
        <f t="shared" si="96"/>
        <v>-1.6488163231441755E-2</v>
      </c>
      <c r="N851" s="30">
        <f t="shared" si="97"/>
        <v>-7.0371328934413808E-4</v>
      </c>
      <c r="O851" s="30">
        <f t="shared" si="98"/>
        <v>-5.8053171504233851E-4</v>
      </c>
    </row>
    <row r="852" spans="1:15" s="30" customFormat="1">
      <c r="A852" s="27">
        <v>44861</v>
      </c>
      <c r="B852" s="28" t="s">
        <v>837</v>
      </c>
      <c r="C852" s="28">
        <v>478.29</v>
      </c>
      <c r="D852" s="28" t="s">
        <v>2013</v>
      </c>
      <c r="E852" s="28">
        <v>316.7</v>
      </c>
      <c r="F852" s="28">
        <v>162.55000000000001</v>
      </c>
      <c r="G852" s="28" t="s">
        <v>3179</v>
      </c>
      <c r="H852" s="28">
        <v>297.52</v>
      </c>
      <c r="I852" s="30">
        <f t="shared" si="92"/>
        <v>-3.2639834778939959E-3</v>
      </c>
      <c r="J852" s="30">
        <f t="shared" si="93"/>
        <v>-1.5668581438799171E-3</v>
      </c>
      <c r="K852" s="30">
        <f t="shared" si="94"/>
        <v>1.2888164083570266E-2</v>
      </c>
      <c r="L852" s="30">
        <f t="shared" si="95"/>
        <v>1.9912455020483144E-3</v>
      </c>
      <c r="M852" s="30">
        <f t="shared" si="96"/>
        <v>1.9568880393799688E-2</v>
      </c>
      <c r="N852" s="30">
        <f t="shared" si="97"/>
        <v>-4.3505424481649433E-3</v>
      </c>
      <c r="O852" s="30">
        <f t="shared" si="98"/>
        <v>1.6162447138987825E-2</v>
      </c>
    </row>
    <row r="853" spans="1:15" s="30" customFormat="1">
      <c r="A853" s="27">
        <v>44859</v>
      </c>
      <c r="B853" s="28" t="s">
        <v>705</v>
      </c>
      <c r="C853" s="28">
        <v>486.13</v>
      </c>
      <c r="D853" s="28" t="s">
        <v>2014</v>
      </c>
      <c r="E853" s="28">
        <v>315.57</v>
      </c>
      <c r="F853" s="28">
        <v>164.75</v>
      </c>
      <c r="G853" s="28" t="s">
        <v>3180</v>
      </c>
      <c r="H853" s="28">
        <v>301.10000000000002</v>
      </c>
      <c r="I853" s="30">
        <f t="shared" si="92"/>
        <v>1.3527501558306508E-2</v>
      </c>
      <c r="J853" s="30">
        <f t="shared" si="93"/>
        <v>1.6258834756049747E-2</v>
      </c>
      <c r="K853" s="30">
        <f t="shared" si="94"/>
        <v>2.0343782338355684E-3</v>
      </c>
      <c r="L853" s="30">
        <f t="shared" si="95"/>
        <v>-3.5744261253016565E-3</v>
      </c>
      <c r="M853" s="30">
        <f t="shared" si="96"/>
        <v>1.3443526632702246E-2</v>
      </c>
      <c r="N853" s="30">
        <f t="shared" si="97"/>
        <v>8.7289664227303641E-3</v>
      </c>
      <c r="O853" s="30">
        <f t="shared" si="98"/>
        <v>1.1960985870873624E-2</v>
      </c>
    </row>
    <row r="854" spans="1:15" s="30" customFormat="1">
      <c r="A854" s="27">
        <v>44858</v>
      </c>
      <c r="B854" s="28" t="s">
        <v>838</v>
      </c>
      <c r="C854" s="28">
        <v>491.67</v>
      </c>
      <c r="D854" s="28" t="s">
        <v>2015</v>
      </c>
      <c r="E854" s="28">
        <v>319.77</v>
      </c>
      <c r="F854" s="28">
        <v>163.1</v>
      </c>
      <c r="G854" s="28" t="s">
        <v>3181</v>
      </c>
      <c r="H854" s="28">
        <v>307.17</v>
      </c>
      <c r="I854" s="30">
        <f t="shared" si="92"/>
        <v>1.1842466264275112E-2</v>
      </c>
      <c r="J854" s="30">
        <f t="shared" si="93"/>
        <v>1.1331681900412317E-2</v>
      </c>
      <c r="K854" s="30">
        <f t="shared" si="94"/>
        <v>8.5404645261957807E-3</v>
      </c>
      <c r="L854" s="30">
        <f t="shared" si="95"/>
        <v>1.3221459949862629E-2</v>
      </c>
      <c r="M854" s="30">
        <f t="shared" si="96"/>
        <v>-1.0065663755648425E-2</v>
      </c>
      <c r="N854" s="30">
        <f t="shared" si="97"/>
        <v>-4.6365763093441613E-3</v>
      </c>
      <c r="O854" s="30">
        <f t="shared" si="98"/>
        <v>1.9958904767146898E-2</v>
      </c>
    </row>
    <row r="855" spans="1:15" s="30" customFormat="1">
      <c r="A855" s="27">
        <v>44855</v>
      </c>
      <c r="B855" s="28" t="s">
        <v>839</v>
      </c>
      <c r="C855" s="28">
        <v>487.79</v>
      </c>
      <c r="D855" s="28" t="s">
        <v>2016</v>
      </c>
      <c r="E855" s="28">
        <v>319.47000000000003</v>
      </c>
      <c r="F855" s="28">
        <v>160.15</v>
      </c>
      <c r="G855" s="28" t="s">
        <v>3182</v>
      </c>
      <c r="H855" s="28">
        <v>306.60000000000002</v>
      </c>
      <c r="I855" s="30">
        <f t="shared" si="92"/>
        <v>-9.4142197212100376E-3</v>
      </c>
      <c r="J855" s="30">
        <f t="shared" si="93"/>
        <v>-7.9227743771598993E-3</v>
      </c>
      <c r="K855" s="30">
        <f t="shared" si="94"/>
        <v>-3.1325731193967782E-2</v>
      </c>
      <c r="L855" s="30">
        <f t="shared" si="95"/>
        <v>-9.386146737528937E-4</v>
      </c>
      <c r="M855" s="30">
        <f t="shared" si="96"/>
        <v>-1.825263357180102E-2</v>
      </c>
      <c r="N855" s="30">
        <f t="shared" si="97"/>
        <v>3.8419238111162208E-3</v>
      </c>
      <c r="O855" s="30">
        <f t="shared" si="98"/>
        <v>-1.8573738171213275E-3</v>
      </c>
    </row>
    <row r="856" spans="1:15" s="30" customFormat="1">
      <c r="A856" s="27">
        <v>44854</v>
      </c>
      <c r="B856" s="28" t="s">
        <v>840</v>
      </c>
      <c r="C856" s="28">
        <v>515.71</v>
      </c>
      <c r="D856" s="28" t="s">
        <v>2017</v>
      </c>
      <c r="E856" s="28">
        <v>320.89999999999998</v>
      </c>
      <c r="F856" s="28">
        <v>161.55000000000001</v>
      </c>
      <c r="G856" s="28" t="s">
        <v>3183</v>
      </c>
      <c r="H856" s="28">
        <v>321.64999999999998</v>
      </c>
      <c r="I856" s="30">
        <f t="shared" si="92"/>
        <v>1.5561894590931226E-2</v>
      </c>
      <c r="J856" s="30">
        <f t="shared" si="93"/>
        <v>5.5659606621089715E-2</v>
      </c>
      <c r="K856" s="30">
        <f t="shared" si="94"/>
        <v>2.6841648991593334E-2</v>
      </c>
      <c r="L856" s="30">
        <f t="shared" si="95"/>
        <v>4.4661754204089908E-3</v>
      </c>
      <c r="M856" s="30">
        <f t="shared" si="96"/>
        <v>8.7038162153400458E-3</v>
      </c>
      <c r="N856" s="30">
        <f t="shared" si="97"/>
        <v>6.1072450897162569E-3</v>
      </c>
      <c r="O856" s="30">
        <f t="shared" si="98"/>
        <v>4.7920031419295406E-2</v>
      </c>
    </row>
    <row r="857" spans="1:15" s="30" customFormat="1">
      <c r="A857" s="27">
        <v>44853</v>
      </c>
      <c r="B857" s="28" t="s">
        <v>694</v>
      </c>
      <c r="C857" s="28">
        <v>515.63</v>
      </c>
      <c r="D857" s="28" t="s">
        <v>1792</v>
      </c>
      <c r="E857" s="28">
        <v>318.37</v>
      </c>
      <c r="F857" s="28">
        <v>162.94999999999999</v>
      </c>
      <c r="G857" s="28" t="s">
        <v>3184</v>
      </c>
      <c r="H857" s="28">
        <v>309.89999999999998</v>
      </c>
      <c r="I857" s="30">
        <f t="shared" si="92"/>
        <v>2.2617885149999583E-2</v>
      </c>
      <c r="J857" s="30">
        <f t="shared" si="93"/>
        <v>-1.5513797614846411E-4</v>
      </c>
      <c r="K857" s="30">
        <f t="shared" si="94"/>
        <v>6.8719393833690271E-3</v>
      </c>
      <c r="L857" s="30">
        <f t="shared" si="95"/>
        <v>-7.9153196901980138E-3</v>
      </c>
      <c r="M857" s="30">
        <f t="shared" si="96"/>
        <v>8.6287130130632047E-3</v>
      </c>
      <c r="N857" s="30">
        <f t="shared" si="97"/>
        <v>-6.762139277547638E-3</v>
      </c>
      <c r="O857" s="30">
        <f t="shared" si="98"/>
        <v>-3.7214333063306772E-2</v>
      </c>
    </row>
    <row r="858" spans="1:15" s="30" customFormat="1">
      <c r="A858" s="27">
        <v>44852</v>
      </c>
      <c r="B858" s="28" t="s">
        <v>841</v>
      </c>
      <c r="C858" s="28">
        <v>516.16999999999996</v>
      </c>
      <c r="D858" s="28" t="s">
        <v>2018</v>
      </c>
      <c r="E858" s="28">
        <v>323.47000000000003</v>
      </c>
      <c r="F858" s="28">
        <v>162.55000000000001</v>
      </c>
      <c r="G858" s="28" t="s">
        <v>3185</v>
      </c>
      <c r="H858" s="28">
        <v>302.5</v>
      </c>
      <c r="I858" s="30">
        <f t="shared" si="92"/>
        <v>4.069213206707438E-3</v>
      </c>
      <c r="J858" s="30">
        <f t="shared" si="93"/>
        <v>1.0467145751162979E-3</v>
      </c>
      <c r="K858" s="30">
        <f t="shared" si="94"/>
        <v>1.0556606520889353E-3</v>
      </c>
      <c r="L858" s="30">
        <f t="shared" si="95"/>
        <v>1.5892145511875292E-2</v>
      </c>
      <c r="M858" s="30">
        <f t="shared" si="96"/>
        <v>-2.4577585336560907E-3</v>
      </c>
      <c r="N858" s="30">
        <f t="shared" si="97"/>
        <v>8.874660811156343E-3</v>
      </c>
      <c r="O858" s="30">
        <f t="shared" si="98"/>
        <v>-2.4168387322806375E-2</v>
      </c>
    </row>
    <row r="859" spans="1:15" s="30" customFormat="1">
      <c r="A859" s="27">
        <v>44851</v>
      </c>
      <c r="B859" s="28" t="s">
        <v>842</v>
      </c>
      <c r="C859" s="28">
        <v>511.46</v>
      </c>
      <c r="D859" s="28" t="s">
        <v>2019</v>
      </c>
      <c r="E859" s="28">
        <v>320.07</v>
      </c>
      <c r="F859" s="28">
        <v>163.85</v>
      </c>
      <c r="G859" s="28" t="s">
        <v>3186</v>
      </c>
      <c r="H859" s="28">
        <v>301.52</v>
      </c>
      <c r="I859" s="30">
        <f t="shared" si="92"/>
        <v>-8.7959529968442141E-3</v>
      </c>
      <c r="J859" s="30">
        <f t="shared" si="93"/>
        <v>-9.1667876214725965E-3</v>
      </c>
      <c r="K859" s="30">
        <f t="shared" si="94"/>
        <v>2.9227862025056855E-3</v>
      </c>
      <c r="L859" s="30">
        <f t="shared" si="95"/>
        <v>-1.0566652066008835E-2</v>
      </c>
      <c r="M859" s="30">
        <f t="shared" si="96"/>
        <v>7.9657283949090395E-3</v>
      </c>
      <c r="N859" s="30">
        <f t="shared" si="97"/>
        <v>4.8687185799189069E-4</v>
      </c>
      <c r="O859" s="30">
        <f t="shared" si="98"/>
        <v>-3.2449285120162387E-3</v>
      </c>
    </row>
    <row r="860" spans="1:15" s="30" customFormat="1">
      <c r="A860" s="27">
        <v>44848</v>
      </c>
      <c r="B860" s="28" t="s">
        <v>843</v>
      </c>
      <c r="C860" s="28">
        <v>510.33</v>
      </c>
      <c r="D860" s="28" t="s">
        <v>2020</v>
      </c>
      <c r="E860" s="28">
        <v>320.89999999999998</v>
      </c>
      <c r="F860" s="28">
        <v>165.05</v>
      </c>
      <c r="G860" s="28" t="s">
        <v>3187</v>
      </c>
      <c r="H860" s="28">
        <v>299.05</v>
      </c>
      <c r="I860" s="30">
        <f t="shared" si="92"/>
        <v>-3.7912658405708098E-3</v>
      </c>
      <c r="J860" s="30">
        <f t="shared" si="93"/>
        <v>-2.2118056756696776E-3</v>
      </c>
      <c r="K860" s="30">
        <f t="shared" si="94"/>
        <v>6.2923076350879618E-3</v>
      </c>
      <c r="L860" s="30">
        <f t="shared" si="95"/>
        <v>2.5898262443315458E-3</v>
      </c>
      <c r="M860" s="30">
        <f t="shared" si="96"/>
        <v>7.2970831543785275E-3</v>
      </c>
      <c r="N860" s="30">
        <f t="shared" si="97"/>
        <v>-5.2852363827984812E-2</v>
      </c>
      <c r="O860" s="30">
        <f t="shared" si="98"/>
        <v>-8.225565468313871E-3</v>
      </c>
    </row>
    <row r="861" spans="1:15" s="30" customFormat="1">
      <c r="A861" s="27">
        <v>44847</v>
      </c>
      <c r="B861" s="28" t="s">
        <v>844</v>
      </c>
      <c r="C861" s="28">
        <v>512.66999999999996</v>
      </c>
      <c r="D861" s="28" t="s">
        <v>2021</v>
      </c>
      <c r="E861" s="28">
        <v>316.07</v>
      </c>
      <c r="F861" s="28">
        <v>167.5</v>
      </c>
      <c r="G861" s="28" t="s">
        <v>3188</v>
      </c>
      <c r="H861" s="28">
        <v>292.63</v>
      </c>
      <c r="I861" s="30">
        <f t="shared" si="92"/>
        <v>7.3500995533138918E-3</v>
      </c>
      <c r="J861" s="30">
        <f t="shared" si="93"/>
        <v>4.5747880373259043E-3</v>
      </c>
      <c r="K861" s="30">
        <f t="shared" si="94"/>
        <v>1.4827298419922386E-3</v>
      </c>
      <c r="L861" s="30">
        <f t="shared" si="95"/>
        <v>-1.5165840073265366E-2</v>
      </c>
      <c r="M861" s="30">
        <f t="shared" si="96"/>
        <v>1.4734892965919004E-2</v>
      </c>
      <c r="N861" s="30">
        <f t="shared" si="97"/>
        <v>3.2291504636523534E-2</v>
      </c>
      <c r="O861" s="30">
        <f t="shared" si="98"/>
        <v>-2.1701771110388447E-2</v>
      </c>
    </row>
    <row r="862" spans="1:15" s="30" customFormat="1">
      <c r="A862" s="27">
        <v>44846</v>
      </c>
      <c r="B862" s="28" t="s">
        <v>845</v>
      </c>
      <c r="C862" s="28">
        <v>521.41999999999996</v>
      </c>
      <c r="D862" s="28" t="s">
        <v>2022</v>
      </c>
      <c r="E862" s="28">
        <v>314.63</v>
      </c>
      <c r="F862" s="28">
        <v>167</v>
      </c>
      <c r="G862" s="28" t="s">
        <v>3189</v>
      </c>
      <c r="H862" s="28">
        <v>304.52</v>
      </c>
      <c r="I862" s="30">
        <f t="shared" si="92"/>
        <v>1.2141634630645605E-2</v>
      </c>
      <c r="J862" s="30">
        <f t="shared" si="93"/>
        <v>1.6923495703021006E-2</v>
      </c>
      <c r="K862" s="30">
        <f t="shared" si="94"/>
        <v>-6.8930835528829126E-3</v>
      </c>
      <c r="L862" s="30">
        <f t="shared" si="95"/>
        <v>-4.5663627784982303E-3</v>
      </c>
      <c r="M862" s="30">
        <f t="shared" si="96"/>
        <v>-2.9895388483660483E-3</v>
      </c>
      <c r="N862" s="30">
        <f t="shared" si="97"/>
        <v>2.7789611555340082E-2</v>
      </c>
      <c r="O862" s="30">
        <f t="shared" si="98"/>
        <v>3.9827754057834223E-2</v>
      </c>
    </row>
    <row r="863" spans="1:15" s="30" customFormat="1">
      <c r="A863" s="27">
        <v>44845</v>
      </c>
      <c r="B863" s="28" t="s">
        <v>846</v>
      </c>
      <c r="C863" s="28">
        <v>514.71</v>
      </c>
      <c r="D863" s="28" t="s">
        <v>2023</v>
      </c>
      <c r="E863" s="28">
        <v>312.93</v>
      </c>
      <c r="F863" s="28">
        <v>167.95</v>
      </c>
      <c r="G863" s="28" t="s">
        <v>3190</v>
      </c>
      <c r="H863" s="28">
        <v>302.35000000000002</v>
      </c>
      <c r="I863" s="30">
        <f t="shared" si="92"/>
        <v>1.5427454705622415E-2</v>
      </c>
      <c r="J863" s="30">
        <f t="shared" si="93"/>
        <v>-1.2952223766503868E-2</v>
      </c>
      <c r="K863" s="30">
        <f t="shared" si="94"/>
        <v>7.4990217657268793E-3</v>
      </c>
      <c r="L863" s="30">
        <f t="shared" si="95"/>
        <v>-5.4178219080581467E-3</v>
      </c>
      <c r="M863" s="30">
        <f t="shared" si="96"/>
        <v>5.6725036415466281E-3</v>
      </c>
      <c r="N863" s="30">
        <f t="shared" si="97"/>
        <v>2.3200785904771766E-2</v>
      </c>
      <c r="O863" s="30">
        <f t="shared" si="98"/>
        <v>-7.1514797187898519E-3</v>
      </c>
    </row>
    <row r="864" spans="1:15" s="30" customFormat="1">
      <c r="A864" s="27">
        <v>44844</v>
      </c>
      <c r="B864" s="28" t="s">
        <v>847</v>
      </c>
      <c r="C864" s="28">
        <v>518.96</v>
      </c>
      <c r="D864" s="28" t="s">
        <v>2024</v>
      </c>
      <c r="E864" s="28">
        <v>317.8</v>
      </c>
      <c r="F864" s="28">
        <v>168.5</v>
      </c>
      <c r="G864" s="28" t="s">
        <v>3191</v>
      </c>
      <c r="H864" s="28">
        <v>313.75</v>
      </c>
      <c r="I864" s="30">
        <f t="shared" si="92"/>
        <v>-6.3102244618538682E-3</v>
      </c>
      <c r="J864" s="30">
        <f t="shared" si="93"/>
        <v>8.2231736413558663E-3</v>
      </c>
      <c r="K864" s="30">
        <f t="shared" si="94"/>
        <v>-2.6283880881773744E-3</v>
      </c>
      <c r="L864" s="30">
        <f t="shared" si="95"/>
        <v>1.5442730746626268E-2</v>
      </c>
      <c r="M864" s="30">
        <f t="shared" si="96"/>
        <v>3.2694337341146271E-3</v>
      </c>
      <c r="N864" s="30">
        <f t="shared" si="97"/>
        <v>-5.4559936944732742E-3</v>
      </c>
      <c r="O864" s="30">
        <f t="shared" si="98"/>
        <v>3.7011203726771566E-2</v>
      </c>
    </row>
    <row r="865" spans="1:15" s="30" customFormat="1">
      <c r="A865" s="27">
        <v>44841</v>
      </c>
      <c r="B865" s="28" t="s">
        <v>672</v>
      </c>
      <c r="C865" s="28">
        <v>521.58000000000004</v>
      </c>
      <c r="D865" s="28" t="s">
        <v>2025</v>
      </c>
      <c r="E865" s="28">
        <v>317.07</v>
      </c>
      <c r="F865" s="28">
        <v>168.85</v>
      </c>
      <c r="G865" s="28" t="s">
        <v>3192</v>
      </c>
      <c r="H865" s="28">
        <v>305.58</v>
      </c>
      <c r="I865" s="30">
        <f t="shared" si="92"/>
        <v>1.985975127721628E-2</v>
      </c>
      <c r="J865" s="30">
        <f t="shared" si="93"/>
        <v>5.0358574142280585E-3</v>
      </c>
      <c r="K865" s="30">
        <f t="shared" si="94"/>
        <v>7.8645293436102881E-3</v>
      </c>
      <c r="L865" s="30">
        <f t="shared" si="95"/>
        <v>-2.2996844132499583E-3</v>
      </c>
      <c r="M865" s="30">
        <f t="shared" si="96"/>
        <v>2.0749970391602166E-3</v>
      </c>
      <c r="N865" s="30">
        <f t="shared" si="97"/>
        <v>5.703287514512035E-3</v>
      </c>
      <c r="O865" s="30">
        <f t="shared" si="98"/>
        <v>-2.6384880321425434E-2</v>
      </c>
    </row>
    <row r="866" spans="1:15" s="30" customFormat="1">
      <c r="A866" s="27">
        <v>44840</v>
      </c>
      <c r="B866" s="28" t="s">
        <v>848</v>
      </c>
      <c r="C866" s="28">
        <v>512.88</v>
      </c>
      <c r="D866" s="28" t="s">
        <v>2026</v>
      </c>
      <c r="E866" s="28">
        <v>320.2</v>
      </c>
      <c r="F866" s="28">
        <v>171.2</v>
      </c>
      <c r="G866" s="28" t="s">
        <v>3193</v>
      </c>
      <c r="H866" s="28">
        <v>299.2</v>
      </c>
      <c r="I866" s="30">
        <f t="shared" si="92"/>
        <v>-4.4210393246395981E-3</v>
      </c>
      <c r="J866" s="30">
        <f t="shared" si="93"/>
        <v>-1.6820766640026234E-2</v>
      </c>
      <c r="K866" s="30">
        <f t="shared" si="94"/>
        <v>3.5089514173293726E-3</v>
      </c>
      <c r="L866" s="30">
        <f t="shared" si="95"/>
        <v>9.8232308732485955E-3</v>
      </c>
      <c r="M866" s="30">
        <f t="shared" si="96"/>
        <v>1.3821716876064949E-2</v>
      </c>
      <c r="N866" s="30">
        <f t="shared" si="97"/>
        <v>-6.6306061601305198E-3</v>
      </c>
      <c r="O866" s="30">
        <f t="shared" si="98"/>
        <v>-2.109936402424601E-2</v>
      </c>
    </row>
    <row r="867" spans="1:15" s="30" customFormat="1">
      <c r="A867" s="27">
        <v>44838</v>
      </c>
      <c r="B867" s="28" t="s">
        <v>849</v>
      </c>
      <c r="C867" s="28">
        <v>512.63</v>
      </c>
      <c r="D867" s="28" t="s">
        <v>2027</v>
      </c>
      <c r="E867" s="28">
        <v>322.77</v>
      </c>
      <c r="F867" s="28">
        <v>169.3</v>
      </c>
      <c r="G867" s="28" t="s">
        <v>3194</v>
      </c>
      <c r="H867" s="28">
        <v>304.75</v>
      </c>
      <c r="I867" s="30">
        <f t="shared" si="92"/>
        <v>2.6399883333566364E-3</v>
      </c>
      <c r="J867" s="30">
        <f t="shared" si="93"/>
        <v>-4.8756229574053913E-4</v>
      </c>
      <c r="K867" s="30">
        <f t="shared" si="94"/>
        <v>-1.0013017758590875E-3</v>
      </c>
      <c r="L867" s="30">
        <f t="shared" si="95"/>
        <v>7.994194711313244E-3</v>
      </c>
      <c r="M867" s="30">
        <f t="shared" si="96"/>
        <v>-1.1160174568551921E-2</v>
      </c>
      <c r="N867" s="30">
        <f t="shared" si="97"/>
        <v>-7.6320643033225373E-3</v>
      </c>
      <c r="O867" s="30">
        <f t="shared" si="98"/>
        <v>1.8379522261058732E-2</v>
      </c>
    </row>
    <row r="868" spans="1:15" s="30" customFormat="1">
      <c r="A868" s="27">
        <v>44837</v>
      </c>
      <c r="B868" s="28" t="s">
        <v>850</v>
      </c>
      <c r="C868" s="28">
        <v>504.54</v>
      </c>
      <c r="D868" s="28" t="s">
        <v>2028</v>
      </c>
      <c r="E868" s="28">
        <v>329.03</v>
      </c>
      <c r="F868" s="28">
        <v>168</v>
      </c>
      <c r="G868" s="28" t="s">
        <v>3195</v>
      </c>
      <c r="H868" s="28">
        <v>301.35000000000002</v>
      </c>
      <c r="I868" s="30">
        <f t="shared" si="92"/>
        <v>-1.0496056844841867E-2</v>
      </c>
      <c r="J868" s="30">
        <f t="shared" si="93"/>
        <v>-1.5907214310399639E-2</v>
      </c>
      <c r="K868" s="30">
        <f t="shared" si="94"/>
        <v>-4.2499854818068752E-3</v>
      </c>
      <c r="L868" s="30">
        <f t="shared" si="95"/>
        <v>1.9208936744641841E-2</v>
      </c>
      <c r="M868" s="30">
        <f t="shared" si="96"/>
        <v>-7.7083097358308155E-3</v>
      </c>
      <c r="N868" s="30">
        <f t="shared" si="97"/>
        <v>8.288061612375653E-3</v>
      </c>
      <c r="O868" s="30">
        <f t="shared" si="98"/>
        <v>-1.1219388432327719E-2</v>
      </c>
    </row>
    <row r="869" spans="1:15" s="30" customFormat="1">
      <c r="A869" s="27">
        <v>44834</v>
      </c>
      <c r="B869" s="28" t="s">
        <v>851</v>
      </c>
      <c r="C869" s="28">
        <v>514.16999999999996</v>
      </c>
      <c r="D869" s="28" t="s">
        <v>1761</v>
      </c>
      <c r="E869" s="28">
        <v>326.43</v>
      </c>
      <c r="F869" s="28">
        <v>168.65</v>
      </c>
      <c r="G869" s="28" t="s">
        <v>3196</v>
      </c>
      <c r="H869" s="28">
        <v>297.7</v>
      </c>
      <c r="I869" s="30">
        <f t="shared" si="92"/>
        <v>1.1903200575724427E-2</v>
      </c>
      <c r="J869" s="30">
        <f t="shared" si="93"/>
        <v>1.8906826999728853E-2</v>
      </c>
      <c r="K869" s="30">
        <f t="shared" si="94"/>
        <v>5.6515274070953929E-3</v>
      </c>
      <c r="L869" s="30">
        <f t="shared" si="95"/>
        <v>-7.9334013875389936E-3</v>
      </c>
      <c r="M869" s="30">
        <f t="shared" si="96"/>
        <v>3.8615821044004225E-3</v>
      </c>
      <c r="N869" s="30">
        <f t="shared" si="97"/>
        <v>-2.4678792171025461E-3</v>
      </c>
      <c r="O869" s="30">
        <f t="shared" si="98"/>
        <v>-1.2186111907322567E-2</v>
      </c>
    </row>
    <row r="870" spans="1:15" s="30" customFormat="1">
      <c r="A870" s="27">
        <v>44833</v>
      </c>
      <c r="B870" s="28" t="s">
        <v>852</v>
      </c>
      <c r="C870" s="28">
        <v>516.91999999999996</v>
      </c>
      <c r="D870" s="28" t="s">
        <v>2029</v>
      </c>
      <c r="E870" s="28">
        <v>328.83</v>
      </c>
      <c r="F870" s="28">
        <v>164.8</v>
      </c>
      <c r="G870" s="28" t="s">
        <v>3197</v>
      </c>
      <c r="H870" s="28">
        <v>293.55</v>
      </c>
      <c r="I870" s="30">
        <f t="shared" si="92"/>
        <v>1.2590749404770845E-2</v>
      </c>
      <c r="J870" s="30">
        <f t="shared" si="93"/>
        <v>5.3341735844001214E-3</v>
      </c>
      <c r="K870" s="30">
        <f t="shared" si="94"/>
        <v>5.9181607052447589E-3</v>
      </c>
      <c r="L870" s="30">
        <f t="shared" si="95"/>
        <v>7.3253692647112564E-3</v>
      </c>
      <c r="M870" s="30">
        <f t="shared" si="96"/>
        <v>-2.3092944032287944E-2</v>
      </c>
      <c r="N870" s="30">
        <f t="shared" si="97"/>
        <v>-7.0750451524865402E-3</v>
      </c>
      <c r="O870" s="30">
        <f t="shared" si="98"/>
        <v>-1.4038285511535697E-2</v>
      </c>
    </row>
    <row r="871" spans="1:15" s="30" customFormat="1">
      <c r="A871" s="27">
        <v>44832</v>
      </c>
      <c r="B871" s="28" t="s">
        <v>853</v>
      </c>
      <c r="C871" s="28">
        <v>523.91999999999996</v>
      </c>
      <c r="D871" s="28" t="s">
        <v>2030</v>
      </c>
      <c r="E871" s="28">
        <v>326.73</v>
      </c>
      <c r="F871" s="28">
        <v>163.9</v>
      </c>
      <c r="G871" s="28" t="s">
        <v>3198</v>
      </c>
      <c r="H871" s="28">
        <v>291.52</v>
      </c>
      <c r="I871" s="30">
        <f t="shared" si="92"/>
        <v>5.3452831623712678E-2</v>
      </c>
      <c r="J871" s="30">
        <f t="shared" si="93"/>
        <v>1.3450877252807506E-2</v>
      </c>
      <c r="K871" s="30">
        <f t="shared" si="94"/>
        <v>3.4086241326157134E-3</v>
      </c>
      <c r="L871" s="30">
        <f t="shared" si="95"/>
        <v>-6.4067581400368704E-3</v>
      </c>
      <c r="M871" s="30">
        <f t="shared" si="96"/>
        <v>-5.4761317255874048E-3</v>
      </c>
      <c r="N871" s="30">
        <f t="shared" si="97"/>
        <v>-7.0798079990084248E-4</v>
      </c>
      <c r="O871" s="30">
        <f t="shared" si="98"/>
        <v>-6.9393684386015574E-3</v>
      </c>
    </row>
    <row r="872" spans="1:15" s="30" customFormat="1">
      <c r="A872" s="27">
        <v>44831</v>
      </c>
      <c r="B872" s="28" t="s">
        <v>854</v>
      </c>
      <c r="C872" s="28">
        <v>523.75</v>
      </c>
      <c r="D872" s="28" t="s">
        <v>2031</v>
      </c>
      <c r="E872" s="28">
        <v>323.8</v>
      </c>
      <c r="F872" s="28">
        <v>162.15</v>
      </c>
      <c r="G872" s="28" t="s">
        <v>3199</v>
      </c>
      <c r="H872" s="28">
        <v>289.89999999999998</v>
      </c>
      <c r="I872" s="30">
        <f t="shared" si="92"/>
        <v>-2.8405755746118394E-2</v>
      </c>
      <c r="J872" s="30">
        <f t="shared" si="93"/>
        <v>-3.2452967345058587E-4</v>
      </c>
      <c r="K872" s="30">
        <f t="shared" si="94"/>
        <v>-4.6262640439144535E-4</v>
      </c>
      <c r="L872" s="30">
        <f t="shared" si="95"/>
        <v>-9.008100512170077E-3</v>
      </c>
      <c r="M872" s="30">
        <f t="shared" si="96"/>
        <v>-1.0734652996457057E-2</v>
      </c>
      <c r="N872" s="30">
        <f t="shared" si="97"/>
        <v>-5.9347355198146896E-3</v>
      </c>
      <c r="O872" s="30">
        <f t="shared" si="98"/>
        <v>-5.5725781439837103E-3</v>
      </c>
    </row>
    <row r="873" spans="1:15" s="30" customFormat="1">
      <c r="A873" s="27">
        <v>44830</v>
      </c>
      <c r="B873" s="28" t="s">
        <v>855</v>
      </c>
      <c r="C873" s="28">
        <v>522.29</v>
      </c>
      <c r="D873" s="28" t="s">
        <v>2032</v>
      </c>
      <c r="E873" s="28">
        <v>315.97000000000003</v>
      </c>
      <c r="F873" s="28">
        <v>165</v>
      </c>
      <c r="G873" s="28" t="s">
        <v>3200</v>
      </c>
      <c r="H873" s="28">
        <v>292.85000000000002</v>
      </c>
      <c r="I873" s="30">
        <f t="shared" si="92"/>
        <v>-9.437446107260182E-3</v>
      </c>
      <c r="J873" s="30">
        <f t="shared" si="93"/>
        <v>-2.7914820620088196E-3</v>
      </c>
      <c r="K873" s="30">
        <f t="shared" si="94"/>
        <v>-2.7471180829004224E-3</v>
      </c>
      <c r="L873" s="30">
        <f t="shared" si="95"/>
        <v>-2.447876887225791E-2</v>
      </c>
      <c r="M873" s="30">
        <f t="shared" si="96"/>
        <v>1.7423641147253692E-2</v>
      </c>
      <c r="N873" s="30">
        <f t="shared" si="97"/>
        <v>-1.0001122729558561E-2</v>
      </c>
      <c r="O873" s="30">
        <f t="shared" si="98"/>
        <v>1.0124496608181578E-2</v>
      </c>
    </row>
    <row r="874" spans="1:15" s="30" customFormat="1">
      <c r="A874" s="27">
        <v>44827</v>
      </c>
      <c r="B874" s="28" t="s">
        <v>856</v>
      </c>
      <c r="C874" s="28">
        <v>528.08000000000004</v>
      </c>
      <c r="D874" s="28" t="s">
        <v>1825</v>
      </c>
      <c r="E874" s="28">
        <v>319.39999999999998</v>
      </c>
      <c r="F874" s="28">
        <v>166.65</v>
      </c>
      <c r="G874" s="28" t="s">
        <v>3201</v>
      </c>
      <c r="H874" s="28">
        <v>298.92</v>
      </c>
      <c r="I874" s="30">
        <f t="shared" si="92"/>
        <v>-1.2527054192014289E-2</v>
      </c>
      <c r="J874" s="30">
        <f t="shared" si="93"/>
        <v>1.1024798206176726E-2</v>
      </c>
      <c r="K874" s="30">
        <f t="shared" si="94"/>
        <v>9.8938871849183815E-3</v>
      </c>
      <c r="L874" s="30">
        <f t="shared" si="95"/>
        <v>1.0796963409635096E-2</v>
      </c>
      <c r="M874" s="30">
        <f t="shared" si="96"/>
        <v>9.950330853168092E-3</v>
      </c>
      <c r="N874" s="30">
        <f t="shared" si="97"/>
        <v>1.2527260024580188E-3</v>
      </c>
      <c r="O874" s="30">
        <f t="shared" si="98"/>
        <v>2.0515446526297981E-2</v>
      </c>
    </row>
    <row r="875" spans="1:15" s="30" customFormat="1">
      <c r="A875" s="27">
        <v>44826</v>
      </c>
      <c r="B875" s="28" t="s">
        <v>857</v>
      </c>
      <c r="C875" s="28">
        <v>529.41999999999996</v>
      </c>
      <c r="D875" s="28" t="s">
        <v>2033</v>
      </c>
      <c r="E875" s="28">
        <v>320.73</v>
      </c>
      <c r="F875" s="28">
        <v>165.85</v>
      </c>
      <c r="G875" s="28" t="s">
        <v>3202</v>
      </c>
      <c r="H875" s="28">
        <v>301.75</v>
      </c>
      <c r="I875" s="30">
        <f t="shared" si="92"/>
        <v>1.1930608119968347E-2</v>
      </c>
      <c r="J875" s="30">
        <f t="shared" si="93"/>
        <v>2.5342803161939589E-3</v>
      </c>
      <c r="K875" s="30">
        <f t="shared" si="94"/>
        <v>3.4398631766529523E-3</v>
      </c>
      <c r="L875" s="30">
        <f t="shared" si="95"/>
        <v>4.1554119126062028E-3</v>
      </c>
      <c r="M875" s="30">
        <f t="shared" si="96"/>
        <v>-4.8120393606872853E-3</v>
      </c>
      <c r="N875" s="30">
        <f t="shared" si="97"/>
        <v>2.2375477870070746E-2</v>
      </c>
      <c r="O875" s="30">
        <f t="shared" si="98"/>
        <v>9.4228809155514851E-3</v>
      </c>
    </row>
    <row r="876" spans="1:15" s="30" customFormat="1">
      <c r="A876" s="27">
        <v>44825</v>
      </c>
      <c r="B876" s="28" t="s">
        <v>858</v>
      </c>
      <c r="C876" s="28">
        <v>519.16999999999996</v>
      </c>
      <c r="D876" s="28" t="s">
        <v>2034</v>
      </c>
      <c r="E876" s="28">
        <v>319.52999999999997</v>
      </c>
      <c r="F876" s="28">
        <v>168.45</v>
      </c>
      <c r="G876" s="28" t="s">
        <v>3203</v>
      </c>
      <c r="H876" s="28">
        <v>301.63</v>
      </c>
      <c r="I876" s="30">
        <f t="shared" si="92"/>
        <v>-2.3543316939118115E-2</v>
      </c>
      <c r="J876" s="30">
        <f t="shared" si="93"/>
        <v>-1.9550685178076191E-2</v>
      </c>
      <c r="K876" s="30">
        <f t="shared" si="94"/>
        <v>2.0490463929732219E-2</v>
      </c>
      <c r="L876" s="30">
        <f t="shared" si="95"/>
        <v>-3.7484815703342713E-3</v>
      </c>
      <c r="M876" s="30">
        <f t="shared" si="96"/>
        <v>1.5555204459500462E-2</v>
      </c>
      <c r="N876" s="30">
        <f t="shared" si="97"/>
        <v>3.8692645768063261E-3</v>
      </c>
      <c r="O876" s="30">
        <f t="shared" si="98"/>
        <v>-3.9775929458096555E-4</v>
      </c>
    </row>
    <row r="877" spans="1:15" s="30" customFormat="1">
      <c r="A877" s="27">
        <v>44824</v>
      </c>
      <c r="B877" s="28" t="s">
        <v>859</v>
      </c>
      <c r="C877" s="28">
        <v>528.25</v>
      </c>
      <c r="D877" s="28" t="s">
        <v>2035</v>
      </c>
      <c r="E877" s="28">
        <v>324.8</v>
      </c>
      <c r="F877" s="28">
        <v>167.5</v>
      </c>
      <c r="G877" s="28" t="s">
        <v>3204</v>
      </c>
      <c r="H877" s="28">
        <v>305.98</v>
      </c>
      <c r="I877" s="30">
        <f t="shared" si="92"/>
        <v>1.1008741768551747E-2</v>
      </c>
      <c r="J877" s="30">
        <f t="shared" si="93"/>
        <v>1.7338273977532872E-2</v>
      </c>
      <c r="K877" s="30">
        <f t="shared" si="94"/>
        <v>1.8035670183487323E-2</v>
      </c>
      <c r="L877" s="30">
        <f t="shared" si="95"/>
        <v>1.6358442164338939E-2</v>
      </c>
      <c r="M877" s="30">
        <f t="shared" si="96"/>
        <v>-5.6556185874407057E-3</v>
      </c>
      <c r="N877" s="30">
        <f t="shared" si="97"/>
        <v>-3.5514851222454805E-2</v>
      </c>
      <c r="O877" s="30">
        <f t="shared" si="98"/>
        <v>1.4318639656172971E-2</v>
      </c>
    </row>
    <row r="878" spans="1:15" s="30" customFormat="1">
      <c r="A878" s="27">
        <v>44823</v>
      </c>
      <c r="B878" s="28" t="s">
        <v>860</v>
      </c>
      <c r="C878" s="28">
        <v>526.33000000000004</v>
      </c>
      <c r="D878" s="28" t="s">
        <v>2036</v>
      </c>
      <c r="E878" s="28">
        <v>324.17</v>
      </c>
      <c r="F878" s="28">
        <v>165.85</v>
      </c>
      <c r="G878" s="28" t="s">
        <v>3205</v>
      </c>
      <c r="H878" s="28">
        <v>298</v>
      </c>
      <c r="I878" s="30">
        <f t="shared" si="92"/>
        <v>-2.2938802481630195E-2</v>
      </c>
      <c r="J878" s="30">
        <f t="shared" si="93"/>
        <v>-3.6412640509171697E-3</v>
      </c>
      <c r="K878" s="30">
        <f t="shared" si="94"/>
        <v>1.0922571620672396E-2</v>
      </c>
      <c r="L878" s="30">
        <f t="shared" si="95"/>
        <v>-1.9415387395489841E-3</v>
      </c>
      <c r="M878" s="30">
        <f t="shared" si="96"/>
        <v>-9.8995858720597688E-3</v>
      </c>
      <c r="N878" s="30">
        <f t="shared" si="97"/>
        <v>2.594035177046749E-3</v>
      </c>
      <c r="O878" s="30">
        <f t="shared" si="98"/>
        <v>-2.64262538338285E-2</v>
      </c>
    </row>
    <row r="879" spans="1:15" s="30" customFormat="1">
      <c r="A879" s="27">
        <v>44820</v>
      </c>
      <c r="B879" s="28" t="s">
        <v>861</v>
      </c>
      <c r="C879" s="28">
        <v>532.5</v>
      </c>
      <c r="D879" s="28" t="s">
        <v>2037</v>
      </c>
      <c r="E879" s="28">
        <v>319.93</v>
      </c>
      <c r="F879" s="28">
        <v>166.3</v>
      </c>
      <c r="G879" s="28" t="s">
        <v>3206</v>
      </c>
      <c r="H879" s="28">
        <v>299.14999999999998</v>
      </c>
      <c r="I879" s="30">
        <f t="shared" si="92"/>
        <v>1.897933931171428E-3</v>
      </c>
      <c r="J879" s="30">
        <f t="shared" si="93"/>
        <v>1.1654505138331189E-2</v>
      </c>
      <c r="K879" s="30">
        <f t="shared" si="94"/>
        <v>-3.1175010440531968E-3</v>
      </c>
      <c r="L879" s="30">
        <f t="shared" si="95"/>
        <v>-1.3165847683472696E-2</v>
      </c>
      <c r="M879" s="30">
        <f t="shared" si="96"/>
        <v>2.7096208058206483E-3</v>
      </c>
      <c r="N879" s="30">
        <f t="shared" si="97"/>
        <v>-4.5850178573399467E-3</v>
      </c>
      <c r="O879" s="30">
        <f t="shared" si="98"/>
        <v>3.8516333306362572E-3</v>
      </c>
    </row>
    <row r="880" spans="1:15" s="30" customFormat="1">
      <c r="A880" s="27">
        <v>44819</v>
      </c>
      <c r="B880" s="28" t="s">
        <v>862</v>
      </c>
      <c r="C880" s="28">
        <v>545.71</v>
      </c>
      <c r="D880" s="28" t="s">
        <v>1811</v>
      </c>
      <c r="E880" s="28">
        <v>336.7</v>
      </c>
      <c r="F880" s="28">
        <v>170.05</v>
      </c>
      <c r="G880" s="28" t="s">
        <v>3207</v>
      </c>
      <c r="H880" s="28">
        <v>304.3</v>
      </c>
      <c r="I880" s="30">
        <f t="shared" si="92"/>
        <v>2.1689013993412273E-2</v>
      </c>
      <c r="J880" s="30">
        <f t="shared" si="93"/>
        <v>2.4504801527747862E-2</v>
      </c>
      <c r="K880" s="30">
        <f t="shared" si="94"/>
        <v>-1.2915975477337169E-2</v>
      </c>
      <c r="L880" s="30">
        <f t="shared" si="95"/>
        <v>5.1090104302527549E-2</v>
      </c>
      <c r="M880" s="30">
        <f t="shared" si="96"/>
        <v>2.2299125254322517E-2</v>
      </c>
      <c r="N880" s="30">
        <f t="shared" si="97"/>
        <v>2.3419214450811246E-3</v>
      </c>
      <c r="O880" s="30">
        <f t="shared" si="98"/>
        <v>1.7068937066884633E-2</v>
      </c>
    </row>
    <row r="881" spans="1:15" s="30" customFormat="1">
      <c r="A881" s="27">
        <v>44818</v>
      </c>
      <c r="B881" s="28" t="s">
        <v>863</v>
      </c>
      <c r="C881" s="28">
        <v>548.21</v>
      </c>
      <c r="D881" s="28" t="s">
        <v>2038</v>
      </c>
      <c r="E881" s="28">
        <v>338.03</v>
      </c>
      <c r="F881" s="28">
        <v>170.05</v>
      </c>
      <c r="G881" s="28" t="s">
        <v>3208</v>
      </c>
      <c r="H881" s="28">
        <v>306.25</v>
      </c>
      <c r="I881" s="30">
        <f t="shared" si="92"/>
        <v>1.2744617839832724E-2</v>
      </c>
      <c r="J881" s="30">
        <f t="shared" si="93"/>
        <v>4.5707261086771062E-3</v>
      </c>
      <c r="K881" s="30">
        <f t="shared" si="94"/>
        <v>-1.0716375708839146E-2</v>
      </c>
      <c r="L881" s="30">
        <f t="shared" si="95"/>
        <v>3.9423227737350576E-3</v>
      </c>
      <c r="M881" s="30">
        <f t="shared" si="96"/>
        <v>0</v>
      </c>
      <c r="N881" s="30">
        <f t="shared" si="97"/>
        <v>-9.8258941512911722E-3</v>
      </c>
      <c r="O881" s="30">
        <f t="shared" si="98"/>
        <v>6.3877049560113006E-3</v>
      </c>
    </row>
    <row r="882" spans="1:15" s="30" customFormat="1">
      <c r="A882" s="27">
        <v>44817</v>
      </c>
      <c r="B882" s="28" t="s">
        <v>864</v>
      </c>
      <c r="C882" s="28">
        <v>553.96</v>
      </c>
      <c r="D882" s="28" t="s">
        <v>2039</v>
      </c>
      <c r="E882" s="28">
        <v>339.03</v>
      </c>
      <c r="F882" s="28">
        <v>168.15</v>
      </c>
      <c r="G882" s="28" t="s">
        <v>3209</v>
      </c>
      <c r="H882" s="28">
        <v>320.58</v>
      </c>
      <c r="I882" s="30">
        <f t="shared" si="92"/>
        <v>-4.8825731184958289E-3</v>
      </c>
      <c r="J882" s="30">
        <f t="shared" si="93"/>
        <v>1.0434056754511813E-2</v>
      </c>
      <c r="K882" s="30">
        <f t="shared" si="94"/>
        <v>-1.044471436605034E-2</v>
      </c>
      <c r="L882" s="30">
        <f t="shared" si="95"/>
        <v>2.9539500994052322E-3</v>
      </c>
      <c r="M882" s="30">
        <f t="shared" si="96"/>
        <v>-1.1236073266925842E-2</v>
      </c>
      <c r="N882" s="30">
        <f t="shared" si="97"/>
        <v>-3.3289175801091163E-2</v>
      </c>
      <c r="O882" s="30">
        <f t="shared" si="98"/>
        <v>4.5730093338798142E-2</v>
      </c>
    </row>
    <row r="883" spans="1:15" s="30" customFormat="1">
      <c r="A883" s="27">
        <v>44816</v>
      </c>
      <c r="B883" s="28" t="s">
        <v>865</v>
      </c>
      <c r="C883" s="28">
        <v>553.75</v>
      </c>
      <c r="D883" s="28" t="s">
        <v>2040</v>
      </c>
      <c r="E883" s="28">
        <v>339.7</v>
      </c>
      <c r="F883" s="28">
        <v>169.35</v>
      </c>
      <c r="G883" s="28" t="s">
        <v>3210</v>
      </c>
      <c r="H883" s="28">
        <v>320.60000000000002</v>
      </c>
      <c r="I883" s="30">
        <f t="shared" si="92"/>
        <v>2.9178358703327483E-3</v>
      </c>
      <c r="J883" s="30">
        <f t="shared" si="93"/>
        <v>-3.7916061517167285E-4</v>
      </c>
      <c r="K883" s="30">
        <f t="shared" si="94"/>
        <v>3.7083060085935362E-3</v>
      </c>
      <c r="L883" s="30">
        <f t="shared" si="95"/>
        <v>1.9742761263692728E-3</v>
      </c>
      <c r="M883" s="30">
        <f t="shared" si="96"/>
        <v>7.1111410775019715E-3</v>
      </c>
      <c r="N883" s="30">
        <f t="shared" si="97"/>
        <v>-2.5051075697394978E-2</v>
      </c>
      <c r="O883" s="30">
        <f t="shared" si="98"/>
        <v>6.2384977717674499E-5</v>
      </c>
    </row>
    <row r="884" spans="1:15" s="30" customFormat="1">
      <c r="A884" s="27">
        <v>44813</v>
      </c>
      <c r="B884" s="28" t="s">
        <v>866</v>
      </c>
      <c r="C884" s="28">
        <v>553.33000000000004</v>
      </c>
      <c r="D884" s="28" t="s">
        <v>2041</v>
      </c>
      <c r="E884" s="28">
        <v>342.27</v>
      </c>
      <c r="F884" s="28">
        <v>171.15</v>
      </c>
      <c r="G884" s="28" t="s">
        <v>3211</v>
      </c>
      <c r="H884" s="28">
        <v>306.85000000000002</v>
      </c>
      <c r="I884" s="30">
        <f t="shared" si="92"/>
        <v>2.8076625393239564E-3</v>
      </c>
      <c r="J884" s="30">
        <f t="shared" si="93"/>
        <v>-7.5875279139659454E-4</v>
      </c>
      <c r="K884" s="30">
        <f t="shared" si="94"/>
        <v>3.5398800028529627E-4</v>
      </c>
      <c r="L884" s="30">
        <f t="shared" si="95"/>
        <v>7.5370241098494835E-3</v>
      </c>
      <c r="M884" s="30">
        <f t="shared" si="96"/>
        <v>1.05727857124137E-2</v>
      </c>
      <c r="N884" s="30">
        <f t="shared" si="97"/>
        <v>1.130490127290059E-2</v>
      </c>
      <c r="O884" s="30">
        <f t="shared" si="98"/>
        <v>-4.3835211340346548E-2</v>
      </c>
    </row>
    <row r="885" spans="1:15" s="30" customFormat="1">
      <c r="A885" s="27">
        <v>44812</v>
      </c>
      <c r="B885" s="28" t="s">
        <v>867</v>
      </c>
      <c r="C885" s="28">
        <v>554.33000000000004</v>
      </c>
      <c r="D885" s="28" t="s">
        <v>2042</v>
      </c>
      <c r="E885" s="28">
        <v>343.07</v>
      </c>
      <c r="F885" s="28">
        <v>173.9</v>
      </c>
      <c r="G885" s="28" t="s">
        <v>3212</v>
      </c>
      <c r="H885" s="28">
        <v>321.17</v>
      </c>
      <c r="I885" s="30">
        <f t="shared" si="92"/>
        <v>2.4085908335960944E-3</v>
      </c>
      <c r="J885" s="30">
        <f t="shared" si="93"/>
        <v>1.8056087096856729E-3</v>
      </c>
      <c r="K885" s="30">
        <f t="shared" si="94"/>
        <v>-2.0613251308186989E-3</v>
      </c>
      <c r="L885" s="30">
        <f t="shared" si="95"/>
        <v>2.334608700381738E-3</v>
      </c>
      <c r="M885" s="30">
        <f t="shared" si="96"/>
        <v>1.5940056384043087E-2</v>
      </c>
      <c r="N885" s="30">
        <f t="shared" si="97"/>
        <v>-1.6851291376453411E-3</v>
      </c>
      <c r="O885" s="30">
        <f t="shared" si="98"/>
        <v>4.5611549124538152E-2</v>
      </c>
    </row>
    <row r="886" spans="1:15" s="30" customFormat="1">
      <c r="A886" s="27">
        <v>44811</v>
      </c>
      <c r="B886" s="28" t="s">
        <v>868</v>
      </c>
      <c r="C886" s="28">
        <v>549.75</v>
      </c>
      <c r="D886" s="28" t="s">
        <v>2043</v>
      </c>
      <c r="E886" s="28">
        <v>333.27</v>
      </c>
      <c r="F886" s="28">
        <v>172.6</v>
      </c>
      <c r="G886" s="28" t="s">
        <v>3213</v>
      </c>
      <c r="H886" s="28">
        <v>285.5</v>
      </c>
      <c r="I886" s="30">
        <f t="shared" si="92"/>
        <v>-1.4539340858478873E-2</v>
      </c>
      <c r="J886" s="30">
        <f t="shared" si="93"/>
        <v>-8.2965478427639832E-3</v>
      </c>
      <c r="K886" s="30">
        <f t="shared" si="94"/>
        <v>-1.2457986193634637E-2</v>
      </c>
      <c r="L886" s="30">
        <f t="shared" si="95"/>
        <v>-2.8981535715028775E-2</v>
      </c>
      <c r="M886" s="30">
        <f t="shared" si="96"/>
        <v>-7.5036427109098783E-3</v>
      </c>
      <c r="N886" s="30">
        <f t="shared" si="97"/>
        <v>2.9471150768620152E-3</v>
      </c>
      <c r="O886" s="30">
        <f t="shared" si="98"/>
        <v>-0.11772854886357945</v>
      </c>
    </row>
    <row r="887" spans="1:15" s="30" customFormat="1">
      <c r="A887" s="27">
        <v>44810</v>
      </c>
      <c r="B887" s="28" t="s">
        <v>856</v>
      </c>
      <c r="C887" s="28">
        <v>548.21</v>
      </c>
      <c r="D887" s="28" t="s">
        <v>2044</v>
      </c>
      <c r="E887" s="28">
        <v>334.73</v>
      </c>
      <c r="F887" s="28">
        <v>172.7</v>
      </c>
      <c r="G887" s="28" t="s">
        <v>3214</v>
      </c>
      <c r="H887" s="28">
        <v>269.48</v>
      </c>
      <c r="I887" s="30">
        <f t="shared" si="92"/>
        <v>-1.50097149846635E-3</v>
      </c>
      <c r="J887" s="30">
        <f t="shared" si="93"/>
        <v>-2.8052042148653126E-3</v>
      </c>
      <c r="K887" s="30">
        <f t="shared" si="94"/>
        <v>-8.1619727056552929E-3</v>
      </c>
      <c r="L887" s="30">
        <f t="shared" si="95"/>
        <v>4.3712644455097364E-3</v>
      </c>
      <c r="M887" s="30">
        <f t="shared" si="96"/>
        <v>5.7920650330522115E-4</v>
      </c>
      <c r="N887" s="30">
        <f t="shared" si="97"/>
        <v>-4.0396536463949535E-2</v>
      </c>
      <c r="O887" s="30">
        <f t="shared" si="98"/>
        <v>-5.7747853003605763E-2</v>
      </c>
    </row>
    <row r="888" spans="1:15" s="30" customFormat="1">
      <c r="A888" s="27">
        <v>44809</v>
      </c>
      <c r="B888" s="28" t="s">
        <v>869</v>
      </c>
      <c r="C888" s="28">
        <v>550.41999999999996</v>
      </c>
      <c r="D888" s="28" t="s">
        <v>2045</v>
      </c>
      <c r="E888" s="28">
        <v>331.4</v>
      </c>
      <c r="F888" s="28">
        <v>175.8</v>
      </c>
      <c r="G888" s="28" t="s">
        <v>3215</v>
      </c>
      <c r="H888" s="28">
        <v>270.85000000000002</v>
      </c>
      <c r="I888" s="30">
        <f t="shared" si="92"/>
        <v>8.6656798465587943E-3</v>
      </c>
      <c r="J888" s="30">
        <f t="shared" si="93"/>
        <v>4.0231979482504426E-3</v>
      </c>
      <c r="K888" s="30">
        <f t="shared" si="94"/>
        <v>1.8069637112808946E-2</v>
      </c>
      <c r="L888" s="30">
        <f t="shared" si="95"/>
        <v>-9.9981317147878369E-3</v>
      </c>
      <c r="M888" s="30">
        <f t="shared" si="96"/>
        <v>1.7791000098443741E-2</v>
      </c>
      <c r="N888" s="30">
        <f t="shared" si="97"/>
        <v>1.5437263466554908E-3</v>
      </c>
      <c r="O888" s="30">
        <f t="shared" si="98"/>
        <v>5.0709860114488718E-3</v>
      </c>
    </row>
    <row r="889" spans="1:15" s="30" customFormat="1">
      <c r="A889" s="27">
        <v>44806</v>
      </c>
      <c r="B889" s="28" t="s">
        <v>870</v>
      </c>
      <c r="C889" s="28">
        <v>556.79</v>
      </c>
      <c r="D889" s="28" t="s">
        <v>2046</v>
      </c>
      <c r="E889" s="28">
        <v>333.13</v>
      </c>
      <c r="F889" s="28">
        <v>168.75</v>
      </c>
      <c r="G889" s="28" t="s">
        <v>3216</v>
      </c>
      <c r="H889" s="28">
        <v>270.52</v>
      </c>
      <c r="I889" s="30">
        <f t="shared" si="92"/>
        <v>1.8232609323120025E-3</v>
      </c>
      <c r="J889" s="30">
        <f t="shared" si="93"/>
        <v>1.1506525920560513E-2</v>
      </c>
      <c r="K889" s="30">
        <f t="shared" si="94"/>
        <v>2.726180722731399E-2</v>
      </c>
      <c r="L889" s="30">
        <f t="shared" si="95"/>
        <v>5.2066991958699326E-3</v>
      </c>
      <c r="M889" s="30">
        <f t="shared" si="96"/>
        <v>-4.0928655498437522E-2</v>
      </c>
      <c r="N889" s="30">
        <f t="shared" si="97"/>
        <v>-2.3164840998078891E-3</v>
      </c>
      <c r="O889" s="30">
        <f t="shared" si="98"/>
        <v>-1.2191293971688258E-3</v>
      </c>
    </row>
    <row r="890" spans="1:15" s="30" customFormat="1">
      <c r="A890" s="27">
        <v>44805</v>
      </c>
      <c r="B890" s="28" t="s">
        <v>871</v>
      </c>
      <c r="C890" s="28">
        <v>562.21</v>
      </c>
      <c r="D890" s="28" t="s">
        <v>2047</v>
      </c>
      <c r="E890" s="28">
        <v>336.07</v>
      </c>
      <c r="F890" s="28">
        <v>167.05</v>
      </c>
      <c r="G890" s="28" t="s">
        <v>3217</v>
      </c>
      <c r="H890" s="28">
        <v>271.10000000000002</v>
      </c>
      <c r="I890" s="30">
        <f t="shared" si="92"/>
        <v>4.5073939287735496E-3</v>
      </c>
      <c r="J890" s="30">
        <f t="shared" si="93"/>
        <v>9.6872964897424321E-3</v>
      </c>
      <c r="K890" s="30">
        <f t="shared" si="94"/>
        <v>1.6069239205392431E-2</v>
      </c>
      <c r="L890" s="30">
        <f t="shared" si="95"/>
        <v>8.7866674098298417E-3</v>
      </c>
      <c r="M890" s="30">
        <f t="shared" si="96"/>
        <v>-1.0125160949873603E-2</v>
      </c>
      <c r="N890" s="30">
        <f t="shared" si="97"/>
        <v>7.342780102871569E-3</v>
      </c>
      <c r="O890" s="30">
        <f t="shared" si="98"/>
        <v>2.1417237978807965E-3</v>
      </c>
    </row>
    <row r="891" spans="1:15" s="30" customFormat="1">
      <c r="A891" s="27">
        <v>44803</v>
      </c>
      <c r="B891" s="28" t="s">
        <v>872</v>
      </c>
      <c r="C891" s="28">
        <v>561.41999999999996</v>
      </c>
      <c r="D891" s="28" t="s">
        <v>2048</v>
      </c>
      <c r="E891" s="28">
        <v>336.87</v>
      </c>
      <c r="F891" s="28">
        <v>166.1</v>
      </c>
      <c r="G891" s="28" t="s">
        <v>3218</v>
      </c>
      <c r="H891" s="28">
        <v>266.60000000000002</v>
      </c>
      <c r="I891" s="30">
        <f t="shared" si="92"/>
        <v>-1.6071944261974024E-2</v>
      </c>
      <c r="J891" s="30">
        <f t="shared" si="93"/>
        <v>-1.4061570626822529E-3</v>
      </c>
      <c r="K891" s="30">
        <f t="shared" si="94"/>
        <v>3.8795613703974309E-2</v>
      </c>
      <c r="L891" s="30">
        <f t="shared" si="95"/>
        <v>2.3776276543946355E-3</v>
      </c>
      <c r="M891" s="30">
        <f t="shared" si="96"/>
        <v>-5.7031521835164438E-3</v>
      </c>
      <c r="N891" s="30">
        <f t="shared" si="97"/>
        <v>-7.1881807724940364E-3</v>
      </c>
      <c r="O891" s="30">
        <f t="shared" si="98"/>
        <v>-1.673834876001153E-2</v>
      </c>
    </row>
    <row r="892" spans="1:15" s="30" customFormat="1">
      <c r="A892" s="27">
        <v>44802</v>
      </c>
      <c r="B892" s="28" t="s">
        <v>873</v>
      </c>
      <c r="C892" s="28">
        <v>551.79</v>
      </c>
      <c r="D892" s="28" t="s">
        <v>2049</v>
      </c>
      <c r="E892" s="28">
        <v>323.39999999999998</v>
      </c>
      <c r="F892" s="28">
        <v>160.9</v>
      </c>
      <c r="G892" s="28" t="s">
        <v>3219</v>
      </c>
      <c r="H892" s="28">
        <v>260.45</v>
      </c>
      <c r="I892" s="30">
        <f t="shared" si="92"/>
        <v>-1.4358398676941978E-2</v>
      </c>
      <c r="J892" s="30">
        <f t="shared" si="93"/>
        <v>-1.7301749405060626E-2</v>
      </c>
      <c r="K892" s="30">
        <f t="shared" si="94"/>
        <v>1.0720946138434665E-2</v>
      </c>
      <c r="L892" s="30">
        <f t="shared" si="95"/>
        <v>-4.0807152109550597E-2</v>
      </c>
      <c r="M892" s="30">
        <f t="shared" si="96"/>
        <v>-3.1806962620911608E-2</v>
      </c>
      <c r="N892" s="30">
        <f t="shared" si="97"/>
        <v>-1.8036820930392717E-4</v>
      </c>
      <c r="O892" s="30">
        <f t="shared" si="98"/>
        <v>-2.3338503553407847E-2</v>
      </c>
    </row>
    <row r="893" spans="1:15" s="30" customFormat="1">
      <c r="A893" s="27">
        <v>44799</v>
      </c>
      <c r="B893" s="28" t="s">
        <v>874</v>
      </c>
      <c r="C893" s="28">
        <v>550.13</v>
      </c>
      <c r="D893" s="28" t="s">
        <v>2050</v>
      </c>
      <c r="E893" s="28">
        <v>328.6</v>
      </c>
      <c r="F893" s="28">
        <v>168.4</v>
      </c>
      <c r="G893" s="28" t="s">
        <v>3220</v>
      </c>
      <c r="H893" s="28">
        <v>260.64999999999998</v>
      </c>
      <c r="I893" s="30">
        <f t="shared" si="92"/>
        <v>-5.9098990035112058E-3</v>
      </c>
      <c r="J893" s="30">
        <f t="shared" si="93"/>
        <v>-3.0129251774190704E-3</v>
      </c>
      <c r="K893" s="30">
        <f t="shared" si="94"/>
        <v>-1.6005092597088936E-2</v>
      </c>
      <c r="L893" s="30">
        <f t="shared" si="95"/>
        <v>1.595125846016129E-2</v>
      </c>
      <c r="M893" s="30">
        <f t="shared" si="96"/>
        <v>4.5559047809888786E-2</v>
      </c>
      <c r="N893" s="30">
        <f t="shared" si="97"/>
        <v>-6.7022403457496797E-4</v>
      </c>
      <c r="O893" s="30">
        <f t="shared" si="98"/>
        <v>7.6760702291440053E-4</v>
      </c>
    </row>
    <row r="894" spans="1:15" s="30" customFormat="1">
      <c r="A894" s="27">
        <v>44798</v>
      </c>
      <c r="B894" s="28" t="s">
        <v>875</v>
      </c>
      <c r="C894" s="28">
        <v>546.5</v>
      </c>
      <c r="D894" s="28" t="s">
        <v>2051</v>
      </c>
      <c r="E894" s="28">
        <v>324.60000000000002</v>
      </c>
      <c r="F894" s="28">
        <v>167.6</v>
      </c>
      <c r="G894" s="28" t="s">
        <v>3221</v>
      </c>
      <c r="H894" s="28">
        <v>259.5</v>
      </c>
      <c r="I894" s="30">
        <f t="shared" si="92"/>
        <v>1.1651256160699747E-2</v>
      </c>
      <c r="J894" s="30">
        <f t="shared" si="93"/>
        <v>-6.620306316803575E-3</v>
      </c>
      <c r="K894" s="30">
        <f t="shared" si="94"/>
        <v>8.5243877038387039E-3</v>
      </c>
      <c r="L894" s="30">
        <f t="shared" si="95"/>
        <v>-1.2247550522676875E-2</v>
      </c>
      <c r="M894" s="30">
        <f t="shared" si="96"/>
        <v>-4.7619137602437026E-3</v>
      </c>
      <c r="N894" s="30">
        <f t="shared" si="97"/>
        <v>-3.2543872512296886E-3</v>
      </c>
      <c r="O894" s="30">
        <f t="shared" si="98"/>
        <v>-4.4218086081714951E-3</v>
      </c>
    </row>
    <row r="895" spans="1:15" s="30" customFormat="1">
      <c r="A895" s="27">
        <v>44797</v>
      </c>
      <c r="B895" s="28" t="s">
        <v>876</v>
      </c>
      <c r="C895" s="28">
        <v>549.75</v>
      </c>
      <c r="D895" s="28" t="s">
        <v>2052</v>
      </c>
      <c r="E895" s="28">
        <v>329.83</v>
      </c>
      <c r="F895" s="28">
        <v>167.55</v>
      </c>
      <c r="G895" s="28" t="s">
        <v>3222</v>
      </c>
      <c r="H895" s="28">
        <v>260.5</v>
      </c>
      <c r="I895" s="30">
        <f t="shared" si="92"/>
        <v>4.8506699869458481E-3</v>
      </c>
      <c r="J895" s="30">
        <f t="shared" si="93"/>
        <v>5.9293218182773881E-3</v>
      </c>
      <c r="K895" s="30">
        <f t="shared" si="94"/>
        <v>-2.1986519835427661E-3</v>
      </c>
      <c r="L895" s="30">
        <f t="shared" si="95"/>
        <v>1.5983715128753594E-2</v>
      </c>
      <c r="M895" s="30">
        <f t="shared" si="96"/>
        <v>-2.9837386466314056E-4</v>
      </c>
      <c r="N895" s="30">
        <f t="shared" si="97"/>
        <v>-2.6941625539375577E-3</v>
      </c>
      <c r="O895" s="30">
        <f t="shared" si="98"/>
        <v>3.8461585874783148E-3</v>
      </c>
    </row>
    <row r="896" spans="1:15" s="30" customFormat="1">
      <c r="A896" s="27">
        <v>44796</v>
      </c>
      <c r="B896" s="28" t="s">
        <v>877</v>
      </c>
      <c r="C896" s="28">
        <v>551.08000000000004</v>
      </c>
      <c r="D896" s="28" t="s">
        <v>2053</v>
      </c>
      <c r="E896" s="28">
        <v>332.5</v>
      </c>
      <c r="F896" s="28">
        <v>166.75</v>
      </c>
      <c r="G896" s="28" t="s">
        <v>3223</v>
      </c>
      <c r="H896" s="28">
        <v>261.64999999999998</v>
      </c>
      <c r="I896" s="30">
        <f t="shared" si="92"/>
        <v>-6.6068580229616362E-3</v>
      </c>
      <c r="J896" s="30">
        <f t="shared" si="93"/>
        <v>2.4163597415277401E-3</v>
      </c>
      <c r="K896" s="30">
        <f t="shared" si="94"/>
        <v>-1.4681911668665006E-2</v>
      </c>
      <c r="L896" s="30">
        <f t="shared" si="95"/>
        <v>8.0624898866644198E-3</v>
      </c>
      <c r="M896" s="30">
        <f t="shared" si="96"/>
        <v>-4.7861293875863849E-3</v>
      </c>
      <c r="N896" s="30">
        <f t="shared" si="97"/>
        <v>5.9644984458230165E-4</v>
      </c>
      <c r="O896" s="30">
        <f t="shared" si="98"/>
        <v>4.4048716247950467E-3</v>
      </c>
    </row>
    <row r="897" spans="1:15" s="30" customFormat="1">
      <c r="A897" s="27">
        <v>44795</v>
      </c>
      <c r="B897" s="28" t="s">
        <v>878</v>
      </c>
      <c r="C897" s="28">
        <v>557.08000000000004</v>
      </c>
      <c r="D897" s="28" t="s">
        <v>2054</v>
      </c>
      <c r="E897" s="28">
        <v>332.8</v>
      </c>
      <c r="F897" s="28">
        <v>169.45</v>
      </c>
      <c r="G897" s="28" t="s">
        <v>3224</v>
      </c>
      <c r="H897" s="28">
        <v>261.92</v>
      </c>
      <c r="I897" s="30">
        <f t="shared" si="92"/>
        <v>-2.0428407053614942E-3</v>
      </c>
      <c r="J897" s="30">
        <f t="shared" si="93"/>
        <v>1.0828867008492832E-2</v>
      </c>
      <c r="K897" s="30">
        <f t="shared" si="94"/>
        <v>-5.2262833455654391E-2</v>
      </c>
      <c r="L897" s="30">
        <f t="shared" si="95"/>
        <v>9.0184885114480125E-4</v>
      </c>
      <c r="M897" s="30">
        <f t="shared" si="96"/>
        <v>1.6062213257327113E-2</v>
      </c>
      <c r="N897" s="30">
        <f t="shared" si="97"/>
        <v>-1.6335748323290381E-2</v>
      </c>
      <c r="O897" s="30">
        <f t="shared" si="98"/>
        <v>1.0313808046081186E-3</v>
      </c>
    </row>
    <row r="898" spans="1:15" s="30" customFormat="1">
      <c r="A898" s="27">
        <v>44792</v>
      </c>
      <c r="B898" s="28" t="s">
        <v>879</v>
      </c>
      <c r="C898" s="28">
        <v>580.91999999999996</v>
      </c>
      <c r="D898" s="28" t="s">
        <v>2055</v>
      </c>
      <c r="E898" s="28">
        <v>337.13</v>
      </c>
      <c r="F898" s="28">
        <v>167.9</v>
      </c>
      <c r="G898" s="28" t="s">
        <v>3225</v>
      </c>
      <c r="H898" s="28">
        <v>267.67</v>
      </c>
      <c r="I898" s="30">
        <f t="shared" si="92"/>
        <v>3.8879067883970164E-2</v>
      </c>
      <c r="J898" s="30">
        <f t="shared" si="93"/>
        <v>4.1904197554711933E-2</v>
      </c>
      <c r="K898" s="30">
        <f t="shared" si="94"/>
        <v>-3.9506986355293636E-2</v>
      </c>
      <c r="L898" s="30">
        <f t="shared" si="95"/>
        <v>1.292690369688821E-2</v>
      </c>
      <c r="M898" s="30">
        <f t="shared" si="96"/>
        <v>-9.1893339695651218E-3</v>
      </c>
      <c r="N898" s="30">
        <f t="shared" si="97"/>
        <v>3.6885786217169552E-4</v>
      </c>
      <c r="O898" s="30">
        <f t="shared" si="98"/>
        <v>2.1715764878410149E-2</v>
      </c>
    </row>
    <row r="899" spans="1:15" s="30" customFormat="1">
      <c r="A899" s="27">
        <v>44791</v>
      </c>
      <c r="B899" s="28" t="s">
        <v>880</v>
      </c>
      <c r="C899" s="28">
        <v>589.29</v>
      </c>
      <c r="D899" s="28" t="s">
        <v>2056</v>
      </c>
      <c r="E899" s="28">
        <v>337.97</v>
      </c>
      <c r="F899" s="28">
        <v>168.9</v>
      </c>
      <c r="G899" s="28" t="s">
        <v>3226</v>
      </c>
      <c r="H899" s="28">
        <v>260.88</v>
      </c>
      <c r="I899" s="30">
        <f t="shared" si="92"/>
        <v>1.5047520277818804E-2</v>
      </c>
      <c r="J899" s="30">
        <f t="shared" si="93"/>
        <v>1.4305368674691274E-2</v>
      </c>
      <c r="K899" s="30">
        <f t="shared" si="94"/>
        <v>3.8964518984594904E-3</v>
      </c>
      <c r="L899" s="30">
        <f t="shared" si="95"/>
        <v>2.4885215034565495E-3</v>
      </c>
      <c r="M899" s="30">
        <f t="shared" si="96"/>
        <v>5.9382597302593248E-3</v>
      </c>
      <c r="N899" s="30">
        <f t="shared" si="97"/>
        <v>2.4305758180965437E-2</v>
      </c>
      <c r="O899" s="30">
        <f t="shared" si="98"/>
        <v>-2.5694347020171156E-2</v>
      </c>
    </row>
    <row r="900" spans="1:15" s="30" customFormat="1">
      <c r="A900" s="27">
        <v>44790</v>
      </c>
      <c r="B900" s="28" t="s">
        <v>881</v>
      </c>
      <c r="C900" s="28">
        <v>587.5</v>
      </c>
      <c r="D900" s="28" t="s">
        <v>2057</v>
      </c>
      <c r="E900" s="28">
        <v>339.1</v>
      </c>
      <c r="F900" s="28">
        <v>165.3</v>
      </c>
      <c r="G900" s="28" t="s">
        <v>3227</v>
      </c>
      <c r="H900" s="28">
        <v>263.67</v>
      </c>
      <c r="I900" s="30">
        <f t="shared" ref="I900:I963" si="99">LN(B900/B899)</f>
        <v>-3.3007304317306104E-3</v>
      </c>
      <c r="J900" s="30">
        <f t="shared" ref="J900:J963" si="100">LN(C900/C899)</f>
        <v>-3.0421763959805736E-3</v>
      </c>
      <c r="K900" s="30">
        <f t="shared" ref="K900:K963" si="101">LN(D900/D899)</f>
        <v>2.1398832876318814E-3</v>
      </c>
      <c r="L900" s="30">
        <f t="shared" ref="L900:L963" si="102">LN(E900/E899)</f>
        <v>3.3379149841946294E-3</v>
      </c>
      <c r="M900" s="30">
        <f t="shared" ref="M900:M963" si="103">LN(F900/F899)</f>
        <v>-2.1544818986775915E-2</v>
      </c>
      <c r="N900" s="30">
        <f t="shared" ref="N900:N963" si="104">LN(G900/G899)</f>
        <v>-2.5227186648531931E-3</v>
      </c>
      <c r="O900" s="30">
        <f t="shared" ref="O900:O963" si="105">LN(H900/H899)</f>
        <v>1.0637789763599977E-2</v>
      </c>
    </row>
    <row r="901" spans="1:15" s="30" customFormat="1">
      <c r="A901" s="27">
        <v>44789</v>
      </c>
      <c r="B901" s="28" t="s">
        <v>882</v>
      </c>
      <c r="C901" s="28">
        <v>566.79</v>
      </c>
      <c r="D901" s="28" t="s">
        <v>2058</v>
      </c>
      <c r="E901" s="28">
        <v>333.07</v>
      </c>
      <c r="F901" s="28">
        <v>162.80000000000001</v>
      </c>
      <c r="G901" s="28" t="s">
        <v>3228</v>
      </c>
      <c r="H901" s="28">
        <v>265.45</v>
      </c>
      <c r="I901" s="30">
        <f t="shared" si="99"/>
        <v>-6.4629319441101788E-3</v>
      </c>
      <c r="J901" s="30">
        <f t="shared" si="100"/>
        <v>-3.5887381264977779E-2</v>
      </c>
      <c r="K901" s="30">
        <f t="shared" si="101"/>
        <v>-1.0280232673366727E-2</v>
      </c>
      <c r="L901" s="30">
        <f t="shared" si="102"/>
        <v>-1.7942371032009404E-2</v>
      </c>
      <c r="M901" s="30">
        <f t="shared" si="103"/>
        <v>-1.5239551258538576E-2</v>
      </c>
      <c r="N901" s="30">
        <f t="shared" si="104"/>
        <v>1.8025910682782794E-3</v>
      </c>
      <c r="O901" s="30">
        <f t="shared" si="105"/>
        <v>6.7281777850168034E-3</v>
      </c>
    </row>
    <row r="902" spans="1:15" s="30" customFormat="1">
      <c r="A902" s="27">
        <v>44785</v>
      </c>
      <c r="B902" s="28" t="s">
        <v>883</v>
      </c>
      <c r="C902" s="28">
        <v>563.66999999999996</v>
      </c>
      <c r="D902" s="28" t="s">
        <v>2059</v>
      </c>
      <c r="E902" s="28">
        <v>329.5</v>
      </c>
      <c r="F902" s="28">
        <v>165.55</v>
      </c>
      <c r="G902" s="28" t="s">
        <v>3229</v>
      </c>
      <c r="H902" s="28">
        <v>270.2</v>
      </c>
      <c r="I902" s="30">
        <f t="shared" si="99"/>
        <v>-2.1115399487255701E-2</v>
      </c>
      <c r="J902" s="30">
        <f t="shared" si="100"/>
        <v>-5.5198908797954027E-3</v>
      </c>
      <c r="K902" s="30">
        <f t="shared" si="101"/>
        <v>-3.3226454906419612E-5</v>
      </c>
      <c r="L902" s="30">
        <f t="shared" si="102"/>
        <v>-1.0776324157021712E-2</v>
      </c>
      <c r="M902" s="30">
        <f t="shared" si="103"/>
        <v>1.6750810424815351E-2</v>
      </c>
      <c r="N902" s="30">
        <f t="shared" si="104"/>
        <v>-1.3390686884594504E-2</v>
      </c>
      <c r="O902" s="30">
        <f t="shared" si="105"/>
        <v>1.7735926496418041E-2</v>
      </c>
    </row>
    <row r="903" spans="1:15" s="30" customFormat="1">
      <c r="A903" s="27">
        <v>44784</v>
      </c>
      <c r="B903" s="28" t="s">
        <v>884</v>
      </c>
      <c r="C903" s="28">
        <v>564.08000000000004</v>
      </c>
      <c r="D903" s="28" t="s">
        <v>2060</v>
      </c>
      <c r="E903" s="28">
        <v>333.57</v>
      </c>
      <c r="F903" s="28">
        <v>163.1</v>
      </c>
      <c r="G903" s="28" t="s">
        <v>3230</v>
      </c>
      <c r="H903" s="28">
        <v>275.17</v>
      </c>
      <c r="I903" s="30">
        <f t="shared" si="99"/>
        <v>-6.6295674575080144E-3</v>
      </c>
      <c r="J903" s="30">
        <f t="shared" si="100"/>
        <v>7.2711153724449521E-4</v>
      </c>
      <c r="K903" s="30">
        <f t="shared" si="101"/>
        <v>1.0181906145119502E-2</v>
      </c>
      <c r="L903" s="30">
        <f t="shared" si="102"/>
        <v>1.2276384440705642E-2</v>
      </c>
      <c r="M903" s="30">
        <f t="shared" si="103"/>
        <v>-1.4909754366287151E-2</v>
      </c>
      <c r="N903" s="30">
        <f t="shared" si="104"/>
        <v>1.212921439890549E-2</v>
      </c>
      <c r="O903" s="30">
        <f t="shared" si="105"/>
        <v>1.8226662962983798E-2</v>
      </c>
    </row>
    <row r="904" spans="1:15" s="30" customFormat="1">
      <c r="A904" s="27">
        <v>44783</v>
      </c>
      <c r="B904" s="28" t="s">
        <v>885</v>
      </c>
      <c r="C904" s="28">
        <v>555.33000000000004</v>
      </c>
      <c r="D904" s="28" t="s">
        <v>2061</v>
      </c>
      <c r="E904" s="28">
        <v>332.3</v>
      </c>
      <c r="F904" s="28">
        <v>163.15</v>
      </c>
      <c r="G904" s="28" t="s">
        <v>3231</v>
      </c>
      <c r="H904" s="28">
        <v>269.38</v>
      </c>
      <c r="I904" s="30">
        <f t="shared" si="99"/>
        <v>1.8923702075952249E-3</v>
      </c>
      <c r="J904" s="30">
        <f t="shared" si="100"/>
        <v>-1.5633553771081731E-2</v>
      </c>
      <c r="K904" s="30">
        <f t="shared" si="101"/>
        <v>1.1803501488659489E-2</v>
      </c>
      <c r="L904" s="30">
        <f t="shared" si="102"/>
        <v>-3.8145630227188997E-3</v>
      </c>
      <c r="M904" s="30">
        <f t="shared" si="103"/>
        <v>3.0651341236143277E-4</v>
      </c>
      <c r="N904" s="30">
        <f t="shared" si="104"/>
        <v>-2.2953239648427575E-3</v>
      </c>
      <c r="O904" s="30">
        <f t="shared" si="105"/>
        <v>-2.1266066318413508E-2</v>
      </c>
    </row>
    <row r="905" spans="1:15" s="30" customFormat="1">
      <c r="A905" s="27">
        <v>44781</v>
      </c>
      <c r="B905" s="28" t="s">
        <v>886</v>
      </c>
      <c r="C905" s="28">
        <v>562.21</v>
      </c>
      <c r="D905" s="28" t="s">
        <v>2062</v>
      </c>
      <c r="E905" s="28">
        <v>330.87</v>
      </c>
      <c r="F905" s="28">
        <v>164.95</v>
      </c>
      <c r="G905" s="28" t="s">
        <v>3232</v>
      </c>
      <c r="H905" s="28">
        <v>276.60000000000002</v>
      </c>
      <c r="I905" s="30">
        <f t="shared" si="99"/>
        <v>1.3624466584040897E-2</v>
      </c>
      <c r="J905" s="30">
        <f t="shared" si="100"/>
        <v>1.2312913938855361E-2</v>
      </c>
      <c r="K905" s="30">
        <f t="shared" si="101"/>
        <v>-6.391256633716428E-3</v>
      </c>
      <c r="L905" s="30">
        <f t="shared" si="102"/>
        <v>-4.3126263743833767E-3</v>
      </c>
      <c r="M905" s="30">
        <f t="shared" si="103"/>
        <v>1.0972374635260724E-2</v>
      </c>
      <c r="N905" s="30">
        <f t="shared" si="104"/>
        <v>-5.177334888594628E-3</v>
      </c>
      <c r="O905" s="30">
        <f t="shared" si="105"/>
        <v>2.6449397059989041E-2</v>
      </c>
    </row>
    <row r="906" spans="1:15" s="30" customFormat="1">
      <c r="A906" s="27">
        <v>44778</v>
      </c>
      <c r="B906" s="28" t="s">
        <v>887</v>
      </c>
      <c r="C906" s="28">
        <v>561.46</v>
      </c>
      <c r="D906" s="28" t="s">
        <v>2063</v>
      </c>
      <c r="E906" s="28">
        <v>334.3</v>
      </c>
      <c r="F906" s="28">
        <v>166.85</v>
      </c>
      <c r="G906" s="28" t="s">
        <v>3233</v>
      </c>
      <c r="H906" s="28">
        <v>272.02</v>
      </c>
      <c r="I906" s="30">
        <f t="shared" si="99"/>
        <v>4.4573703232626523E-3</v>
      </c>
      <c r="J906" s="30">
        <f t="shared" si="100"/>
        <v>-1.3349116936009708E-3</v>
      </c>
      <c r="K906" s="30">
        <f t="shared" si="101"/>
        <v>2.3439962321128192E-2</v>
      </c>
      <c r="L906" s="30">
        <f t="shared" si="102"/>
        <v>1.0313244439887796E-2</v>
      </c>
      <c r="M906" s="30">
        <f t="shared" si="103"/>
        <v>1.1452807522792572E-2</v>
      </c>
      <c r="N906" s="30">
        <f t="shared" si="104"/>
        <v>-1.0278440735541738E-2</v>
      </c>
      <c r="O906" s="30">
        <f t="shared" si="105"/>
        <v>-1.6696826226050624E-2</v>
      </c>
    </row>
    <row r="907" spans="1:15" s="30" customFormat="1">
      <c r="A907" s="27">
        <v>44777</v>
      </c>
      <c r="B907" s="28" t="s">
        <v>888</v>
      </c>
      <c r="C907" s="28">
        <v>555.83000000000004</v>
      </c>
      <c r="D907" s="28" t="s">
        <v>2064</v>
      </c>
      <c r="E907" s="28">
        <v>333.33</v>
      </c>
      <c r="F907" s="28">
        <v>163.6</v>
      </c>
      <c r="G907" s="28" t="s">
        <v>3234</v>
      </c>
      <c r="H907" s="28">
        <v>267.48</v>
      </c>
      <c r="I907" s="30">
        <f t="shared" si="99"/>
        <v>-3.8647948428826955E-3</v>
      </c>
      <c r="J907" s="30">
        <f t="shared" si="100"/>
        <v>-1.0078041782769933E-2</v>
      </c>
      <c r="K907" s="30">
        <f t="shared" si="101"/>
        <v>1.1374951867081286E-2</v>
      </c>
      <c r="L907" s="30">
        <f t="shared" si="102"/>
        <v>-2.9058031620259827E-3</v>
      </c>
      <c r="M907" s="30">
        <f t="shared" si="103"/>
        <v>-1.9670781028736324E-2</v>
      </c>
      <c r="N907" s="30">
        <f t="shared" si="104"/>
        <v>-9.4443576986924288E-4</v>
      </c>
      <c r="O907" s="30">
        <f t="shared" si="105"/>
        <v>-1.683079581882942E-2</v>
      </c>
    </row>
    <row r="908" spans="1:15" s="30" customFormat="1">
      <c r="A908" s="27">
        <v>44776</v>
      </c>
      <c r="B908" s="28" t="s">
        <v>889</v>
      </c>
      <c r="C908" s="28">
        <v>547.79</v>
      </c>
      <c r="D908" s="28" t="s">
        <v>2065</v>
      </c>
      <c r="E908" s="28">
        <v>334.23</v>
      </c>
      <c r="F908" s="28">
        <v>170.6</v>
      </c>
      <c r="G908" s="28" t="s">
        <v>3235</v>
      </c>
      <c r="H908" s="28">
        <v>268.95</v>
      </c>
      <c r="I908" s="30">
        <f t="shared" si="99"/>
        <v>-6.0433652768113414E-3</v>
      </c>
      <c r="J908" s="30">
        <f t="shared" si="100"/>
        <v>-1.4570490277363629E-2</v>
      </c>
      <c r="K908" s="30">
        <f t="shared" si="101"/>
        <v>-6.4659496273875771E-3</v>
      </c>
      <c r="L908" s="30">
        <f t="shared" si="102"/>
        <v>2.6963884753079849E-3</v>
      </c>
      <c r="M908" s="30">
        <f t="shared" si="103"/>
        <v>4.1897210888932016E-2</v>
      </c>
      <c r="N908" s="30">
        <f t="shared" si="104"/>
        <v>2.3039624342308405E-2</v>
      </c>
      <c r="O908" s="30">
        <f t="shared" si="105"/>
        <v>5.4806915334735659E-3</v>
      </c>
    </row>
    <row r="909" spans="1:15" s="30" customFormat="1">
      <c r="A909" s="27">
        <v>44775</v>
      </c>
      <c r="B909" s="28" t="s">
        <v>890</v>
      </c>
      <c r="C909" s="28">
        <v>543.71</v>
      </c>
      <c r="D909" s="28" t="s">
        <v>2066</v>
      </c>
      <c r="E909" s="28">
        <v>338.87</v>
      </c>
      <c r="F909" s="28">
        <v>176.85</v>
      </c>
      <c r="G909" s="28" t="s">
        <v>3236</v>
      </c>
      <c r="H909" s="28">
        <v>274.42</v>
      </c>
      <c r="I909" s="30">
        <f t="shared" si="99"/>
        <v>-1.2727284938009941E-2</v>
      </c>
      <c r="J909" s="30">
        <f t="shared" si="100"/>
        <v>-7.4759853462273273E-3</v>
      </c>
      <c r="K909" s="30">
        <f t="shared" si="101"/>
        <v>-1.4703085314241906E-2</v>
      </c>
      <c r="L909" s="30">
        <f t="shared" si="102"/>
        <v>1.3787174267581401E-2</v>
      </c>
      <c r="M909" s="30">
        <f t="shared" si="103"/>
        <v>3.5980280593910827E-2</v>
      </c>
      <c r="N909" s="30">
        <f t="shared" si="104"/>
        <v>6.6664959777736055E-4</v>
      </c>
      <c r="O909" s="30">
        <f t="shared" si="105"/>
        <v>2.0134290773777739E-2</v>
      </c>
    </row>
    <row r="910" spans="1:15" s="30" customFormat="1">
      <c r="A910" s="27">
        <v>44774</v>
      </c>
      <c r="B910" s="28" t="s">
        <v>891</v>
      </c>
      <c r="C910" s="28">
        <v>524.08000000000004</v>
      </c>
      <c r="D910" s="28" t="s">
        <v>2067</v>
      </c>
      <c r="E910" s="28">
        <v>287.7</v>
      </c>
      <c r="F910" s="28">
        <v>168.4</v>
      </c>
      <c r="G910" s="28" t="s">
        <v>3237</v>
      </c>
      <c r="H910" s="28">
        <v>256.77</v>
      </c>
      <c r="I910" s="30">
        <f t="shared" si="99"/>
        <v>-2.1308110482067228E-2</v>
      </c>
      <c r="J910" s="30">
        <f t="shared" si="100"/>
        <v>-3.6771672054975842E-2</v>
      </c>
      <c r="K910" s="30">
        <f t="shared" si="101"/>
        <v>-9.594286239954368E-2</v>
      </c>
      <c r="L910" s="30">
        <f t="shared" si="102"/>
        <v>-0.16369828244941417</v>
      </c>
      <c r="M910" s="30">
        <f t="shared" si="103"/>
        <v>-4.8959813843263193E-2</v>
      </c>
      <c r="N910" s="30">
        <f t="shared" si="104"/>
        <v>-2.0269670437914806E-3</v>
      </c>
      <c r="O910" s="30">
        <f t="shared" si="105"/>
        <v>-6.6479036931401281E-2</v>
      </c>
    </row>
    <row r="911" spans="1:15" s="30" customFormat="1">
      <c r="A911" s="27">
        <v>44771</v>
      </c>
      <c r="B911" s="28" t="s">
        <v>892</v>
      </c>
      <c r="C911" s="28">
        <v>520.58000000000004</v>
      </c>
      <c r="D911" s="28" t="s">
        <v>2068</v>
      </c>
      <c r="E911" s="28">
        <v>266.67</v>
      </c>
      <c r="F911" s="28">
        <v>169.3</v>
      </c>
      <c r="G911" s="28" t="s">
        <v>3238</v>
      </c>
      <c r="H911" s="28">
        <v>255.25</v>
      </c>
      <c r="I911" s="30">
        <f t="shared" si="99"/>
        <v>2.7634699111944404E-3</v>
      </c>
      <c r="J911" s="30">
        <f t="shared" si="100"/>
        <v>-6.7007698120263312E-3</v>
      </c>
      <c r="K911" s="30">
        <f t="shared" si="101"/>
        <v>-1.143114540811197E-2</v>
      </c>
      <c r="L911" s="30">
        <f t="shared" si="102"/>
        <v>-7.5906331635808885E-2</v>
      </c>
      <c r="M911" s="30">
        <f t="shared" si="103"/>
        <v>5.3301873308633525E-3</v>
      </c>
      <c r="N911" s="30">
        <f t="shared" si="104"/>
        <v>-8.9933840454881205E-4</v>
      </c>
      <c r="O911" s="30">
        <f t="shared" si="105"/>
        <v>-5.9372855168529715E-3</v>
      </c>
    </row>
    <row r="912" spans="1:15" s="30" customFormat="1">
      <c r="A912" s="27">
        <v>44770</v>
      </c>
      <c r="B912" s="28" t="s">
        <v>893</v>
      </c>
      <c r="C912" s="28">
        <v>514.33000000000004</v>
      </c>
      <c r="D912" s="28" t="s">
        <v>2069</v>
      </c>
      <c r="E912" s="28">
        <v>269.93</v>
      </c>
      <c r="F912" s="28">
        <v>168.6</v>
      </c>
      <c r="G912" s="28" t="s">
        <v>3239</v>
      </c>
      <c r="H912" s="28">
        <v>251.88</v>
      </c>
      <c r="I912" s="30">
        <f t="shared" si="99"/>
        <v>-1.8574135856680846E-2</v>
      </c>
      <c r="J912" s="30">
        <f t="shared" si="100"/>
        <v>-1.207849181894434E-2</v>
      </c>
      <c r="K912" s="30">
        <f t="shared" si="101"/>
        <v>-1.33019379323405E-3</v>
      </c>
      <c r="L912" s="30">
        <f t="shared" si="102"/>
        <v>1.2150727203930681E-2</v>
      </c>
      <c r="M912" s="30">
        <f t="shared" si="103"/>
        <v>-4.143243571334625E-3</v>
      </c>
      <c r="N912" s="30">
        <f t="shared" si="104"/>
        <v>1.9727015788072056E-2</v>
      </c>
      <c r="O912" s="30">
        <f t="shared" si="105"/>
        <v>-1.3290673424233018E-2</v>
      </c>
    </row>
    <row r="913" spans="1:15" s="30" customFormat="1">
      <c r="A913" s="27">
        <v>44769</v>
      </c>
      <c r="B913" s="28" t="s">
        <v>894</v>
      </c>
      <c r="C913" s="28">
        <v>497.38</v>
      </c>
      <c r="D913" s="28" t="s">
        <v>2070</v>
      </c>
      <c r="E913" s="28">
        <v>266.43</v>
      </c>
      <c r="F913" s="28">
        <v>166.15</v>
      </c>
      <c r="G913" s="28" t="s">
        <v>3240</v>
      </c>
      <c r="H913" s="28">
        <v>250.3</v>
      </c>
      <c r="I913" s="30">
        <f t="shared" si="99"/>
        <v>-2.674175563293206E-2</v>
      </c>
      <c r="J913" s="30">
        <f t="shared" si="100"/>
        <v>-3.3510761319006814E-2</v>
      </c>
      <c r="K913" s="30">
        <f t="shared" si="101"/>
        <v>-5.0853985851043232E-3</v>
      </c>
      <c r="L913" s="30">
        <f t="shared" si="102"/>
        <v>-1.3051121187101463E-2</v>
      </c>
      <c r="M913" s="30">
        <f t="shared" si="103"/>
        <v>-1.463805076715172E-2</v>
      </c>
      <c r="N913" s="30">
        <f t="shared" si="104"/>
        <v>-3.6360921812479026E-3</v>
      </c>
      <c r="O913" s="30">
        <f t="shared" si="105"/>
        <v>-6.2925851828133719E-3</v>
      </c>
    </row>
    <row r="914" spans="1:15" s="30" customFormat="1">
      <c r="A914" s="27">
        <v>44768</v>
      </c>
      <c r="B914" s="28" t="s">
        <v>895</v>
      </c>
      <c r="C914" s="28">
        <v>488.38</v>
      </c>
      <c r="D914" s="28" t="s">
        <v>2071</v>
      </c>
      <c r="E914" s="28">
        <v>266.47000000000003</v>
      </c>
      <c r="F914" s="28">
        <v>163.55000000000001</v>
      </c>
      <c r="G914" s="28" t="s">
        <v>3241</v>
      </c>
      <c r="H914" s="28">
        <v>248.98</v>
      </c>
      <c r="I914" s="30">
        <f t="shared" si="99"/>
        <v>-2.464161029721898E-2</v>
      </c>
      <c r="J914" s="30">
        <f t="shared" si="100"/>
        <v>-1.8260530116519756E-2</v>
      </c>
      <c r="K914" s="30">
        <f t="shared" si="101"/>
        <v>1.1925197907954011E-3</v>
      </c>
      <c r="L914" s="30">
        <f t="shared" si="102"/>
        <v>1.5012197438592291E-4</v>
      </c>
      <c r="M914" s="30">
        <f t="shared" si="103"/>
        <v>-1.5772240816210328E-2</v>
      </c>
      <c r="N914" s="30">
        <f t="shared" si="104"/>
        <v>-1.7093997211073353E-2</v>
      </c>
      <c r="O914" s="30">
        <f t="shared" si="105"/>
        <v>-5.287626484088751E-3</v>
      </c>
    </row>
    <row r="915" spans="1:15" s="30" customFormat="1">
      <c r="A915" s="27">
        <v>44767</v>
      </c>
      <c r="B915" s="28" t="s">
        <v>896</v>
      </c>
      <c r="C915" s="28">
        <v>495.46</v>
      </c>
      <c r="D915" s="28" t="s">
        <v>2072</v>
      </c>
      <c r="E915" s="28">
        <v>268.52999999999997</v>
      </c>
      <c r="F915" s="28">
        <v>163.9</v>
      </c>
      <c r="G915" s="28" t="s">
        <v>3242</v>
      </c>
      <c r="H915" s="28">
        <v>250.6</v>
      </c>
      <c r="I915" s="30">
        <f t="shared" si="99"/>
        <v>-1.142682531050161E-3</v>
      </c>
      <c r="J915" s="30">
        <f t="shared" si="100"/>
        <v>1.439283261550676E-2</v>
      </c>
      <c r="K915" s="30">
        <f t="shared" si="101"/>
        <v>5.1152849291252389E-3</v>
      </c>
      <c r="L915" s="30">
        <f t="shared" si="102"/>
        <v>7.7009726380486551E-3</v>
      </c>
      <c r="M915" s="30">
        <f t="shared" si="103"/>
        <v>2.1377317653909654E-3</v>
      </c>
      <c r="N915" s="30">
        <f t="shared" si="104"/>
        <v>4.6308207670875818E-4</v>
      </c>
      <c r="O915" s="30">
        <f t="shared" si="105"/>
        <v>6.4854705083280291E-3</v>
      </c>
    </row>
    <row r="916" spans="1:15" s="30" customFormat="1">
      <c r="A916" s="27">
        <v>44764</v>
      </c>
      <c r="B916" s="28" t="s">
        <v>897</v>
      </c>
      <c r="C916" s="28">
        <v>491.17</v>
      </c>
      <c r="D916" s="28" t="s">
        <v>2073</v>
      </c>
      <c r="E916" s="28">
        <v>268.10000000000002</v>
      </c>
      <c r="F916" s="28">
        <v>163.9</v>
      </c>
      <c r="G916" s="28" t="s">
        <v>3243</v>
      </c>
      <c r="H916" s="28">
        <v>254.5</v>
      </c>
      <c r="I916" s="30">
        <f t="shared" si="99"/>
        <v>-1.216731496166264E-2</v>
      </c>
      <c r="J916" s="30">
        <f t="shared" si="100"/>
        <v>-8.6963239234133932E-3</v>
      </c>
      <c r="K916" s="30">
        <f t="shared" si="101"/>
        <v>1.2568003521558062E-3</v>
      </c>
      <c r="L916" s="30">
        <f t="shared" si="102"/>
        <v>-1.6025943090435312E-3</v>
      </c>
      <c r="M916" s="30">
        <f t="shared" si="103"/>
        <v>0</v>
      </c>
      <c r="N916" s="30">
        <f t="shared" si="104"/>
        <v>-9.9258963668473477E-3</v>
      </c>
      <c r="O916" s="30">
        <f t="shared" si="105"/>
        <v>1.5442793528609423E-2</v>
      </c>
    </row>
    <row r="917" spans="1:15" s="30" customFormat="1">
      <c r="A917" s="27">
        <v>44763</v>
      </c>
      <c r="B917" s="28" t="s">
        <v>898</v>
      </c>
      <c r="C917" s="28">
        <v>495.13</v>
      </c>
      <c r="D917" s="28" t="s">
        <v>2074</v>
      </c>
      <c r="E917" s="28">
        <v>263.23</v>
      </c>
      <c r="F917" s="28">
        <v>162.85</v>
      </c>
      <c r="G917" s="28" t="s">
        <v>3244</v>
      </c>
      <c r="H917" s="28">
        <v>249.18</v>
      </c>
      <c r="I917" s="30">
        <f t="shared" si="99"/>
        <v>-4.2390153076276243E-4</v>
      </c>
      <c r="J917" s="30">
        <f t="shared" si="100"/>
        <v>8.030054301859383E-3</v>
      </c>
      <c r="K917" s="30">
        <f t="shared" si="101"/>
        <v>-1.8678166349808424E-3</v>
      </c>
      <c r="L917" s="30">
        <f t="shared" si="102"/>
        <v>-1.8331870523261101E-2</v>
      </c>
      <c r="M917" s="30">
        <f t="shared" si="103"/>
        <v>-6.4269540275416108E-3</v>
      </c>
      <c r="N917" s="30">
        <f t="shared" si="104"/>
        <v>2.7757258700032905E-3</v>
      </c>
      <c r="O917" s="30">
        <f t="shared" si="105"/>
        <v>-2.1125309119860259E-2</v>
      </c>
    </row>
    <row r="918" spans="1:15" s="30" customFormat="1">
      <c r="A918" s="27">
        <v>44762</v>
      </c>
      <c r="B918" s="28" t="s">
        <v>899</v>
      </c>
      <c r="C918" s="28">
        <v>481.88</v>
      </c>
      <c r="D918" s="28" t="s">
        <v>2075</v>
      </c>
      <c r="E918" s="28">
        <v>264.13</v>
      </c>
      <c r="F918" s="28">
        <v>163.69999999999999</v>
      </c>
      <c r="G918" s="28" t="s">
        <v>3245</v>
      </c>
      <c r="H918" s="28">
        <v>255.23</v>
      </c>
      <c r="I918" s="30">
        <f t="shared" si="99"/>
        <v>-1.9646414978211055E-2</v>
      </c>
      <c r="J918" s="30">
        <f t="shared" si="100"/>
        <v>-2.7125233952424475E-2</v>
      </c>
      <c r="K918" s="30">
        <f t="shared" si="101"/>
        <v>1.0870449601296527E-2</v>
      </c>
      <c r="L918" s="30">
        <f t="shared" si="102"/>
        <v>3.4132314690571378E-3</v>
      </c>
      <c r="M918" s="30">
        <f t="shared" si="103"/>
        <v>5.2059526548467122E-3</v>
      </c>
      <c r="N918" s="30">
        <f t="shared" si="104"/>
        <v>-2.4900152928723817E-3</v>
      </c>
      <c r="O918" s="30">
        <f t="shared" si="105"/>
        <v>2.3989572549820766E-2</v>
      </c>
    </row>
    <row r="919" spans="1:15" s="30" customFormat="1">
      <c r="A919" s="27">
        <v>44761</v>
      </c>
      <c r="B919" s="28" t="s">
        <v>900</v>
      </c>
      <c r="C919" s="28">
        <v>482.5</v>
      </c>
      <c r="D919" s="28" t="s">
        <v>2076</v>
      </c>
      <c r="E919" s="28">
        <v>263.23</v>
      </c>
      <c r="F919" s="28">
        <v>163.65</v>
      </c>
      <c r="G919" s="28" t="s">
        <v>3246</v>
      </c>
      <c r="H919" s="28">
        <v>247.65</v>
      </c>
      <c r="I919" s="30">
        <f t="shared" si="99"/>
        <v>4.1987930014050594E-3</v>
      </c>
      <c r="J919" s="30">
        <f t="shared" si="100"/>
        <v>1.2858003803887018E-3</v>
      </c>
      <c r="K919" s="30">
        <f t="shared" si="101"/>
        <v>1.1018893183066159E-3</v>
      </c>
      <c r="L919" s="30">
        <f t="shared" si="102"/>
        <v>-3.4132314690571452E-3</v>
      </c>
      <c r="M919" s="30">
        <f t="shared" si="103"/>
        <v>-3.0548342989965098E-4</v>
      </c>
      <c r="N919" s="30">
        <f t="shared" si="104"/>
        <v>-1.7675196949308168E-3</v>
      </c>
      <c r="O919" s="30">
        <f t="shared" si="105"/>
        <v>-3.0148640386291274E-2</v>
      </c>
    </row>
    <row r="920" spans="1:15" s="30" customFormat="1">
      <c r="A920" s="27">
        <v>44760</v>
      </c>
      <c r="B920" s="28" t="s">
        <v>901</v>
      </c>
      <c r="C920" s="28">
        <v>479.79</v>
      </c>
      <c r="D920" s="28" t="s">
        <v>2077</v>
      </c>
      <c r="E920" s="28">
        <v>262.52999999999997</v>
      </c>
      <c r="F920" s="28">
        <v>166</v>
      </c>
      <c r="G920" s="28" t="s">
        <v>3219</v>
      </c>
      <c r="H920" s="28">
        <v>246.98</v>
      </c>
      <c r="I920" s="30">
        <f t="shared" si="99"/>
        <v>-4.1411640575579904E-4</v>
      </c>
      <c r="J920" s="30">
        <f t="shared" si="100"/>
        <v>-5.632412608151496E-3</v>
      </c>
      <c r="K920" s="30">
        <f t="shared" si="101"/>
        <v>3.6524215706533582E-3</v>
      </c>
      <c r="L920" s="30">
        <f t="shared" si="102"/>
        <v>-2.6628135028032174E-3</v>
      </c>
      <c r="M920" s="30">
        <f t="shared" si="103"/>
        <v>1.4257787409353602E-2</v>
      </c>
      <c r="N920" s="30">
        <f t="shared" si="104"/>
        <v>9.528320236867777E-3</v>
      </c>
      <c r="O920" s="30">
        <f t="shared" si="105"/>
        <v>-2.7090973445704292E-3</v>
      </c>
    </row>
    <row r="921" spans="1:15" s="30" customFormat="1">
      <c r="A921" s="27">
        <v>44757</v>
      </c>
      <c r="B921" s="28" t="s">
        <v>902</v>
      </c>
      <c r="C921" s="28">
        <v>478.04</v>
      </c>
      <c r="D921" s="28" t="s">
        <v>2078</v>
      </c>
      <c r="E921" s="28">
        <v>261</v>
      </c>
      <c r="F921" s="28">
        <v>169.55</v>
      </c>
      <c r="G921" s="28" t="s">
        <v>3247</v>
      </c>
      <c r="H921" s="28">
        <v>242.7</v>
      </c>
      <c r="I921" s="30">
        <f t="shared" si="99"/>
        <v>-1.3242354952475286E-2</v>
      </c>
      <c r="J921" s="30">
        <f t="shared" si="100"/>
        <v>-3.6540971722088329E-3</v>
      </c>
      <c r="K921" s="30">
        <f t="shared" si="101"/>
        <v>-2.4807752737627782E-3</v>
      </c>
      <c r="L921" s="30">
        <f t="shared" si="102"/>
        <v>-5.8449538931558643E-3</v>
      </c>
      <c r="M921" s="30">
        <f t="shared" si="103"/>
        <v>2.1160080215104515E-2</v>
      </c>
      <c r="N921" s="30">
        <f t="shared" si="104"/>
        <v>-1.0439292306998348E-2</v>
      </c>
      <c r="O921" s="30">
        <f t="shared" si="105"/>
        <v>-1.7481248957120631E-2</v>
      </c>
    </row>
    <row r="922" spans="1:15" s="30" customFormat="1">
      <c r="A922" s="27">
        <v>44756</v>
      </c>
      <c r="B922" s="28" t="s">
        <v>903</v>
      </c>
      <c r="C922" s="28">
        <v>483.29</v>
      </c>
      <c r="D922" s="28" t="s">
        <v>2079</v>
      </c>
      <c r="E922" s="28">
        <v>258.57</v>
      </c>
      <c r="F922" s="28">
        <v>168.35</v>
      </c>
      <c r="G922" s="28" t="s">
        <v>3248</v>
      </c>
      <c r="H922" s="28">
        <v>235.1</v>
      </c>
      <c r="I922" s="30">
        <f t="shared" si="99"/>
        <v>-1.3181878466396601E-2</v>
      </c>
      <c r="J922" s="30">
        <f t="shared" si="100"/>
        <v>1.0922476556151181E-2</v>
      </c>
      <c r="K922" s="30">
        <f t="shared" si="101"/>
        <v>-6.0861861030145036E-3</v>
      </c>
      <c r="L922" s="30">
        <f t="shared" si="102"/>
        <v>-9.3539569952758288E-3</v>
      </c>
      <c r="M922" s="30">
        <f t="shared" si="103"/>
        <v>-7.1027229645642823E-3</v>
      </c>
      <c r="N922" s="30">
        <f t="shared" si="104"/>
        <v>-3.9067078670098867E-4</v>
      </c>
      <c r="O922" s="30">
        <f t="shared" si="105"/>
        <v>-3.1815157186531905E-2</v>
      </c>
    </row>
    <row r="923" spans="1:15" s="30" customFormat="1">
      <c r="A923" s="27">
        <v>44755</v>
      </c>
      <c r="B923" s="28" t="s">
        <v>904</v>
      </c>
      <c r="C923" s="28">
        <v>488.88</v>
      </c>
      <c r="D923" s="28" t="s">
        <v>2080</v>
      </c>
      <c r="E923" s="28">
        <v>255.77</v>
      </c>
      <c r="F923" s="28">
        <v>169.45</v>
      </c>
      <c r="G923" s="28" t="s">
        <v>3249</v>
      </c>
      <c r="H923" s="28">
        <v>234.57</v>
      </c>
      <c r="I923" s="30">
        <f t="shared" si="99"/>
        <v>6.9723743758413729E-4</v>
      </c>
      <c r="J923" s="30">
        <f t="shared" si="100"/>
        <v>1.1500173031828561E-2</v>
      </c>
      <c r="K923" s="30">
        <f t="shared" si="101"/>
        <v>6.6892261525056578E-3</v>
      </c>
      <c r="L923" s="30">
        <f t="shared" si="102"/>
        <v>-1.0887847184725324E-2</v>
      </c>
      <c r="M923" s="30">
        <f t="shared" si="103"/>
        <v>6.5127524459768042E-3</v>
      </c>
      <c r="N923" s="30">
        <f t="shared" si="104"/>
        <v>-1.9817477150731459E-3</v>
      </c>
      <c r="O923" s="30">
        <f t="shared" si="105"/>
        <v>-2.2569047414915402E-3</v>
      </c>
    </row>
    <row r="924" spans="1:15" s="30" customFormat="1">
      <c r="A924" s="27">
        <v>44754</v>
      </c>
      <c r="B924" s="28" t="s">
        <v>905</v>
      </c>
      <c r="C924" s="28">
        <v>483.58</v>
      </c>
      <c r="D924" s="28" t="s">
        <v>2081</v>
      </c>
      <c r="E924" s="28">
        <v>262.39999999999998</v>
      </c>
      <c r="F924" s="28">
        <v>175.15</v>
      </c>
      <c r="G924" s="28" t="s">
        <v>3250</v>
      </c>
      <c r="H924" s="28">
        <v>235.35</v>
      </c>
      <c r="I924" s="30">
        <f t="shared" si="99"/>
        <v>-1.6454505346941518E-2</v>
      </c>
      <c r="J924" s="30">
        <f t="shared" si="100"/>
        <v>-1.0900299194195266E-2</v>
      </c>
      <c r="K924" s="30">
        <f t="shared" si="101"/>
        <v>3.6106233915428401E-3</v>
      </c>
      <c r="L924" s="30">
        <f t="shared" si="102"/>
        <v>2.559145392724162E-2</v>
      </c>
      <c r="M924" s="30">
        <f t="shared" si="103"/>
        <v>3.3084851590435657E-2</v>
      </c>
      <c r="N924" s="30">
        <f t="shared" si="104"/>
        <v>-1.8466602238310533E-2</v>
      </c>
      <c r="O924" s="30">
        <f t="shared" si="105"/>
        <v>3.3197170426190661E-3</v>
      </c>
    </row>
    <row r="925" spans="1:15" s="30" customFormat="1">
      <c r="A925" s="27">
        <v>44753</v>
      </c>
      <c r="B925" s="28" t="s">
        <v>906</v>
      </c>
      <c r="C925" s="28">
        <v>493.83</v>
      </c>
      <c r="D925" s="28" t="s">
        <v>2082</v>
      </c>
      <c r="E925" s="28">
        <v>265.43</v>
      </c>
      <c r="F925" s="28">
        <v>181.2</v>
      </c>
      <c r="G925" s="28" t="s">
        <v>3251</v>
      </c>
      <c r="H925" s="28">
        <v>238.32</v>
      </c>
      <c r="I925" s="30">
        <f t="shared" si="99"/>
        <v>1.3679681248769509E-2</v>
      </c>
      <c r="J925" s="30">
        <f t="shared" si="100"/>
        <v>2.097456701463862E-2</v>
      </c>
      <c r="K925" s="30">
        <f t="shared" si="101"/>
        <v>1.2081768146593997E-2</v>
      </c>
      <c r="L925" s="30">
        <f t="shared" si="102"/>
        <v>1.1481095365377086E-2</v>
      </c>
      <c r="M925" s="30">
        <f t="shared" si="103"/>
        <v>3.3958643965382951E-2</v>
      </c>
      <c r="N925" s="30">
        <f t="shared" si="104"/>
        <v>3.238482337694415E-3</v>
      </c>
      <c r="O925" s="30">
        <f t="shared" si="105"/>
        <v>1.2540540557875618E-2</v>
      </c>
    </row>
    <row r="926" spans="1:15" s="30" customFormat="1">
      <c r="A926" s="27">
        <v>44750</v>
      </c>
      <c r="B926" s="28" t="s">
        <v>907</v>
      </c>
      <c r="C926" s="28">
        <v>487.71</v>
      </c>
      <c r="D926" s="28" t="s">
        <v>2083</v>
      </c>
      <c r="E926" s="28">
        <v>260.57</v>
      </c>
      <c r="F926" s="28">
        <v>168.2</v>
      </c>
      <c r="G926" s="28" t="s">
        <v>3252</v>
      </c>
      <c r="H926" s="28">
        <v>240.05</v>
      </c>
      <c r="I926" s="30">
        <f t="shared" si="99"/>
        <v>-1.8321989949724879E-2</v>
      </c>
      <c r="J926" s="30">
        <f t="shared" si="100"/>
        <v>-1.247036149286122E-2</v>
      </c>
      <c r="K926" s="30">
        <f t="shared" si="101"/>
        <v>1.6394304036467578E-3</v>
      </c>
      <c r="L926" s="30">
        <f t="shared" si="102"/>
        <v>-1.8479613327516586E-2</v>
      </c>
      <c r="M926" s="30">
        <f t="shared" si="103"/>
        <v>-7.4447646070031306E-2</v>
      </c>
      <c r="N926" s="30">
        <f t="shared" si="104"/>
        <v>5.1018495785245784E-3</v>
      </c>
      <c r="O926" s="30">
        <f t="shared" si="105"/>
        <v>7.2329265719224996E-3</v>
      </c>
    </row>
    <row r="927" spans="1:15" s="30" customFormat="1">
      <c r="A927" s="27">
        <v>44749</v>
      </c>
      <c r="B927" s="28" t="s">
        <v>908</v>
      </c>
      <c r="C927" s="28">
        <v>494.38</v>
      </c>
      <c r="D927" s="28" t="s">
        <v>2084</v>
      </c>
      <c r="E927" s="28">
        <v>263.8</v>
      </c>
      <c r="F927" s="28">
        <v>171.7</v>
      </c>
      <c r="G927" s="28" t="s">
        <v>3253</v>
      </c>
      <c r="H927" s="28">
        <v>240.02</v>
      </c>
      <c r="I927" s="30">
        <f t="shared" si="99"/>
        <v>4.0199666001718938E-3</v>
      </c>
      <c r="J927" s="30">
        <f t="shared" si="100"/>
        <v>1.3583485336557453E-2</v>
      </c>
      <c r="K927" s="30">
        <f t="shared" si="101"/>
        <v>-8.3682013251505562E-4</v>
      </c>
      <c r="L927" s="30">
        <f t="shared" si="102"/>
        <v>1.2319701175419983E-2</v>
      </c>
      <c r="M927" s="30">
        <f t="shared" si="103"/>
        <v>2.059502036458221E-2</v>
      </c>
      <c r="N927" s="30">
        <f t="shared" si="104"/>
        <v>-4.2806248479464659E-3</v>
      </c>
      <c r="O927" s="30">
        <f t="shared" si="105"/>
        <v>-1.2498177365405101E-4</v>
      </c>
    </row>
    <row r="928" spans="1:15" s="30" customFormat="1">
      <c r="A928" s="27">
        <v>44748</v>
      </c>
      <c r="B928" s="28" t="s">
        <v>909</v>
      </c>
      <c r="C928" s="28">
        <v>493.42</v>
      </c>
      <c r="D928" s="28" t="s">
        <v>1717</v>
      </c>
      <c r="E928" s="28">
        <v>266.43</v>
      </c>
      <c r="F928" s="28">
        <v>167.95</v>
      </c>
      <c r="G928" s="28" t="s">
        <v>3254</v>
      </c>
      <c r="H928" s="28">
        <v>235.1</v>
      </c>
      <c r="I928" s="30">
        <f t="shared" si="99"/>
        <v>-1.0429798342108396E-2</v>
      </c>
      <c r="J928" s="30">
        <f t="shared" si="100"/>
        <v>-1.9437139142374333E-3</v>
      </c>
      <c r="K928" s="30">
        <f t="shared" si="101"/>
        <v>2.1255474316167009E-3</v>
      </c>
      <c r="L928" s="30">
        <f t="shared" si="102"/>
        <v>9.9203046553082187E-3</v>
      </c>
      <c r="M928" s="30">
        <f t="shared" si="103"/>
        <v>-2.2082451845128141E-2</v>
      </c>
      <c r="N928" s="30">
        <f t="shared" si="104"/>
        <v>-2.0168121472205525E-2</v>
      </c>
      <c r="O928" s="30">
        <f t="shared" si="105"/>
        <v>-2.0711297657271529E-2</v>
      </c>
    </row>
    <row r="929" spans="1:15" s="30" customFormat="1">
      <c r="A929" s="27">
        <v>44747</v>
      </c>
      <c r="B929" s="28" t="s">
        <v>910</v>
      </c>
      <c r="C929" s="28">
        <v>479.21</v>
      </c>
      <c r="D929" s="28" t="s">
        <v>2085</v>
      </c>
      <c r="E929" s="28">
        <v>245.03</v>
      </c>
      <c r="F929" s="28">
        <v>167.35</v>
      </c>
      <c r="G929" s="28" t="s">
        <v>3255</v>
      </c>
      <c r="H929" s="28">
        <v>229.6</v>
      </c>
      <c r="I929" s="30">
        <f t="shared" si="99"/>
        <v>-3.3691886091518859E-2</v>
      </c>
      <c r="J929" s="30">
        <f t="shared" si="100"/>
        <v>-2.9221823639536262E-2</v>
      </c>
      <c r="K929" s="30">
        <f t="shared" si="101"/>
        <v>-1.419756377376207E-2</v>
      </c>
      <c r="L929" s="30">
        <f t="shared" si="102"/>
        <v>-8.3730892910467966E-2</v>
      </c>
      <c r="M929" s="30">
        <f t="shared" si="103"/>
        <v>-3.5788884009660756E-3</v>
      </c>
      <c r="N929" s="30">
        <f t="shared" si="104"/>
        <v>1.1978764350490315E-2</v>
      </c>
      <c r="O929" s="30">
        <f t="shared" si="105"/>
        <v>-2.367229110061253E-2</v>
      </c>
    </row>
    <row r="930" spans="1:15" s="30" customFormat="1">
      <c r="A930" s="27">
        <v>44746</v>
      </c>
      <c r="B930" s="28" t="s">
        <v>911</v>
      </c>
      <c r="C930" s="28">
        <v>486.42</v>
      </c>
      <c r="D930" s="28" t="s">
        <v>2086</v>
      </c>
      <c r="E930" s="28">
        <v>246.9</v>
      </c>
      <c r="F930" s="28">
        <v>168.65</v>
      </c>
      <c r="G930" s="28" t="s">
        <v>3256</v>
      </c>
      <c r="H930" s="28">
        <v>227.57</v>
      </c>
      <c r="I930" s="30">
        <f t="shared" si="99"/>
        <v>8.5299874758161583E-3</v>
      </c>
      <c r="J930" s="30">
        <f t="shared" si="100"/>
        <v>1.4933533530644852E-2</v>
      </c>
      <c r="K930" s="30">
        <f t="shared" si="101"/>
        <v>-1.161214021167252E-2</v>
      </c>
      <c r="L930" s="30">
        <f t="shared" si="102"/>
        <v>7.6027443230793105E-3</v>
      </c>
      <c r="M930" s="30">
        <f t="shared" si="103"/>
        <v>7.738133850323607E-3</v>
      </c>
      <c r="N930" s="30">
        <f t="shared" si="104"/>
        <v>4.537629033270782E-4</v>
      </c>
      <c r="O930" s="30">
        <f t="shared" si="105"/>
        <v>-8.8807810742840276E-3</v>
      </c>
    </row>
    <row r="931" spans="1:15" s="30" customFormat="1">
      <c r="A931" s="27">
        <v>44743</v>
      </c>
      <c r="B931" s="28" t="s">
        <v>912</v>
      </c>
      <c r="C931" s="28">
        <v>485.21</v>
      </c>
      <c r="D931" s="28" t="s">
        <v>2087</v>
      </c>
      <c r="E931" s="28">
        <v>248.3</v>
      </c>
      <c r="F931" s="28">
        <v>165.45</v>
      </c>
      <c r="G931" s="28" t="s">
        <v>3257</v>
      </c>
      <c r="H931" s="28">
        <v>213.55</v>
      </c>
      <c r="I931" s="30">
        <f t="shared" si="99"/>
        <v>-6.1652587236998594E-3</v>
      </c>
      <c r="J931" s="30">
        <f t="shared" si="100"/>
        <v>-2.4906613124519189E-3</v>
      </c>
      <c r="K931" s="30">
        <f t="shared" si="101"/>
        <v>-1.1278855198346793E-2</v>
      </c>
      <c r="L931" s="30">
        <f t="shared" si="102"/>
        <v>5.6542961629870237E-3</v>
      </c>
      <c r="M931" s="30">
        <f t="shared" si="103"/>
        <v>-1.9156527140038234E-2</v>
      </c>
      <c r="N931" s="30">
        <f t="shared" si="104"/>
        <v>1.9461742502883974E-3</v>
      </c>
      <c r="O931" s="30">
        <f t="shared" si="105"/>
        <v>-6.3586886083651692E-2</v>
      </c>
    </row>
    <row r="932" spans="1:15" s="30" customFormat="1">
      <c r="A932" s="27">
        <v>44742</v>
      </c>
      <c r="B932" s="28" t="s">
        <v>913</v>
      </c>
      <c r="C932" s="28">
        <v>473.58</v>
      </c>
      <c r="D932" s="28" t="s">
        <v>2088</v>
      </c>
      <c r="E932" s="28">
        <v>247</v>
      </c>
      <c r="F932" s="28">
        <v>170.1</v>
      </c>
      <c r="G932" s="28" t="s">
        <v>3258</v>
      </c>
      <c r="H932" s="28">
        <v>214.63</v>
      </c>
      <c r="I932" s="30">
        <f t="shared" si="99"/>
        <v>-2.8511445100488191E-2</v>
      </c>
      <c r="J932" s="30">
        <f t="shared" si="100"/>
        <v>-2.4260933966852794E-2</v>
      </c>
      <c r="K932" s="30">
        <f t="shared" si="101"/>
        <v>8.2740237476913569E-3</v>
      </c>
      <c r="L932" s="30">
        <f t="shared" si="102"/>
        <v>-5.2493558861437901E-3</v>
      </c>
      <c r="M932" s="30">
        <f t="shared" si="103"/>
        <v>2.7717465034194859E-2</v>
      </c>
      <c r="N932" s="30">
        <f t="shared" si="104"/>
        <v>4.1728189826419019E-3</v>
      </c>
      <c r="O932" s="30">
        <f t="shared" si="105"/>
        <v>5.0446181060977971E-3</v>
      </c>
    </row>
    <row r="933" spans="1:15" s="30" customFormat="1">
      <c r="A933" s="27">
        <v>44741</v>
      </c>
      <c r="B933" s="28" t="s">
        <v>914</v>
      </c>
      <c r="C933" s="28">
        <v>474.04</v>
      </c>
      <c r="D933" s="28" t="s">
        <v>2089</v>
      </c>
      <c r="E933" s="28">
        <v>247.47</v>
      </c>
      <c r="F933" s="28">
        <v>160</v>
      </c>
      <c r="G933" s="28" t="s">
        <v>3259</v>
      </c>
      <c r="H933" s="28">
        <v>218.88</v>
      </c>
      <c r="I933" s="30">
        <f t="shared" si="99"/>
        <v>9.642129432363794E-4</v>
      </c>
      <c r="J933" s="30">
        <f t="shared" si="100"/>
        <v>9.7085337188192525E-4</v>
      </c>
      <c r="K933" s="30">
        <f t="shared" si="101"/>
        <v>1.1099773773311267E-3</v>
      </c>
      <c r="L933" s="30">
        <f t="shared" si="102"/>
        <v>1.9010259127727575E-3</v>
      </c>
      <c r="M933" s="30">
        <f t="shared" si="103"/>
        <v>-6.1212684167989174E-2</v>
      </c>
      <c r="N933" s="30">
        <f t="shared" si="104"/>
        <v>-4.6248506592289601E-2</v>
      </c>
      <c r="O933" s="30">
        <f t="shared" si="105"/>
        <v>1.9608019040612192E-2</v>
      </c>
    </row>
    <row r="934" spans="1:15" s="30" customFormat="1">
      <c r="A934" s="27">
        <v>44740</v>
      </c>
      <c r="B934" s="28" t="s">
        <v>915</v>
      </c>
      <c r="C934" s="28">
        <v>485.21</v>
      </c>
      <c r="D934" s="28" t="s">
        <v>2073</v>
      </c>
      <c r="E934" s="28">
        <v>250.8</v>
      </c>
      <c r="F934" s="28">
        <v>148.25</v>
      </c>
      <c r="G934" s="28" t="s">
        <v>3260</v>
      </c>
      <c r="H934" s="28">
        <v>220.93</v>
      </c>
      <c r="I934" s="30">
        <f t="shared" si="99"/>
        <v>1.0582109330536788E-2</v>
      </c>
      <c r="J934" s="30">
        <f t="shared" si="100"/>
        <v>2.3290080594970862E-2</v>
      </c>
      <c r="K934" s="30">
        <f t="shared" si="101"/>
        <v>-2.7951998131309436E-3</v>
      </c>
      <c r="L934" s="30">
        <f t="shared" si="102"/>
        <v>1.3366446218015738E-2</v>
      </c>
      <c r="M934" s="30">
        <f t="shared" si="103"/>
        <v>-7.6273777355992139E-2</v>
      </c>
      <c r="N934" s="30">
        <f t="shared" si="104"/>
        <v>-1.2719794658915229E-2</v>
      </c>
      <c r="O934" s="30">
        <f t="shared" si="105"/>
        <v>9.3222748287512171E-3</v>
      </c>
    </row>
    <row r="935" spans="1:15" s="30" customFormat="1">
      <c r="A935" s="27">
        <v>44739</v>
      </c>
      <c r="B935" s="28" t="s">
        <v>916</v>
      </c>
      <c r="C935" s="28">
        <v>500</v>
      </c>
      <c r="D935" s="28" t="s">
        <v>2090</v>
      </c>
      <c r="E935" s="28">
        <v>251.93</v>
      </c>
      <c r="F935" s="28">
        <v>133.4</v>
      </c>
      <c r="G935" s="28" t="s">
        <v>3261</v>
      </c>
      <c r="H935" s="28">
        <v>220.85</v>
      </c>
      <c r="I935" s="30">
        <f t="shared" si="99"/>
        <v>3.4054972267531632E-2</v>
      </c>
      <c r="J935" s="30">
        <f t="shared" si="100"/>
        <v>3.0026311506972818E-2</v>
      </c>
      <c r="K935" s="30">
        <f t="shared" si="101"/>
        <v>2.5894509527635501E-2</v>
      </c>
      <c r="L935" s="30">
        <f t="shared" si="102"/>
        <v>4.4954623874870455E-3</v>
      </c>
      <c r="M935" s="30">
        <f t="shared" si="103"/>
        <v>-0.10554790439631148</v>
      </c>
      <c r="N935" s="30">
        <f t="shared" si="104"/>
        <v>5.9467215919987272E-3</v>
      </c>
      <c r="O935" s="30">
        <f t="shared" si="105"/>
        <v>-3.6217122040143457E-4</v>
      </c>
    </row>
    <row r="936" spans="1:15" s="30" customFormat="1">
      <c r="A936" s="27">
        <v>44736</v>
      </c>
      <c r="B936" s="28" t="s">
        <v>917</v>
      </c>
      <c r="C936" s="28">
        <v>495.08</v>
      </c>
      <c r="D936" s="28" t="s">
        <v>2091</v>
      </c>
      <c r="E936" s="28">
        <v>248.8</v>
      </c>
      <c r="F936" s="28">
        <v>127.2</v>
      </c>
      <c r="G936" s="28" t="s">
        <v>3262</v>
      </c>
      <c r="H936" s="28">
        <v>219.57</v>
      </c>
      <c r="I936" s="30">
        <f t="shared" si="99"/>
        <v>-2.1516994120726957E-2</v>
      </c>
      <c r="J936" s="30">
        <f t="shared" si="100"/>
        <v>-9.8887327503702424E-3</v>
      </c>
      <c r="K936" s="30">
        <f t="shared" si="101"/>
        <v>-2.45080999361866E-3</v>
      </c>
      <c r="L936" s="30">
        <f t="shared" si="102"/>
        <v>-1.2501910281228252E-2</v>
      </c>
      <c r="M936" s="30">
        <f t="shared" si="103"/>
        <v>-4.7591482575501623E-2</v>
      </c>
      <c r="N936" s="30">
        <f t="shared" si="104"/>
        <v>-3.8669591717921444E-3</v>
      </c>
      <c r="O936" s="30">
        <f t="shared" si="105"/>
        <v>-5.8126497612899959E-3</v>
      </c>
    </row>
    <row r="937" spans="1:15" s="30" customFormat="1">
      <c r="A937" s="27">
        <v>44735</v>
      </c>
      <c r="B937" s="28" t="s">
        <v>918</v>
      </c>
      <c r="C937" s="28">
        <v>495.33</v>
      </c>
      <c r="D937" s="28" t="s">
        <v>2092</v>
      </c>
      <c r="E937" s="28">
        <v>246.2</v>
      </c>
      <c r="F937" s="28">
        <v>124.65</v>
      </c>
      <c r="G937" s="28" t="s">
        <v>3263</v>
      </c>
      <c r="H937" s="28">
        <v>220.77</v>
      </c>
      <c r="I937" s="30">
        <f t="shared" si="99"/>
        <v>-9.7842047268366979E-4</v>
      </c>
      <c r="J937" s="30">
        <f t="shared" si="100"/>
        <v>5.0484144002916254E-4</v>
      </c>
      <c r="K937" s="30">
        <f t="shared" si="101"/>
        <v>5.9574917218205433E-4</v>
      </c>
      <c r="L937" s="30">
        <f t="shared" si="102"/>
        <v>-1.0505147114671305E-2</v>
      </c>
      <c r="M937" s="30">
        <f t="shared" si="103"/>
        <v>-2.0250840936454833E-2</v>
      </c>
      <c r="N937" s="30">
        <f t="shared" si="104"/>
        <v>-3.2902629550986447E-3</v>
      </c>
      <c r="O937" s="30">
        <f t="shared" si="105"/>
        <v>5.450347325371971E-3</v>
      </c>
    </row>
    <row r="938" spans="1:15" s="30" customFormat="1">
      <c r="A938" s="27">
        <v>44734</v>
      </c>
      <c r="B938" s="28" t="s">
        <v>919</v>
      </c>
      <c r="C938" s="28">
        <v>487.38</v>
      </c>
      <c r="D938" s="28" t="s">
        <v>2093</v>
      </c>
      <c r="E938" s="28">
        <v>240.57</v>
      </c>
      <c r="F938" s="28">
        <v>120.8</v>
      </c>
      <c r="G938" s="28" t="s">
        <v>3264</v>
      </c>
      <c r="H938" s="28">
        <v>209.25</v>
      </c>
      <c r="I938" s="30">
        <f t="shared" si="99"/>
        <v>-3.3867797097713509E-2</v>
      </c>
      <c r="J938" s="30">
        <f t="shared" si="100"/>
        <v>-1.6180100820933307E-2</v>
      </c>
      <c r="K938" s="30">
        <f t="shared" si="101"/>
        <v>-9.5041019527580695E-3</v>
      </c>
      <c r="L938" s="30">
        <f t="shared" si="102"/>
        <v>-2.3133106263306152E-2</v>
      </c>
      <c r="M938" s="30">
        <f t="shared" si="103"/>
        <v>-3.137352446885236E-2</v>
      </c>
      <c r="N938" s="30">
        <f t="shared" si="104"/>
        <v>5.9819036762176038E-3</v>
      </c>
      <c r="O938" s="30">
        <f t="shared" si="105"/>
        <v>-5.3591726237032712E-2</v>
      </c>
    </row>
    <row r="939" spans="1:15" s="30" customFormat="1">
      <c r="A939" s="27">
        <v>44733</v>
      </c>
      <c r="B939" s="28" t="s">
        <v>920</v>
      </c>
      <c r="C939" s="28">
        <v>487.87</v>
      </c>
      <c r="D939" s="28" t="s">
        <v>2094</v>
      </c>
      <c r="E939" s="28">
        <v>249.7</v>
      </c>
      <c r="F939" s="28">
        <v>121.4</v>
      </c>
      <c r="G939" s="28" t="s">
        <v>3265</v>
      </c>
      <c r="H939" s="28">
        <v>206.32</v>
      </c>
      <c r="I939" s="30">
        <f t="shared" si="99"/>
        <v>4.4904373169758656E-3</v>
      </c>
      <c r="J939" s="30">
        <f t="shared" si="100"/>
        <v>1.0048706305708086E-3</v>
      </c>
      <c r="K939" s="30">
        <f t="shared" si="101"/>
        <v>-7.4194060506782037E-3</v>
      </c>
      <c r="L939" s="30">
        <f t="shared" si="102"/>
        <v>3.724908979868051E-2</v>
      </c>
      <c r="M939" s="30">
        <f t="shared" si="103"/>
        <v>4.9545931246833949E-3</v>
      </c>
      <c r="N939" s="30">
        <f t="shared" si="104"/>
        <v>-3.5569437915547716E-2</v>
      </c>
      <c r="O939" s="30">
        <f t="shared" si="105"/>
        <v>-1.4101347796495446E-2</v>
      </c>
    </row>
    <row r="940" spans="1:15" s="30" customFormat="1">
      <c r="A940" s="27">
        <v>44732</v>
      </c>
      <c r="B940" s="28" t="s">
        <v>921</v>
      </c>
      <c r="C940" s="28">
        <v>482.25</v>
      </c>
      <c r="D940" s="28" t="s">
        <v>2095</v>
      </c>
      <c r="E940" s="28">
        <v>254.7</v>
      </c>
      <c r="F940" s="28">
        <v>115.7</v>
      </c>
      <c r="G940" s="28" t="s">
        <v>3266</v>
      </c>
      <c r="H940" s="28">
        <v>207.88</v>
      </c>
      <c r="I940" s="30">
        <f t="shared" si="99"/>
        <v>-6.6116872089834076E-3</v>
      </c>
      <c r="J940" s="30">
        <f t="shared" si="100"/>
        <v>-1.1586325135649831E-2</v>
      </c>
      <c r="K940" s="30">
        <f t="shared" si="101"/>
        <v>5.0114728758858104E-3</v>
      </c>
      <c r="L940" s="30">
        <f t="shared" si="102"/>
        <v>1.9826184699683683E-2</v>
      </c>
      <c r="M940" s="30">
        <f t="shared" si="103"/>
        <v>-4.8090244425766968E-2</v>
      </c>
      <c r="N940" s="30">
        <f t="shared" si="104"/>
        <v>1.2341563798324713E-2</v>
      </c>
      <c r="O940" s="30">
        <f t="shared" si="105"/>
        <v>7.532628567151871E-3</v>
      </c>
    </row>
    <row r="941" spans="1:15" s="30" customFormat="1">
      <c r="A941" s="27">
        <v>44729</v>
      </c>
      <c r="B941" s="28" t="s">
        <v>922</v>
      </c>
      <c r="C941" s="28">
        <v>467.29</v>
      </c>
      <c r="D941" s="28" t="s">
        <v>2096</v>
      </c>
      <c r="E941" s="28">
        <v>247.23</v>
      </c>
      <c r="F941" s="28">
        <v>118.9</v>
      </c>
      <c r="G941" s="28" t="s">
        <v>3267</v>
      </c>
      <c r="H941" s="28">
        <v>211.1</v>
      </c>
      <c r="I941" s="30">
        <f t="shared" si="99"/>
        <v>-3.0722330759480106E-2</v>
      </c>
      <c r="J941" s="30">
        <f t="shared" si="100"/>
        <v>-3.1512601837641485E-2</v>
      </c>
      <c r="K941" s="30">
        <f t="shared" si="101"/>
        <v>1.4151677721055201E-2</v>
      </c>
      <c r="L941" s="30">
        <f t="shared" si="102"/>
        <v>-2.9767304542009477E-2</v>
      </c>
      <c r="M941" s="30">
        <f t="shared" si="103"/>
        <v>2.7282169497105373E-2</v>
      </c>
      <c r="N941" s="30">
        <f t="shared" si="104"/>
        <v>-2.5013636199828722E-2</v>
      </c>
      <c r="O941" s="30">
        <f t="shared" si="105"/>
        <v>1.5370964714033897E-2</v>
      </c>
    </row>
    <row r="942" spans="1:15" s="30" customFormat="1">
      <c r="A942" s="27">
        <v>44728</v>
      </c>
      <c r="B942" s="28" t="s">
        <v>923</v>
      </c>
      <c r="C942" s="28">
        <v>473.83</v>
      </c>
      <c r="D942" s="28" t="s">
        <v>2097</v>
      </c>
      <c r="E942" s="28">
        <v>257.97000000000003</v>
      </c>
      <c r="F942" s="28">
        <v>121.75</v>
      </c>
      <c r="G942" s="28" t="s">
        <v>3268</v>
      </c>
      <c r="H942" s="28">
        <v>214.38</v>
      </c>
      <c r="I942" s="30">
        <f t="shared" si="99"/>
        <v>2.9500101072621715E-2</v>
      </c>
      <c r="J942" s="30">
        <f t="shared" si="100"/>
        <v>1.3898557627632447E-2</v>
      </c>
      <c r="K942" s="30">
        <f t="shared" si="101"/>
        <v>-7.684652796898353E-3</v>
      </c>
      <c r="L942" s="30">
        <f t="shared" si="102"/>
        <v>4.2524221647513044E-2</v>
      </c>
      <c r="M942" s="30">
        <f t="shared" si="103"/>
        <v>2.3686958265963055E-2</v>
      </c>
      <c r="N942" s="30">
        <f t="shared" si="104"/>
        <v>2.5185570750500118E-2</v>
      </c>
      <c r="O942" s="30">
        <f t="shared" si="105"/>
        <v>1.5418186409098412E-2</v>
      </c>
    </row>
    <row r="943" spans="1:15" s="30" customFormat="1">
      <c r="A943" s="27">
        <v>44727</v>
      </c>
      <c r="B943" s="28" t="s">
        <v>924</v>
      </c>
      <c r="C943" s="28">
        <v>479.62</v>
      </c>
      <c r="D943" s="28" t="s">
        <v>2098</v>
      </c>
      <c r="E943" s="28">
        <v>266.33</v>
      </c>
      <c r="F943" s="28">
        <v>130.44999999999999</v>
      </c>
      <c r="G943" s="28" t="s">
        <v>3269</v>
      </c>
      <c r="H943" s="28">
        <v>221.32</v>
      </c>
      <c r="I943" s="30">
        <f t="shared" si="99"/>
        <v>1.3913438111095801E-3</v>
      </c>
      <c r="J943" s="30">
        <f t="shared" si="100"/>
        <v>1.2145516125897827E-2</v>
      </c>
      <c r="K943" s="30">
        <f t="shared" si="101"/>
        <v>3.5333006371698394E-2</v>
      </c>
      <c r="L943" s="30">
        <f t="shared" si="102"/>
        <v>3.1892842284372912E-2</v>
      </c>
      <c r="M943" s="30">
        <f t="shared" si="103"/>
        <v>6.9020249620038193E-2</v>
      </c>
      <c r="N943" s="30">
        <f t="shared" si="104"/>
        <v>9.5814580391678193E-3</v>
      </c>
      <c r="O943" s="30">
        <f t="shared" si="105"/>
        <v>3.1859476766535534E-2</v>
      </c>
    </row>
    <row r="944" spans="1:15" s="30" customFormat="1">
      <c r="A944" s="27">
        <v>44726</v>
      </c>
      <c r="B944" s="28" t="s">
        <v>925</v>
      </c>
      <c r="C944" s="28">
        <v>475.25</v>
      </c>
      <c r="D944" s="28" t="s">
        <v>2099</v>
      </c>
      <c r="E944" s="28">
        <v>264.17</v>
      </c>
      <c r="F944" s="28">
        <v>129.85</v>
      </c>
      <c r="G944" s="28" t="s">
        <v>3270</v>
      </c>
      <c r="H944" s="28">
        <v>217.4</v>
      </c>
      <c r="I944" s="30">
        <f t="shared" si="99"/>
        <v>-9.7233870636154289E-3</v>
      </c>
      <c r="J944" s="30">
        <f t="shared" si="100"/>
        <v>-9.1531423331888771E-3</v>
      </c>
      <c r="K944" s="30">
        <f t="shared" si="101"/>
        <v>3.936478545992543E-3</v>
      </c>
      <c r="L944" s="30">
        <f t="shared" si="102"/>
        <v>-8.1433060750418541E-3</v>
      </c>
      <c r="M944" s="30">
        <f t="shared" si="103"/>
        <v>-4.6100734739799335E-3</v>
      </c>
      <c r="N944" s="30">
        <f t="shared" si="104"/>
        <v>4.3044923735903618E-3</v>
      </c>
      <c r="O944" s="30">
        <f t="shared" si="105"/>
        <v>-1.7870643342799853E-2</v>
      </c>
    </row>
    <row r="945" spans="1:15" s="30" customFormat="1">
      <c r="A945" s="27">
        <v>44725</v>
      </c>
      <c r="B945" s="28" t="s">
        <v>926</v>
      </c>
      <c r="C945" s="28">
        <v>476.75</v>
      </c>
      <c r="D945" s="28" t="s">
        <v>2100</v>
      </c>
      <c r="E945" s="28">
        <v>260.2</v>
      </c>
      <c r="F945" s="28">
        <v>129.4</v>
      </c>
      <c r="G945" s="28" t="s">
        <v>3271</v>
      </c>
      <c r="H945" s="28">
        <v>216.13</v>
      </c>
      <c r="I945" s="30">
        <f t="shared" si="99"/>
        <v>9.5730648100019015E-3</v>
      </c>
      <c r="J945" s="30">
        <f t="shared" si="100"/>
        <v>3.151263111989953E-3</v>
      </c>
      <c r="K945" s="30">
        <f t="shared" si="101"/>
        <v>2.0515602884066633E-2</v>
      </c>
      <c r="L945" s="30">
        <f t="shared" si="102"/>
        <v>-1.5142269221841118E-2</v>
      </c>
      <c r="M945" s="30">
        <f t="shared" si="103"/>
        <v>-3.47155604195721E-3</v>
      </c>
      <c r="N945" s="30">
        <f t="shared" si="104"/>
        <v>9.1979889857962092E-3</v>
      </c>
      <c r="O945" s="30">
        <f t="shared" si="105"/>
        <v>-5.8588961912820906E-3</v>
      </c>
    </row>
    <row r="946" spans="1:15" s="30" customFormat="1">
      <c r="A946" s="27">
        <v>44722</v>
      </c>
      <c r="B946" s="28" t="s">
        <v>927</v>
      </c>
      <c r="C946" s="28">
        <v>483.96</v>
      </c>
      <c r="D946" s="28" t="s">
        <v>2101</v>
      </c>
      <c r="E946" s="28">
        <v>266.07</v>
      </c>
      <c r="F946" s="28">
        <v>132.5</v>
      </c>
      <c r="G946" s="28" t="s">
        <v>3272</v>
      </c>
      <c r="H946" s="28">
        <v>224.23</v>
      </c>
      <c r="I946" s="30">
        <f t="shared" si="99"/>
        <v>1.7879235929415184E-2</v>
      </c>
      <c r="J946" s="30">
        <f t="shared" si="100"/>
        <v>1.5010014192748613E-2</v>
      </c>
      <c r="K946" s="30">
        <f t="shared" si="101"/>
        <v>2.8135852278896301E-2</v>
      </c>
      <c r="L946" s="30">
        <f t="shared" si="102"/>
        <v>2.2308865978065737E-2</v>
      </c>
      <c r="M946" s="30">
        <f t="shared" si="103"/>
        <v>2.3674263359476592E-2</v>
      </c>
      <c r="N946" s="30">
        <f t="shared" si="104"/>
        <v>2.7999048034191192E-5</v>
      </c>
      <c r="O946" s="30">
        <f t="shared" si="105"/>
        <v>3.6792232289612321E-2</v>
      </c>
    </row>
    <row r="947" spans="1:15" s="30" customFormat="1">
      <c r="A947" s="27">
        <v>44721</v>
      </c>
      <c r="B947" s="28" t="s">
        <v>928</v>
      </c>
      <c r="C947" s="28">
        <v>484.25</v>
      </c>
      <c r="D947" s="28" t="s">
        <v>2102</v>
      </c>
      <c r="E947" s="28">
        <v>266.63</v>
      </c>
      <c r="F947" s="28">
        <v>132.19999999999999</v>
      </c>
      <c r="G947" s="28" t="s">
        <v>3273</v>
      </c>
      <c r="H947" s="28">
        <v>224</v>
      </c>
      <c r="I947" s="30">
        <f t="shared" si="99"/>
        <v>-8.1363794578593052E-3</v>
      </c>
      <c r="J947" s="30">
        <f t="shared" si="100"/>
        <v>5.9904361382811123E-4</v>
      </c>
      <c r="K947" s="30">
        <f t="shared" si="101"/>
        <v>-1.721291298219518E-2</v>
      </c>
      <c r="L947" s="30">
        <f t="shared" si="102"/>
        <v>2.10249748935523E-3</v>
      </c>
      <c r="M947" s="30">
        <f t="shared" si="103"/>
        <v>-2.2667180086910323E-3</v>
      </c>
      <c r="N947" s="30">
        <f t="shared" si="104"/>
        <v>-1.7093781747029831E-3</v>
      </c>
      <c r="O947" s="30">
        <f t="shared" si="105"/>
        <v>-1.0262589303994532E-3</v>
      </c>
    </row>
    <row r="948" spans="1:15" s="30" customFormat="1">
      <c r="A948" s="27">
        <v>44720</v>
      </c>
      <c r="B948" s="28" t="s">
        <v>929</v>
      </c>
      <c r="C948" s="28">
        <v>484.08</v>
      </c>
      <c r="D948" s="28" t="s">
        <v>2103</v>
      </c>
      <c r="E948" s="28">
        <v>267.83</v>
      </c>
      <c r="F948" s="28">
        <v>135.6</v>
      </c>
      <c r="G948" s="28" t="s">
        <v>3274</v>
      </c>
      <c r="H948" s="28">
        <v>222.63</v>
      </c>
      <c r="I948" s="30">
        <f t="shared" si="99"/>
        <v>6.8249523080752871E-3</v>
      </c>
      <c r="J948" s="30">
        <f t="shared" si="100"/>
        <v>-3.5111997303931676E-4</v>
      </c>
      <c r="K948" s="30">
        <f t="shared" si="101"/>
        <v>1.6408775449903981E-4</v>
      </c>
      <c r="L948" s="30">
        <f t="shared" si="102"/>
        <v>4.4905213354694403E-3</v>
      </c>
      <c r="M948" s="30">
        <f t="shared" si="103"/>
        <v>2.5393448088709313E-2</v>
      </c>
      <c r="N948" s="30">
        <f t="shared" si="104"/>
        <v>6.7289093295100615E-4</v>
      </c>
      <c r="O948" s="30">
        <f t="shared" si="105"/>
        <v>-6.1348512048879505E-3</v>
      </c>
    </row>
    <row r="949" spans="1:15" s="30" customFormat="1">
      <c r="A949" s="27">
        <v>44719</v>
      </c>
      <c r="B949" s="28" t="s">
        <v>930</v>
      </c>
      <c r="C949" s="28">
        <v>484.12</v>
      </c>
      <c r="D949" s="28" t="s">
        <v>2104</v>
      </c>
      <c r="E949" s="28">
        <v>272.2</v>
      </c>
      <c r="F949" s="28">
        <v>135.85</v>
      </c>
      <c r="G949" s="28" t="s">
        <v>3275</v>
      </c>
      <c r="H949" s="28">
        <v>223.27</v>
      </c>
      <c r="I949" s="30">
        <f t="shared" si="99"/>
        <v>1.4495932652814363E-2</v>
      </c>
      <c r="J949" s="30">
        <f t="shared" si="100"/>
        <v>8.2627556337093547E-5</v>
      </c>
      <c r="K949" s="30">
        <f t="shared" si="101"/>
        <v>-7.2218760319683699E-4</v>
      </c>
      <c r="L949" s="30">
        <f t="shared" si="102"/>
        <v>1.6184639336070276E-2</v>
      </c>
      <c r="M949" s="30">
        <f t="shared" si="103"/>
        <v>1.8419603660614532E-3</v>
      </c>
      <c r="N949" s="30">
        <f t="shared" si="104"/>
        <v>-3.5939951643741055E-3</v>
      </c>
      <c r="O949" s="30">
        <f t="shared" si="105"/>
        <v>2.870600760193829E-3</v>
      </c>
    </row>
    <row r="950" spans="1:15" s="30" customFormat="1">
      <c r="A950" s="27">
        <v>44718</v>
      </c>
      <c r="B950" s="28" t="s">
        <v>931</v>
      </c>
      <c r="C950" s="28">
        <v>491.58</v>
      </c>
      <c r="D950" s="28" t="s">
        <v>2105</v>
      </c>
      <c r="E950" s="28">
        <v>275.52999999999997</v>
      </c>
      <c r="F950" s="28">
        <v>138</v>
      </c>
      <c r="G950" s="28" t="s">
        <v>3276</v>
      </c>
      <c r="H950" s="28">
        <v>226.98</v>
      </c>
      <c r="I950" s="30">
        <f t="shared" si="99"/>
        <v>2.6160441173939678E-2</v>
      </c>
      <c r="J950" s="30">
        <f t="shared" si="100"/>
        <v>1.5291883511375148E-2</v>
      </c>
      <c r="K950" s="30">
        <f t="shared" si="101"/>
        <v>1.1914812320211153E-2</v>
      </c>
      <c r="L950" s="30">
        <f t="shared" si="102"/>
        <v>1.215942536915959E-2</v>
      </c>
      <c r="M950" s="30">
        <f t="shared" si="103"/>
        <v>1.5702349284847882E-2</v>
      </c>
      <c r="N950" s="30">
        <f t="shared" si="104"/>
        <v>4.1824035367494742E-3</v>
      </c>
      <c r="O950" s="30">
        <f t="shared" si="105"/>
        <v>1.6480106462647165E-2</v>
      </c>
    </row>
    <row r="951" spans="1:15" s="30" customFormat="1">
      <c r="A951" s="27">
        <v>44715</v>
      </c>
      <c r="B951" s="28" t="s">
        <v>932</v>
      </c>
      <c r="C951" s="28">
        <v>507.42</v>
      </c>
      <c r="D951" s="28" t="s">
        <v>2106</v>
      </c>
      <c r="E951" s="28">
        <v>275.23</v>
      </c>
      <c r="F951" s="28">
        <v>139.9</v>
      </c>
      <c r="G951" s="28" t="s">
        <v>3277</v>
      </c>
      <c r="H951" s="28">
        <v>225.65</v>
      </c>
      <c r="I951" s="30">
        <f t="shared" si="99"/>
        <v>2.4351041502926007E-2</v>
      </c>
      <c r="J951" s="30">
        <f t="shared" si="100"/>
        <v>3.1714369640407532E-2</v>
      </c>
      <c r="K951" s="30">
        <f t="shared" si="101"/>
        <v>1.9696365045299064E-2</v>
      </c>
      <c r="L951" s="30">
        <f t="shared" si="102"/>
        <v>-1.0894038407653771E-3</v>
      </c>
      <c r="M951" s="30">
        <f t="shared" si="103"/>
        <v>1.3674196514230904E-2</v>
      </c>
      <c r="N951" s="30">
        <f t="shared" si="104"/>
        <v>5.9765028341127648E-3</v>
      </c>
      <c r="O951" s="30">
        <f t="shared" si="105"/>
        <v>-5.876781599982667E-3</v>
      </c>
    </row>
    <row r="952" spans="1:15" s="30" customFormat="1">
      <c r="A952" s="27">
        <v>44714</v>
      </c>
      <c r="B952" s="28" t="s">
        <v>933</v>
      </c>
      <c r="C952" s="28">
        <v>518.71</v>
      </c>
      <c r="D952" s="28" t="s">
        <v>2107</v>
      </c>
      <c r="E952" s="28">
        <v>274.8</v>
      </c>
      <c r="F952" s="28">
        <v>143.85</v>
      </c>
      <c r="G952" s="28" t="s">
        <v>3278</v>
      </c>
      <c r="H952" s="28">
        <v>229.6</v>
      </c>
      <c r="I952" s="30">
        <f t="shared" si="99"/>
        <v>7.4714131645081975E-3</v>
      </c>
      <c r="J952" s="30">
        <f t="shared" si="100"/>
        <v>2.2005897115979146E-2</v>
      </c>
      <c r="K952" s="30">
        <f t="shared" si="101"/>
        <v>5.6474022996133985E-3</v>
      </c>
      <c r="L952" s="30">
        <f t="shared" si="102"/>
        <v>-1.5635513975655519E-3</v>
      </c>
      <c r="M952" s="30">
        <f t="shared" si="103"/>
        <v>2.7843208326121357E-2</v>
      </c>
      <c r="N952" s="30">
        <f t="shared" si="104"/>
        <v>2.3917468364038812E-3</v>
      </c>
      <c r="O952" s="30">
        <f t="shared" si="105"/>
        <v>1.7353538172401036E-2</v>
      </c>
    </row>
    <row r="953" spans="1:15" s="30" customFormat="1">
      <c r="A953" s="27">
        <v>44713</v>
      </c>
      <c r="B953" s="28" t="s">
        <v>934</v>
      </c>
      <c r="C953" s="28">
        <v>500.83</v>
      </c>
      <c r="D953" s="28" t="s">
        <v>2108</v>
      </c>
      <c r="E953" s="28">
        <v>268.63</v>
      </c>
      <c r="F953" s="28">
        <v>141.65</v>
      </c>
      <c r="G953" s="28" t="s">
        <v>3279</v>
      </c>
      <c r="H953" s="28">
        <v>223.2</v>
      </c>
      <c r="I953" s="30">
        <f t="shared" si="99"/>
        <v>-1.9458872458742383E-2</v>
      </c>
      <c r="J953" s="30">
        <f t="shared" si="100"/>
        <v>-3.5078237993103868E-2</v>
      </c>
      <c r="K953" s="30">
        <f t="shared" si="101"/>
        <v>-8.1959860301600192E-3</v>
      </c>
      <c r="L953" s="30">
        <f t="shared" si="102"/>
        <v>-2.2708592250229639E-2</v>
      </c>
      <c r="M953" s="30">
        <f t="shared" si="103"/>
        <v>-1.5411863721031229E-2</v>
      </c>
      <c r="N953" s="30">
        <f t="shared" si="104"/>
        <v>1.8685445746994593E-2</v>
      </c>
      <c r="O953" s="30">
        <f t="shared" si="105"/>
        <v>-2.8270433938255474E-2</v>
      </c>
    </row>
    <row r="954" spans="1:15" s="30" customFormat="1">
      <c r="A954" s="27">
        <v>44712</v>
      </c>
      <c r="B954" s="28" t="s">
        <v>935</v>
      </c>
      <c r="C954" s="28">
        <v>512.41999999999996</v>
      </c>
      <c r="D954" s="28" t="s">
        <v>2109</v>
      </c>
      <c r="E954" s="28">
        <v>266.8</v>
      </c>
      <c r="F954" s="28">
        <v>142.75</v>
      </c>
      <c r="G954" s="28" t="s">
        <v>3280</v>
      </c>
      <c r="H954" s="28">
        <v>224.48</v>
      </c>
      <c r="I954" s="30">
        <f t="shared" si="99"/>
        <v>2.5034369665377135E-3</v>
      </c>
      <c r="J954" s="30">
        <f t="shared" si="100"/>
        <v>2.2877879122034143E-2</v>
      </c>
      <c r="K954" s="30">
        <f t="shared" si="101"/>
        <v>2.0740361798504199E-2</v>
      </c>
      <c r="L954" s="30">
        <f t="shared" si="102"/>
        <v>-6.8356540564959009E-3</v>
      </c>
      <c r="M954" s="30">
        <f t="shared" si="103"/>
        <v>7.7356222595939472E-3</v>
      </c>
      <c r="N954" s="30">
        <f t="shared" si="104"/>
        <v>5.0039537662739412E-3</v>
      </c>
      <c r="O954" s="30">
        <f t="shared" si="105"/>
        <v>5.7183858469949016E-3</v>
      </c>
    </row>
    <row r="955" spans="1:15" s="30" customFormat="1">
      <c r="A955" s="27">
        <v>44711</v>
      </c>
      <c r="B955" s="28" t="s">
        <v>936</v>
      </c>
      <c r="C955" s="28">
        <v>504.33</v>
      </c>
      <c r="D955" s="28" t="s">
        <v>2110</v>
      </c>
      <c r="E955" s="28">
        <v>269.5</v>
      </c>
      <c r="F955" s="28">
        <v>144.75</v>
      </c>
      <c r="G955" s="28" t="s">
        <v>3281</v>
      </c>
      <c r="H955" s="28">
        <v>226.43</v>
      </c>
      <c r="I955" s="30">
        <f t="shared" si="99"/>
        <v>-5.4877277796369969E-3</v>
      </c>
      <c r="J955" s="30">
        <f t="shared" si="100"/>
        <v>-1.5913785554018345E-2</v>
      </c>
      <c r="K955" s="30">
        <f t="shared" si="101"/>
        <v>-1.5808365483415052E-2</v>
      </c>
      <c r="L955" s="30">
        <f t="shared" si="102"/>
        <v>1.0069076307583138E-2</v>
      </c>
      <c r="M955" s="30">
        <f t="shared" si="103"/>
        <v>1.3913267916985082E-2</v>
      </c>
      <c r="N955" s="30">
        <f t="shared" si="104"/>
        <v>-4.4147241415664652E-2</v>
      </c>
      <c r="O955" s="30">
        <f t="shared" si="105"/>
        <v>8.6492300302793649E-3</v>
      </c>
    </row>
    <row r="956" spans="1:15" s="30" customFormat="1">
      <c r="A956" s="27">
        <v>44708</v>
      </c>
      <c r="B956" s="28" t="s">
        <v>937</v>
      </c>
      <c r="C956" s="28">
        <v>479.37</v>
      </c>
      <c r="D956" s="28" t="s">
        <v>2111</v>
      </c>
      <c r="E956" s="28">
        <v>269.89999999999998</v>
      </c>
      <c r="F956" s="28">
        <v>142.5</v>
      </c>
      <c r="G956" s="28" t="s">
        <v>3282</v>
      </c>
      <c r="H956" s="28">
        <v>224.13</v>
      </c>
      <c r="I956" s="30">
        <f t="shared" si="99"/>
        <v>-3.2224862139753085E-3</v>
      </c>
      <c r="J956" s="30">
        <f t="shared" si="100"/>
        <v>-5.0758073893670111E-2</v>
      </c>
      <c r="K956" s="30">
        <f t="shared" si="101"/>
        <v>1.3956293698057934E-3</v>
      </c>
      <c r="L956" s="30">
        <f t="shared" si="102"/>
        <v>1.4831296749070627E-3</v>
      </c>
      <c r="M956" s="30">
        <f t="shared" si="103"/>
        <v>-1.5666116744399463E-2</v>
      </c>
      <c r="N956" s="30">
        <f t="shared" si="104"/>
        <v>-1.4478727978500095E-2</v>
      </c>
      <c r="O956" s="30">
        <f t="shared" si="105"/>
        <v>-1.0209605728610587E-2</v>
      </c>
    </row>
    <row r="957" spans="1:15" s="30" customFormat="1">
      <c r="A957" s="27">
        <v>44707</v>
      </c>
      <c r="B957" s="28" t="s">
        <v>938</v>
      </c>
      <c r="C957" s="28">
        <v>473.37</v>
      </c>
      <c r="D957" s="28" t="s">
        <v>2112</v>
      </c>
      <c r="E957" s="28">
        <v>269.83</v>
      </c>
      <c r="F957" s="28">
        <v>134.5</v>
      </c>
      <c r="G957" s="28" t="s">
        <v>3283</v>
      </c>
      <c r="H957" s="28">
        <v>211.6</v>
      </c>
      <c r="I957" s="30">
        <f t="shared" si="99"/>
        <v>1.8678419527406861E-3</v>
      </c>
      <c r="J957" s="30">
        <f t="shared" si="100"/>
        <v>-1.2595418103719568E-2</v>
      </c>
      <c r="K957" s="30">
        <f t="shared" si="101"/>
        <v>-8.7228364108497616E-3</v>
      </c>
      <c r="L957" s="30">
        <f t="shared" si="102"/>
        <v>-2.593889551905021E-4</v>
      </c>
      <c r="M957" s="30">
        <f t="shared" si="103"/>
        <v>-5.7777800666811367E-2</v>
      </c>
      <c r="N957" s="30">
        <f t="shared" si="104"/>
        <v>-4.6130862570857535E-3</v>
      </c>
      <c r="O957" s="30">
        <f t="shared" si="105"/>
        <v>-5.7528540671675253E-2</v>
      </c>
    </row>
    <row r="958" spans="1:15" s="30" customFormat="1">
      <c r="A958" s="27">
        <v>44706</v>
      </c>
      <c r="B958" s="28" t="s">
        <v>939</v>
      </c>
      <c r="C958" s="28">
        <v>471.79</v>
      </c>
      <c r="D958" s="28" t="s">
        <v>2113</v>
      </c>
      <c r="E958" s="28">
        <v>272.2</v>
      </c>
      <c r="F958" s="28">
        <v>131.4</v>
      </c>
      <c r="G958" s="28" t="s">
        <v>3284</v>
      </c>
      <c r="H958" s="28">
        <v>208.3</v>
      </c>
      <c r="I958" s="30">
        <f t="shared" si="99"/>
        <v>-7.3967105623077255E-4</v>
      </c>
      <c r="J958" s="30">
        <f t="shared" si="100"/>
        <v>-3.34335238852769E-3</v>
      </c>
      <c r="K958" s="30">
        <f t="shared" si="101"/>
        <v>2.535138056221134E-2</v>
      </c>
      <c r="L958" s="30">
        <f t="shared" si="102"/>
        <v>8.7449591485972422E-3</v>
      </c>
      <c r="M958" s="30">
        <f t="shared" si="103"/>
        <v>-2.3318092991383644E-2</v>
      </c>
      <c r="N958" s="30">
        <f t="shared" si="104"/>
        <v>-6.9380206298342293E-4</v>
      </c>
      <c r="O958" s="30">
        <f t="shared" si="105"/>
        <v>-1.5718351717217877E-2</v>
      </c>
    </row>
    <row r="959" spans="1:15" s="30" customFormat="1">
      <c r="A959" s="27">
        <v>44705</v>
      </c>
      <c r="B959" s="28" t="s">
        <v>940</v>
      </c>
      <c r="C959" s="28">
        <v>508.46</v>
      </c>
      <c r="D959" s="28" t="s">
        <v>2114</v>
      </c>
      <c r="E959" s="28">
        <v>273.89999999999998</v>
      </c>
      <c r="F959" s="28">
        <v>136.55000000000001</v>
      </c>
      <c r="G959" s="28" t="s">
        <v>3285</v>
      </c>
      <c r="H959" s="28">
        <v>216.45</v>
      </c>
      <c r="I959" s="30">
        <f t="shared" si="99"/>
        <v>8.4033956851001609E-2</v>
      </c>
      <c r="J959" s="30">
        <f t="shared" si="100"/>
        <v>7.4852578333849853E-2</v>
      </c>
      <c r="K959" s="30">
        <f t="shared" si="101"/>
        <v>2.8579519413709849E-2</v>
      </c>
      <c r="L959" s="30">
        <f t="shared" si="102"/>
        <v>6.2259860516667778E-3</v>
      </c>
      <c r="M959" s="30">
        <f t="shared" si="103"/>
        <v>3.844474186920397E-2</v>
      </c>
      <c r="N959" s="30">
        <f t="shared" si="104"/>
        <v>2.7383342471360747E-2</v>
      </c>
      <c r="O959" s="30">
        <f t="shared" si="105"/>
        <v>3.8380225621063233E-2</v>
      </c>
    </row>
    <row r="960" spans="1:15" s="30" customFormat="1">
      <c r="A960" s="27">
        <v>44704</v>
      </c>
      <c r="B960" s="28" t="s">
        <v>941</v>
      </c>
      <c r="C960" s="28">
        <v>521.75</v>
      </c>
      <c r="D960" s="28" t="s">
        <v>2115</v>
      </c>
      <c r="E960" s="28">
        <v>269.27</v>
      </c>
      <c r="F960" s="28">
        <v>140.5</v>
      </c>
      <c r="G960" s="28" t="s">
        <v>3286</v>
      </c>
      <c r="H960" s="28">
        <v>225.02</v>
      </c>
      <c r="I960" s="30">
        <f t="shared" si="99"/>
        <v>2.7904478616790643E-2</v>
      </c>
      <c r="J960" s="30">
        <f t="shared" si="100"/>
        <v>2.5801996296300655E-2</v>
      </c>
      <c r="K960" s="30">
        <f t="shared" si="101"/>
        <v>2.4745813355292665E-2</v>
      </c>
      <c r="L960" s="30">
        <f t="shared" si="102"/>
        <v>-1.7048482582645148E-2</v>
      </c>
      <c r="M960" s="30">
        <f t="shared" si="103"/>
        <v>2.8516640854086433E-2</v>
      </c>
      <c r="N960" s="30">
        <f t="shared" si="104"/>
        <v>-8.444757715087844E-4</v>
      </c>
      <c r="O960" s="30">
        <f t="shared" si="105"/>
        <v>3.8829713254936303E-2</v>
      </c>
    </row>
    <row r="961" spans="1:15" s="30" customFormat="1">
      <c r="A961" s="27">
        <v>44701</v>
      </c>
      <c r="B961" s="28" t="s">
        <v>942</v>
      </c>
      <c r="C961" s="28">
        <v>525.29</v>
      </c>
      <c r="D961" s="28" t="s">
        <v>2116</v>
      </c>
      <c r="E961" s="28">
        <v>265.8</v>
      </c>
      <c r="F961" s="28">
        <v>137.19999999999999</v>
      </c>
      <c r="G961" s="28" t="s">
        <v>3287</v>
      </c>
      <c r="H961" s="28">
        <v>219.9</v>
      </c>
      <c r="I961" s="30">
        <f t="shared" si="99"/>
        <v>-2.0448983199835416E-2</v>
      </c>
      <c r="J961" s="30">
        <f t="shared" si="100"/>
        <v>6.7619450804945512E-3</v>
      </c>
      <c r="K961" s="30">
        <f t="shared" si="101"/>
        <v>-4.3306483164663817E-2</v>
      </c>
      <c r="L961" s="30">
        <f t="shared" si="102"/>
        <v>-1.2970447407242144E-2</v>
      </c>
      <c r="M961" s="30">
        <f t="shared" si="103"/>
        <v>-2.3767773482015666E-2</v>
      </c>
      <c r="N961" s="30">
        <f t="shared" si="104"/>
        <v>5.2523046861294252E-3</v>
      </c>
      <c r="O961" s="30">
        <f t="shared" si="105"/>
        <v>-2.3016389582210334E-2</v>
      </c>
    </row>
    <row r="962" spans="1:15" s="30" customFormat="1">
      <c r="A962" s="27">
        <v>44700</v>
      </c>
      <c r="B962" s="28" t="s">
        <v>943</v>
      </c>
      <c r="C962" s="28">
        <v>522.46</v>
      </c>
      <c r="D962" s="28" t="s">
        <v>2117</v>
      </c>
      <c r="E962" s="28">
        <v>267.07</v>
      </c>
      <c r="F962" s="28">
        <v>136.15</v>
      </c>
      <c r="G962" s="28" t="s">
        <v>3288</v>
      </c>
      <c r="H962" s="28">
        <v>216.52</v>
      </c>
      <c r="I962" s="30">
        <f t="shared" si="99"/>
        <v>-2.0481968592867422E-2</v>
      </c>
      <c r="J962" s="30">
        <f t="shared" si="100"/>
        <v>-5.4020651532474791E-3</v>
      </c>
      <c r="K962" s="30">
        <f t="shared" si="101"/>
        <v>-3.4507293251214405E-2</v>
      </c>
      <c r="L962" s="30">
        <f t="shared" si="102"/>
        <v>4.7666500446007665E-3</v>
      </c>
      <c r="M962" s="30">
        <f t="shared" si="103"/>
        <v>-7.68249617201617E-3</v>
      </c>
      <c r="N962" s="30">
        <f t="shared" si="104"/>
        <v>-8.7221305858662893E-3</v>
      </c>
      <c r="O962" s="30">
        <f t="shared" si="105"/>
        <v>-1.5489975631938383E-2</v>
      </c>
    </row>
    <row r="963" spans="1:15" s="30" customFormat="1">
      <c r="A963" s="27">
        <v>44699</v>
      </c>
      <c r="B963" s="28" t="s">
        <v>944</v>
      </c>
      <c r="C963" s="28">
        <v>533.96</v>
      </c>
      <c r="D963" s="28" t="s">
        <v>2118</v>
      </c>
      <c r="E963" s="28">
        <v>266.10000000000002</v>
      </c>
      <c r="F963" s="28">
        <v>141.6</v>
      </c>
      <c r="G963" s="28" t="s">
        <v>3289</v>
      </c>
      <c r="H963" s="28">
        <v>221.48</v>
      </c>
      <c r="I963" s="30">
        <f t="shared" si="99"/>
        <v>1.7309688736718318E-2</v>
      </c>
      <c r="J963" s="30">
        <f t="shared" si="100"/>
        <v>2.1772503902974399E-2</v>
      </c>
      <c r="K963" s="30">
        <f t="shared" si="101"/>
        <v>-6.7110879274484363E-4</v>
      </c>
      <c r="L963" s="30">
        <f t="shared" si="102"/>
        <v>-3.6386183401022837E-3</v>
      </c>
      <c r="M963" s="30">
        <f t="shared" si="103"/>
        <v>3.9248962139850595E-2</v>
      </c>
      <c r="N963" s="30">
        <f t="shared" si="104"/>
        <v>6.590830527850546E-3</v>
      </c>
      <c r="O963" s="30">
        <f t="shared" si="105"/>
        <v>2.2649370025989261E-2</v>
      </c>
    </row>
    <row r="964" spans="1:15" s="30" customFormat="1">
      <c r="A964" s="27">
        <v>44698</v>
      </c>
      <c r="B964" s="28" t="s">
        <v>945</v>
      </c>
      <c r="C964" s="28">
        <v>534.5</v>
      </c>
      <c r="D964" s="28" t="s">
        <v>2119</v>
      </c>
      <c r="E964" s="28">
        <v>269.27</v>
      </c>
      <c r="F964" s="28">
        <v>141.94999999999999</v>
      </c>
      <c r="G964" s="28" t="s">
        <v>3290</v>
      </c>
      <c r="H964" s="28">
        <v>216.93</v>
      </c>
      <c r="I964" s="30">
        <f t="shared" ref="I964:I1027" si="106">LN(B964/B963)</f>
        <v>-1.6292778416016226E-2</v>
      </c>
      <c r="J964" s="30">
        <f t="shared" ref="J964:J1027" si="107">LN(C964/C963)</f>
        <v>1.0108006775683123E-3</v>
      </c>
      <c r="K964" s="30">
        <f t="shared" ref="K964:K1027" si="108">LN(D964/D963)</f>
        <v>-2.0671903060034986E-2</v>
      </c>
      <c r="L964" s="30">
        <f t="shared" ref="L964:L1027" si="109">LN(E964/E963)</f>
        <v>1.1842415702743638E-2</v>
      </c>
      <c r="M964" s="30">
        <f t="shared" ref="M964:M1027" si="110">LN(F964/F963)</f>
        <v>2.4687016593607091E-3</v>
      </c>
      <c r="N964" s="30">
        <f t="shared" ref="N964:N1027" si="111">LN(G964/G963)</f>
        <v>-4.2762760340242668E-3</v>
      </c>
      <c r="O964" s="30">
        <f t="shared" ref="O964:O1027" si="112">LN(H964/H963)</f>
        <v>-2.0757571099796198E-2</v>
      </c>
    </row>
    <row r="965" spans="1:15" s="30" customFormat="1">
      <c r="A965" s="27">
        <v>44697</v>
      </c>
      <c r="B965" s="28" t="s">
        <v>946</v>
      </c>
      <c r="C965" s="28">
        <v>528.08000000000004</v>
      </c>
      <c r="D965" s="28" t="s">
        <v>2120</v>
      </c>
      <c r="E965" s="28">
        <v>269.89999999999998</v>
      </c>
      <c r="F965" s="28">
        <v>135.55000000000001</v>
      </c>
      <c r="G965" s="28" t="s">
        <v>3291</v>
      </c>
      <c r="H965" s="28">
        <v>215.77</v>
      </c>
      <c r="I965" s="30">
        <f t="shared" si="106"/>
        <v>-1.6562635840111799E-2</v>
      </c>
      <c r="J965" s="30">
        <f t="shared" si="107"/>
        <v>-1.2083943084584462E-2</v>
      </c>
      <c r="K965" s="30">
        <f t="shared" si="108"/>
        <v>-2.3678147405372284E-2</v>
      </c>
      <c r="L965" s="30">
        <f t="shared" si="109"/>
        <v>2.3369263375716308E-3</v>
      </c>
      <c r="M965" s="30">
        <f t="shared" si="110"/>
        <v>-4.6134306974305477E-2</v>
      </c>
      <c r="N965" s="30">
        <f t="shared" si="111"/>
        <v>-8.181336239673884E-3</v>
      </c>
      <c r="O965" s="30">
        <f t="shared" si="112"/>
        <v>-5.3616953036764482E-3</v>
      </c>
    </row>
    <row r="966" spans="1:15" s="30" customFormat="1">
      <c r="A966" s="27">
        <v>44694</v>
      </c>
      <c r="B966" s="28" t="s">
        <v>947</v>
      </c>
      <c r="C966" s="28">
        <v>547.08000000000004</v>
      </c>
      <c r="D966" s="28" t="s">
        <v>2121</v>
      </c>
      <c r="E966" s="28">
        <v>265.39999999999998</v>
      </c>
      <c r="F966" s="28">
        <v>131</v>
      </c>
      <c r="G966" s="28" t="s">
        <v>3292</v>
      </c>
      <c r="H966" s="28">
        <v>216.5</v>
      </c>
      <c r="I966" s="30">
        <f t="shared" si="106"/>
        <v>2.1142297099136287E-2</v>
      </c>
      <c r="J966" s="30">
        <f t="shared" si="107"/>
        <v>3.5347256632834993E-2</v>
      </c>
      <c r="K966" s="30">
        <f t="shared" si="108"/>
        <v>-3.5615403497581744E-2</v>
      </c>
      <c r="L966" s="30">
        <f t="shared" si="109"/>
        <v>-1.681339812585186E-2</v>
      </c>
      <c r="M966" s="30">
        <f t="shared" si="110"/>
        <v>-3.4143252743523027E-2</v>
      </c>
      <c r="N966" s="30">
        <f t="shared" si="111"/>
        <v>3.1218983777665326E-3</v>
      </c>
      <c r="O966" s="30">
        <f t="shared" si="112"/>
        <v>3.3775218912508419E-3</v>
      </c>
    </row>
    <row r="967" spans="1:15" s="30" customFormat="1">
      <c r="A967" s="27">
        <v>44693</v>
      </c>
      <c r="B967" s="28" t="s">
        <v>948</v>
      </c>
      <c r="C967" s="28">
        <v>550.16999999999996</v>
      </c>
      <c r="D967" s="28" t="s">
        <v>2122</v>
      </c>
      <c r="E967" s="28">
        <v>265.37</v>
      </c>
      <c r="F967" s="28">
        <v>124.85</v>
      </c>
      <c r="G967" s="28" t="s">
        <v>3293</v>
      </c>
      <c r="H967" s="28">
        <v>212.05</v>
      </c>
      <c r="I967" s="30">
        <f t="shared" si="106"/>
        <v>-7.8801839638950617E-3</v>
      </c>
      <c r="J967" s="30">
        <f t="shared" si="107"/>
        <v>5.6322773635028743E-3</v>
      </c>
      <c r="K967" s="30">
        <f t="shared" si="108"/>
        <v>-2.8629082540772687E-2</v>
      </c>
      <c r="L967" s="30">
        <f t="shared" si="109"/>
        <v>-1.1304331455027836E-4</v>
      </c>
      <c r="M967" s="30">
        <f t="shared" si="110"/>
        <v>-4.8084306475369334E-2</v>
      </c>
      <c r="N967" s="30">
        <f t="shared" si="111"/>
        <v>-3.3777582816513795E-3</v>
      </c>
      <c r="O967" s="30">
        <f t="shared" si="112"/>
        <v>-2.0768451521944804E-2</v>
      </c>
    </row>
    <row r="968" spans="1:15" s="30" customFormat="1">
      <c r="A968" s="27">
        <v>44692</v>
      </c>
      <c r="B968" s="28" t="s">
        <v>949</v>
      </c>
      <c r="C968" s="28">
        <v>552.83000000000004</v>
      </c>
      <c r="D968" s="28" t="s">
        <v>2123</v>
      </c>
      <c r="E968" s="28">
        <v>274.52999999999997</v>
      </c>
      <c r="F968" s="28">
        <v>128.4</v>
      </c>
      <c r="G968" s="28" t="s">
        <v>3271</v>
      </c>
      <c r="H968" s="28">
        <v>220.52</v>
      </c>
      <c r="I968" s="30">
        <f t="shared" si="106"/>
        <v>4.4965285161764606E-3</v>
      </c>
      <c r="J968" s="30">
        <f t="shared" si="107"/>
        <v>4.8232187791970903E-3</v>
      </c>
      <c r="K968" s="30">
        <f t="shared" si="108"/>
        <v>5.6854676637646956E-3</v>
      </c>
      <c r="L968" s="30">
        <f t="shared" si="109"/>
        <v>3.3935466011839575E-2</v>
      </c>
      <c r="M968" s="30">
        <f t="shared" si="110"/>
        <v>2.8037374530078613E-2</v>
      </c>
      <c r="N968" s="30">
        <f t="shared" si="111"/>
        <v>1.5348889201408571E-2</v>
      </c>
      <c r="O968" s="30">
        <f t="shared" si="112"/>
        <v>3.9166297800883106E-2</v>
      </c>
    </row>
    <row r="969" spans="1:15" s="30" customFormat="1">
      <c r="A969" s="27">
        <v>44691</v>
      </c>
      <c r="B969" s="28" t="s">
        <v>950</v>
      </c>
      <c r="C969" s="28">
        <v>563.83000000000004</v>
      </c>
      <c r="D969" s="28" t="s">
        <v>1875</v>
      </c>
      <c r="E969" s="28">
        <v>287.39999999999998</v>
      </c>
      <c r="F969" s="28">
        <v>137.25</v>
      </c>
      <c r="G969" s="28" t="s">
        <v>3294</v>
      </c>
      <c r="H969" s="28">
        <v>233.95</v>
      </c>
      <c r="I969" s="30">
        <f t="shared" si="106"/>
        <v>1.0651566503797434E-2</v>
      </c>
      <c r="J969" s="30">
        <f t="shared" si="107"/>
        <v>1.9702247466624002E-2</v>
      </c>
      <c r="K969" s="30">
        <f t="shared" si="108"/>
        <v>3.8781788430002295E-2</v>
      </c>
      <c r="L969" s="30">
        <f t="shared" si="109"/>
        <v>4.5814429049528115E-2</v>
      </c>
      <c r="M969" s="30">
        <f t="shared" si="110"/>
        <v>6.6653689133779212E-2</v>
      </c>
      <c r="N969" s="30">
        <f t="shared" si="111"/>
        <v>1.4923783585599506E-2</v>
      </c>
      <c r="O969" s="30">
        <f t="shared" si="112"/>
        <v>5.9119023590742281E-2</v>
      </c>
    </row>
    <row r="970" spans="1:15" s="30" customFormat="1">
      <c r="A970" s="27">
        <v>44690</v>
      </c>
      <c r="B970" s="28" t="s">
        <v>951</v>
      </c>
      <c r="C970" s="28">
        <v>553.58000000000004</v>
      </c>
      <c r="D970" s="28" t="s">
        <v>2124</v>
      </c>
      <c r="E970" s="28">
        <v>292.3</v>
      </c>
      <c r="F970" s="28">
        <v>137.55000000000001</v>
      </c>
      <c r="G970" s="28" t="s">
        <v>3295</v>
      </c>
      <c r="H970" s="28">
        <v>234.9</v>
      </c>
      <c r="I970" s="30">
        <f t="shared" si="106"/>
        <v>-2.6628403732197221E-2</v>
      </c>
      <c r="J970" s="30">
        <f t="shared" si="107"/>
        <v>-1.8346511139446447E-2</v>
      </c>
      <c r="K970" s="30">
        <f t="shared" si="108"/>
        <v>7.0986117901037805E-3</v>
      </c>
      <c r="L970" s="30">
        <f t="shared" si="109"/>
        <v>1.6905698472275715E-2</v>
      </c>
      <c r="M970" s="30">
        <f t="shared" si="110"/>
        <v>2.1834069809435813E-3</v>
      </c>
      <c r="N970" s="30">
        <f t="shared" si="111"/>
        <v>6.9820784480572459E-3</v>
      </c>
      <c r="O970" s="30">
        <f t="shared" si="112"/>
        <v>4.0524743526419871E-3</v>
      </c>
    </row>
    <row r="971" spans="1:15" s="30" customFormat="1">
      <c r="A971" s="27">
        <v>44687</v>
      </c>
      <c r="B971" s="28" t="s">
        <v>952</v>
      </c>
      <c r="C971" s="28">
        <v>555.58000000000004</v>
      </c>
      <c r="D971" s="28" t="s">
        <v>2028</v>
      </c>
      <c r="E971" s="28">
        <v>300.87</v>
      </c>
      <c r="F971" s="28">
        <v>138.9</v>
      </c>
      <c r="G971" s="28" t="s">
        <v>3296</v>
      </c>
      <c r="H971" s="28">
        <v>238.07</v>
      </c>
      <c r="I971" s="30">
        <f t="shared" si="106"/>
        <v>3.653578754877893E-3</v>
      </c>
      <c r="J971" s="30">
        <f t="shared" si="107"/>
        <v>3.6063366288185223E-3</v>
      </c>
      <c r="K971" s="30">
        <f t="shared" si="108"/>
        <v>9.1635583780454305E-3</v>
      </c>
      <c r="L971" s="30">
        <f t="shared" si="109"/>
        <v>2.8897605651026299E-2</v>
      </c>
      <c r="M971" s="30">
        <f t="shared" si="110"/>
        <v>9.7667623897144083E-3</v>
      </c>
      <c r="N971" s="30">
        <f t="shared" si="111"/>
        <v>2.9540502882304514E-3</v>
      </c>
      <c r="O971" s="30">
        <f t="shared" si="112"/>
        <v>1.3404856409550305E-2</v>
      </c>
    </row>
    <row r="972" spans="1:15" s="30" customFormat="1">
      <c r="A972" s="27">
        <v>44686</v>
      </c>
      <c r="B972" s="28" t="s">
        <v>953</v>
      </c>
      <c r="C972" s="28">
        <v>572.62</v>
      </c>
      <c r="D972" s="28" t="s">
        <v>2125</v>
      </c>
      <c r="E972" s="28">
        <v>300.63</v>
      </c>
      <c r="F972" s="28">
        <v>138.55000000000001</v>
      </c>
      <c r="G972" s="28" t="s">
        <v>3297</v>
      </c>
      <c r="H972" s="28">
        <v>240.93</v>
      </c>
      <c r="I972" s="30">
        <f t="shared" si="106"/>
        <v>1.9794501343919597E-2</v>
      </c>
      <c r="J972" s="30">
        <f t="shared" si="107"/>
        <v>3.0209707338772495E-2</v>
      </c>
      <c r="K972" s="30">
        <f t="shared" si="108"/>
        <v>2.2515333459100173E-2</v>
      </c>
      <c r="L972" s="30">
        <f t="shared" si="109"/>
        <v>-7.9800502987951495E-4</v>
      </c>
      <c r="M972" s="30">
        <f t="shared" si="110"/>
        <v>-2.5229784513106568E-3</v>
      </c>
      <c r="N972" s="30">
        <f t="shared" si="111"/>
        <v>9.1620296986339514E-3</v>
      </c>
      <c r="O972" s="30">
        <f t="shared" si="112"/>
        <v>1.1941686794063096E-2</v>
      </c>
    </row>
    <row r="973" spans="1:15" s="30" customFormat="1">
      <c r="A973" s="27">
        <v>44685</v>
      </c>
      <c r="B973" s="28" t="s">
        <v>954</v>
      </c>
      <c r="C973" s="28">
        <v>572.62</v>
      </c>
      <c r="D973" s="28" t="s">
        <v>2126</v>
      </c>
      <c r="E973" s="28">
        <v>305.3</v>
      </c>
      <c r="F973" s="28">
        <v>135.9</v>
      </c>
      <c r="G973" s="28" t="s">
        <v>3298</v>
      </c>
      <c r="H973" s="28">
        <v>241.27</v>
      </c>
      <c r="I973" s="30">
        <f t="shared" si="106"/>
        <v>7.8674281542825721E-3</v>
      </c>
      <c r="J973" s="30">
        <f t="shared" si="107"/>
        <v>0</v>
      </c>
      <c r="K973" s="30">
        <f t="shared" si="108"/>
        <v>6.3083443115320601E-3</v>
      </c>
      <c r="L973" s="30">
        <f t="shared" si="109"/>
        <v>1.5414627002485106E-2</v>
      </c>
      <c r="M973" s="30">
        <f t="shared" si="110"/>
        <v>-1.9311950151889419E-2</v>
      </c>
      <c r="N973" s="30">
        <f t="shared" si="111"/>
        <v>-5.9171770280885072E-3</v>
      </c>
      <c r="O973" s="30">
        <f t="shared" si="112"/>
        <v>1.4102034688749075E-3</v>
      </c>
    </row>
    <row r="974" spans="1:15" s="30" customFormat="1">
      <c r="A974" s="27">
        <v>44683</v>
      </c>
      <c r="B974" s="28" t="s">
        <v>955</v>
      </c>
      <c r="C974" s="28">
        <v>594.46</v>
      </c>
      <c r="D974" s="28" t="s">
        <v>2127</v>
      </c>
      <c r="E974" s="28">
        <v>309.83</v>
      </c>
      <c r="F974" s="28">
        <v>140.69999999999999</v>
      </c>
      <c r="G974" s="28" t="s">
        <v>3299</v>
      </c>
      <c r="H974" s="28">
        <v>245.3</v>
      </c>
      <c r="I974" s="30">
        <f t="shared" si="106"/>
        <v>3.1474542350374203E-2</v>
      </c>
      <c r="J974" s="30">
        <f t="shared" si="107"/>
        <v>3.7431109984930912E-2</v>
      </c>
      <c r="K974" s="30">
        <f t="shared" si="108"/>
        <v>5.7505965910041234E-3</v>
      </c>
      <c r="L974" s="30">
        <f t="shared" si="109"/>
        <v>1.4728860222387117E-2</v>
      </c>
      <c r="M974" s="30">
        <f t="shared" si="110"/>
        <v>3.4710642963245303E-2</v>
      </c>
      <c r="N974" s="30">
        <f t="shared" si="111"/>
        <v>1.7567271798756674E-2</v>
      </c>
      <c r="O974" s="30">
        <f t="shared" si="112"/>
        <v>1.6565312927088138E-2</v>
      </c>
    </row>
    <row r="975" spans="1:15" s="30" customFormat="1">
      <c r="A975" s="27">
        <v>44680</v>
      </c>
      <c r="B975" s="28" t="s">
        <v>956</v>
      </c>
      <c r="C975" s="28">
        <v>598.29</v>
      </c>
      <c r="D975" s="28" t="s">
        <v>2128</v>
      </c>
      <c r="E975" s="28">
        <v>313.02999999999997</v>
      </c>
      <c r="F975" s="28">
        <v>142.75</v>
      </c>
      <c r="G975" s="28" t="s">
        <v>3300</v>
      </c>
      <c r="H975" s="28">
        <v>249.18</v>
      </c>
      <c r="I975" s="30">
        <f t="shared" si="106"/>
        <v>1.15579488337289E-2</v>
      </c>
      <c r="J975" s="30">
        <f t="shared" si="107"/>
        <v>6.4221557974898742E-3</v>
      </c>
      <c r="K975" s="30">
        <f t="shared" si="108"/>
        <v>8.1306507148341239E-3</v>
      </c>
      <c r="L975" s="30">
        <f t="shared" si="109"/>
        <v>1.027527262930502E-2</v>
      </c>
      <c r="M975" s="30">
        <f t="shared" si="110"/>
        <v>1.4464884415776386E-2</v>
      </c>
      <c r="N975" s="30">
        <f t="shared" si="111"/>
        <v>4.9364368518800411E-3</v>
      </c>
      <c r="O975" s="30">
        <f t="shared" si="112"/>
        <v>1.569357560627363E-2</v>
      </c>
    </row>
    <row r="976" spans="1:15" s="30" customFormat="1">
      <c r="A976" s="27">
        <v>44679</v>
      </c>
      <c r="B976" s="28" t="s">
        <v>957</v>
      </c>
      <c r="C976" s="28">
        <v>607.96</v>
      </c>
      <c r="D976" s="28" t="s">
        <v>2129</v>
      </c>
      <c r="E976" s="28">
        <v>311.89999999999998</v>
      </c>
      <c r="F976" s="28">
        <v>144.44999999999999</v>
      </c>
      <c r="G976" s="28" t="s">
        <v>3301</v>
      </c>
      <c r="H976" s="28">
        <v>254.02</v>
      </c>
      <c r="I976" s="30">
        <f t="shared" si="106"/>
        <v>3.2382948621359196E-3</v>
      </c>
      <c r="J976" s="30">
        <f t="shared" si="107"/>
        <v>1.6033504095020645E-2</v>
      </c>
      <c r="K976" s="30">
        <f t="shared" si="108"/>
        <v>1.315220388747093E-2</v>
      </c>
      <c r="L976" s="30">
        <f t="shared" si="109"/>
        <v>-3.6164089787668581E-3</v>
      </c>
      <c r="M976" s="30">
        <f t="shared" si="110"/>
        <v>1.1838578376124516E-2</v>
      </c>
      <c r="N976" s="30">
        <f t="shared" si="111"/>
        <v>2.4458339987449974E-3</v>
      </c>
      <c r="O976" s="30">
        <f t="shared" si="112"/>
        <v>1.9237477205456276E-2</v>
      </c>
    </row>
    <row r="977" spans="1:15" s="30" customFormat="1">
      <c r="A977" s="27">
        <v>44678</v>
      </c>
      <c r="B977" s="28" t="s">
        <v>575</v>
      </c>
      <c r="C977" s="28">
        <v>598.21</v>
      </c>
      <c r="D977" s="28" t="s">
        <v>2130</v>
      </c>
      <c r="E977" s="28">
        <v>314.33</v>
      </c>
      <c r="F977" s="28">
        <v>143.65</v>
      </c>
      <c r="G977" s="28" t="s">
        <v>3302</v>
      </c>
      <c r="H977" s="28">
        <v>262.2</v>
      </c>
      <c r="I977" s="30">
        <f t="shared" si="106"/>
        <v>-3.1068547423947983E-2</v>
      </c>
      <c r="J977" s="30">
        <f t="shared" si="107"/>
        <v>-1.6167227455019216E-2</v>
      </c>
      <c r="K977" s="30">
        <f t="shared" si="108"/>
        <v>-6.3429640692312523E-5</v>
      </c>
      <c r="L977" s="30">
        <f t="shared" si="109"/>
        <v>7.7607658414920342E-3</v>
      </c>
      <c r="M977" s="30">
        <f t="shared" si="110"/>
        <v>-5.5536414869455713E-3</v>
      </c>
      <c r="N977" s="30">
        <f t="shared" si="111"/>
        <v>-2.1264727185855634E-3</v>
      </c>
      <c r="O977" s="30">
        <f t="shared" si="112"/>
        <v>3.1694567253426009E-2</v>
      </c>
    </row>
    <row r="978" spans="1:15" s="30" customFormat="1">
      <c r="A978" s="27">
        <v>44677</v>
      </c>
      <c r="B978" s="28" t="s">
        <v>958</v>
      </c>
      <c r="C978" s="28">
        <v>599.75</v>
      </c>
      <c r="D978" s="28" t="s">
        <v>2110</v>
      </c>
      <c r="E978" s="28">
        <v>312.73</v>
      </c>
      <c r="F978" s="28">
        <v>147.05000000000001</v>
      </c>
      <c r="G978" s="28" t="s">
        <v>3303</v>
      </c>
      <c r="H978" s="28">
        <v>268.64999999999998</v>
      </c>
      <c r="I978" s="30">
        <f t="shared" si="106"/>
        <v>-7.2362445182336758E-3</v>
      </c>
      <c r="J978" s="30">
        <f t="shared" si="107"/>
        <v>2.5710388465626285E-3</v>
      </c>
      <c r="K978" s="30">
        <f t="shared" si="108"/>
        <v>-7.932101629506131E-4</v>
      </c>
      <c r="L978" s="30">
        <f t="shared" si="109"/>
        <v>-5.1031909939705097E-3</v>
      </c>
      <c r="M978" s="30">
        <f t="shared" si="110"/>
        <v>2.3392879574705594E-2</v>
      </c>
      <c r="N978" s="30">
        <f t="shared" si="111"/>
        <v>6.4452182534685525E-3</v>
      </c>
      <c r="O978" s="30">
        <f t="shared" si="112"/>
        <v>2.4301845845231013E-2</v>
      </c>
    </row>
    <row r="979" spans="1:15" s="30" customFormat="1">
      <c r="A979" s="27">
        <v>44676</v>
      </c>
      <c r="B979" s="28" t="s">
        <v>804</v>
      </c>
      <c r="C979" s="28">
        <v>596.46</v>
      </c>
      <c r="D979" s="28" t="s">
        <v>2131</v>
      </c>
      <c r="E979" s="28">
        <v>312.7</v>
      </c>
      <c r="F979" s="28">
        <v>148.75</v>
      </c>
      <c r="G979" s="28" t="s">
        <v>3304</v>
      </c>
      <c r="H979" s="28">
        <v>262.3</v>
      </c>
      <c r="I979" s="30">
        <f t="shared" si="106"/>
        <v>1.5824179126213344E-3</v>
      </c>
      <c r="J979" s="30">
        <f t="shared" si="107"/>
        <v>-5.5007202676951089E-3</v>
      </c>
      <c r="K979" s="30">
        <f t="shared" si="108"/>
        <v>-1.6288099492315088E-2</v>
      </c>
      <c r="L979" s="30">
        <f t="shared" si="109"/>
        <v>-9.5933997483488106E-5</v>
      </c>
      <c r="M979" s="30">
        <f t="shared" si="110"/>
        <v>1.1494379425734991E-2</v>
      </c>
      <c r="N979" s="30">
        <f t="shared" si="111"/>
        <v>-1.0257590404495595E-2</v>
      </c>
      <c r="O979" s="30">
        <f t="shared" si="112"/>
        <v>-2.3920530302002408E-2</v>
      </c>
    </row>
    <row r="980" spans="1:15" s="30" customFormat="1">
      <c r="A980" s="27">
        <v>44673</v>
      </c>
      <c r="B980" s="28" t="s">
        <v>959</v>
      </c>
      <c r="C980" s="28">
        <v>597.21</v>
      </c>
      <c r="D980" s="28" t="s">
        <v>2132</v>
      </c>
      <c r="E980" s="28">
        <v>313.2</v>
      </c>
      <c r="F980" s="28">
        <v>155.1</v>
      </c>
      <c r="G980" s="28" t="s">
        <v>3305</v>
      </c>
      <c r="H980" s="28">
        <v>269.85000000000002</v>
      </c>
      <c r="I980" s="30">
        <f t="shared" si="106"/>
        <v>1.073878469311876E-2</v>
      </c>
      <c r="J980" s="30">
        <f t="shared" si="107"/>
        <v>1.256628881843049E-3</v>
      </c>
      <c r="K980" s="30">
        <f t="shared" si="108"/>
        <v>4.5707743657792269E-3</v>
      </c>
      <c r="L980" s="30">
        <f t="shared" si="109"/>
        <v>1.5976996528525064E-3</v>
      </c>
      <c r="M980" s="30">
        <f t="shared" si="110"/>
        <v>4.1803025756753938E-2</v>
      </c>
      <c r="N980" s="30">
        <f t="shared" si="111"/>
        <v>8.8289053452280698E-3</v>
      </c>
      <c r="O980" s="30">
        <f t="shared" si="112"/>
        <v>2.8377362191823782E-2</v>
      </c>
    </row>
    <row r="981" spans="1:15" s="30" customFormat="1">
      <c r="A981" s="27">
        <v>44672</v>
      </c>
      <c r="B981" s="28" t="s">
        <v>960</v>
      </c>
      <c r="C981" s="28">
        <v>595.87</v>
      </c>
      <c r="D981" s="28" t="s">
        <v>2133</v>
      </c>
      <c r="E981" s="28">
        <v>315.77</v>
      </c>
      <c r="F981" s="28">
        <v>156.25</v>
      </c>
      <c r="G981" s="28" t="s">
        <v>3306</v>
      </c>
      <c r="H981" s="28">
        <v>266.89999999999998</v>
      </c>
      <c r="I981" s="30">
        <f t="shared" si="106"/>
        <v>-1.9453874370944637E-3</v>
      </c>
      <c r="J981" s="30">
        <f t="shared" si="107"/>
        <v>-2.2462878657737101E-3</v>
      </c>
      <c r="K981" s="30">
        <f t="shared" si="108"/>
        <v>1.3619973552106006E-2</v>
      </c>
      <c r="L981" s="30">
        <f t="shared" si="109"/>
        <v>8.1721363589698278E-3</v>
      </c>
      <c r="M981" s="30">
        <f t="shared" si="110"/>
        <v>7.3872184340177767E-3</v>
      </c>
      <c r="N981" s="30">
        <f t="shared" si="111"/>
        <v>6.4130697605154522E-3</v>
      </c>
      <c r="O981" s="30">
        <f t="shared" si="112"/>
        <v>-1.0992192654173533E-2</v>
      </c>
    </row>
    <row r="982" spans="1:15" s="30" customFormat="1">
      <c r="A982" s="27">
        <v>44671</v>
      </c>
      <c r="B982" s="28" t="s">
        <v>961</v>
      </c>
      <c r="C982" s="28">
        <v>594.04</v>
      </c>
      <c r="D982" s="28" t="s">
        <v>2134</v>
      </c>
      <c r="E982" s="28">
        <v>314.39999999999998</v>
      </c>
      <c r="F982" s="28">
        <v>150.30000000000001</v>
      </c>
      <c r="G982" s="28" t="s">
        <v>3307</v>
      </c>
      <c r="H982" s="28">
        <v>257.39999999999998</v>
      </c>
      <c r="I982" s="30">
        <f t="shared" si="106"/>
        <v>-2.4114927823996438E-2</v>
      </c>
      <c r="J982" s="30">
        <f t="shared" si="107"/>
        <v>-3.0758653054336746E-3</v>
      </c>
      <c r="K982" s="30">
        <f t="shared" si="108"/>
        <v>1.0651137436508163E-2</v>
      </c>
      <c r="L982" s="30">
        <f t="shared" si="109"/>
        <v>-4.3480399205663841E-3</v>
      </c>
      <c r="M982" s="30">
        <f t="shared" si="110"/>
        <v>-3.8823991857581959E-2</v>
      </c>
      <c r="N982" s="30">
        <f t="shared" si="111"/>
        <v>-1.4787994085034756E-2</v>
      </c>
      <c r="O982" s="30">
        <f t="shared" si="112"/>
        <v>-3.6242761248452222E-2</v>
      </c>
    </row>
    <row r="983" spans="1:15" s="30" customFormat="1">
      <c r="A983" s="27">
        <v>44670</v>
      </c>
      <c r="B983" s="28" t="s">
        <v>962</v>
      </c>
      <c r="C983" s="28">
        <v>585.58000000000004</v>
      </c>
      <c r="D983" s="28" t="s">
        <v>2135</v>
      </c>
      <c r="E983" s="28">
        <v>315.37</v>
      </c>
      <c r="F983" s="28">
        <v>148.5</v>
      </c>
      <c r="G983" s="28" t="s">
        <v>3308</v>
      </c>
      <c r="H983" s="28">
        <v>253.05</v>
      </c>
      <c r="I983" s="30">
        <f t="shared" si="106"/>
        <v>-3.0228504223246494E-2</v>
      </c>
      <c r="J983" s="30">
        <f t="shared" si="107"/>
        <v>-1.4343848104334133E-2</v>
      </c>
      <c r="K983" s="30">
        <f t="shared" si="108"/>
        <v>-1.5370864265076578E-3</v>
      </c>
      <c r="L983" s="30">
        <f t="shared" si="109"/>
        <v>3.0804921385976527E-3</v>
      </c>
      <c r="M983" s="30">
        <f t="shared" si="110"/>
        <v>-1.2048338516174593E-2</v>
      </c>
      <c r="N983" s="30">
        <f t="shared" si="111"/>
        <v>2.1336186251194105E-3</v>
      </c>
      <c r="O983" s="30">
        <f t="shared" si="112"/>
        <v>-1.7044197501939189E-2</v>
      </c>
    </row>
    <row r="984" spans="1:15" s="30" customFormat="1">
      <c r="A984" s="27">
        <v>44669</v>
      </c>
      <c r="B984" s="28" t="s">
        <v>963</v>
      </c>
      <c r="C984" s="28">
        <v>599.12</v>
      </c>
      <c r="D984" s="28" t="s">
        <v>2136</v>
      </c>
      <c r="E984" s="28">
        <v>312.47000000000003</v>
      </c>
      <c r="F984" s="28">
        <v>155.6</v>
      </c>
      <c r="G984" s="28" t="s">
        <v>3309</v>
      </c>
      <c r="H984" s="28">
        <v>255.23</v>
      </c>
      <c r="I984" s="30">
        <f t="shared" si="106"/>
        <v>1.0095300073941214E-2</v>
      </c>
      <c r="J984" s="30">
        <f t="shared" si="107"/>
        <v>2.2859102882701439E-2</v>
      </c>
      <c r="K984" s="30">
        <f t="shared" si="108"/>
        <v>2.5079975974983706E-2</v>
      </c>
      <c r="L984" s="30">
        <f t="shared" si="109"/>
        <v>-9.2380881254877038E-3</v>
      </c>
      <c r="M984" s="30">
        <f t="shared" si="110"/>
        <v>4.6703653501536858E-2</v>
      </c>
      <c r="N984" s="30">
        <f t="shared" si="111"/>
        <v>5.6056787909818445E-3</v>
      </c>
      <c r="O984" s="30">
        <f t="shared" si="112"/>
        <v>8.5780017604509817E-3</v>
      </c>
    </row>
    <row r="985" spans="1:15" s="30" customFormat="1">
      <c r="A985" s="27">
        <v>44664</v>
      </c>
      <c r="B985" s="28" t="s">
        <v>964</v>
      </c>
      <c r="C985" s="28">
        <v>603.46</v>
      </c>
      <c r="D985" s="28" t="s">
        <v>2137</v>
      </c>
      <c r="E985" s="28">
        <v>310.02999999999997</v>
      </c>
      <c r="F985" s="28">
        <v>143.4</v>
      </c>
      <c r="G985" s="28" t="s">
        <v>3310</v>
      </c>
      <c r="H985" s="28">
        <v>252.82</v>
      </c>
      <c r="I985" s="30">
        <f t="shared" si="106"/>
        <v>1.9370668926225132E-2</v>
      </c>
      <c r="J985" s="30">
        <f t="shared" si="107"/>
        <v>7.2178463667162121E-3</v>
      </c>
      <c r="K985" s="30">
        <f t="shared" si="108"/>
        <v>-6.974021722262286E-3</v>
      </c>
      <c r="L985" s="30">
        <f t="shared" si="109"/>
        <v>-7.8393975777412729E-3</v>
      </c>
      <c r="M985" s="30">
        <f t="shared" si="110"/>
        <v>-8.1650683578771185E-2</v>
      </c>
      <c r="N985" s="30">
        <f t="shared" si="111"/>
        <v>4.2299010881609225E-3</v>
      </c>
      <c r="O985" s="30">
        <f t="shared" si="112"/>
        <v>-9.487326353126482E-3</v>
      </c>
    </row>
    <row r="986" spans="1:15" s="30" customFormat="1">
      <c r="A986" s="27">
        <v>44663</v>
      </c>
      <c r="B986" s="28" t="s">
        <v>965</v>
      </c>
      <c r="C986" s="28">
        <v>601.91999999999996</v>
      </c>
      <c r="D986" s="28" t="s">
        <v>2138</v>
      </c>
      <c r="E986" s="28">
        <v>311.97000000000003</v>
      </c>
      <c r="F986" s="28">
        <v>145.1</v>
      </c>
      <c r="G986" s="28" t="s">
        <v>2209</v>
      </c>
      <c r="H986" s="28">
        <v>253.85</v>
      </c>
      <c r="I986" s="30">
        <f t="shared" si="106"/>
        <v>1.5460987926104872E-2</v>
      </c>
      <c r="J986" s="30">
        <f t="shared" si="107"/>
        <v>-2.5552121951623145E-3</v>
      </c>
      <c r="K986" s="30">
        <f t="shared" si="108"/>
        <v>1.1738698889356056E-2</v>
      </c>
      <c r="L986" s="30">
        <f t="shared" si="109"/>
        <v>6.2379623498310648E-3</v>
      </c>
      <c r="M986" s="30">
        <f t="shared" si="110"/>
        <v>1.1785231724622126E-2</v>
      </c>
      <c r="N986" s="30">
        <f t="shared" si="111"/>
        <v>9.896522515840625E-3</v>
      </c>
      <c r="O986" s="30">
        <f t="shared" si="112"/>
        <v>4.0657683259918741E-3</v>
      </c>
    </row>
    <row r="987" spans="1:15" s="30" customFormat="1">
      <c r="A987" s="27">
        <v>44662</v>
      </c>
      <c r="B987" s="28" t="s">
        <v>966</v>
      </c>
      <c r="C987" s="28">
        <v>610.08000000000004</v>
      </c>
      <c r="D987" s="28" t="s">
        <v>2139</v>
      </c>
      <c r="E987" s="28">
        <v>312.2</v>
      </c>
      <c r="F987" s="28">
        <v>139.4</v>
      </c>
      <c r="G987" s="28" t="s">
        <v>3311</v>
      </c>
      <c r="H987" s="28">
        <v>253.75</v>
      </c>
      <c r="I987" s="30">
        <f t="shared" si="106"/>
        <v>9.1631381973437866E-3</v>
      </c>
      <c r="J987" s="30">
        <f t="shared" si="107"/>
        <v>1.3465549996588206E-2</v>
      </c>
      <c r="K987" s="30">
        <f t="shared" si="108"/>
        <v>-9.6136923152347967E-3</v>
      </c>
      <c r="L987" s="30">
        <f t="shared" si="109"/>
        <v>7.3697874108056161E-4</v>
      </c>
      <c r="M987" s="30">
        <f t="shared" si="110"/>
        <v>-4.0075661563718529E-2</v>
      </c>
      <c r="N987" s="30">
        <f t="shared" si="111"/>
        <v>-8.3622969829742961E-4</v>
      </c>
      <c r="O987" s="30">
        <f t="shared" si="112"/>
        <v>-3.9401103740618524E-4</v>
      </c>
    </row>
    <row r="988" spans="1:15" s="30" customFormat="1">
      <c r="A988" s="27">
        <v>44659</v>
      </c>
      <c r="B988" s="28" t="s">
        <v>611</v>
      </c>
      <c r="C988" s="28">
        <v>612.16999999999996</v>
      </c>
      <c r="D988" s="28" t="s">
        <v>2140</v>
      </c>
      <c r="E988" s="28">
        <v>309.47000000000003</v>
      </c>
      <c r="F988" s="28">
        <v>138.35</v>
      </c>
      <c r="G988" s="28" t="s">
        <v>3312</v>
      </c>
      <c r="H988" s="28">
        <v>256.63</v>
      </c>
      <c r="I988" s="30">
        <f t="shared" si="106"/>
        <v>1.5337290132560782E-2</v>
      </c>
      <c r="J988" s="30">
        <f t="shared" si="107"/>
        <v>3.419925607746109E-3</v>
      </c>
      <c r="K988" s="30">
        <f t="shared" si="108"/>
        <v>2.9345220056772474E-2</v>
      </c>
      <c r="L988" s="30">
        <f t="shared" si="109"/>
        <v>-8.7828511878663817E-3</v>
      </c>
      <c r="M988" s="30">
        <f t="shared" si="110"/>
        <v>-7.5607920934886302E-3</v>
      </c>
      <c r="N988" s="30">
        <f t="shared" si="111"/>
        <v>1.1757483685562297E-3</v>
      </c>
      <c r="O988" s="30">
        <f t="shared" si="112"/>
        <v>1.128582847571202E-2</v>
      </c>
    </row>
    <row r="989" spans="1:15" s="30" customFormat="1">
      <c r="A989" s="27">
        <v>44658</v>
      </c>
      <c r="B989" s="28" t="s">
        <v>967</v>
      </c>
      <c r="C989" s="28">
        <v>603.21</v>
      </c>
      <c r="D989" s="28" t="s">
        <v>2137</v>
      </c>
      <c r="E989" s="28">
        <v>308.23</v>
      </c>
      <c r="F989" s="28">
        <v>134</v>
      </c>
      <c r="G989" s="28" t="s">
        <v>3313</v>
      </c>
      <c r="H989" s="28">
        <v>253.35</v>
      </c>
      <c r="I989" s="30">
        <f t="shared" si="106"/>
        <v>-1.611353394376612E-2</v>
      </c>
      <c r="J989" s="30">
        <f t="shared" si="107"/>
        <v>-1.4744626911334338E-2</v>
      </c>
      <c r="K989" s="30">
        <f t="shared" si="108"/>
        <v>-3.1470226630893758E-2</v>
      </c>
      <c r="L989" s="30">
        <f t="shared" si="109"/>
        <v>-4.0148993546142908E-3</v>
      </c>
      <c r="M989" s="30">
        <f t="shared" si="110"/>
        <v>-3.1946906282023499E-2</v>
      </c>
      <c r="N989" s="30">
        <f t="shared" si="111"/>
        <v>-1.1555964294231631E-2</v>
      </c>
      <c r="O989" s="30">
        <f t="shared" si="112"/>
        <v>-1.2863426909790376E-2</v>
      </c>
    </row>
    <row r="990" spans="1:15" s="30" customFormat="1">
      <c r="A990" s="27">
        <v>44657</v>
      </c>
      <c r="B990" s="28" t="s">
        <v>968</v>
      </c>
      <c r="C990" s="28">
        <v>605.71</v>
      </c>
      <c r="D990" s="28" t="s">
        <v>2141</v>
      </c>
      <c r="E990" s="28">
        <v>305.89999999999998</v>
      </c>
      <c r="F990" s="28">
        <v>133.15</v>
      </c>
      <c r="G990" s="28" t="s">
        <v>3314</v>
      </c>
      <c r="H990" s="28">
        <v>253.3</v>
      </c>
      <c r="I990" s="30">
        <f t="shared" si="106"/>
        <v>-3.1700745232980773E-4</v>
      </c>
      <c r="J990" s="30">
        <f t="shared" si="107"/>
        <v>4.1359288682952791E-3</v>
      </c>
      <c r="K990" s="30">
        <f t="shared" si="108"/>
        <v>-7.5509426050368537E-3</v>
      </c>
      <c r="L990" s="30">
        <f t="shared" si="109"/>
        <v>-7.5880063819931893E-3</v>
      </c>
      <c r="M990" s="30">
        <f t="shared" si="110"/>
        <v>-6.3634876909700443E-3</v>
      </c>
      <c r="N990" s="30">
        <f t="shared" si="111"/>
        <v>1.473661196874386E-2</v>
      </c>
      <c r="O990" s="30">
        <f t="shared" si="112"/>
        <v>-1.9737491428921785E-4</v>
      </c>
    </row>
    <row r="991" spans="1:15" s="30" customFormat="1">
      <c r="A991" s="27">
        <v>44656</v>
      </c>
      <c r="B991" s="28" t="s">
        <v>969</v>
      </c>
      <c r="C991" s="28">
        <v>603.29</v>
      </c>
      <c r="D991" s="28" t="s">
        <v>2142</v>
      </c>
      <c r="E991" s="28">
        <v>312.02999999999997</v>
      </c>
      <c r="F991" s="28">
        <v>134.25</v>
      </c>
      <c r="G991" s="28" t="s">
        <v>3315</v>
      </c>
      <c r="H991" s="28">
        <v>247.1</v>
      </c>
      <c r="I991" s="30">
        <f t="shared" si="106"/>
        <v>-4.1939440007870629E-3</v>
      </c>
      <c r="J991" s="30">
        <f t="shared" si="107"/>
        <v>-4.0033138660289175E-3</v>
      </c>
      <c r="K991" s="30">
        <f t="shared" si="108"/>
        <v>2.3580525974539537E-3</v>
      </c>
      <c r="L991" s="30">
        <f t="shared" si="109"/>
        <v>1.9841085876293726E-2</v>
      </c>
      <c r="M991" s="30">
        <f t="shared" si="110"/>
        <v>8.2274211290328005E-3</v>
      </c>
      <c r="N991" s="30">
        <f t="shared" si="111"/>
        <v>-1.0156647617125339E-3</v>
      </c>
      <c r="O991" s="30">
        <f t="shared" si="112"/>
        <v>-2.4781444013065205E-2</v>
      </c>
    </row>
    <row r="992" spans="1:15" s="30" customFormat="1">
      <c r="A992" s="27">
        <v>44655</v>
      </c>
      <c r="B992" s="28" t="s">
        <v>970</v>
      </c>
      <c r="C992" s="28">
        <v>601.96</v>
      </c>
      <c r="D992" s="28" t="s">
        <v>2143</v>
      </c>
      <c r="E992" s="28">
        <v>308.13</v>
      </c>
      <c r="F992" s="28">
        <v>131.5</v>
      </c>
      <c r="G992" s="28" t="s">
        <v>3246</v>
      </c>
      <c r="H992" s="28">
        <v>246.43</v>
      </c>
      <c r="I992" s="30">
        <f t="shared" si="106"/>
        <v>-7.2857739044748827E-3</v>
      </c>
      <c r="J992" s="30">
        <f t="shared" si="107"/>
        <v>-2.2070118894140373E-3</v>
      </c>
      <c r="K992" s="30">
        <f t="shared" si="108"/>
        <v>5.8401092988179578E-3</v>
      </c>
      <c r="L992" s="30">
        <f t="shared" si="109"/>
        <v>-1.257756518732874E-2</v>
      </c>
      <c r="M992" s="30">
        <f t="shared" si="110"/>
        <v>-2.0696881771154862E-2</v>
      </c>
      <c r="N992" s="30">
        <f t="shared" si="111"/>
        <v>1.5361186092053376E-3</v>
      </c>
      <c r="O992" s="30">
        <f t="shared" si="112"/>
        <v>-2.7151354997713211E-3</v>
      </c>
    </row>
    <row r="993" spans="1:15" s="30" customFormat="1">
      <c r="A993" s="27">
        <v>44652</v>
      </c>
      <c r="B993" s="28" t="s">
        <v>971</v>
      </c>
      <c r="C993" s="28">
        <v>593</v>
      </c>
      <c r="D993" s="28" t="s">
        <v>2144</v>
      </c>
      <c r="E993" s="28">
        <v>313.2</v>
      </c>
      <c r="F993" s="28">
        <v>129.05000000000001</v>
      </c>
      <c r="G993" s="28" t="s">
        <v>3316</v>
      </c>
      <c r="H993" s="28">
        <v>242.38</v>
      </c>
      <c r="I993" s="30">
        <f t="shared" si="106"/>
        <v>-1.2355288270539649E-3</v>
      </c>
      <c r="J993" s="30">
        <f t="shared" si="107"/>
        <v>-1.4996598920792477E-2</v>
      </c>
      <c r="K993" s="30">
        <f t="shared" si="108"/>
        <v>-3.7349757122808499E-3</v>
      </c>
      <c r="L993" s="30">
        <f t="shared" si="109"/>
        <v>1.6320192270825339E-2</v>
      </c>
      <c r="M993" s="30">
        <f t="shared" si="110"/>
        <v>-1.8806925453196226E-2</v>
      </c>
      <c r="N993" s="30">
        <f t="shared" si="111"/>
        <v>4.1616813793176249E-4</v>
      </c>
      <c r="O993" s="30">
        <f t="shared" si="112"/>
        <v>-1.6571234954451723E-2</v>
      </c>
    </row>
    <row r="994" spans="1:15" s="30" customFormat="1">
      <c r="A994" s="27">
        <v>44651</v>
      </c>
      <c r="B994" s="28" t="s">
        <v>972</v>
      </c>
      <c r="C994" s="28">
        <v>583.08000000000004</v>
      </c>
      <c r="D994" s="28" t="s">
        <v>2145</v>
      </c>
      <c r="E994" s="28">
        <v>311.83</v>
      </c>
      <c r="F994" s="28">
        <v>117.2</v>
      </c>
      <c r="G994" s="28" t="s">
        <v>3317</v>
      </c>
      <c r="H994" s="28">
        <v>232.43</v>
      </c>
      <c r="I994" s="30">
        <f t="shared" si="106"/>
        <v>-1.1042878721050555E-2</v>
      </c>
      <c r="J994" s="30">
        <f t="shared" si="107"/>
        <v>-1.6870000791913451E-2</v>
      </c>
      <c r="K994" s="30">
        <f t="shared" si="108"/>
        <v>-6.7956756956666555E-3</v>
      </c>
      <c r="L994" s="30">
        <f t="shared" si="109"/>
        <v>-4.3837965986173802E-3</v>
      </c>
      <c r="M994" s="30">
        <f t="shared" si="110"/>
        <v>-9.6318049021710719E-2</v>
      </c>
      <c r="N994" s="30">
        <f t="shared" si="111"/>
        <v>-7.3866567509070285E-3</v>
      </c>
      <c r="O994" s="30">
        <f t="shared" si="112"/>
        <v>-4.1917638114005423E-2</v>
      </c>
    </row>
    <row r="995" spans="1:15" s="30" customFormat="1">
      <c r="A995" s="27">
        <v>44650</v>
      </c>
      <c r="B995" s="28" t="s">
        <v>973</v>
      </c>
      <c r="C995" s="28">
        <v>577.96</v>
      </c>
      <c r="D995" s="28" t="s">
        <v>1819</v>
      </c>
      <c r="E995" s="28">
        <v>299.97000000000003</v>
      </c>
      <c r="F995" s="28">
        <v>116.75</v>
      </c>
      <c r="G995" s="28" t="s">
        <v>3318</v>
      </c>
      <c r="H995" s="28">
        <v>225.98</v>
      </c>
      <c r="I995" s="30">
        <f t="shared" si="106"/>
        <v>5.1935406506996816E-4</v>
      </c>
      <c r="J995" s="30">
        <f t="shared" si="107"/>
        <v>-8.8197360804014267E-3</v>
      </c>
      <c r="K995" s="30">
        <f t="shared" si="108"/>
        <v>-3.3368084658822607E-2</v>
      </c>
      <c r="L995" s="30">
        <f t="shared" si="109"/>
        <v>-3.8775697862162763E-2</v>
      </c>
      <c r="M995" s="30">
        <f t="shared" si="110"/>
        <v>-3.8469805939055218E-3</v>
      </c>
      <c r="N995" s="30">
        <f t="shared" si="111"/>
        <v>2.0022973579729354E-2</v>
      </c>
      <c r="O995" s="30">
        <f t="shared" si="112"/>
        <v>-2.8142604645235745E-2</v>
      </c>
    </row>
    <row r="996" spans="1:15" s="30" customFormat="1">
      <c r="A996" s="27">
        <v>44649</v>
      </c>
      <c r="B996" s="28" t="s">
        <v>974</v>
      </c>
      <c r="C996" s="28">
        <v>572.79</v>
      </c>
      <c r="D996" s="28" t="s">
        <v>2146</v>
      </c>
      <c r="E996" s="28">
        <v>298.52999999999997</v>
      </c>
      <c r="F996" s="28">
        <v>115.5</v>
      </c>
      <c r="G996" s="28" t="s">
        <v>3319</v>
      </c>
      <c r="H996" s="28">
        <v>228.05</v>
      </c>
      <c r="I996" s="30">
        <f t="shared" si="106"/>
        <v>-1.2720304105658916E-2</v>
      </c>
      <c r="J996" s="30">
        <f t="shared" si="107"/>
        <v>-8.9855047319278656E-3</v>
      </c>
      <c r="K996" s="30">
        <f t="shared" si="108"/>
        <v>-2.9732979596063299E-2</v>
      </c>
      <c r="L996" s="30">
        <f t="shared" si="109"/>
        <v>-4.8120393606873963E-3</v>
      </c>
      <c r="M996" s="30">
        <f t="shared" si="110"/>
        <v>-1.076436658715843E-2</v>
      </c>
      <c r="N996" s="30">
        <f t="shared" si="111"/>
        <v>-2.546069631072136E-2</v>
      </c>
      <c r="O996" s="30">
        <f t="shared" si="112"/>
        <v>9.1184033766094144E-3</v>
      </c>
    </row>
    <row r="997" spans="1:15" s="30" customFormat="1">
      <c r="A997" s="27">
        <v>44648</v>
      </c>
      <c r="B997" s="28" t="s">
        <v>975</v>
      </c>
      <c r="C997" s="28">
        <v>566.62</v>
      </c>
      <c r="D997" s="28" t="s">
        <v>2147</v>
      </c>
      <c r="E997" s="28">
        <v>296.89999999999998</v>
      </c>
      <c r="F997" s="28">
        <v>117.6</v>
      </c>
      <c r="G997" s="28" t="s">
        <v>3320</v>
      </c>
      <c r="H997" s="28">
        <v>229.52</v>
      </c>
      <c r="I997" s="30">
        <f t="shared" si="106"/>
        <v>-4.9917320147906613E-3</v>
      </c>
      <c r="J997" s="30">
        <f t="shared" si="107"/>
        <v>-1.0830272349651048E-2</v>
      </c>
      <c r="K997" s="30">
        <f t="shared" si="108"/>
        <v>6.3143836758853076E-3</v>
      </c>
      <c r="L997" s="30">
        <f t="shared" si="109"/>
        <v>-5.4750485254662605E-3</v>
      </c>
      <c r="M997" s="30">
        <f t="shared" si="110"/>
        <v>1.8018505502678212E-2</v>
      </c>
      <c r="N997" s="30">
        <f t="shared" si="111"/>
        <v>6.2757042920617472E-3</v>
      </c>
      <c r="O997" s="30">
        <f t="shared" si="112"/>
        <v>6.4252685153999775E-3</v>
      </c>
    </row>
    <row r="998" spans="1:15" s="30" customFormat="1">
      <c r="A998" s="27">
        <v>44645</v>
      </c>
      <c r="B998" s="28" t="s">
        <v>976</v>
      </c>
      <c r="C998" s="28">
        <v>573.83000000000004</v>
      </c>
      <c r="D998" s="28" t="s">
        <v>2148</v>
      </c>
      <c r="E998" s="28">
        <v>302.83</v>
      </c>
      <c r="F998" s="28">
        <v>122.4</v>
      </c>
      <c r="G998" s="28" t="s">
        <v>3321</v>
      </c>
      <c r="H998" s="28">
        <v>232.82</v>
      </c>
      <c r="I998" s="30">
        <f t="shared" si="106"/>
        <v>6.4204092536360958E-3</v>
      </c>
      <c r="J998" s="30">
        <f t="shared" si="107"/>
        <v>1.2644300162167504E-2</v>
      </c>
      <c r="K998" s="30">
        <f t="shared" si="108"/>
        <v>9.3158188642791639E-3</v>
      </c>
      <c r="L998" s="30">
        <f t="shared" si="109"/>
        <v>1.9776210183172476E-2</v>
      </c>
      <c r="M998" s="30">
        <f t="shared" si="110"/>
        <v>4.0005334613699206E-2</v>
      </c>
      <c r="N998" s="30">
        <f t="shared" si="111"/>
        <v>1.8028788860606087E-2</v>
      </c>
      <c r="O998" s="30">
        <f t="shared" si="112"/>
        <v>1.4275451146985436E-2</v>
      </c>
    </row>
    <row r="999" spans="1:15" s="30" customFormat="1">
      <c r="A999" s="27">
        <v>44644</v>
      </c>
      <c r="B999" s="28" t="s">
        <v>977</v>
      </c>
      <c r="C999" s="28">
        <v>570.04</v>
      </c>
      <c r="D999" s="28" t="s">
        <v>2149</v>
      </c>
      <c r="E999" s="28">
        <v>304.89999999999998</v>
      </c>
      <c r="F999" s="28">
        <v>123.35</v>
      </c>
      <c r="G999" s="28" t="s">
        <v>3322</v>
      </c>
      <c r="H999" s="28">
        <v>230.73</v>
      </c>
      <c r="I999" s="30">
        <f t="shared" si="106"/>
        <v>-7.1143030166087211E-3</v>
      </c>
      <c r="J999" s="30">
        <f t="shared" si="107"/>
        <v>-6.6266514009877663E-3</v>
      </c>
      <c r="K999" s="30">
        <f t="shared" si="108"/>
        <v>-1.3722353249454747E-3</v>
      </c>
      <c r="L999" s="30">
        <f t="shared" si="109"/>
        <v>6.812262041322569E-3</v>
      </c>
      <c r="M999" s="30">
        <f t="shared" si="110"/>
        <v>7.7314728971399705E-3</v>
      </c>
      <c r="N999" s="30">
        <f t="shared" si="111"/>
        <v>-7.6128417629334087E-3</v>
      </c>
      <c r="O999" s="30">
        <f t="shared" si="112"/>
        <v>-9.0174270830228019E-3</v>
      </c>
    </row>
    <row r="1000" spans="1:15" s="30" customFormat="1">
      <c r="A1000" s="27">
        <v>44643</v>
      </c>
      <c r="B1000" s="28" t="s">
        <v>978</v>
      </c>
      <c r="C1000" s="28">
        <v>569.16999999999996</v>
      </c>
      <c r="D1000" s="28" t="s">
        <v>2150</v>
      </c>
      <c r="E1000" s="28">
        <v>306.37</v>
      </c>
      <c r="F1000" s="28">
        <v>123.35</v>
      </c>
      <c r="G1000" s="28" t="s">
        <v>3323</v>
      </c>
      <c r="H1000" s="28">
        <v>229.35</v>
      </c>
      <c r="I1000" s="30">
        <f t="shared" si="106"/>
        <v>-2.8301203071175946E-3</v>
      </c>
      <c r="J1000" s="30">
        <f t="shared" si="107"/>
        <v>-1.5273745299520087E-3</v>
      </c>
      <c r="K1000" s="30">
        <f t="shared" si="108"/>
        <v>1.9202403348462755E-2</v>
      </c>
      <c r="L1000" s="30">
        <f t="shared" si="109"/>
        <v>4.8096678514561245E-3</v>
      </c>
      <c r="M1000" s="30">
        <f t="shared" si="110"/>
        <v>0</v>
      </c>
      <c r="N1000" s="30">
        <f t="shared" si="111"/>
        <v>8.6920062860732592E-3</v>
      </c>
      <c r="O1000" s="30">
        <f t="shared" si="112"/>
        <v>-5.998974693891092E-3</v>
      </c>
    </row>
    <row r="1001" spans="1:15" s="30" customFormat="1">
      <c r="A1001" s="27">
        <v>44642</v>
      </c>
      <c r="B1001" s="28" t="s">
        <v>979</v>
      </c>
      <c r="C1001" s="28">
        <v>581.37</v>
      </c>
      <c r="D1001" s="28" t="s">
        <v>2151</v>
      </c>
      <c r="E1001" s="28">
        <v>305.39999999999998</v>
      </c>
      <c r="F1001" s="28">
        <v>124.65</v>
      </c>
      <c r="G1001" s="28" t="s">
        <v>3323</v>
      </c>
      <c r="H1001" s="28">
        <v>231.2</v>
      </c>
      <c r="I1001" s="30">
        <f t="shared" si="106"/>
        <v>1.1321901772458353E-2</v>
      </c>
      <c r="J1001" s="30">
        <f t="shared" si="107"/>
        <v>2.1208227931208336E-2</v>
      </c>
      <c r="K1001" s="30">
        <f t="shared" si="108"/>
        <v>1.8525815414060422E-2</v>
      </c>
      <c r="L1001" s="30">
        <f t="shared" si="109"/>
        <v>-3.1711290611331298E-3</v>
      </c>
      <c r="M1001" s="30">
        <f t="shared" si="110"/>
        <v>1.0483966994201181E-2</v>
      </c>
      <c r="N1001" s="30">
        <f t="shared" si="111"/>
        <v>0</v>
      </c>
      <c r="O1001" s="30">
        <f t="shared" si="112"/>
        <v>8.0339157550414157E-3</v>
      </c>
    </row>
    <row r="1002" spans="1:15" s="30" customFormat="1">
      <c r="A1002" s="27">
        <v>44641</v>
      </c>
      <c r="B1002" s="28" t="s">
        <v>980</v>
      </c>
      <c r="C1002" s="28">
        <v>577.96</v>
      </c>
      <c r="D1002" s="28" t="s">
        <v>2152</v>
      </c>
      <c r="E1002" s="28">
        <v>314.77</v>
      </c>
      <c r="F1002" s="28">
        <v>127.1</v>
      </c>
      <c r="G1002" s="28" t="s">
        <v>3324</v>
      </c>
      <c r="H1002" s="28">
        <v>229.75</v>
      </c>
      <c r="I1002" s="30">
        <f t="shared" si="106"/>
        <v>-1.7713924820889162E-3</v>
      </c>
      <c r="J1002" s="30">
        <f t="shared" si="107"/>
        <v>-5.8827250808572299E-3</v>
      </c>
      <c r="K1002" s="30">
        <f t="shared" si="108"/>
        <v>-6.0316289787852835E-3</v>
      </c>
      <c r="L1002" s="30">
        <f t="shared" si="109"/>
        <v>3.0219820615228571E-2</v>
      </c>
      <c r="M1002" s="30">
        <f t="shared" si="110"/>
        <v>1.9464368225841484E-2</v>
      </c>
      <c r="N1002" s="30">
        <f t="shared" si="111"/>
        <v>6.858807663192747E-3</v>
      </c>
      <c r="O1002" s="30">
        <f t="shared" si="112"/>
        <v>-6.2913755624259453E-3</v>
      </c>
    </row>
    <row r="1003" spans="1:15" s="30" customFormat="1">
      <c r="A1003" s="27">
        <v>44637</v>
      </c>
      <c r="B1003" s="28" t="s">
        <v>981</v>
      </c>
      <c r="C1003" s="28">
        <v>598.29</v>
      </c>
      <c r="D1003" s="28" t="s">
        <v>2153</v>
      </c>
      <c r="E1003" s="28">
        <v>317.23</v>
      </c>
      <c r="F1003" s="28">
        <v>131.75</v>
      </c>
      <c r="G1003" s="28" t="s">
        <v>3230</v>
      </c>
      <c r="H1003" s="28">
        <v>232.35</v>
      </c>
      <c r="I1003" s="30">
        <f t="shared" si="106"/>
        <v>2.9392234465807441E-2</v>
      </c>
      <c r="J1003" s="30">
        <f t="shared" si="107"/>
        <v>3.4570924107829207E-2</v>
      </c>
      <c r="K1003" s="30">
        <f t="shared" si="108"/>
        <v>3.6175315374022708E-2</v>
      </c>
      <c r="L1003" s="30">
        <f t="shared" si="109"/>
        <v>7.7848494423515269E-3</v>
      </c>
      <c r="M1003" s="30">
        <f t="shared" si="110"/>
        <v>3.593200922606337E-2</v>
      </c>
      <c r="N1003" s="30">
        <f t="shared" si="111"/>
        <v>-9.9709901157428605E-3</v>
      </c>
      <c r="O1003" s="30">
        <f t="shared" si="112"/>
        <v>1.1253094295190816E-2</v>
      </c>
    </row>
    <row r="1004" spans="1:15" s="30" customFormat="1">
      <c r="A1004" s="27">
        <v>44636</v>
      </c>
      <c r="B1004" s="28" t="s">
        <v>982</v>
      </c>
      <c r="C1004" s="28">
        <v>588.16999999999996</v>
      </c>
      <c r="D1004" s="28" t="s">
        <v>2154</v>
      </c>
      <c r="E1004" s="28">
        <v>299.07</v>
      </c>
      <c r="F1004" s="28">
        <v>135.5</v>
      </c>
      <c r="G1004" s="28" t="s">
        <v>3325</v>
      </c>
      <c r="H1004" s="28">
        <v>230.95</v>
      </c>
      <c r="I1004" s="30">
        <f t="shared" si="106"/>
        <v>-3.0624216881086026E-2</v>
      </c>
      <c r="J1004" s="30">
        <f t="shared" si="107"/>
        <v>-1.7059564474229159E-2</v>
      </c>
      <c r="K1004" s="30">
        <f t="shared" si="108"/>
        <v>-7.2357441031076272E-3</v>
      </c>
      <c r="L1004" s="30">
        <f t="shared" si="109"/>
        <v>-5.8949403139389858E-2</v>
      </c>
      <c r="M1004" s="30">
        <f t="shared" si="110"/>
        <v>2.8065452898283973E-2</v>
      </c>
      <c r="N1004" s="30">
        <f t="shared" si="111"/>
        <v>1.2391034348139835E-2</v>
      </c>
      <c r="O1004" s="30">
        <f t="shared" si="112"/>
        <v>-6.0436186543730026E-3</v>
      </c>
    </row>
    <row r="1005" spans="1:15" s="30" customFormat="1">
      <c r="A1005" s="27">
        <v>44635</v>
      </c>
      <c r="B1005" s="28" t="s">
        <v>983</v>
      </c>
      <c r="C1005" s="28">
        <v>579.54</v>
      </c>
      <c r="D1005" s="28" t="s">
        <v>2155</v>
      </c>
      <c r="E1005" s="28">
        <v>305.37</v>
      </c>
      <c r="F1005" s="28">
        <v>133.55000000000001</v>
      </c>
      <c r="G1005" s="28" t="s">
        <v>3326</v>
      </c>
      <c r="H1005" s="28">
        <v>227.25</v>
      </c>
      <c r="I1005" s="30">
        <f t="shared" si="106"/>
        <v>-1.819543825434846E-2</v>
      </c>
      <c r="J1005" s="30">
        <f t="shared" si="107"/>
        <v>-1.4781336339751178E-2</v>
      </c>
      <c r="K1005" s="30">
        <f t="shared" si="108"/>
        <v>-7.3877981566192283E-4</v>
      </c>
      <c r="L1005" s="30">
        <f t="shared" si="109"/>
        <v>2.0846496429635885E-2</v>
      </c>
      <c r="M1005" s="30">
        <f t="shared" si="110"/>
        <v>-1.449570076378563E-2</v>
      </c>
      <c r="N1005" s="30">
        <f t="shared" si="111"/>
        <v>-1.916318595381554E-2</v>
      </c>
      <c r="O1005" s="30">
        <f t="shared" si="112"/>
        <v>-1.6150503819026118E-2</v>
      </c>
    </row>
    <row r="1006" spans="1:15" s="30" customFormat="1">
      <c r="A1006" s="27">
        <v>44634</v>
      </c>
      <c r="B1006" s="28" t="s">
        <v>984</v>
      </c>
      <c r="C1006" s="28">
        <v>564.46</v>
      </c>
      <c r="D1006" s="28" t="s">
        <v>2156</v>
      </c>
      <c r="E1006" s="28">
        <v>299.10000000000002</v>
      </c>
      <c r="F1006" s="28">
        <v>135.75</v>
      </c>
      <c r="G1006" s="28" t="s">
        <v>3327</v>
      </c>
      <c r="H1006" s="28">
        <v>226.35</v>
      </c>
      <c r="I1006" s="30">
        <f t="shared" si="106"/>
        <v>-8.1849884257554715E-3</v>
      </c>
      <c r="J1006" s="30">
        <f t="shared" si="107"/>
        <v>-2.6365163507576891E-2</v>
      </c>
      <c r="K1006" s="30">
        <f t="shared" si="108"/>
        <v>6.7823918483165668E-3</v>
      </c>
      <c r="L1006" s="30">
        <f t="shared" si="109"/>
        <v>-2.0746190496455763E-2</v>
      </c>
      <c r="M1006" s="30">
        <f t="shared" si="110"/>
        <v>1.6339019258074947E-2</v>
      </c>
      <c r="N1006" s="30">
        <f t="shared" si="111"/>
        <v>4.1152854010142875E-3</v>
      </c>
      <c r="O1006" s="30">
        <f t="shared" si="112"/>
        <v>-3.9682591756206222E-3</v>
      </c>
    </row>
    <row r="1007" spans="1:15" s="30" customFormat="1">
      <c r="A1007" s="27">
        <v>44631</v>
      </c>
      <c r="B1007" s="28" t="s">
        <v>985</v>
      </c>
      <c r="C1007" s="28">
        <v>566.04</v>
      </c>
      <c r="D1007" s="28" t="s">
        <v>2157</v>
      </c>
      <c r="E1007" s="28">
        <v>300.07</v>
      </c>
      <c r="F1007" s="28">
        <v>138.44999999999999</v>
      </c>
      <c r="G1007" s="28" t="s">
        <v>3328</v>
      </c>
      <c r="H1007" s="28">
        <v>226.35</v>
      </c>
      <c r="I1007" s="30">
        <f t="shared" si="106"/>
        <v>-1.044998313259209E-2</v>
      </c>
      <c r="J1007" s="30">
        <f t="shared" si="107"/>
        <v>2.7952251724880431E-3</v>
      </c>
      <c r="K1007" s="30">
        <f t="shared" si="108"/>
        <v>3.6330925794514405E-3</v>
      </c>
      <c r="L1007" s="30">
        <f t="shared" si="109"/>
        <v>3.2378151356435396E-3</v>
      </c>
      <c r="M1007" s="30">
        <f t="shared" si="110"/>
        <v>1.9694290802925944E-2</v>
      </c>
      <c r="N1007" s="30">
        <f t="shared" si="111"/>
        <v>8.4106515679757531E-3</v>
      </c>
      <c r="O1007" s="30">
        <f t="shared" si="112"/>
        <v>0</v>
      </c>
    </row>
    <row r="1008" spans="1:15" s="30" customFormat="1">
      <c r="A1008" s="27">
        <v>44630</v>
      </c>
      <c r="B1008" s="28" t="s">
        <v>415</v>
      </c>
      <c r="C1008" s="28">
        <v>564.29</v>
      </c>
      <c r="D1008" s="28" t="s">
        <v>2158</v>
      </c>
      <c r="E1008" s="28">
        <v>301.10000000000002</v>
      </c>
      <c r="F1008" s="28">
        <v>137.35</v>
      </c>
      <c r="G1008" s="28" t="s">
        <v>3329</v>
      </c>
      <c r="H1008" s="28">
        <v>231.45</v>
      </c>
      <c r="I1008" s="30">
        <f t="shared" si="106"/>
        <v>-6.5699661453183312E-3</v>
      </c>
      <c r="J1008" s="30">
        <f t="shared" si="107"/>
        <v>-3.0964433364488544E-3</v>
      </c>
      <c r="K1008" s="30">
        <f t="shared" si="108"/>
        <v>4.2573960425490174E-3</v>
      </c>
      <c r="L1008" s="30">
        <f t="shared" si="109"/>
        <v>3.4266547161422886E-3</v>
      </c>
      <c r="M1008" s="30">
        <f t="shared" si="110"/>
        <v>-7.9768370756879634E-3</v>
      </c>
      <c r="N1008" s="30">
        <f t="shared" si="111"/>
        <v>-1.7570149432478661E-2</v>
      </c>
      <c r="O1008" s="30">
        <f t="shared" si="112"/>
        <v>2.2281393595312005E-2</v>
      </c>
    </row>
    <row r="1009" spans="1:15" s="30" customFormat="1">
      <c r="A1009" s="27">
        <v>44629</v>
      </c>
      <c r="B1009" s="28" t="s">
        <v>986</v>
      </c>
      <c r="C1009" s="28">
        <v>548.25</v>
      </c>
      <c r="D1009" s="28" t="s">
        <v>2159</v>
      </c>
      <c r="E1009" s="28">
        <v>296.37</v>
      </c>
      <c r="F1009" s="28">
        <v>137.15</v>
      </c>
      <c r="G1009" s="28" t="s">
        <v>3330</v>
      </c>
      <c r="H1009" s="28">
        <v>212.75</v>
      </c>
      <c r="I1009" s="30">
        <f t="shared" si="106"/>
        <v>-1.3079535085351337E-2</v>
      </c>
      <c r="J1009" s="30">
        <f t="shared" si="107"/>
        <v>-2.8836916449724092E-2</v>
      </c>
      <c r="K1009" s="30">
        <f t="shared" si="108"/>
        <v>-7.2904220783620369E-2</v>
      </c>
      <c r="L1009" s="30">
        <f t="shared" si="109"/>
        <v>-1.5833761763195901E-2</v>
      </c>
      <c r="M1009" s="30">
        <f t="shared" si="110"/>
        <v>-1.4571951576705601E-3</v>
      </c>
      <c r="N1009" s="30">
        <f t="shared" si="111"/>
        <v>-2.7617669447281824E-2</v>
      </c>
      <c r="O1009" s="30">
        <f t="shared" si="112"/>
        <v>-8.4246100023795956E-2</v>
      </c>
    </row>
    <row r="1010" spans="1:15" s="30" customFormat="1">
      <c r="A1010" s="27">
        <v>44628</v>
      </c>
      <c r="B1010" s="28" t="s">
        <v>987</v>
      </c>
      <c r="C1010" s="28">
        <v>532.96</v>
      </c>
      <c r="D1010" s="28" t="s">
        <v>2160</v>
      </c>
      <c r="E1010" s="28">
        <v>288.2</v>
      </c>
      <c r="F1010" s="28">
        <v>137.25</v>
      </c>
      <c r="G1010" s="28" t="s">
        <v>3331</v>
      </c>
      <c r="H1010" s="28">
        <v>199.62</v>
      </c>
      <c r="I1010" s="30">
        <f t="shared" si="106"/>
        <v>-5.4154183085397475E-2</v>
      </c>
      <c r="J1010" s="30">
        <f t="shared" si="107"/>
        <v>-2.8285012852628022E-2</v>
      </c>
      <c r="K1010" s="30">
        <f t="shared" si="108"/>
        <v>-2.6023589013008261E-2</v>
      </c>
      <c r="L1010" s="30">
        <f t="shared" si="109"/>
        <v>-2.7953990159070637E-2</v>
      </c>
      <c r="M1010" s="30">
        <f t="shared" si="110"/>
        <v>7.2886300602766237E-4</v>
      </c>
      <c r="N1010" s="30">
        <f t="shared" si="111"/>
        <v>-2.249234456565799E-2</v>
      </c>
      <c r="O1010" s="30">
        <f t="shared" si="112"/>
        <v>-6.3702208195043158E-2</v>
      </c>
    </row>
    <row r="1011" spans="1:15" s="30" customFormat="1">
      <c r="A1011" s="27">
        <v>44627</v>
      </c>
      <c r="B1011" s="28" t="s">
        <v>988</v>
      </c>
      <c r="C1011" s="28">
        <v>523.96</v>
      </c>
      <c r="D1011" s="28" t="s">
        <v>2161</v>
      </c>
      <c r="E1011" s="28">
        <v>287.2</v>
      </c>
      <c r="F1011" s="28">
        <v>134.44999999999999</v>
      </c>
      <c r="G1011" s="28" t="s">
        <v>3332</v>
      </c>
      <c r="H1011" s="28">
        <v>198.6</v>
      </c>
      <c r="I1011" s="30">
        <f t="shared" si="106"/>
        <v>-5.5045841653535961E-3</v>
      </c>
      <c r="J1011" s="30">
        <f t="shared" si="107"/>
        <v>-1.703102891592136E-2</v>
      </c>
      <c r="K1011" s="30">
        <f t="shared" si="108"/>
        <v>1.84551175200331E-2</v>
      </c>
      <c r="L1011" s="30">
        <f t="shared" si="109"/>
        <v>-3.4758463913525414E-3</v>
      </c>
      <c r="M1011" s="30">
        <f t="shared" si="110"/>
        <v>-2.0611697674766442E-2</v>
      </c>
      <c r="N1011" s="30">
        <f t="shared" si="111"/>
        <v>1.259894445092795E-3</v>
      </c>
      <c r="O1011" s="30">
        <f t="shared" si="112"/>
        <v>-5.1228076473681739E-3</v>
      </c>
    </row>
    <row r="1012" spans="1:15" s="30" customFormat="1">
      <c r="A1012" s="27">
        <v>44624</v>
      </c>
      <c r="B1012" s="28" t="s">
        <v>989</v>
      </c>
      <c r="C1012" s="28">
        <v>544.21</v>
      </c>
      <c r="D1012" s="28" t="s">
        <v>2162</v>
      </c>
      <c r="E1012" s="28">
        <v>296.67</v>
      </c>
      <c r="F1012" s="28">
        <v>135.80000000000001</v>
      </c>
      <c r="G1012" s="28" t="s">
        <v>3333</v>
      </c>
      <c r="H1012" s="28">
        <v>204.07</v>
      </c>
      <c r="I1012" s="30">
        <f t="shared" si="106"/>
        <v>1.090599433690002E-2</v>
      </c>
      <c r="J1012" s="30">
        <f t="shared" si="107"/>
        <v>3.7919856248075548E-2</v>
      </c>
      <c r="K1012" s="30">
        <f t="shared" si="108"/>
        <v>8.0715425453344022E-2</v>
      </c>
      <c r="L1012" s="30">
        <f t="shared" si="109"/>
        <v>3.2441572775940071E-2</v>
      </c>
      <c r="M1012" s="30">
        <f t="shared" si="110"/>
        <v>9.9908324097222074E-3</v>
      </c>
      <c r="N1012" s="30">
        <f t="shared" si="111"/>
        <v>5.4866452177486169E-3</v>
      </c>
      <c r="O1012" s="30">
        <f t="shared" si="112"/>
        <v>2.7170320629922116E-2</v>
      </c>
    </row>
    <row r="1013" spans="1:15" s="30" customFormat="1">
      <c r="A1013" s="27">
        <v>44623</v>
      </c>
      <c r="B1013" s="28" t="s">
        <v>990</v>
      </c>
      <c r="C1013" s="28">
        <v>552.71</v>
      </c>
      <c r="D1013" s="28" t="s">
        <v>2163</v>
      </c>
      <c r="E1013" s="28">
        <v>297.93</v>
      </c>
      <c r="F1013" s="28">
        <v>137.65</v>
      </c>
      <c r="G1013" s="28" t="s">
        <v>3334</v>
      </c>
      <c r="H1013" s="28">
        <v>216.95</v>
      </c>
      <c r="I1013" s="30">
        <f t="shared" si="106"/>
        <v>4.769132175839582E-2</v>
      </c>
      <c r="J1013" s="30">
        <f t="shared" si="107"/>
        <v>1.5498249896027052E-2</v>
      </c>
      <c r="K1013" s="30">
        <f t="shared" si="108"/>
        <v>6.2560806783135553E-2</v>
      </c>
      <c r="L1013" s="30">
        <f t="shared" si="109"/>
        <v>4.2381496333678027E-3</v>
      </c>
      <c r="M1013" s="30">
        <f t="shared" si="110"/>
        <v>1.353101646402052E-2</v>
      </c>
      <c r="N1013" s="30">
        <f t="shared" si="111"/>
        <v>9.3747299780534456E-3</v>
      </c>
      <c r="O1013" s="30">
        <f t="shared" si="112"/>
        <v>6.1203840003365234E-2</v>
      </c>
    </row>
    <row r="1014" spans="1:15" s="30" customFormat="1">
      <c r="A1014" s="27">
        <v>44622</v>
      </c>
      <c r="B1014" s="28" t="s">
        <v>991</v>
      </c>
      <c r="C1014" s="28">
        <v>564.37</v>
      </c>
      <c r="D1014" s="28" t="s">
        <v>2164</v>
      </c>
      <c r="E1014" s="28">
        <v>292.07</v>
      </c>
      <c r="F1014" s="28">
        <v>141.94999999999999</v>
      </c>
      <c r="G1014" s="28" t="s">
        <v>3335</v>
      </c>
      <c r="H1014" s="28">
        <v>215.03</v>
      </c>
      <c r="I1014" s="30">
        <f t="shared" si="106"/>
        <v>5.3242193172524224E-2</v>
      </c>
      <c r="J1014" s="30">
        <f t="shared" si="107"/>
        <v>2.0876613100758196E-2</v>
      </c>
      <c r="K1014" s="30">
        <f t="shared" si="108"/>
        <v>-4.112176678277079E-3</v>
      </c>
      <c r="L1014" s="30">
        <f t="shared" si="109"/>
        <v>-1.9865060017390648E-2</v>
      </c>
      <c r="M1014" s="30">
        <f t="shared" si="110"/>
        <v>3.0760651330363702E-2</v>
      </c>
      <c r="N1014" s="30">
        <f t="shared" si="111"/>
        <v>-5.4081957620431519E-3</v>
      </c>
      <c r="O1014" s="30">
        <f t="shared" si="112"/>
        <v>-8.8893589670623677E-3</v>
      </c>
    </row>
    <row r="1015" spans="1:15" s="30" customFormat="1">
      <c r="A1015" s="27">
        <v>44620</v>
      </c>
      <c r="B1015" s="28" t="s">
        <v>992</v>
      </c>
      <c r="C1015" s="28">
        <v>575.37</v>
      </c>
      <c r="D1015" s="28" t="s">
        <v>2165</v>
      </c>
      <c r="E1015" s="28">
        <v>303.10000000000002</v>
      </c>
      <c r="F1015" s="28">
        <v>125.2</v>
      </c>
      <c r="G1015" s="28" t="s">
        <v>3336</v>
      </c>
      <c r="H1015" s="28">
        <v>221.72</v>
      </c>
      <c r="I1015" s="30">
        <f t="shared" si="106"/>
        <v>4.6981365236919537E-2</v>
      </c>
      <c r="J1015" s="30">
        <f t="shared" si="107"/>
        <v>1.9303247340545806E-2</v>
      </c>
      <c r="K1015" s="30">
        <f t="shared" si="108"/>
        <v>2.450694306623415E-2</v>
      </c>
      <c r="L1015" s="30">
        <f t="shared" si="109"/>
        <v>3.7069284497771325E-2</v>
      </c>
      <c r="M1015" s="30">
        <f t="shared" si="110"/>
        <v>-0.125562424252982</v>
      </c>
      <c r="N1015" s="30">
        <f t="shared" si="111"/>
        <v>2.2546965340728E-2</v>
      </c>
      <c r="O1015" s="30">
        <f t="shared" si="112"/>
        <v>3.0637771274306537E-2</v>
      </c>
    </row>
    <row r="1016" spans="1:15" s="30" customFormat="1">
      <c r="A1016" s="27">
        <v>44617</v>
      </c>
      <c r="B1016" s="28" t="s">
        <v>993</v>
      </c>
      <c r="C1016" s="28">
        <v>571.41999999999996</v>
      </c>
      <c r="D1016" s="28" t="s">
        <v>2166</v>
      </c>
      <c r="E1016" s="28">
        <v>300.57</v>
      </c>
      <c r="F1016" s="28">
        <v>125.35</v>
      </c>
      <c r="G1016" s="28" t="s">
        <v>3337</v>
      </c>
      <c r="H1016" s="28">
        <v>211.28</v>
      </c>
      <c r="I1016" s="30">
        <f t="shared" si="106"/>
        <v>-1.7620831361473323E-2</v>
      </c>
      <c r="J1016" s="30">
        <f t="shared" si="107"/>
        <v>-6.8888211806416681E-3</v>
      </c>
      <c r="K1016" s="30">
        <f t="shared" si="108"/>
        <v>-2.4392487303261393E-2</v>
      </c>
      <c r="L1016" s="30">
        <f t="shared" si="109"/>
        <v>-8.3821121244762216E-3</v>
      </c>
      <c r="M1016" s="30">
        <f t="shared" si="110"/>
        <v>1.1973659383041648E-3</v>
      </c>
      <c r="N1016" s="30">
        <f t="shared" si="111"/>
        <v>-8.2519700566744559E-3</v>
      </c>
      <c r="O1016" s="30">
        <f t="shared" si="112"/>
        <v>-4.8231056562727206E-2</v>
      </c>
    </row>
    <row r="1017" spans="1:15" s="30" customFormat="1">
      <c r="A1017" s="27">
        <v>44616</v>
      </c>
      <c r="B1017" s="28" t="s">
        <v>994</v>
      </c>
      <c r="C1017" s="28">
        <v>566.21</v>
      </c>
      <c r="D1017" s="28" t="s">
        <v>2167</v>
      </c>
      <c r="E1017" s="28">
        <v>302.27</v>
      </c>
      <c r="F1017" s="28">
        <v>119.4</v>
      </c>
      <c r="G1017" s="28" t="s">
        <v>3338</v>
      </c>
      <c r="H1017" s="28">
        <v>201.57</v>
      </c>
      <c r="I1017" s="30">
        <f t="shared" si="106"/>
        <v>-1.620849122958784E-2</v>
      </c>
      <c r="J1017" s="30">
        <f t="shared" si="107"/>
        <v>-9.1594568087045684E-3</v>
      </c>
      <c r="K1017" s="30">
        <f t="shared" si="108"/>
        <v>2.7236566846945726E-2</v>
      </c>
      <c r="L1017" s="30">
        <f t="shared" si="109"/>
        <v>5.6399857552082381E-3</v>
      </c>
      <c r="M1017" s="30">
        <f t="shared" si="110"/>
        <v>-4.8630623645800578E-2</v>
      </c>
      <c r="N1017" s="30">
        <f t="shared" si="111"/>
        <v>-1.0560214217510975E-2</v>
      </c>
      <c r="O1017" s="30">
        <f t="shared" si="112"/>
        <v>-4.7047552388708502E-2</v>
      </c>
    </row>
    <row r="1018" spans="1:15" s="30" customFormat="1">
      <c r="A1018" s="27">
        <v>44615</v>
      </c>
      <c r="B1018" s="28" t="s">
        <v>956</v>
      </c>
      <c r="C1018" s="28">
        <v>608.54</v>
      </c>
      <c r="D1018" s="28" t="s">
        <v>2168</v>
      </c>
      <c r="E1018" s="28">
        <v>309.39999999999998</v>
      </c>
      <c r="F1018" s="28">
        <v>130.1</v>
      </c>
      <c r="G1018" s="28" t="s">
        <v>3339</v>
      </c>
      <c r="H1018" s="28">
        <v>225.93</v>
      </c>
      <c r="I1018" s="30">
        <f t="shared" si="106"/>
        <v>5.3340691182747084E-2</v>
      </c>
      <c r="J1018" s="30">
        <f t="shared" si="107"/>
        <v>7.2097611556550242E-2</v>
      </c>
      <c r="K1018" s="30">
        <f t="shared" si="108"/>
        <v>2.2272335067997383E-4</v>
      </c>
      <c r="L1018" s="30">
        <f t="shared" si="109"/>
        <v>2.3314280444476306E-2</v>
      </c>
      <c r="M1018" s="30">
        <f t="shared" si="110"/>
        <v>8.5824184559957703E-2</v>
      </c>
      <c r="N1018" s="30">
        <f t="shared" si="111"/>
        <v>2.76537414953281E-2</v>
      </c>
      <c r="O1018" s="30">
        <f t="shared" si="112"/>
        <v>0.11408850118120188</v>
      </c>
    </row>
    <row r="1019" spans="1:15" s="30" customFormat="1">
      <c r="A1019" s="27">
        <v>44614</v>
      </c>
      <c r="B1019" s="28" t="s">
        <v>995</v>
      </c>
      <c r="C1019" s="28">
        <v>605.87</v>
      </c>
      <c r="D1019" s="28" t="s">
        <v>2169</v>
      </c>
      <c r="E1019" s="28">
        <v>319.8</v>
      </c>
      <c r="F1019" s="28">
        <v>131.69999999999999</v>
      </c>
      <c r="G1019" s="28" t="s">
        <v>3340</v>
      </c>
      <c r="H1019" s="28">
        <v>223.95</v>
      </c>
      <c r="I1019" s="30">
        <f t="shared" si="106"/>
        <v>-3.1093638485133798E-3</v>
      </c>
      <c r="J1019" s="30">
        <f t="shared" si="107"/>
        <v>-4.3972040779076526E-3</v>
      </c>
      <c r="K1019" s="30">
        <f t="shared" si="108"/>
        <v>-1.950815182639104E-2</v>
      </c>
      <c r="L1019" s="30">
        <f t="shared" si="109"/>
        <v>3.306086226088821E-2</v>
      </c>
      <c r="M1019" s="30">
        <f t="shared" si="110"/>
        <v>1.2223223230775722E-2</v>
      </c>
      <c r="N1019" s="30">
        <f t="shared" si="111"/>
        <v>7.7998615611379251E-3</v>
      </c>
      <c r="O1019" s="30">
        <f t="shared" si="112"/>
        <v>-8.8024041280610511E-3</v>
      </c>
    </row>
    <row r="1020" spans="1:15" s="30" customFormat="1">
      <c r="A1020" s="27">
        <v>44613</v>
      </c>
      <c r="B1020" s="28" t="s">
        <v>996</v>
      </c>
      <c r="C1020" s="28">
        <v>605.54</v>
      </c>
      <c r="D1020" s="28" t="s">
        <v>2170</v>
      </c>
      <c r="E1020" s="28">
        <v>327.83</v>
      </c>
      <c r="F1020" s="28">
        <v>135.94999999999999</v>
      </c>
      <c r="G1020" s="28" t="s">
        <v>3341</v>
      </c>
      <c r="H1020" s="28">
        <v>230.05</v>
      </c>
      <c r="I1020" s="30">
        <f t="shared" si="106"/>
        <v>7.563165026305379E-3</v>
      </c>
      <c r="J1020" s="30">
        <f t="shared" si="107"/>
        <v>-5.448196864196364E-4</v>
      </c>
      <c r="K1020" s="30">
        <f t="shared" si="108"/>
        <v>4.1074799615481699E-3</v>
      </c>
      <c r="L1020" s="30">
        <f t="shared" si="109"/>
        <v>2.4799380941283072E-2</v>
      </c>
      <c r="M1020" s="30">
        <f t="shared" si="110"/>
        <v>3.1760562329244457E-2</v>
      </c>
      <c r="N1020" s="30">
        <f t="shared" si="111"/>
        <v>5.4602319747029384E-3</v>
      </c>
      <c r="O1020" s="30">
        <f t="shared" si="112"/>
        <v>2.6873863948168663E-2</v>
      </c>
    </row>
    <row r="1021" spans="1:15" s="30" customFormat="1">
      <c r="A1021" s="27">
        <v>44610</v>
      </c>
      <c r="B1021" s="28" t="s">
        <v>997</v>
      </c>
      <c r="C1021" s="28">
        <v>614.83000000000004</v>
      </c>
      <c r="D1021" s="28" t="s">
        <v>2171</v>
      </c>
      <c r="E1021" s="28">
        <v>329.77</v>
      </c>
      <c r="F1021" s="28">
        <v>136.15</v>
      </c>
      <c r="G1021" s="28" t="s">
        <v>3342</v>
      </c>
      <c r="H1021" s="28">
        <v>235.7</v>
      </c>
      <c r="I1021" s="30">
        <f t="shared" si="106"/>
        <v>2.0890623717103405E-3</v>
      </c>
      <c r="J1021" s="30">
        <f t="shared" si="107"/>
        <v>1.5225184912744492E-2</v>
      </c>
      <c r="K1021" s="30">
        <f t="shared" si="108"/>
        <v>-4.8173745010366368E-3</v>
      </c>
      <c r="L1021" s="30">
        <f t="shared" si="109"/>
        <v>5.9002604261260668E-3</v>
      </c>
      <c r="M1021" s="30">
        <f t="shared" si="110"/>
        <v>1.4700480412889706E-3</v>
      </c>
      <c r="N1021" s="30">
        <f t="shared" si="111"/>
        <v>5.507946122850862E-3</v>
      </c>
      <c r="O1021" s="30">
        <f t="shared" si="112"/>
        <v>2.4263133340607632E-2</v>
      </c>
    </row>
    <row r="1022" spans="1:15" s="30" customFormat="1">
      <c r="A1022" s="27">
        <v>44609</v>
      </c>
      <c r="B1022" s="28" t="s">
        <v>998</v>
      </c>
      <c r="C1022" s="28">
        <v>604.66999999999996</v>
      </c>
      <c r="D1022" s="28" t="s">
        <v>2172</v>
      </c>
      <c r="E1022" s="28">
        <v>329.83</v>
      </c>
      <c r="F1022" s="28">
        <v>135</v>
      </c>
      <c r="G1022" s="28" t="s">
        <v>3343</v>
      </c>
      <c r="H1022" s="28">
        <v>243.97</v>
      </c>
      <c r="I1022" s="30">
        <f t="shared" si="106"/>
        <v>2.2684435642952687E-3</v>
      </c>
      <c r="J1022" s="30">
        <f t="shared" si="107"/>
        <v>-1.6662952159536663E-2</v>
      </c>
      <c r="K1022" s="30">
        <f t="shared" si="108"/>
        <v>1.5474469191609913E-2</v>
      </c>
      <c r="L1022" s="30">
        <f t="shared" si="109"/>
        <v>1.8192844198137718E-4</v>
      </c>
      <c r="M1022" s="30">
        <f t="shared" si="110"/>
        <v>-8.4824406813392237E-3</v>
      </c>
      <c r="N1022" s="30">
        <f t="shared" si="111"/>
        <v>2.1123684404805061E-3</v>
      </c>
      <c r="O1022" s="30">
        <f t="shared" si="112"/>
        <v>3.4485456972372701E-2</v>
      </c>
    </row>
    <row r="1023" spans="1:15" s="30" customFormat="1">
      <c r="A1023" s="27">
        <v>44608</v>
      </c>
      <c r="B1023" s="28" t="s">
        <v>999</v>
      </c>
      <c r="C1023" s="28">
        <v>603.16999999999996</v>
      </c>
      <c r="D1023" s="28" t="s">
        <v>2173</v>
      </c>
      <c r="E1023" s="28">
        <v>328.53</v>
      </c>
      <c r="F1023" s="28">
        <v>135.69999999999999</v>
      </c>
      <c r="G1023" s="28" t="s">
        <v>3344</v>
      </c>
      <c r="H1023" s="28">
        <v>239.95</v>
      </c>
      <c r="I1023" s="30">
        <f t="shared" si="106"/>
        <v>-3.9885306070443277E-3</v>
      </c>
      <c r="J1023" s="30">
        <f t="shared" si="107"/>
        <v>-2.4837739620174517E-3</v>
      </c>
      <c r="K1023" s="30">
        <f t="shared" si="108"/>
        <v>3.2200481401721201E-2</v>
      </c>
      <c r="L1023" s="30">
        <f t="shared" si="109"/>
        <v>-3.9492122534670977E-3</v>
      </c>
      <c r="M1023" s="30">
        <f t="shared" si="110"/>
        <v>5.1717884023940053E-3</v>
      </c>
      <c r="N1023" s="30">
        <f t="shared" si="111"/>
        <v>1.6969638710891658E-3</v>
      </c>
      <c r="O1023" s="30">
        <f t="shared" si="112"/>
        <v>-1.6614698610203663E-2</v>
      </c>
    </row>
    <row r="1024" spans="1:15" s="30" customFormat="1">
      <c r="A1024" s="27">
        <v>44607</v>
      </c>
      <c r="B1024" s="28" t="s">
        <v>1000</v>
      </c>
      <c r="C1024" s="28">
        <v>602.25</v>
      </c>
      <c r="D1024" s="28" t="s">
        <v>2174</v>
      </c>
      <c r="E1024" s="28">
        <v>328.97</v>
      </c>
      <c r="F1024" s="28">
        <v>127.4</v>
      </c>
      <c r="G1024" s="28" t="s">
        <v>3345</v>
      </c>
      <c r="H1024" s="28">
        <v>239.72</v>
      </c>
      <c r="I1024" s="30">
        <f t="shared" si="106"/>
        <v>3.6057085916347373E-3</v>
      </c>
      <c r="J1024" s="30">
        <f t="shared" si="107"/>
        <v>-1.5264392139412756E-3</v>
      </c>
      <c r="K1024" s="30">
        <f t="shared" si="108"/>
        <v>2.5298172333937829E-2</v>
      </c>
      <c r="L1024" s="30">
        <f t="shared" si="109"/>
        <v>1.3384032416179368E-3</v>
      </c>
      <c r="M1024" s="30">
        <f t="shared" si="110"/>
        <v>-6.311482370276035E-2</v>
      </c>
      <c r="N1024" s="30">
        <f t="shared" si="111"/>
        <v>-9.5766145354592835E-3</v>
      </c>
      <c r="O1024" s="30">
        <f t="shared" si="112"/>
        <v>-9.5899271427000868E-4</v>
      </c>
    </row>
    <row r="1025" spans="1:15" s="30" customFormat="1">
      <c r="A1025" s="27">
        <v>44606</v>
      </c>
      <c r="B1025" s="28" t="s">
        <v>813</v>
      </c>
      <c r="C1025" s="28">
        <v>583.16999999999996</v>
      </c>
      <c r="D1025" s="28" t="s">
        <v>2175</v>
      </c>
      <c r="E1025" s="28">
        <v>324.63</v>
      </c>
      <c r="F1025" s="28">
        <v>121.25</v>
      </c>
      <c r="G1025" s="28" t="s">
        <v>3346</v>
      </c>
      <c r="H1025" s="28">
        <v>234.03</v>
      </c>
      <c r="I1025" s="30">
        <f t="shared" si="106"/>
        <v>-3.781632086076047E-2</v>
      </c>
      <c r="J1025" s="30">
        <f t="shared" si="107"/>
        <v>-3.219390245284965E-2</v>
      </c>
      <c r="K1025" s="30">
        <f t="shared" si="108"/>
        <v>2.4001383028927317E-3</v>
      </c>
      <c r="L1025" s="30">
        <f t="shared" si="109"/>
        <v>-1.3280488945728322E-2</v>
      </c>
      <c r="M1025" s="30">
        <f t="shared" si="110"/>
        <v>-4.9477213320470462E-2</v>
      </c>
      <c r="N1025" s="30">
        <f t="shared" si="111"/>
        <v>-7.9422330123790907E-3</v>
      </c>
      <c r="O1025" s="30">
        <f t="shared" si="112"/>
        <v>-2.4022263321653047E-2</v>
      </c>
    </row>
    <row r="1026" spans="1:15" s="30" customFormat="1">
      <c r="A1026" s="27">
        <v>44603</v>
      </c>
      <c r="B1026" s="28" t="s">
        <v>1001</v>
      </c>
      <c r="C1026" s="28">
        <v>598.29</v>
      </c>
      <c r="D1026" s="28" t="s">
        <v>2176</v>
      </c>
      <c r="E1026" s="28">
        <v>331.67</v>
      </c>
      <c r="F1026" s="28">
        <v>134.94999999999999</v>
      </c>
      <c r="G1026" s="28" t="s">
        <v>3347</v>
      </c>
      <c r="H1026" s="28">
        <v>241.55</v>
      </c>
      <c r="I1026" s="30">
        <f t="shared" si="106"/>
        <v>2.2910707671129626E-2</v>
      </c>
      <c r="J1026" s="30">
        <f t="shared" si="107"/>
        <v>2.5596847191108742E-2</v>
      </c>
      <c r="K1026" s="30">
        <f t="shared" si="108"/>
        <v>1.860870838735033E-2</v>
      </c>
      <c r="L1026" s="30">
        <f t="shared" si="109"/>
        <v>2.1454426439569067E-2</v>
      </c>
      <c r="M1026" s="30">
        <f t="shared" si="110"/>
        <v>0.10704980964642104</v>
      </c>
      <c r="N1026" s="30">
        <f t="shared" si="111"/>
        <v>-1.1596390749080469E-2</v>
      </c>
      <c r="O1026" s="30">
        <f t="shared" si="112"/>
        <v>3.1627178732084184E-2</v>
      </c>
    </row>
    <row r="1027" spans="1:15" s="30" customFormat="1">
      <c r="A1027" s="27">
        <v>44602</v>
      </c>
      <c r="B1027" s="28" t="s">
        <v>1002</v>
      </c>
      <c r="C1027" s="28">
        <v>605.62</v>
      </c>
      <c r="D1027" s="28" t="s">
        <v>2177</v>
      </c>
      <c r="E1027" s="28">
        <v>339.37</v>
      </c>
      <c r="F1027" s="28">
        <v>138.30000000000001</v>
      </c>
      <c r="G1027" s="28" t="s">
        <v>3348</v>
      </c>
      <c r="H1027" s="28">
        <v>253.6</v>
      </c>
      <c r="I1027" s="30">
        <f t="shared" si="106"/>
        <v>6.9558223460159264E-3</v>
      </c>
      <c r="J1027" s="30">
        <f t="shared" si="107"/>
        <v>1.2177140443757818E-2</v>
      </c>
      <c r="K1027" s="30">
        <f t="shared" si="108"/>
        <v>5.945533916046614E-4</v>
      </c>
      <c r="L1027" s="30">
        <f t="shared" si="109"/>
        <v>2.295045892342347E-2</v>
      </c>
      <c r="M1027" s="30">
        <f t="shared" si="110"/>
        <v>2.4520899206699073E-2</v>
      </c>
      <c r="N1027" s="30">
        <f t="shared" si="111"/>
        <v>-2.4892762178702591E-3</v>
      </c>
      <c r="O1027" s="30">
        <f t="shared" si="112"/>
        <v>4.8681731562655102E-2</v>
      </c>
    </row>
    <row r="1028" spans="1:15" s="30" customFormat="1">
      <c r="A1028" s="27">
        <v>44601</v>
      </c>
      <c r="B1028" s="28" t="s">
        <v>1003</v>
      </c>
      <c r="C1028" s="28">
        <v>601.21</v>
      </c>
      <c r="D1028" s="28" t="s">
        <v>2176</v>
      </c>
      <c r="E1028" s="28">
        <v>340.07</v>
      </c>
      <c r="F1028" s="28">
        <v>139.5</v>
      </c>
      <c r="G1028" s="28" t="s">
        <v>3349</v>
      </c>
      <c r="H1028" s="28">
        <v>252.97</v>
      </c>
      <c r="I1028" s="30">
        <f t="shared" ref="I1028:I1091" si="113">LN(B1028/B1027)</f>
        <v>-3.2162820940472322E-3</v>
      </c>
      <c r="J1028" s="30">
        <f t="shared" ref="J1028:J1091" si="114">LN(C1028/C1027)</f>
        <v>-7.3084355366447992E-3</v>
      </c>
      <c r="K1028" s="30">
        <f t="shared" ref="K1028:K1091" si="115">LN(D1028/D1027)</f>
        <v>-5.9455339160460166E-4</v>
      </c>
      <c r="L1028" s="30">
        <f t="shared" ref="L1028:L1091" si="116">LN(E1028/E1027)</f>
        <v>2.0605211576255511E-3</v>
      </c>
      <c r="M1028" s="30">
        <f t="shared" ref="M1028:M1091" si="117">LN(F1028/F1027)</f>
        <v>8.6393625907076402E-3</v>
      </c>
      <c r="N1028" s="30">
        <f t="shared" ref="N1028:N1091" si="118">LN(G1028/G1027)</f>
        <v>6.8964879434227919E-3</v>
      </c>
      <c r="O1028" s="30">
        <f t="shared" ref="O1028:O1091" si="119">LN(H1028/H1027)</f>
        <v>-2.4873179414665598E-3</v>
      </c>
    </row>
    <row r="1029" spans="1:15" s="30" customFormat="1">
      <c r="A1029" s="27">
        <v>44600</v>
      </c>
      <c r="B1029" s="28" t="s">
        <v>1004</v>
      </c>
      <c r="C1029" s="28">
        <v>598.66999999999996</v>
      </c>
      <c r="D1029" s="28" t="s">
        <v>2178</v>
      </c>
      <c r="E1029" s="28">
        <v>345.8</v>
      </c>
      <c r="F1029" s="28">
        <v>137</v>
      </c>
      <c r="G1029" s="28" t="s">
        <v>3350</v>
      </c>
      <c r="H1029" s="28">
        <v>254.3</v>
      </c>
      <c r="I1029" s="30">
        <f t="shared" si="113"/>
        <v>-3.7239945592913186E-3</v>
      </c>
      <c r="J1029" s="30">
        <f t="shared" si="114"/>
        <v>-4.2337630330882012E-3</v>
      </c>
      <c r="K1029" s="30">
        <f t="shared" si="115"/>
        <v>3.9999537209023453E-3</v>
      </c>
      <c r="L1029" s="30">
        <f t="shared" si="116"/>
        <v>1.6709094476905068E-2</v>
      </c>
      <c r="M1029" s="30">
        <f t="shared" si="117"/>
        <v>-1.8083675433295351E-2</v>
      </c>
      <c r="N1029" s="30">
        <f t="shared" si="118"/>
        <v>4.7387127384051304E-4</v>
      </c>
      <c r="O1029" s="30">
        <f t="shared" si="119"/>
        <v>5.2437678064698205E-3</v>
      </c>
    </row>
    <row r="1030" spans="1:15" s="30" customFormat="1">
      <c r="A1030" s="27">
        <v>44599</v>
      </c>
      <c r="B1030" s="28" t="s">
        <v>1005</v>
      </c>
      <c r="C1030" s="28">
        <v>599.25</v>
      </c>
      <c r="D1030" s="28" t="s">
        <v>2179</v>
      </c>
      <c r="E1030" s="28">
        <v>356.23</v>
      </c>
      <c r="F1030" s="28">
        <v>138.9</v>
      </c>
      <c r="G1030" s="28" t="s">
        <v>3351</v>
      </c>
      <c r="H1030" s="28">
        <v>256.64999999999998</v>
      </c>
      <c r="I1030" s="30">
        <f t="shared" si="113"/>
        <v>-1.3034036549455829E-2</v>
      </c>
      <c r="J1030" s="30">
        <f t="shared" si="114"/>
        <v>9.6834520722893433E-4</v>
      </c>
      <c r="K1030" s="30">
        <f t="shared" si="115"/>
        <v>1.6601918870815819E-2</v>
      </c>
      <c r="L1030" s="30">
        <f t="shared" si="116"/>
        <v>2.9716016406864547E-2</v>
      </c>
      <c r="M1030" s="30">
        <f t="shared" si="117"/>
        <v>1.3773323932173292E-2</v>
      </c>
      <c r="N1030" s="30">
        <f t="shared" si="118"/>
        <v>1.3489695303960008E-2</v>
      </c>
      <c r="O1030" s="30">
        <f t="shared" si="119"/>
        <v>9.1986165782381377E-3</v>
      </c>
    </row>
    <row r="1031" spans="1:15" s="30" customFormat="1">
      <c r="A1031" s="27">
        <v>44596</v>
      </c>
      <c r="B1031" s="28" t="s">
        <v>1006</v>
      </c>
      <c r="C1031" s="28">
        <v>612.66999999999996</v>
      </c>
      <c r="D1031" s="28" t="s">
        <v>2180</v>
      </c>
      <c r="E1031" s="28">
        <v>360.47</v>
      </c>
      <c r="F1031" s="28">
        <v>138.35</v>
      </c>
      <c r="G1031" s="28" t="s">
        <v>3352</v>
      </c>
      <c r="H1031" s="28">
        <v>255.25</v>
      </c>
      <c r="I1031" s="30">
        <f t="shared" si="113"/>
        <v>1.9325704599890692E-2</v>
      </c>
      <c r="J1031" s="30">
        <f t="shared" si="114"/>
        <v>2.2147581614637538E-2</v>
      </c>
      <c r="K1031" s="30">
        <f t="shared" si="115"/>
        <v>1.8474236232839144E-3</v>
      </c>
      <c r="L1031" s="30">
        <f t="shared" si="116"/>
        <v>1.1832145853039218E-2</v>
      </c>
      <c r="M1031" s="30">
        <f t="shared" si="117"/>
        <v>-3.9675435273632109E-3</v>
      </c>
      <c r="N1031" s="30">
        <f t="shared" si="118"/>
        <v>-1.20431450734153E-2</v>
      </c>
      <c r="O1031" s="30">
        <f t="shared" si="119"/>
        <v>-5.4698319615370961E-3</v>
      </c>
    </row>
    <row r="1032" spans="1:15" s="30" customFormat="1">
      <c r="A1032" s="27">
        <v>44595</v>
      </c>
      <c r="B1032" s="28" t="s">
        <v>1007</v>
      </c>
      <c r="C1032" s="28">
        <v>614</v>
      </c>
      <c r="D1032" s="28" t="s">
        <v>2181</v>
      </c>
      <c r="E1032" s="28">
        <v>370.2</v>
      </c>
      <c r="F1032" s="28">
        <v>139.5</v>
      </c>
      <c r="G1032" s="28" t="s">
        <v>3353</v>
      </c>
      <c r="H1032" s="28">
        <v>257</v>
      </c>
      <c r="I1032" s="30">
        <f t="shared" si="113"/>
        <v>-1.045097366425796E-2</v>
      </c>
      <c r="J1032" s="30">
        <f t="shared" si="114"/>
        <v>2.1684732180111896E-3</v>
      </c>
      <c r="K1032" s="30">
        <f t="shared" si="115"/>
        <v>3.8357732446717674E-3</v>
      </c>
      <c r="L1032" s="30">
        <f t="shared" si="116"/>
        <v>2.663466463030334E-2</v>
      </c>
      <c r="M1032" s="30">
        <f t="shared" si="117"/>
        <v>8.2778950284853759E-3</v>
      </c>
      <c r="N1032" s="30">
        <f t="shared" si="118"/>
        <v>5.2164685703999835E-3</v>
      </c>
      <c r="O1032" s="30">
        <f t="shared" si="119"/>
        <v>6.8326278504449358E-3</v>
      </c>
    </row>
    <row r="1033" spans="1:15" s="30" customFormat="1">
      <c r="A1033" s="27">
        <v>44594</v>
      </c>
      <c r="B1033" s="28" t="s">
        <v>1008</v>
      </c>
      <c r="C1033" s="28">
        <v>618.87</v>
      </c>
      <c r="D1033" s="28" t="s">
        <v>2182</v>
      </c>
      <c r="E1033" s="28">
        <v>370.37</v>
      </c>
      <c r="F1033" s="28">
        <v>139</v>
      </c>
      <c r="G1033" s="28" t="s">
        <v>3354</v>
      </c>
      <c r="H1033" s="28">
        <v>260.88</v>
      </c>
      <c r="I1033" s="30">
        <f t="shared" si="113"/>
        <v>-1.656069245957368E-3</v>
      </c>
      <c r="J1033" s="30">
        <f t="shared" si="114"/>
        <v>7.9003063258838713E-3</v>
      </c>
      <c r="K1033" s="30">
        <f t="shared" si="115"/>
        <v>4.4481935048861256E-3</v>
      </c>
      <c r="L1033" s="30">
        <f t="shared" si="116"/>
        <v>4.5910583195651005E-4</v>
      </c>
      <c r="M1033" s="30">
        <f t="shared" si="117"/>
        <v>-3.5906681307285959E-3</v>
      </c>
      <c r="N1033" s="30">
        <f t="shared" si="118"/>
        <v>1.4715498533841463E-2</v>
      </c>
      <c r="O1033" s="30">
        <f t="shared" si="119"/>
        <v>1.4984446585843799E-2</v>
      </c>
    </row>
    <row r="1034" spans="1:15" s="30" customFormat="1">
      <c r="A1034" s="27">
        <v>44593</v>
      </c>
      <c r="B1034" s="28" t="s">
        <v>1009</v>
      </c>
      <c r="C1034" s="28">
        <v>609.79</v>
      </c>
      <c r="D1034" s="28" t="s">
        <v>2183</v>
      </c>
      <c r="E1034" s="28">
        <v>372.9</v>
      </c>
      <c r="F1034" s="28">
        <v>136.94999999999999</v>
      </c>
      <c r="G1034" s="28" t="s">
        <v>3355</v>
      </c>
      <c r="H1034" s="28">
        <v>257.55</v>
      </c>
      <c r="I1034" s="30">
        <f t="shared" si="113"/>
        <v>-4.5355375780430324E-4</v>
      </c>
      <c r="J1034" s="30">
        <f t="shared" si="114"/>
        <v>-1.4780598872619132E-2</v>
      </c>
      <c r="K1034" s="30">
        <f t="shared" si="115"/>
        <v>1.2536826945534741E-4</v>
      </c>
      <c r="L1034" s="30">
        <f t="shared" si="116"/>
        <v>6.807781213421309E-3</v>
      </c>
      <c r="M1034" s="30">
        <f t="shared" si="117"/>
        <v>-1.4858037421604702E-2</v>
      </c>
      <c r="N1034" s="30">
        <f t="shared" si="118"/>
        <v>-6.5394342404395912E-3</v>
      </c>
      <c r="O1034" s="30">
        <f t="shared" si="119"/>
        <v>-1.2846655469469356E-2</v>
      </c>
    </row>
    <row r="1035" spans="1:15" s="30" customFormat="1">
      <c r="A1035" s="27">
        <v>44592</v>
      </c>
      <c r="B1035" s="28" t="s">
        <v>1010</v>
      </c>
      <c r="C1035" s="28">
        <v>602</v>
      </c>
      <c r="D1035" s="28" t="s">
        <v>2184</v>
      </c>
      <c r="E1035" s="28">
        <v>378</v>
      </c>
      <c r="F1035" s="28">
        <v>138.55000000000001</v>
      </c>
      <c r="G1035" s="28" t="s">
        <v>3356</v>
      </c>
      <c r="H1035" s="28">
        <v>257.14999999999998</v>
      </c>
      <c r="I1035" s="30">
        <f t="shared" si="113"/>
        <v>-1.3861764052060591E-2</v>
      </c>
      <c r="J1035" s="30">
        <f t="shared" si="114"/>
        <v>-1.2857190291586187E-2</v>
      </c>
      <c r="K1035" s="30">
        <f t="shared" si="115"/>
        <v>1.4115772676831015E-2</v>
      </c>
      <c r="L1035" s="30">
        <f t="shared" si="116"/>
        <v>1.3583908434812589E-2</v>
      </c>
      <c r="M1035" s="30">
        <f t="shared" si="117"/>
        <v>1.1615375599900319E-2</v>
      </c>
      <c r="N1035" s="30">
        <f t="shared" si="118"/>
        <v>1.3993627409876726E-3</v>
      </c>
      <c r="O1035" s="30">
        <f t="shared" si="119"/>
        <v>-1.554303790669164E-3</v>
      </c>
    </row>
    <row r="1036" spans="1:15" s="30" customFormat="1">
      <c r="A1036" s="27">
        <v>44589</v>
      </c>
      <c r="B1036" s="28" t="s">
        <v>1011</v>
      </c>
      <c r="C1036" s="28">
        <v>605.33000000000004</v>
      </c>
      <c r="D1036" s="28" t="s">
        <v>2185</v>
      </c>
      <c r="E1036" s="28">
        <v>380.27</v>
      </c>
      <c r="F1036" s="28">
        <v>139.55000000000001</v>
      </c>
      <c r="G1036" s="28" t="s">
        <v>3357</v>
      </c>
      <c r="H1036" s="28">
        <v>260.12</v>
      </c>
      <c r="I1036" s="30">
        <f t="shared" si="113"/>
        <v>-1.3220482825842398E-2</v>
      </c>
      <c r="J1036" s="30">
        <f t="shared" si="114"/>
        <v>5.5163185612170382E-3</v>
      </c>
      <c r="K1036" s="30">
        <f t="shared" si="115"/>
        <v>-3.1771026898837387E-2</v>
      </c>
      <c r="L1036" s="30">
        <f t="shared" si="116"/>
        <v>5.9873311123160291E-3</v>
      </c>
      <c r="M1036" s="30">
        <f t="shared" si="117"/>
        <v>7.1916886733437531E-3</v>
      </c>
      <c r="N1036" s="30">
        <f t="shared" si="118"/>
        <v>1.7852296432260932E-3</v>
      </c>
      <c r="O1036" s="30">
        <f t="shared" si="119"/>
        <v>1.1483490780025885E-2</v>
      </c>
    </row>
    <row r="1037" spans="1:15" s="30" customFormat="1">
      <c r="A1037" s="27">
        <v>44588</v>
      </c>
      <c r="B1037" s="28" t="s">
        <v>1012</v>
      </c>
      <c r="C1037" s="28">
        <v>595.16999999999996</v>
      </c>
      <c r="D1037" s="28" t="s">
        <v>2186</v>
      </c>
      <c r="E1037" s="28">
        <v>379.77</v>
      </c>
      <c r="F1037" s="28">
        <v>136.55000000000001</v>
      </c>
      <c r="G1037" s="28" t="s">
        <v>3358</v>
      </c>
      <c r="H1037" s="28">
        <v>259.39999999999998</v>
      </c>
      <c r="I1037" s="30">
        <f t="shared" si="113"/>
        <v>1.9589588460576001E-3</v>
      </c>
      <c r="J1037" s="30">
        <f t="shared" si="114"/>
        <v>-1.6926684847247672E-2</v>
      </c>
      <c r="K1037" s="30">
        <f t="shared" si="115"/>
        <v>-3.8607618618718997E-3</v>
      </c>
      <c r="L1037" s="30">
        <f t="shared" si="116"/>
        <v>-1.3157204150570704E-3</v>
      </c>
      <c r="M1037" s="30">
        <f t="shared" si="117"/>
        <v>-2.1732112062617159E-2</v>
      </c>
      <c r="N1037" s="30">
        <f t="shared" si="118"/>
        <v>1.807851732057014E-3</v>
      </c>
      <c r="O1037" s="30">
        <f t="shared" si="119"/>
        <v>-2.7717911186076289E-3</v>
      </c>
    </row>
    <row r="1038" spans="1:15" s="30" customFormat="1">
      <c r="A1038" s="27">
        <v>44586</v>
      </c>
      <c r="B1038" s="28" t="s">
        <v>1013</v>
      </c>
      <c r="C1038" s="28">
        <v>605.87</v>
      </c>
      <c r="D1038" s="28" t="s">
        <v>2187</v>
      </c>
      <c r="E1038" s="28">
        <v>383.47</v>
      </c>
      <c r="F1038" s="28">
        <v>133.9</v>
      </c>
      <c r="G1038" s="28" t="s">
        <v>3359</v>
      </c>
      <c r="H1038" s="28">
        <v>258.57</v>
      </c>
      <c r="I1038" s="30">
        <f t="shared" si="113"/>
        <v>9.6264342808840535E-3</v>
      </c>
      <c r="J1038" s="30">
        <f t="shared" si="114"/>
        <v>1.7818362581361023E-2</v>
      </c>
      <c r="K1038" s="30">
        <f t="shared" si="115"/>
        <v>2.8139488011174473E-3</v>
      </c>
      <c r="L1038" s="30">
        <f t="shared" si="116"/>
        <v>9.6955845726962326E-3</v>
      </c>
      <c r="M1038" s="30">
        <f t="shared" si="117"/>
        <v>-1.9597595222587187E-2</v>
      </c>
      <c r="N1038" s="30">
        <f t="shared" si="118"/>
        <v>1.0447109147660521E-2</v>
      </c>
      <c r="O1038" s="30">
        <f t="shared" si="119"/>
        <v>-3.2048215549258423E-3</v>
      </c>
    </row>
    <row r="1039" spans="1:15" s="30" customFormat="1">
      <c r="A1039" s="27">
        <v>44585</v>
      </c>
      <c r="B1039" s="28" t="s">
        <v>1014</v>
      </c>
      <c r="C1039" s="28">
        <v>594.54</v>
      </c>
      <c r="D1039" s="28" t="s">
        <v>2188</v>
      </c>
      <c r="E1039" s="28">
        <v>382.03</v>
      </c>
      <c r="F1039" s="28">
        <v>131.94999999999999</v>
      </c>
      <c r="G1039" s="28" t="s">
        <v>3360</v>
      </c>
      <c r="H1039" s="28">
        <v>252.53</v>
      </c>
      <c r="I1039" s="30">
        <f t="shared" si="113"/>
        <v>2.5546445723346888E-3</v>
      </c>
      <c r="J1039" s="30">
        <f t="shared" si="114"/>
        <v>-1.8877444305288382E-2</v>
      </c>
      <c r="K1039" s="30">
        <f t="shared" si="115"/>
        <v>-1.6821839499341094E-2</v>
      </c>
      <c r="L1039" s="30">
        <f t="shared" si="116"/>
        <v>-3.7622513351897517E-3</v>
      </c>
      <c r="M1039" s="30">
        <f t="shared" si="117"/>
        <v>-1.4670189747793855E-2</v>
      </c>
      <c r="N1039" s="30">
        <f t="shared" si="118"/>
        <v>-6.6612256966349604E-3</v>
      </c>
      <c r="O1039" s="30">
        <f t="shared" si="119"/>
        <v>-2.3636396788387401E-2</v>
      </c>
    </row>
    <row r="1040" spans="1:15" s="30" customFormat="1">
      <c r="A1040" s="27">
        <v>44582</v>
      </c>
      <c r="B1040" s="28" t="s">
        <v>619</v>
      </c>
      <c r="C1040" s="28">
        <v>620.62</v>
      </c>
      <c r="D1040" s="28" t="s">
        <v>2189</v>
      </c>
      <c r="E1040" s="28">
        <v>383.8</v>
      </c>
      <c r="F1040" s="28">
        <v>135.30000000000001</v>
      </c>
      <c r="G1040" s="28" t="s">
        <v>3361</v>
      </c>
      <c r="H1040" s="28">
        <v>277.14999999999998</v>
      </c>
      <c r="I1040" s="30">
        <f t="shared" si="113"/>
        <v>3.7236028066942935E-2</v>
      </c>
      <c r="J1040" s="30">
        <f t="shared" si="114"/>
        <v>4.2930981073357771E-2</v>
      </c>
      <c r="K1040" s="30">
        <f t="shared" si="115"/>
        <v>4.5453137145427473E-2</v>
      </c>
      <c r="L1040" s="30">
        <f t="shared" si="116"/>
        <v>4.6224440192464966E-3</v>
      </c>
      <c r="M1040" s="30">
        <f t="shared" si="117"/>
        <v>2.5071472227409557E-2</v>
      </c>
      <c r="N1040" s="30">
        <f t="shared" si="118"/>
        <v>1.2872425789275815E-2</v>
      </c>
      <c r="O1040" s="30">
        <f t="shared" si="119"/>
        <v>9.3028822326783583E-2</v>
      </c>
    </row>
    <row r="1041" spans="1:15" s="30" customFormat="1">
      <c r="A1041" s="27">
        <v>44581</v>
      </c>
      <c r="B1041" s="28" t="s">
        <v>1015</v>
      </c>
      <c r="C1041" s="28">
        <v>620.58000000000004</v>
      </c>
      <c r="D1041" s="28" t="s">
        <v>2190</v>
      </c>
      <c r="E1041" s="28">
        <v>394.77</v>
      </c>
      <c r="F1041" s="28">
        <v>137.30000000000001</v>
      </c>
      <c r="G1041" s="28" t="s">
        <v>3362</v>
      </c>
      <c r="H1041" s="28">
        <v>274.27</v>
      </c>
      <c r="I1041" s="30">
        <f t="shared" si="113"/>
        <v>9.5879177038098885E-3</v>
      </c>
      <c r="J1041" s="30">
        <f t="shared" si="114"/>
        <v>-6.4453754453410012E-5</v>
      </c>
      <c r="K1041" s="30">
        <f t="shared" si="115"/>
        <v>4.5572834292338825E-3</v>
      </c>
      <c r="L1041" s="30">
        <f t="shared" si="116"/>
        <v>2.8181733256559371E-2</v>
      </c>
      <c r="M1041" s="30">
        <f t="shared" si="117"/>
        <v>1.4673777597183109E-2</v>
      </c>
      <c r="N1041" s="30">
        <f t="shared" si="118"/>
        <v>4.6837307290260744E-3</v>
      </c>
      <c r="O1041" s="30">
        <f t="shared" si="119"/>
        <v>-1.0445853207196636E-2</v>
      </c>
    </row>
    <row r="1042" spans="1:15" s="30" customFormat="1">
      <c r="A1042" s="27">
        <v>44580</v>
      </c>
      <c r="B1042" s="28" t="s">
        <v>1016</v>
      </c>
      <c r="C1042" s="28">
        <v>623.71</v>
      </c>
      <c r="D1042" s="28" t="s">
        <v>2191</v>
      </c>
      <c r="E1042" s="28">
        <v>397</v>
      </c>
      <c r="F1042" s="28">
        <v>140.75</v>
      </c>
      <c r="G1042" s="28" t="s">
        <v>3363</v>
      </c>
      <c r="H1042" s="28">
        <v>268.38</v>
      </c>
      <c r="I1042" s="30">
        <f t="shared" si="113"/>
        <v>-7.8946180352664468E-3</v>
      </c>
      <c r="J1042" s="30">
        <f t="shared" si="114"/>
        <v>5.0309921351435376E-3</v>
      </c>
      <c r="K1042" s="30">
        <f t="shared" si="115"/>
        <v>-1.1732380854867087E-2</v>
      </c>
      <c r="L1042" s="30">
        <f t="shared" si="116"/>
        <v>5.6329638570314661E-3</v>
      </c>
      <c r="M1042" s="30">
        <f t="shared" si="117"/>
        <v>2.4816954245874379E-2</v>
      </c>
      <c r="N1042" s="30">
        <f t="shared" si="118"/>
        <v>-2.832934738961256E-3</v>
      </c>
      <c r="O1042" s="30">
        <f t="shared" si="119"/>
        <v>-2.1709135985805292E-2</v>
      </c>
    </row>
    <row r="1043" spans="1:15" s="30" customFormat="1">
      <c r="A1043" s="27">
        <v>44579</v>
      </c>
      <c r="B1043" s="28" t="s">
        <v>1017</v>
      </c>
      <c r="C1043" s="28">
        <v>634.29</v>
      </c>
      <c r="D1043" s="28" t="s">
        <v>2192</v>
      </c>
      <c r="E1043" s="28">
        <v>401.47</v>
      </c>
      <c r="F1043" s="28">
        <v>134.69999999999999</v>
      </c>
      <c r="G1043" s="28" t="s">
        <v>3364</v>
      </c>
      <c r="H1043" s="28">
        <v>271.07</v>
      </c>
      <c r="I1043" s="30">
        <f t="shared" si="113"/>
        <v>2.8044698756320176E-2</v>
      </c>
      <c r="J1043" s="30">
        <f t="shared" si="114"/>
        <v>1.6820746351976126E-2</v>
      </c>
      <c r="K1043" s="30">
        <f t="shared" si="115"/>
        <v>2.871246466506366E-2</v>
      </c>
      <c r="L1043" s="30">
        <f t="shared" si="116"/>
        <v>1.1196530107215536E-2</v>
      </c>
      <c r="M1043" s="30">
        <f t="shared" si="117"/>
        <v>-4.3935183603481517E-2</v>
      </c>
      <c r="N1043" s="30">
        <f t="shared" si="118"/>
        <v>6.3304763898303236E-4</v>
      </c>
      <c r="O1043" s="30">
        <f t="shared" si="119"/>
        <v>9.9732034355462743E-3</v>
      </c>
    </row>
    <row r="1044" spans="1:15" s="30" customFormat="1">
      <c r="A1044" s="27">
        <v>44578</v>
      </c>
      <c r="B1044" s="28" t="s">
        <v>1018</v>
      </c>
      <c r="C1044" s="28">
        <v>646.58000000000004</v>
      </c>
      <c r="D1044" s="28" t="s">
        <v>2193</v>
      </c>
      <c r="E1044" s="28">
        <v>404.23</v>
      </c>
      <c r="F1044" s="28">
        <v>135.35</v>
      </c>
      <c r="G1044" s="28" t="s">
        <v>3365</v>
      </c>
      <c r="H1044" s="28">
        <v>276.8</v>
      </c>
      <c r="I1044" s="30">
        <f t="shared" si="113"/>
        <v>1.4661564897306811E-3</v>
      </c>
      <c r="J1044" s="30">
        <f t="shared" si="114"/>
        <v>1.9190670684254785E-2</v>
      </c>
      <c r="K1044" s="30">
        <f t="shared" si="115"/>
        <v>7.8408997616389343E-3</v>
      </c>
      <c r="L1044" s="30">
        <f t="shared" si="116"/>
        <v>6.8512121037264742E-3</v>
      </c>
      <c r="M1044" s="30">
        <f t="shared" si="117"/>
        <v>4.8139326439918771E-3</v>
      </c>
      <c r="N1044" s="30">
        <f t="shared" si="118"/>
        <v>1.0626186958141855E-3</v>
      </c>
      <c r="O1044" s="30">
        <f t="shared" si="119"/>
        <v>2.0918133635156572E-2</v>
      </c>
    </row>
    <row r="1045" spans="1:15" s="30" customFormat="1">
      <c r="A1045" s="27">
        <v>44575</v>
      </c>
      <c r="B1045" s="28" t="s">
        <v>1019</v>
      </c>
      <c r="C1045" s="28">
        <v>642.79</v>
      </c>
      <c r="D1045" s="28" t="s">
        <v>2194</v>
      </c>
      <c r="E1045" s="28">
        <v>406.93</v>
      </c>
      <c r="F1045" s="28">
        <v>132.65</v>
      </c>
      <c r="G1045" s="28" t="s">
        <v>3366</v>
      </c>
      <c r="H1045" s="28">
        <v>288.39999999999998</v>
      </c>
      <c r="I1045" s="30">
        <f t="shared" si="113"/>
        <v>-4.226580320024681E-3</v>
      </c>
      <c r="J1045" s="30">
        <f t="shared" si="114"/>
        <v>-5.878856985189404E-3</v>
      </c>
      <c r="K1045" s="30">
        <f t="shared" si="115"/>
        <v>-1.0129513925969471E-3</v>
      </c>
      <c r="L1045" s="30">
        <f t="shared" si="116"/>
        <v>6.6571575804667072E-3</v>
      </c>
      <c r="M1045" s="30">
        <f t="shared" si="117"/>
        <v>-2.0149935476561444E-2</v>
      </c>
      <c r="N1045" s="30">
        <f t="shared" si="118"/>
        <v>1.2382963637380298E-3</v>
      </c>
      <c r="O1045" s="30">
        <f t="shared" si="119"/>
        <v>4.1053181667279399E-2</v>
      </c>
    </row>
    <row r="1046" spans="1:15" s="30" customFormat="1">
      <c r="A1046" s="27">
        <v>44574</v>
      </c>
      <c r="B1046" s="28" t="s">
        <v>1020</v>
      </c>
      <c r="C1046" s="28">
        <v>651.62</v>
      </c>
      <c r="D1046" s="28" t="s">
        <v>2195</v>
      </c>
      <c r="E1046" s="28">
        <v>411.17</v>
      </c>
      <c r="F1046" s="28">
        <v>128.85</v>
      </c>
      <c r="G1046" s="28" t="s">
        <v>3367</v>
      </c>
      <c r="H1046" s="28">
        <v>255.72</v>
      </c>
      <c r="I1046" s="30">
        <f t="shared" si="113"/>
        <v>2.6934545182362733E-2</v>
      </c>
      <c r="J1046" s="30">
        <f t="shared" si="114"/>
        <v>1.3643493129998699E-2</v>
      </c>
      <c r="K1046" s="30">
        <f t="shared" si="115"/>
        <v>2.4127198708006356E-4</v>
      </c>
      <c r="L1046" s="30">
        <f t="shared" si="116"/>
        <v>1.036557380240675E-2</v>
      </c>
      <c r="M1046" s="30">
        <f t="shared" si="117"/>
        <v>-2.9065143485374631E-2</v>
      </c>
      <c r="N1046" s="30">
        <f t="shared" si="118"/>
        <v>2.5255395185209946E-5</v>
      </c>
      <c r="O1046" s="30">
        <f t="shared" si="119"/>
        <v>-0.1202653095122678</v>
      </c>
    </row>
    <row r="1047" spans="1:15" s="30" customFormat="1">
      <c r="A1047" s="27">
        <v>44573</v>
      </c>
      <c r="B1047" s="28" t="s">
        <v>1021</v>
      </c>
      <c r="C1047" s="28">
        <v>657.42</v>
      </c>
      <c r="D1047" s="28" t="s">
        <v>2196</v>
      </c>
      <c r="E1047" s="28">
        <v>408.87</v>
      </c>
      <c r="F1047" s="28">
        <v>119.75</v>
      </c>
      <c r="G1047" s="28" t="s">
        <v>3368</v>
      </c>
      <c r="H1047" s="28">
        <v>257.45</v>
      </c>
      <c r="I1047" s="30">
        <f t="shared" si="113"/>
        <v>2.5015411453323991E-2</v>
      </c>
      <c r="J1047" s="30">
        <f t="shared" si="114"/>
        <v>8.8615137114054689E-3</v>
      </c>
      <c r="K1047" s="30">
        <f t="shared" si="115"/>
        <v>-3.6494185730549934E-3</v>
      </c>
      <c r="L1047" s="30">
        <f t="shared" si="116"/>
        <v>-5.6094971734746441E-3</v>
      </c>
      <c r="M1047" s="30">
        <f t="shared" si="117"/>
        <v>-7.3242700807349431E-2</v>
      </c>
      <c r="N1047" s="30">
        <f t="shared" si="118"/>
        <v>-2.4021150152446248E-3</v>
      </c>
      <c r="O1047" s="30">
        <f t="shared" si="119"/>
        <v>6.7424305936243526E-3</v>
      </c>
    </row>
    <row r="1048" spans="1:15" s="30" customFormat="1">
      <c r="A1048" s="27">
        <v>44572</v>
      </c>
      <c r="B1048" s="28" t="s">
        <v>1022</v>
      </c>
      <c r="C1048" s="28">
        <v>655.16999999999996</v>
      </c>
      <c r="D1048" s="28" t="s">
        <v>2197</v>
      </c>
      <c r="E1048" s="28">
        <v>400.43</v>
      </c>
      <c r="F1048" s="28">
        <v>115.95</v>
      </c>
      <c r="G1048" s="28" t="s">
        <v>3369</v>
      </c>
      <c r="H1048" s="28">
        <v>257.27</v>
      </c>
      <c r="I1048" s="30">
        <f t="shared" si="113"/>
        <v>-1.4260402978597184E-3</v>
      </c>
      <c r="J1048" s="30">
        <f t="shared" si="114"/>
        <v>-3.4283397005664975E-3</v>
      </c>
      <c r="K1048" s="30">
        <f t="shared" si="115"/>
        <v>-6.2176869486864654E-3</v>
      </c>
      <c r="L1048" s="30">
        <f t="shared" si="116"/>
        <v>-2.0858287398283964E-2</v>
      </c>
      <c r="M1048" s="30">
        <f t="shared" si="117"/>
        <v>-3.2247172589483925E-2</v>
      </c>
      <c r="N1048" s="30">
        <f t="shared" si="118"/>
        <v>2.5031302181184748E-3</v>
      </c>
      <c r="O1048" s="30">
        <f t="shared" si="119"/>
        <v>-6.9940941613933806E-4</v>
      </c>
    </row>
    <row r="1049" spans="1:15" s="30" customFormat="1">
      <c r="A1049" s="27">
        <v>44571</v>
      </c>
      <c r="B1049" s="28" t="s">
        <v>1023</v>
      </c>
      <c r="C1049" s="28">
        <v>653.29</v>
      </c>
      <c r="D1049" s="28" t="s">
        <v>2198</v>
      </c>
      <c r="E1049" s="28">
        <v>396.83</v>
      </c>
      <c r="F1049" s="28">
        <v>115.3</v>
      </c>
      <c r="G1049" s="28" t="s">
        <v>2181</v>
      </c>
      <c r="H1049" s="28">
        <v>258.12</v>
      </c>
      <c r="I1049" s="30">
        <f t="shared" si="113"/>
        <v>4.1594758408404122E-3</v>
      </c>
      <c r="J1049" s="30">
        <f t="shared" si="114"/>
        <v>-2.8736091186510903E-3</v>
      </c>
      <c r="K1049" s="30">
        <f t="shared" si="115"/>
        <v>1.1096687980314475E-2</v>
      </c>
      <c r="L1049" s="30">
        <f t="shared" si="116"/>
        <v>-9.0309923177217689E-3</v>
      </c>
      <c r="M1049" s="30">
        <f t="shared" si="117"/>
        <v>-5.6216364265273553E-3</v>
      </c>
      <c r="N1049" s="30">
        <f t="shared" si="118"/>
        <v>2.5976333283165218E-3</v>
      </c>
      <c r="O1049" s="30">
        <f t="shared" si="119"/>
        <v>3.2984759916278869E-3</v>
      </c>
    </row>
    <row r="1050" spans="1:15" s="30" customFormat="1">
      <c r="A1050" s="27">
        <v>44568</v>
      </c>
      <c r="B1050" s="28" t="s">
        <v>1024</v>
      </c>
      <c r="C1050" s="28">
        <v>658.96</v>
      </c>
      <c r="D1050" s="28" t="s">
        <v>2199</v>
      </c>
      <c r="E1050" s="28">
        <v>398.6</v>
      </c>
      <c r="F1050" s="28">
        <v>114.55</v>
      </c>
      <c r="G1050" s="28" t="s">
        <v>2191</v>
      </c>
      <c r="H1050" s="28">
        <v>259.23</v>
      </c>
      <c r="I1050" s="30">
        <f t="shared" si="113"/>
        <v>6.3957131251158169E-3</v>
      </c>
      <c r="J1050" s="30">
        <f t="shared" si="114"/>
        <v>8.6416998068539527E-3</v>
      </c>
      <c r="K1050" s="30">
        <f t="shared" si="115"/>
        <v>-6.090358869454267E-3</v>
      </c>
      <c r="L1050" s="30">
        <f t="shared" si="116"/>
        <v>4.4504303871688595E-3</v>
      </c>
      <c r="M1050" s="30">
        <f t="shared" si="117"/>
        <v>-6.5260183755088694E-3</v>
      </c>
      <c r="N1050" s="30">
        <f t="shared" si="118"/>
        <v>7.3276947120336916E-3</v>
      </c>
      <c r="O1050" s="30">
        <f t="shared" si="119"/>
        <v>4.2911054537787428E-3</v>
      </c>
    </row>
    <row r="1051" spans="1:15" s="30" customFormat="1">
      <c r="A1051" s="27">
        <v>44567</v>
      </c>
      <c r="B1051" s="28" t="s">
        <v>664</v>
      </c>
      <c r="C1051" s="28">
        <v>650.5</v>
      </c>
      <c r="D1051" s="28" t="s">
        <v>2200</v>
      </c>
      <c r="E1051" s="28">
        <v>394.7</v>
      </c>
      <c r="F1051" s="28">
        <v>114</v>
      </c>
      <c r="G1051" s="28" t="s">
        <v>3370</v>
      </c>
      <c r="H1051" s="28">
        <v>260.48</v>
      </c>
      <c r="I1051" s="30">
        <f t="shared" si="113"/>
        <v>-1.7388799362514296E-2</v>
      </c>
      <c r="J1051" s="30">
        <f t="shared" si="114"/>
        <v>-1.2921536680433389E-2</v>
      </c>
      <c r="K1051" s="30">
        <f t="shared" si="115"/>
        <v>-7.9831027319967104E-3</v>
      </c>
      <c r="L1051" s="30">
        <f t="shared" si="116"/>
        <v>-9.832425109892998E-3</v>
      </c>
      <c r="M1051" s="30">
        <f t="shared" si="117"/>
        <v>-4.8129605050090006E-3</v>
      </c>
      <c r="N1051" s="30">
        <f t="shared" si="118"/>
        <v>5.2866635186679355E-3</v>
      </c>
      <c r="O1051" s="30">
        <f t="shared" si="119"/>
        <v>4.810384292757942E-3</v>
      </c>
    </row>
    <row r="1052" spans="1:15" s="30" customFormat="1">
      <c r="A1052" s="27">
        <v>44566</v>
      </c>
      <c r="B1052" s="28" t="s">
        <v>1025</v>
      </c>
      <c r="C1052" s="28">
        <v>658.12</v>
      </c>
      <c r="D1052" s="28" t="s">
        <v>2201</v>
      </c>
      <c r="E1052" s="28">
        <v>398.17</v>
      </c>
      <c r="F1052" s="28">
        <v>111.1</v>
      </c>
      <c r="G1052" s="28" t="s">
        <v>3371</v>
      </c>
      <c r="H1052" s="28">
        <v>261.62</v>
      </c>
      <c r="I1052" s="30">
        <f t="shared" si="113"/>
        <v>3.4509971833206754E-3</v>
      </c>
      <c r="J1052" s="30">
        <f t="shared" si="114"/>
        <v>1.1645987565889417E-2</v>
      </c>
      <c r="K1052" s="30">
        <f t="shared" si="115"/>
        <v>2.2256165302421409E-2</v>
      </c>
      <c r="L1052" s="30">
        <f t="shared" si="116"/>
        <v>8.7530670975523948E-3</v>
      </c>
      <c r="M1052" s="30">
        <f t="shared" si="117"/>
        <v>-2.576775174891123E-2</v>
      </c>
      <c r="N1052" s="30">
        <f t="shared" si="118"/>
        <v>5.1598933663546103E-3</v>
      </c>
      <c r="O1052" s="30">
        <f t="shared" si="119"/>
        <v>4.3669864459053871E-3</v>
      </c>
    </row>
    <row r="1053" spans="1:15" s="30" customFormat="1">
      <c r="A1053" s="27">
        <v>44565</v>
      </c>
      <c r="B1053" s="28" t="s">
        <v>1026</v>
      </c>
      <c r="C1053" s="28">
        <v>653.71</v>
      </c>
      <c r="D1053" s="28" t="s">
        <v>2202</v>
      </c>
      <c r="E1053" s="28">
        <v>394.6</v>
      </c>
      <c r="F1053" s="28">
        <v>112.65</v>
      </c>
      <c r="G1053" s="28" t="s">
        <v>3372</v>
      </c>
      <c r="H1053" s="28">
        <v>264.73</v>
      </c>
      <c r="I1053" s="30">
        <f t="shared" si="113"/>
        <v>-1.9324687767691792E-2</v>
      </c>
      <c r="J1053" s="30">
        <f t="shared" si="114"/>
        <v>-6.7234574796749807E-3</v>
      </c>
      <c r="K1053" s="30">
        <f t="shared" si="115"/>
        <v>7.0964506131012718E-3</v>
      </c>
      <c r="L1053" s="30">
        <f t="shared" si="116"/>
        <v>-9.0064561778387033E-3</v>
      </c>
      <c r="M1053" s="30">
        <f t="shared" si="117"/>
        <v>1.3854970232669224E-2</v>
      </c>
      <c r="N1053" s="30">
        <f t="shared" si="118"/>
        <v>-4.7023302149717521E-4</v>
      </c>
      <c r="O1053" s="30">
        <f t="shared" si="119"/>
        <v>1.1817369402860016E-2</v>
      </c>
    </row>
    <row r="1054" spans="1:15" s="30" customFormat="1">
      <c r="A1054" s="27">
        <v>44564</v>
      </c>
      <c r="B1054" s="28" t="s">
        <v>1027</v>
      </c>
      <c r="C1054" s="28">
        <v>647</v>
      </c>
      <c r="D1054" s="28" t="s">
        <v>2203</v>
      </c>
      <c r="E1054" s="28">
        <v>395.87</v>
      </c>
      <c r="F1054" s="28">
        <v>113.65</v>
      </c>
      <c r="G1054" s="28" t="s">
        <v>3373</v>
      </c>
      <c r="H1054" s="28">
        <v>267.55</v>
      </c>
      <c r="I1054" s="30">
        <f t="shared" si="113"/>
        <v>-1.072419711703905E-2</v>
      </c>
      <c r="J1054" s="30">
        <f t="shared" si="114"/>
        <v>-1.0317533537873723E-2</v>
      </c>
      <c r="K1054" s="30">
        <f t="shared" si="115"/>
        <v>3.2929444725646336E-3</v>
      </c>
      <c r="L1054" s="30">
        <f t="shared" si="116"/>
        <v>3.2132809410790634E-3</v>
      </c>
      <c r="M1054" s="30">
        <f t="shared" si="117"/>
        <v>8.8378834202987918E-3</v>
      </c>
      <c r="N1054" s="30">
        <f t="shared" si="118"/>
        <v>8.675988563509594E-3</v>
      </c>
      <c r="O1054" s="30">
        <f t="shared" si="119"/>
        <v>1.0596026094372529E-2</v>
      </c>
    </row>
    <row r="1055" spans="1:15" s="30" customFormat="1">
      <c r="A1055" s="27">
        <v>44561</v>
      </c>
      <c r="B1055" s="28" t="s">
        <v>1028</v>
      </c>
      <c r="C1055" s="28">
        <v>643.12</v>
      </c>
      <c r="D1055" s="28" t="s">
        <v>2204</v>
      </c>
      <c r="E1055" s="28">
        <v>394.13</v>
      </c>
      <c r="F1055" s="28">
        <v>115.85</v>
      </c>
      <c r="G1055" s="28" t="s">
        <v>3374</v>
      </c>
      <c r="H1055" s="28">
        <v>267.88</v>
      </c>
      <c r="I1055" s="30">
        <f t="shared" si="113"/>
        <v>-1.1593949437914055E-2</v>
      </c>
      <c r="J1055" s="30">
        <f t="shared" si="114"/>
        <v>-6.0149624811951545E-3</v>
      </c>
      <c r="K1055" s="30">
        <f t="shared" si="115"/>
        <v>7.8684914070805516E-3</v>
      </c>
      <c r="L1055" s="30">
        <f t="shared" si="116"/>
        <v>-4.4050704143611813E-3</v>
      </c>
      <c r="M1055" s="30">
        <f t="shared" si="117"/>
        <v>1.9172700579832919E-2</v>
      </c>
      <c r="N1055" s="30">
        <f t="shared" si="118"/>
        <v>3.9433290134835057E-3</v>
      </c>
      <c r="O1055" s="30">
        <f t="shared" si="119"/>
        <v>1.2326542845356909E-3</v>
      </c>
    </row>
    <row r="1056" spans="1:15" s="30" customFormat="1">
      <c r="A1056" s="27">
        <v>44560</v>
      </c>
      <c r="B1056" s="28" t="s">
        <v>1029</v>
      </c>
      <c r="C1056" s="28">
        <v>632.96</v>
      </c>
      <c r="D1056" s="28" t="s">
        <v>2205</v>
      </c>
      <c r="E1056" s="28">
        <v>387.67</v>
      </c>
      <c r="F1056" s="28">
        <v>109.1</v>
      </c>
      <c r="G1056" s="28" t="s">
        <v>3375</v>
      </c>
      <c r="H1056" s="28">
        <v>253.88</v>
      </c>
      <c r="I1056" s="30">
        <f t="shared" si="113"/>
        <v>-5.1121446711985489E-3</v>
      </c>
      <c r="J1056" s="30">
        <f t="shared" si="114"/>
        <v>-1.5924103025412684E-2</v>
      </c>
      <c r="K1056" s="30">
        <f t="shared" si="115"/>
        <v>-9.2060742433424131E-2</v>
      </c>
      <c r="L1056" s="30">
        <f t="shared" si="116"/>
        <v>-1.652634184936605E-2</v>
      </c>
      <c r="M1056" s="30">
        <f t="shared" si="117"/>
        <v>-6.003135803936005E-2</v>
      </c>
      <c r="N1056" s="30">
        <f t="shared" si="118"/>
        <v>-1.0097497564225883E-2</v>
      </c>
      <c r="O1056" s="30">
        <f t="shared" si="119"/>
        <v>-5.3677404603580142E-2</v>
      </c>
    </row>
    <row r="1057" spans="1:15" s="30" customFormat="1">
      <c r="A1057" s="27">
        <v>44559</v>
      </c>
      <c r="B1057" s="28" t="s">
        <v>381</v>
      </c>
      <c r="C1057" s="28">
        <v>626.83000000000004</v>
      </c>
      <c r="D1057" s="28" t="s">
        <v>2206</v>
      </c>
      <c r="E1057" s="28">
        <v>382.07</v>
      </c>
      <c r="F1057" s="28">
        <v>110.9</v>
      </c>
      <c r="G1057" s="28" t="s">
        <v>3376</v>
      </c>
      <c r="H1057" s="28">
        <v>258.45</v>
      </c>
      <c r="I1057" s="30">
        <f t="shared" si="113"/>
        <v>5.1981614531242863E-4</v>
      </c>
      <c r="J1057" s="30">
        <f t="shared" si="114"/>
        <v>-9.7318575007954485E-3</v>
      </c>
      <c r="K1057" s="30">
        <f t="shared" si="115"/>
        <v>1.4153107695566332E-2</v>
      </c>
      <c r="L1057" s="30">
        <f t="shared" si="116"/>
        <v>-1.4550624373504187E-2</v>
      </c>
      <c r="M1057" s="30">
        <f t="shared" si="117"/>
        <v>1.6364001517296216E-2</v>
      </c>
      <c r="N1057" s="30">
        <f t="shared" si="118"/>
        <v>-1.4725901646738555E-2</v>
      </c>
      <c r="O1057" s="30">
        <f t="shared" si="119"/>
        <v>1.7840537203778862E-2</v>
      </c>
    </row>
    <row r="1058" spans="1:15" s="30" customFormat="1">
      <c r="A1058" s="27">
        <v>44558</v>
      </c>
      <c r="B1058" s="28" t="s">
        <v>1030</v>
      </c>
      <c r="C1058" s="28">
        <v>627.16999999999996</v>
      </c>
      <c r="D1058" s="28" t="s">
        <v>2207</v>
      </c>
      <c r="E1058" s="28">
        <v>375.6</v>
      </c>
      <c r="F1058" s="28">
        <v>111</v>
      </c>
      <c r="G1058" s="28" t="s">
        <v>3377</v>
      </c>
      <c r="H1058" s="28">
        <v>255.22</v>
      </c>
      <c r="I1058" s="30">
        <f t="shared" si="113"/>
        <v>2.2269565761282007E-4</v>
      </c>
      <c r="J1058" s="30">
        <f t="shared" si="114"/>
        <v>5.4226476607879533E-4</v>
      </c>
      <c r="K1058" s="30">
        <f t="shared" si="115"/>
        <v>-7.2048071943891095E-3</v>
      </c>
      <c r="L1058" s="30">
        <f t="shared" si="116"/>
        <v>-1.7079090558254843E-2</v>
      </c>
      <c r="M1058" s="30">
        <f t="shared" si="117"/>
        <v>9.0130695601266665E-4</v>
      </c>
      <c r="N1058" s="30">
        <f t="shared" si="118"/>
        <v>4.2509628666773415E-3</v>
      </c>
      <c r="O1058" s="30">
        <f t="shared" si="119"/>
        <v>-1.2576333336217981E-2</v>
      </c>
    </row>
    <row r="1059" spans="1:15" s="30" customFormat="1">
      <c r="A1059" s="27">
        <v>44557</v>
      </c>
      <c r="B1059" s="28" t="s">
        <v>893</v>
      </c>
      <c r="C1059" s="28">
        <v>621.87</v>
      </c>
      <c r="D1059" s="28" t="s">
        <v>2208</v>
      </c>
      <c r="E1059" s="28">
        <v>378.87</v>
      </c>
      <c r="F1059" s="28">
        <v>113.65</v>
      </c>
      <c r="G1059" s="28" t="s">
        <v>3378</v>
      </c>
      <c r="H1059" s="28">
        <v>254.05</v>
      </c>
      <c r="I1059" s="30">
        <f t="shared" si="113"/>
        <v>-2.885481638241064E-2</v>
      </c>
      <c r="J1059" s="30">
        <f t="shared" si="114"/>
        <v>-8.486568580046391E-3</v>
      </c>
      <c r="K1059" s="30">
        <f t="shared" si="115"/>
        <v>-8.4416835481739769E-3</v>
      </c>
      <c r="L1059" s="30">
        <f t="shared" si="116"/>
        <v>8.6683909920805113E-3</v>
      </c>
      <c r="M1059" s="30">
        <f t="shared" si="117"/>
        <v>2.3593348986218163E-2</v>
      </c>
      <c r="N1059" s="30">
        <f t="shared" si="118"/>
        <v>-6.8604891128952036E-3</v>
      </c>
      <c r="O1059" s="30">
        <f t="shared" si="119"/>
        <v>-4.5948202660893705E-3</v>
      </c>
    </row>
    <row r="1060" spans="1:15" s="30" customFormat="1">
      <c r="A1060" s="27">
        <v>44554</v>
      </c>
      <c r="B1060" s="28" t="s">
        <v>1031</v>
      </c>
      <c r="C1060" s="28">
        <v>617.41999999999996</v>
      </c>
      <c r="D1060" s="28" t="s">
        <v>2209</v>
      </c>
      <c r="E1060" s="28">
        <v>383.87</v>
      </c>
      <c r="F1060" s="28">
        <v>109.3</v>
      </c>
      <c r="G1060" s="28" t="s">
        <v>3379</v>
      </c>
      <c r="H1060" s="28">
        <v>253.18</v>
      </c>
      <c r="I1060" s="30">
        <f t="shared" si="113"/>
        <v>3.7821066251260888E-3</v>
      </c>
      <c r="J1060" s="30">
        <f t="shared" si="114"/>
        <v>-7.1815622261971702E-3</v>
      </c>
      <c r="K1060" s="30">
        <f t="shared" si="115"/>
        <v>-1.3646245073890931E-2</v>
      </c>
      <c r="L1060" s="30">
        <f t="shared" si="116"/>
        <v>1.3110815276705077E-2</v>
      </c>
      <c r="M1060" s="30">
        <f t="shared" si="117"/>
        <v>-3.9027155116059413E-2</v>
      </c>
      <c r="N1060" s="30">
        <f t="shared" si="118"/>
        <v>-8.0722904406452765E-3</v>
      </c>
      <c r="O1060" s="30">
        <f t="shared" si="119"/>
        <v>-3.4303998310587338E-3</v>
      </c>
    </row>
    <row r="1061" spans="1:15" s="30" customFormat="1">
      <c r="A1061" s="27">
        <v>44553</v>
      </c>
      <c r="B1061" s="28" t="s">
        <v>1032</v>
      </c>
      <c r="C1061" s="28">
        <v>625.46</v>
      </c>
      <c r="D1061" s="28" t="s">
        <v>2210</v>
      </c>
      <c r="E1061" s="28">
        <v>389.37</v>
      </c>
      <c r="F1061" s="28">
        <v>107.15</v>
      </c>
      <c r="G1061" s="28" t="s">
        <v>3380</v>
      </c>
      <c r="H1061" s="28">
        <v>255.78</v>
      </c>
      <c r="I1061" s="30">
        <f t="shared" si="113"/>
        <v>-5.1581905081597114E-3</v>
      </c>
      <c r="J1061" s="30">
        <f t="shared" si="114"/>
        <v>1.2937873567891856E-2</v>
      </c>
      <c r="K1061" s="30">
        <f t="shared" si="115"/>
        <v>2.0656069517802574E-2</v>
      </c>
      <c r="L1061" s="30">
        <f t="shared" si="116"/>
        <v>1.4226094764883927E-2</v>
      </c>
      <c r="M1061" s="30">
        <f t="shared" si="117"/>
        <v>-1.9866673262906732E-2</v>
      </c>
      <c r="N1061" s="30">
        <f t="shared" si="118"/>
        <v>2.3430358452580631E-2</v>
      </c>
      <c r="O1061" s="30">
        <f t="shared" si="119"/>
        <v>1.0217001796491642E-2</v>
      </c>
    </row>
    <row r="1062" spans="1:15" s="30" customFormat="1">
      <c r="A1062" s="27">
        <v>44552</v>
      </c>
      <c r="B1062" s="28" t="s">
        <v>1033</v>
      </c>
      <c r="C1062" s="28">
        <v>621.83000000000004</v>
      </c>
      <c r="D1062" s="28" t="s">
        <v>2211</v>
      </c>
      <c r="E1062" s="28">
        <v>393.17</v>
      </c>
      <c r="F1062" s="28">
        <v>109.3</v>
      </c>
      <c r="G1062" s="28" t="s">
        <v>3381</v>
      </c>
      <c r="H1062" s="28">
        <v>254.32</v>
      </c>
      <c r="I1062" s="30">
        <f t="shared" si="113"/>
        <v>3.7263329618143553E-3</v>
      </c>
      <c r="J1062" s="30">
        <f t="shared" si="114"/>
        <v>-5.8206355356543275E-3</v>
      </c>
      <c r="K1062" s="30">
        <f t="shared" si="115"/>
        <v>-1.3161304167530252E-2</v>
      </c>
      <c r="L1062" s="30">
        <f t="shared" si="116"/>
        <v>9.7120399446187968E-3</v>
      </c>
      <c r="M1062" s="30">
        <f t="shared" si="117"/>
        <v>1.9866673262906843E-2</v>
      </c>
      <c r="N1062" s="30">
        <f t="shared" si="118"/>
        <v>-8.9218629261199819E-3</v>
      </c>
      <c r="O1062" s="30">
        <f t="shared" si="119"/>
        <v>-5.7243834026267431E-3</v>
      </c>
    </row>
    <row r="1063" spans="1:15" s="30" customFormat="1">
      <c r="A1063" s="27">
        <v>44551</v>
      </c>
      <c r="B1063" s="28" t="s">
        <v>1034</v>
      </c>
      <c r="C1063" s="28">
        <v>619.5</v>
      </c>
      <c r="D1063" s="28" t="s">
        <v>2212</v>
      </c>
      <c r="E1063" s="28">
        <v>394.27</v>
      </c>
      <c r="F1063" s="28">
        <v>106.2</v>
      </c>
      <c r="G1063" s="28" t="s">
        <v>3382</v>
      </c>
      <c r="H1063" s="28">
        <v>249.2</v>
      </c>
      <c r="I1063" s="30">
        <f t="shared" si="113"/>
        <v>-2.671165986978924E-3</v>
      </c>
      <c r="J1063" s="30">
        <f t="shared" si="114"/>
        <v>-3.7540424163728841E-3</v>
      </c>
      <c r="K1063" s="30">
        <f t="shared" si="115"/>
        <v>2.3565067292786392E-3</v>
      </c>
      <c r="L1063" s="30">
        <f t="shared" si="116"/>
        <v>2.7938654767878713E-3</v>
      </c>
      <c r="M1063" s="30">
        <f t="shared" si="117"/>
        <v>-2.8772286374654357E-2</v>
      </c>
      <c r="N1063" s="30">
        <f t="shared" si="118"/>
        <v>-1.2332656590876229E-2</v>
      </c>
      <c r="O1063" s="30">
        <f t="shared" si="119"/>
        <v>-2.0337529689249182E-2</v>
      </c>
    </row>
    <row r="1064" spans="1:15" s="30" customFormat="1">
      <c r="A1064" s="27">
        <v>44550</v>
      </c>
      <c r="B1064" s="28" t="s">
        <v>1035</v>
      </c>
      <c r="C1064" s="28">
        <v>616.21</v>
      </c>
      <c r="D1064" s="28" t="s">
        <v>2213</v>
      </c>
      <c r="E1064" s="28">
        <v>391.97</v>
      </c>
      <c r="F1064" s="28">
        <v>104.85</v>
      </c>
      <c r="G1064" s="28" t="s">
        <v>3383</v>
      </c>
      <c r="H1064" s="28">
        <v>245.3</v>
      </c>
      <c r="I1064" s="30">
        <f t="shared" si="113"/>
        <v>-9.7991814410754267E-3</v>
      </c>
      <c r="J1064" s="30">
        <f t="shared" si="114"/>
        <v>-5.3248865410690247E-3</v>
      </c>
      <c r="K1064" s="30">
        <f t="shared" si="115"/>
        <v>2.7123506923279639E-2</v>
      </c>
      <c r="L1064" s="30">
        <f t="shared" si="116"/>
        <v>-5.8506475395830419E-3</v>
      </c>
      <c r="M1064" s="30">
        <f t="shared" si="117"/>
        <v>-1.2793351459909582E-2</v>
      </c>
      <c r="N1064" s="30">
        <f t="shared" si="118"/>
        <v>-6.3382814936455536E-3</v>
      </c>
      <c r="O1064" s="30">
        <f t="shared" si="119"/>
        <v>-1.5773835648854314E-2</v>
      </c>
    </row>
    <row r="1065" spans="1:15" s="30" customFormat="1">
      <c r="A1065" s="27">
        <v>44547</v>
      </c>
      <c r="B1065" s="28" t="s">
        <v>1036</v>
      </c>
      <c r="C1065" s="28">
        <v>627.71</v>
      </c>
      <c r="D1065" s="28" t="s">
        <v>2214</v>
      </c>
      <c r="E1065" s="28">
        <v>393.23</v>
      </c>
      <c r="F1065" s="28">
        <v>105.1</v>
      </c>
      <c r="G1065" s="28" t="s">
        <v>3384</v>
      </c>
      <c r="H1065" s="28">
        <v>256.8</v>
      </c>
      <c r="I1065" s="30">
        <f t="shared" si="113"/>
        <v>1.3110912469395625E-3</v>
      </c>
      <c r="J1065" s="30">
        <f t="shared" si="114"/>
        <v>1.8490461845772077E-2</v>
      </c>
      <c r="K1065" s="30">
        <f t="shared" si="115"/>
        <v>2.5131509952216243E-2</v>
      </c>
      <c r="L1065" s="30">
        <f t="shared" si="116"/>
        <v>3.2093761627860363E-3</v>
      </c>
      <c r="M1065" s="30">
        <f t="shared" si="117"/>
        <v>2.3815205349764119E-3</v>
      </c>
      <c r="N1065" s="30">
        <f t="shared" si="118"/>
        <v>1.2636642072189876E-2</v>
      </c>
      <c r="O1065" s="30">
        <f t="shared" si="119"/>
        <v>4.5815620551362429E-2</v>
      </c>
    </row>
    <row r="1066" spans="1:15" s="30" customFormat="1">
      <c r="A1066" s="27">
        <v>44546</v>
      </c>
      <c r="B1066" s="28" t="s">
        <v>1037</v>
      </c>
      <c r="C1066" s="28">
        <v>634</v>
      </c>
      <c r="D1066" s="28" t="s">
        <v>2215</v>
      </c>
      <c r="E1066" s="28">
        <v>388.47</v>
      </c>
      <c r="F1066" s="28">
        <v>106.3</v>
      </c>
      <c r="G1066" s="28" t="s">
        <v>3385</v>
      </c>
      <c r="H1066" s="28">
        <v>269.45</v>
      </c>
      <c r="I1066" s="30">
        <f t="shared" si="113"/>
        <v>1.6783482476842863E-2</v>
      </c>
      <c r="J1066" s="30">
        <f t="shared" si="114"/>
        <v>9.9706780633256973E-3</v>
      </c>
      <c r="K1066" s="30">
        <f t="shared" si="115"/>
        <v>2.2803908613109555E-3</v>
      </c>
      <c r="L1066" s="30">
        <f t="shared" si="116"/>
        <v>-1.2178735663528612E-2</v>
      </c>
      <c r="M1066" s="30">
        <f t="shared" si="117"/>
        <v>1.1353007464996784E-2</v>
      </c>
      <c r="N1066" s="30">
        <f t="shared" si="118"/>
        <v>2.4191426705479736E-2</v>
      </c>
      <c r="O1066" s="30">
        <f t="shared" si="119"/>
        <v>4.8085272563699405E-2</v>
      </c>
    </row>
    <row r="1067" spans="1:15" s="30" customFormat="1">
      <c r="A1067" s="27">
        <v>44545</v>
      </c>
      <c r="B1067" s="28" t="s">
        <v>1038</v>
      </c>
      <c r="C1067" s="28">
        <v>632.71</v>
      </c>
      <c r="D1067" s="28" t="s">
        <v>2216</v>
      </c>
      <c r="E1067" s="28">
        <v>392.73</v>
      </c>
      <c r="F1067" s="28">
        <v>106.95</v>
      </c>
      <c r="G1067" s="28" t="s">
        <v>3386</v>
      </c>
      <c r="H1067" s="28">
        <v>280.77</v>
      </c>
      <c r="I1067" s="30">
        <f t="shared" si="113"/>
        <v>1.0150670133980285E-3</v>
      </c>
      <c r="J1067" s="30">
        <f t="shared" si="114"/>
        <v>-2.0367731303262216E-3</v>
      </c>
      <c r="K1067" s="30">
        <f t="shared" si="115"/>
        <v>5.6905063742657136E-3</v>
      </c>
      <c r="L1067" s="30">
        <f t="shared" si="116"/>
        <v>1.0906406111258904E-2</v>
      </c>
      <c r="M1067" s="30">
        <f t="shared" si="117"/>
        <v>6.0961501805125509E-3</v>
      </c>
      <c r="N1067" s="30">
        <f t="shared" si="118"/>
        <v>6.9378560929961829E-3</v>
      </c>
      <c r="O1067" s="30">
        <f t="shared" si="119"/>
        <v>4.1152984457769062E-2</v>
      </c>
    </row>
    <row r="1068" spans="1:15" s="30" customFormat="1">
      <c r="A1068" s="27">
        <v>44544</v>
      </c>
      <c r="B1068" s="28" t="s">
        <v>1039</v>
      </c>
      <c r="C1068" s="28">
        <v>630.71</v>
      </c>
      <c r="D1068" s="28" t="s">
        <v>2197</v>
      </c>
      <c r="E1068" s="28">
        <v>391.93</v>
      </c>
      <c r="F1068" s="28">
        <v>108.95</v>
      </c>
      <c r="G1068" s="28" t="s">
        <v>3387</v>
      </c>
      <c r="H1068" s="28">
        <v>284.85000000000002</v>
      </c>
      <c r="I1068" s="30">
        <f t="shared" si="113"/>
        <v>-1.3485974359803013E-3</v>
      </c>
      <c r="J1068" s="30">
        <f t="shared" si="114"/>
        <v>-3.1660123642264109E-3</v>
      </c>
      <c r="K1068" s="30">
        <f t="shared" si="115"/>
        <v>-4.1409381034305848E-4</v>
      </c>
      <c r="L1068" s="30">
        <f t="shared" si="116"/>
        <v>-2.0391004440021847E-3</v>
      </c>
      <c r="M1068" s="30">
        <f t="shared" si="117"/>
        <v>1.8527625862214174E-2</v>
      </c>
      <c r="N1068" s="30">
        <f t="shared" si="118"/>
        <v>-6.8888292753171146E-3</v>
      </c>
      <c r="O1068" s="30">
        <f t="shared" si="119"/>
        <v>1.4426897089130017E-2</v>
      </c>
    </row>
    <row r="1069" spans="1:15" s="30" customFormat="1">
      <c r="A1069" s="27">
        <v>44543</v>
      </c>
      <c r="B1069" s="28" t="s">
        <v>1040</v>
      </c>
      <c r="C1069" s="28">
        <v>629.58000000000004</v>
      </c>
      <c r="D1069" s="28" t="s">
        <v>2217</v>
      </c>
      <c r="E1069" s="28">
        <v>397</v>
      </c>
      <c r="F1069" s="28">
        <v>106.9</v>
      </c>
      <c r="G1069" s="28" t="s">
        <v>3388</v>
      </c>
      <c r="H1069" s="28">
        <v>287.45</v>
      </c>
      <c r="I1069" s="30">
        <f t="shared" si="113"/>
        <v>-5.3669159663237327E-3</v>
      </c>
      <c r="J1069" s="30">
        <f t="shared" si="114"/>
        <v>-1.7932385447986131E-3</v>
      </c>
      <c r="K1069" s="30">
        <f t="shared" si="115"/>
        <v>2.4363206686461271E-5</v>
      </c>
      <c r="L1069" s="30">
        <f t="shared" si="116"/>
        <v>1.2853028271075175E-2</v>
      </c>
      <c r="M1069" s="30">
        <f t="shared" si="117"/>
        <v>-1.8995243359629318E-2</v>
      </c>
      <c r="N1069" s="30">
        <f t="shared" si="118"/>
        <v>6.4505318104257402E-3</v>
      </c>
      <c r="O1069" s="30">
        <f t="shared" si="119"/>
        <v>9.0862061428953044E-3</v>
      </c>
    </row>
    <row r="1070" spans="1:15" s="30" customFormat="1">
      <c r="A1070" s="27">
        <v>44540</v>
      </c>
      <c r="B1070" s="28" t="s">
        <v>1041</v>
      </c>
      <c r="C1070" s="28">
        <v>635.41999999999996</v>
      </c>
      <c r="D1070" s="28" t="s">
        <v>2218</v>
      </c>
      <c r="E1070" s="28">
        <v>398.03</v>
      </c>
      <c r="F1070" s="28">
        <v>108.65</v>
      </c>
      <c r="G1070" s="28" t="s">
        <v>3389</v>
      </c>
      <c r="H1070" s="28">
        <v>287.32</v>
      </c>
      <c r="I1070" s="30">
        <f t="shared" si="113"/>
        <v>1.005637750452386E-3</v>
      </c>
      <c r="J1070" s="30">
        <f t="shared" si="114"/>
        <v>9.2332671776170216E-3</v>
      </c>
      <c r="K1070" s="30">
        <f t="shared" si="115"/>
        <v>9.4325452940898606E-3</v>
      </c>
      <c r="L1070" s="30">
        <f t="shared" si="116"/>
        <v>2.5910986409747386E-3</v>
      </c>
      <c r="M1070" s="30">
        <f t="shared" si="117"/>
        <v>1.6237888671439136E-2</v>
      </c>
      <c r="N1070" s="30">
        <f t="shared" si="118"/>
        <v>3.2825579910965956E-3</v>
      </c>
      <c r="O1070" s="30">
        <f t="shared" si="119"/>
        <v>-4.523548626990819E-4</v>
      </c>
    </row>
    <row r="1071" spans="1:15" s="30" customFormat="1">
      <c r="A1071" s="27">
        <v>44539</v>
      </c>
      <c r="B1071" s="28" t="s">
        <v>1042</v>
      </c>
      <c r="C1071" s="28">
        <v>618.71</v>
      </c>
      <c r="D1071" s="28" t="s">
        <v>2219</v>
      </c>
      <c r="E1071" s="28">
        <v>394.27</v>
      </c>
      <c r="F1071" s="28">
        <v>106.5</v>
      </c>
      <c r="G1071" s="28" t="s">
        <v>3390</v>
      </c>
      <c r="H1071" s="28">
        <v>292.23</v>
      </c>
      <c r="I1071" s="30">
        <f t="shared" si="113"/>
        <v>-3.2331019216379632E-2</v>
      </c>
      <c r="J1071" s="30">
        <f t="shared" si="114"/>
        <v>-2.6649532246910714E-2</v>
      </c>
      <c r="K1071" s="30">
        <f t="shared" si="115"/>
        <v>-9.1751986347882294E-4</v>
      </c>
      <c r="L1071" s="30">
        <f t="shared" si="116"/>
        <v>-9.491425538981052E-3</v>
      </c>
      <c r="M1071" s="30">
        <f t="shared" si="117"/>
        <v>-1.9986721552958917E-2</v>
      </c>
      <c r="N1071" s="30">
        <f t="shared" si="118"/>
        <v>1.2568161671752082E-2</v>
      </c>
      <c r="O1071" s="30">
        <f t="shared" si="119"/>
        <v>1.694458624437311E-2</v>
      </c>
    </row>
    <row r="1072" spans="1:15" s="30" customFormat="1">
      <c r="A1072" s="27">
        <v>44538</v>
      </c>
      <c r="B1072" s="28" t="s">
        <v>895</v>
      </c>
      <c r="C1072" s="28">
        <v>623.25</v>
      </c>
      <c r="D1072" s="28" t="s">
        <v>2220</v>
      </c>
      <c r="E1072" s="28">
        <v>390.53</v>
      </c>
      <c r="F1072" s="28">
        <v>106.55</v>
      </c>
      <c r="G1072" s="28" t="s">
        <v>3391</v>
      </c>
      <c r="H1072" s="28">
        <v>285.85000000000002</v>
      </c>
      <c r="I1072" s="30">
        <f t="shared" si="113"/>
        <v>-2.2332013449826438E-2</v>
      </c>
      <c r="J1072" s="30">
        <f t="shared" si="114"/>
        <v>7.3110570750864259E-3</v>
      </c>
      <c r="K1072" s="30">
        <f t="shared" si="115"/>
        <v>-4.8915246699737149E-3</v>
      </c>
      <c r="L1072" s="30">
        <f t="shared" si="116"/>
        <v>-9.5311628764338224E-3</v>
      </c>
      <c r="M1072" s="30">
        <f t="shared" si="117"/>
        <v>4.6937339514641551E-4</v>
      </c>
      <c r="N1072" s="30">
        <f t="shared" si="118"/>
        <v>-5.2637393049387521E-3</v>
      </c>
      <c r="O1072" s="30">
        <f t="shared" si="119"/>
        <v>-2.2073965740993608E-2</v>
      </c>
    </row>
    <row r="1073" spans="1:15" s="30" customFormat="1">
      <c r="A1073" s="27">
        <v>44537</v>
      </c>
      <c r="B1073" s="28" t="s">
        <v>1043</v>
      </c>
      <c r="C1073" s="28">
        <v>613.5</v>
      </c>
      <c r="D1073" s="28" t="s">
        <v>2221</v>
      </c>
      <c r="E1073" s="28">
        <v>387.27</v>
      </c>
      <c r="F1073" s="28">
        <v>106.5</v>
      </c>
      <c r="G1073" s="28" t="s">
        <v>3392</v>
      </c>
      <c r="H1073" s="28">
        <v>298.35000000000002</v>
      </c>
      <c r="I1073" s="30">
        <f t="shared" si="113"/>
        <v>-2.546217032576777E-2</v>
      </c>
      <c r="J1073" s="30">
        <f t="shared" si="114"/>
        <v>-1.5767458252701098E-2</v>
      </c>
      <c r="K1073" s="30">
        <f t="shared" si="115"/>
        <v>4.0940475551751541E-3</v>
      </c>
      <c r="L1073" s="30">
        <f t="shared" si="116"/>
        <v>-8.382666726022614E-3</v>
      </c>
      <c r="M1073" s="30">
        <f t="shared" si="117"/>
        <v>-4.6937339514628774E-4</v>
      </c>
      <c r="N1073" s="30">
        <f t="shared" si="118"/>
        <v>-1.1091554677951656E-3</v>
      </c>
      <c r="O1073" s="30">
        <f t="shared" si="119"/>
        <v>4.2800096258110661E-2</v>
      </c>
    </row>
    <row r="1074" spans="1:15" s="30" customFormat="1">
      <c r="A1074" s="27">
        <v>44536</v>
      </c>
      <c r="B1074" s="28" t="s">
        <v>1044</v>
      </c>
      <c r="C1074" s="28">
        <v>604.83000000000004</v>
      </c>
      <c r="D1074" s="28" t="s">
        <v>2222</v>
      </c>
      <c r="E1074" s="28">
        <v>397.57</v>
      </c>
      <c r="F1074" s="28">
        <v>102.6</v>
      </c>
      <c r="G1074" s="28" t="s">
        <v>3393</v>
      </c>
      <c r="H1074" s="28">
        <v>262.60000000000002</v>
      </c>
      <c r="I1074" s="30">
        <f t="shared" si="113"/>
        <v>2.6200240738049208E-3</v>
      </c>
      <c r="J1074" s="30">
        <f t="shared" si="114"/>
        <v>-1.423283734123644E-2</v>
      </c>
      <c r="K1074" s="30">
        <f t="shared" si="115"/>
        <v>1.0006818805691162E-2</v>
      </c>
      <c r="L1074" s="30">
        <f t="shared" si="116"/>
        <v>2.6248895032694092E-2</v>
      </c>
      <c r="M1074" s="30">
        <f t="shared" si="117"/>
        <v>-3.7307052412810709E-2</v>
      </c>
      <c r="N1074" s="30">
        <f t="shared" si="118"/>
        <v>3.2516437393467594E-3</v>
      </c>
      <c r="O1074" s="30">
        <f t="shared" si="119"/>
        <v>-0.12763533209939501</v>
      </c>
    </row>
    <row r="1075" spans="1:15" s="30" customFormat="1">
      <c r="A1075" s="27">
        <v>44533</v>
      </c>
      <c r="B1075" s="28" t="s">
        <v>1045</v>
      </c>
      <c r="C1075" s="28">
        <v>608.29</v>
      </c>
      <c r="D1075" s="28" t="s">
        <v>2223</v>
      </c>
      <c r="E1075" s="28">
        <v>396.57</v>
      </c>
      <c r="F1075" s="28">
        <v>103.7</v>
      </c>
      <c r="G1075" s="28" t="s">
        <v>3394</v>
      </c>
      <c r="H1075" s="28">
        <v>278.23</v>
      </c>
      <c r="I1075" s="30">
        <f t="shared" si="113"/>
        <v>2.3469261782367992E-2</v>
      </c>
      <c r="J1075" s="30">
        <f t="shared" si="114"/>
        <v>5.7043151248582554E-3</v>
      </c>
      <c r="K1075" s="30">
        <f t="shared" si="115"/>
        <v>5.5718624582857111E-2</v>
      </c>
      <c r="L1075" s="30">
        <f t="shared" si="116"/>
        <v>-2.518448960003773E-3</v>
      </c>
      <c r="M1075" s="30">
        <f t="shared" si="117"/>
        <v>1.0664182498812567E-2</v>
      </c>
      <c r="N1075" s="30">
        <f t="shared" si="118"/>
        <v>-9.7139754760108086E-3</v>
      </c>
      <c r="O1075" s="30">
        <f t="shared" si="119"/>
        <v>5.7816147895898187E-2</v>
      </c>
    </row>
    <row r="1076" spans="1:15" s="30" customFormat="1">
      <c r="A1076" s="27">
        <v>44532</v>
      </c>
      <c r="B1076" s="28" t="s">
        <v>1046</v>
      </c>
      <c r="C1076" s="28">
        <v>619.62</v>
      </c>
      <c r="D1076" s="28" t="s">
        <v>2224</v>
      </c>
      <c r="E1076" s="28">
        <v>399.97</v>
      </c>
      <c r="F1076" s="28">
        <v>105.2</v>
      </c>
      <c r="G1076" s="28" t="s">
        <v>3395</v>
      </c>
      <c r="H1076" s="28">
        <v>286.73</v>
      </c>
      <c r="I1076" s="30">
        <f t="shared" si="113"/>
        <v>2.2302447982017998E-2</v>
      </c>
      <c r="J1076" s="30">
        <f t="shared" si="114"/>
        <v>1.8454644976779712E-2</v>
      </c>
      <c r="K1076" s="30">
        <f t="shared" si="115"/>
        <v>6.1385884480000871E-3</v>
      </c>
      <c r="L1076" s="30">
        <f t="shared" si="116"/>
        <v>8.5369740359233521E-3</v>
      </c>
      <c r="M1076" s="30">
        <f t="shared" si="117"/>
        <v>1.436118506812778E-2</v>
      </c>
      <c r="N1076" s="30">
        <f t="shared" si="118"/>
        <v>1.0507216145947894E-2</v>
      </c>
      <c r="O1076" s="30">
        <f t="shared" si="119"/>
        <v>3.0092896645918042E-2</v>
      </c>
    </row>
    <row r="1077" spans="1:15" s="30" customFormat="1">
      <c r="A1077" s="27">
        <v>44531</v>
      </c>
      <c r="B1077" s="28" t="s">
        <v>1047</v>
      </c>
      <c r="C1077" s="28">
        <v>617.46</v>
      </c>
      <c r="D1077" s="28" t="s">
        <v>2225</v>
      </c>
      <c r="E1077" s="28">
        <v>396.7</v>
      </c>
      <c r="F1077" s="28">
        <v>101.55</v>
      </c>
      <c r="G1077" s="28" t="s">
        <v>3396</v>
      </c>
      <c r="H1077" s="28">
        <v>285.5</v>
      </c>
      <c r="I1077" s="30">
        <f t="shared" si="113"/>
        <v>-1.3436403924048332E-2</v>
      </c>
      <c r="J1077" s="30">
        <f t="shared" si="114"/>
        <v>-3.4920978353122417E-3</v>
      </c>
      <c r="K1077" s="30">
        <f t="shared" si="115"/>
        <v>1.7153921033166427E-2</v>
      </c>
      <c r="L1077" s="30">
        <f t="shared" si="116"/>
        <v>-8.2092167750569926E-3</v>
      </c>
      <c r="M1077" s="30">
        <f t="shared" si="117"/>
        <v>-3.531201227721583E-2</v>
      </c>
      <c r="N1077" s="30">
        <f t="shared" si="118"/>
        <v>6.2517419807293318E-3</v>
      </c>
      <c r="O1077" s="30">
        <f t="shared" si="119"/>
        <v>-4.2989773144471331E-3</v>
      </c>
    </row>
    <row r="1078" spans="1:15" s="30" customFormat="1">
      <c r="A1078" s="27">
        <v>44530</v>
      </c>
      <c r="B1078" s="28" t="s">
        <v>1048</v>
      </c>
      <c r="C1078" s="28">
        <v>626.46</v>
      </c>
      <c r="D1078" s="28" t="s">
        <v>2226</v>
      </c>
      <c r="E1078" s="28">
        <v>397.5</v>
      </c>
      <c r="F1078" s="28">
        <v>102</v>
      </c>
      <c r="G1078" s="28" t="s">
        <v>3397</v>
      </c>
      <c r="H1078" s="28">
        <v>247.68</v>
      </c>
      <c r="I1078" s="30">
        <f t="shared" si="113"/>
        <v>1.7510908992315825E-3</v>
      </c>
      <c r="J1078" s="30">
        <f t="shared" si="114"/>
        <v>1.4470636454018606E-2</v>
      </c>
      <c r="K1078" s="30">
        <f t="shared" si="115"/>
        <v>-1.7108923620510124E-2</v>
      </c>
      <c r="L1078" s="30">
        <f t="shared" si="116"/>
        <v>2.0146065741021386E-3</v>
      </c>
      <c r="M1078" s="30">
        <f t="shared" si="117"/>
        <v>4.4215252578774771E-3</v>
      </c>
      <c r="N1078" s="30">
        <f t="shared" si="118"/>
        <v>-1.6977518784200799E-2</v>
      </c>
      <c r="O1078" s="30">
        <f t="shared" si="119"/>
        <v>-0.14210443869470255</v>
      </c>
    </row>
    <row r="1079" spans="1:15" s="30" customFormat="1">
      <c r="A1079" s="27">
        <v>44529</v>
      </c>
      <c r="B1079" s="28" t="s">
        <v>1049</v>
      </c>
      <c r="C1079" s="28">
        <v>616.87</v>
      </c>
      <c r="D1079" s="28" t="s">
        <v>2227</v>
      </c>
      <c r="E1079" s="28">
        <v>379.83</v>
      </c>
      <c r="F1079" s="28">
        <v>102</v>
      </c>
      <c r="G1079" s="28" t="s">
        <v>3398</v>
      </c>
      <c r="H1079" s="28">
        <v>220.4</v>
      </c>
      <c r="I1079" s="30">
        <f t="shared" si="113"/>
        <v>2.0674464724289659E-4</v>
      </c>
      <c r="J1079" s="30">
        <f t="shared" si="114"/>
        <v>-1.5426620744984229E-2</v>
      </c>
      <c r="K1079" s="30">
        <f t="shared" si="115"/>
        <v>-3.0727366316140814E-2</v>
      </c>
      <c r="L1079" s="30">
        <f t="shared" si="116"/>
        <v>-4.5471149894115132E-2</v>
      </c>
      <c r="M1079" s="30">
        <f t="shared" si="117"/>
        <v>0</v>
      </c>
      <c r="N1079" s="30">
        <f t="shared" si="118"/>
        <v>-4.7228463763628438E-3</v>
      </c>
      <c r="O1079" s="30">
        <f t="shared" si="119"/>
        <v>-0.11669351312260293</v>
      </c>
    </row>
    <row r="1080" spans="1:15" s="30" customFormat="1">
      <c r="A1080" s="27">
        <v>44526</v>
      </c>
      <c r="B1080" s="28" t="s">
        <v>1050</v>
      </c>
      <c r="C1080" s="28">
        <v>635.08000000000004</v>
      </c>
      <c r="D1080" s="28" t="s">
        <v>2228</v>
      </c>
      <c r="E1080" s="28">
        <v>386.6</v>
      </c>
      <c r="F1080" s="28">
        <v>105.35</v>
      </c>
      <c r="G1080" s="28" t="s">
        <v>3399</v>
      </c>
      <c r="H1080" s="28">
        <v>240.07</v>
      </c>
      <c r="I1080" s="30">
        <f t="shared" si="113"/>
        <v>-3.8171581721247209E-4</v>
      </c>
      <c r="J1080" s="30">
        <f t="shared" si="114"/>
        <v>2.9092670424221E-2</v>
      </c>
      <c r="K1080" s="30">
        <f t="shared" si="115"/>
        <v>3.5978135700771005E-2</v>
      </c>
      <c r="L1080" s="30">
        <f t="shared" si="116"/>
        <v>1.766678257395906E-2</v>
      </c>
      <c r="M1080" s="30">
        <f t="shared" si="117"/>
        <v>3.2315326965926844E-2</v>
      </c>
      <c r="N1080" s="30">
        <f t="shared" si="118"/>
        <v>2.0314462907672498E-2</v>
      </c>
      <c r="O1080" s="30">
        <f t="shared" si="119"/>
        <v>8.5486470203445117E-2</v>
      </c>
    </row>
    <row r="1081" spans="1:15" s="30" customFormat="1">
      <c r="A1081" s="27">
        <v>44525</v>
      </c>
      <c r="B1081" s="28" t="s">
        <v>1051</v>
      </c>
      <c r="C1081" s="28">
        <v>631.25</v>
      </c>
      <c r="D1081" s="28" t="s">
        <v>2229</v>
      </c>
      <c r="E1081" s="28">
        <v>393.07</v>
      </c>
      <c r="F1081" s="28">
        <v>108.15</v>
      </c>
      <c r="G1081" s="28" t="s">
        <v>3400</v>
      </c>
      <c r="H1081" s="28">
        <v>244.88</v>
      </c>
      <c r="I1081" s="30">
        <f t="shared" si="113"/>
        <v>3.6581390023606114E-4</v>
      </c>
      <c r="J1081" s="30">
        <f t="shared" si="114"/>
        <v>-6.048994619741223E-3</v>
      </c>
      <c r="K1081" s="30">
        <f t="shared" si="115"/>
        <v>1.4883541065439099E-2</v>
      </c>
      <c r="L1081" s="30">
        <f t="shared" si="116"/>
        <v>1.6597146282418679E-2</v>
      </c>
      <c r="M1081" s="30">
        <f t="shared" si="117"/>
        <v>2.6231012148869904E-2</v>
      </c>
      <c r="N1081" s="30">
        <f t="shared" si="118"/>
        <v>4.4932994283831851E-2</v>
      </c>
      <c r="O1081" s="30">
        <f t="shared" si="119"/>
        <v>1.9837747154952557E-2</v>
      </c>
    </row>
    <row r="1082" spans="1:15" s="30" customFormat="1">
      <c r="A1082" s="27">
        <v>44524</v>
      </c>
      <c r="B1082" s="28" t="s">
        <v>1052</v>
      </c>
      <c r="C1082" s="28">
        <v>636.66999999999996</v>
      </c>
      <c r="D1082" s="28" t="s">
        <v>2230</v>
      </c>
      <c r="E1082" s="28">
        <v>392.1</v>
      </c>
      <c r="F1082" s="28">
        <v>108.05</v>
      </c>
      <c r="G1082" s="28" t="s">
        <v>3401</v>
      </c>
      <c r="H1082" s="28">
        <v>248.32</v>
      </c>
      <c r="I1082" s="30">
        <f t="shared" si="113"/>
        <v>4.0468216307267034E-3</v>
      </c>
      <c r="J1082" s="30">
        <f t="shared" si="114"/>
        <v>8.5494873713846831E-3</v>
      </c>
      <c r="K1082" s="30">
        <f t="shared" si="115"/>
        <v>-2.2737065677776659E-3</v>
      </c>
      <c r="L1082" s="30">
        <f t="shared" si="116"/>
        <v>-2.4708037583632166E-3</v>
      </c>
      <c r="M1082" s="30">
        <f t="shared" si="117"/>
        <v>-9.2506944617282941E-4</v>
      </c>
      <c r="N1082" s="30">
        <f t="shared" si="118"/>
        <v>9.1439021666124383E-5</v>
      </c>
      <c r="O1082" s="30">
        <f t="shared" si="119"/>
        <v>1.3949942357696881E-2</v>
      </c>
    </row>
    <row r="1083" spans="1:15" s="30" customFormat="1">
      <c r="A1083" s="27">
        <v>44523</v>
      </c>
      <c r="B1083" s="28" t="s">
        <v>1053</v>
      </c>
      <c r="C1083" s="28">
        <v>641.04</v>
      </c>
      <c r="D1083" s="28" t="s">
        <v>2231</v>
      </c>
      <c r="E1083" s="28">
        <v>393.27</v>
      </c>
      <c r="F1083" s="28">
        <v>111.6</v>
      </c>
      <c r="G1083" s="28" t="s">
        <v>3402</v>
      </c>
      <c r="H1083" s="28">
        <v>240.9</v>
      </c>
      <c r="I1083" s="30">
        <f t="shared" si="113"/>
        <v>9.0027489984259423E-3</v>
      </c>
      <c r="J1083" s="30">
        <f t="shared" si="114"/>
        <v>6.8403895088607423E-3</v>
      </c>
      <c r="K1083" s="30">
        <f t="shared" si="115"/>
        <v>9.2391602910016895E-3</v>
      </c>
      <c r="L1083" s="30">
        <f t="shared" si="116"/>
        <v>2.9794895795414128E-3</v>
      </c>
      <c r="M1083" s="30">
        <f t="shared" si="117"/>
        <v>3.232696699431549E-2</v>
      </c>
      <c r="N1083" s="30">
        <f t="shared" si="118"/>
        <v>-7.5950022628203098E-3</v>
      </c>
      <c r="O1083" s="30">
        <f t="shared" si="119"/>
        <v>-3.0336327374028225E-2</v>
      </c>
    </row>
    <row r="1084" spans="1:15" s="30" customFormat="1">
      <c r="A1084" s="27">
        <v>44522</v>
      </c>
      <c r="B1084" s="28" t="s">
        <v>1054</v>
      </c>
      <c r="C1084" s="28">
        <v>648.66999999999996</v>
      </c>
      <c r="D1084" s="28" t="s">
        <v>2232</v>
      </c>
      <c r="E1084" s="28">
        <v>393.3</v>
      </c>
      <c r="F1084" s="28">
        <v>111.05</v>
      </c>
      <c r="G1084" s="28" t="s">
        <v>3403</v>
      </c>
      <c r="H1084" s="28">
        <v>245.3</v>
      </c>
      <c r="I1084" s="30">
        <f t="shared" si="113"/>
        <v>2.3485598894520582E-2</v>
      </c>
      <c r="J1084" s="30">
        <f t="shared" si="114"/>
        <v>1.1832255340968285E-2</v>
      </c>
      <c r="K1084" s="30">
        <f t="shared" si="115"/>
        <v>1.5836624109726818E-2</v>
      </c>
      <c r="L1084" s="30">
        <f t="shared" si="116"/>
        <v>7.6280559936273151E-5</v>
      </c>
      <c r="M1084" s="30">
        <f t="shared" si="117"/>
        <v>-4.9404996067740356E-3</v>
      </c>
      <c r="N1084" s="30">
        <f t="shared" si="118"/>
        <v>6.4285279702455738E-3</v>
      </c>
      <c r="O1084" s="30">
        <f t="shared" si="119"/>
        <v>1.8100041643617937E-2</v>
      </c>
    </row>
    <row r="1085" spans="1:15" s="30" customFormat="1">
      <c r="A1085" s="27">
        <v>44518</v>
      </c>
      <c r="B1085" s="28" t="s">
        <v>1055</v>
      </c>
      <c r="C1085" s="28">
        <v>656.79</v>
      </c>
      <c r="D1085" s="28" t="s">
        <v>2233</v>
      </c>
      <c r="E1085" s="28">
        <v>393.93</v>
      </c>
      <c r="F1085" s="28">
        <v>105.9</v>
      </c>
      <c r="G1085" s="28" t="s">
        <v>3404</v>
      </c>
      <c r="H1085" s="28">
        <v>233.47</v>
      </c>
      <c r="I1085" s="30">
        <f t="shared" si="113"/>
        <v>-1.0604128280698781E-2</v>
      </c>
      <c r="J1085" s="30">
        <f t="shared" si="114"/>
        <v>1.244021987657116E-2</v>
      </c>
      <c r="K1085" s="30">
        <f t="shared" si="115"/>
        <v>-8.3106568441763205E-3</v>
      </c>
      <c r="L1085" s="30">
        <f t="shared" si="116"/>
        <v>1.6005491012595751E-3</v>
      </c>
      <c r="M1085" s="30">
        <f t="shared" si="117"/>
        <v>-4.7485297733075631E-2</v>
      </c>
      <c r="N1085" s="30">
        <f t="shared" si="118"/>
        <v>8.5227141225464598E-3</v>
      </c>
      <c r="O1085" s="30">
        <f t="shared" si="119"/>
        <v>-4.9428362067097456E-2</v>
      </c>
    </row>
    <row r="1086" spans="1:15" s="30" customFormat="1">
      <c r="A1086" s="27">
        <v>44517</v>
      </c>
      <c r="B1086" s="28" t="s">
        <v>1056</v>
      </c>
      <c r="C1086" s="28">
        <v>660.12</v>
      </c>
      <c r="D1086" s="28" t="s">
        <v>2234</v>
      </c>
      <c r="E1086" s="28">
        <v>410.23</v>
      </c>
      <c r="F1086" s="28">
        <v>109.8</v>
      </c>
      <c r="G1086" s="28" t="s">
        <v>3405</v>
      </c>
      <c r="H1086" s="28">
        <v>243.95</v>
      </c>
      <c r="I1086" s="30">
        <f t="shared" si="113"/>
        <v>1.0531044320901744E-3</v>
      </c>
      <c r="J1086" s="30">
        <f t="shared" si="114"/>
        <v>5.0573039880125147E-3</v>
      </c>
      <c r="K1086" s="30">
        <f t="shared" si="115"/>
        <v>-3.6359322014419722E-3</v>
      </c>
      <c r="L1086" s="30">
        <f t="shared" si="116"/>
        <v>4.0544749481089208E-2</v>
      </c>
      <c r="M1086" s="30">
        <f t="shared" si="117"/>
        <v>3.6165276468069357E-2</v>
      </c>
      <c r="N1086" s="30">
        <f t="shared" si="118"/>
        <v>-7.5619893877642771E-3</v>
      </c>
      <c r="O1086" s="30">
        <f t="shared" si="119"/>
        <v>4.3909697064499868E-2</v>
      </c>
    </row>
    <row r="1087" spans="1:15" s="30" customFormat="1">
      <c r="A1087" s="27">
        <v>44516</v>
      </c>
      <c r="B1087" s="28" t="s">
        <v>1057</v>
      </c>
      <c r="C1087" s="28">
        <v>658.96</v>
      </c>
      <c r="D1087" s="28" t="s">
        <v>2235</v>
      </c>
      <c r="E1087" s="28">
        <v>412.93</v>
      </c>
      <c r="F1087" s="28">
        <v>106.8</v>
      </c>
      <c r="G1087" s="28" t="s">
        <v>3406</v>
      </c>
      <c r="H1087" s="28">
        <v>247.97</v>
      </c>
      <c r="I1087" s="30">
        <f t="shared" si="113"/>
        <v>-2.4617543819215972E-2</v>
      </c>
      <c r="J1087" s="30">
        <f t="shared" si="114"/>
        <v>-1.758802042373688E-3</v>
      </c>
      <c r="K1087" s="30">
        <f t="shared" si="115"/>
        <v>1.0674173333221029E-2</v>
      </c>
      <c r="L1087" s="30">
        <f t="shared" si="116"/>
        <v>6.5601090501846643E-3</v>
      </c>
      <c r="M1087" s="30">
        <f t="shared" si="117"/>
        <v>-2.7702602549335823E-2</v>
      </c>
      <c r="N1087" s="30">
        <f t="shared" si="118"/>
        <v>-3.4399940596529087E-2</v>
      </c>
      <c r="O1087" s="30">
        <f t="shared" si="119"/>
        <v>1.6344484844013085E-2</v>
      </c>
    </row>
    <row r="1088" spans="1:15" s="30" customFormat="1">
      <c r="A1088" s="27">
        <v>44515</v>
      </c>
      <c r="B1088" s="28" t="s">
        <v>1058</v>
      </c>
      <c r="C1088" s="28">
        <v>665.67</v>
      </c>
      <c r="D1088" s="28" t="s">
        <v>2236</v>
      </c>
      <c r="E1088" s="28">
        <v>411.73</v>
      </c>
      <c r="F1088" s="28">
        <v>97.5</v>
      </c>
      <c r="G1088" s="28" t="s">
        <v>3407</v>
      </c>
      <c r="H1088" s="28">
        <v>221.22</v>
      </c>
      <c r="I1088" s="30">
        <f t="shared" si="113"/>
        <v>5.3794193391861226E-3</v>
      </c>
      <c r="J1088" s="30">
        <f t="shared" si="114"/>
        <v>1.0131217613441558E-2</v>
      </c>
      <c r="K1088" s="30">
        <f t="shared" si="115"/>
        <v>-1.4761298040906664E-2</v>
      </c>
      <c r="L1088" s="30">
        <f t="shared" si="116"/>
        <v>-2.9102923555890245E-3</v>
      </c>
      <c r="M1088" s="30">
        <f t="shared" si="117"/>
        <v>-9.1105548522292898E-2</v>
      </c>
      <c r="N1088" s="30">
        <f t="shared" si="118"/>
        <v>-2.0845678518636671E-3</v>
      </c>
      <c r="O1088" s="30">
        <f t="shared" si="119"/>
        <v>-0.11415008963175115</v>
      </c>
    </row>
    <row r="1089" spans="1:15" s="30" customFormat="1">
      <c r="A1089" s="27">
        <v>44512</v>
      </c>
      <c r="B1089" s="28" t="s">
        <v>1059</v>
      </c>
      <c r="C1089" s="28">
        <v>662.08</v>
      </c>
      <c r="D1089" s="28" t="s">
        <v>2237</v>
      </c>
      <c r="E1089" s="28">
        <v>397.7</v>
      </c>
      <c r="F1089" s="28">
        <v>96.1</v>
      </c>
      <c r="G1089" s="28" t="s">
        <v>3408</v>
      </c>
      <c r="H1089" s="28">
        <v>210.95</v>
      </c>
      <c r="I1089" s="30">
        <f t="shared" si="113"/>
        <v>-1.4559351845003822E-2</v>
      </c>
      <c r="J1089" s="30">
        <f t="shared" si="114"/>
        <v>-5.4076576892565778E-3</v>
      </c>
      <c r="K1089" s="30">
        <f t="shared" si="115"/>
        <v>6.853378200575716E-3</v>
      </c>
      <c r="L1089" s="30">
        <f t="shared" si="116"/>
        <v>-3.4669842501063246E-2</v>
      </c>
      <c r="M1089" s="30">
        <f t="shared" si="117"/>
        <v>-1.44630620275547E-2</v>
      </c>
      <c r="N1089" s="30">
        <f t="shared" si="118"/>
        <v>3.5270065323053513E-3</v>
      </c>
      <c r="O1089" s="30">
        <f t="shared" si="119"/>
        <v>-4.7536542903760561E-2</v>
      </c>
    </row>
    <row r="1090" spans="1:15" s="30" customFormat="1">
      <c r="A1090" s="27">
        <v>44511</v>
      </c>
      <c r="B1090" s="28" t="s">
        <v>1060</v>
      </c>
      <c r="C1090" s="28">
        <v>649.29</v>
      </c>
      <c r="D1090" s="28" t="s">
        <v>2238</v>
      </c>
      <c r="E1090" s="28">
        <v>386.43</v>
      </c>
      <c r="F1090" s="28">
        <v>97.1</v>
      </c>
      <c r="G1090" s="28" t="s">
        <v>3409</v>
      </c>
      <c r="H1090" s="28">
        <v>212.22</v>
      </c>
      <c r="I1090" s="30">
        <f t="shared" si="113"/>
        <v>-1.9204004111586837E-2</v>
      </c>
      <c r="J1090" s="30">
        <f t="shared" si="114"/>
        <v>-1.9506936362630727E-2</v>
      </c>
      <c r="K1090" s="30">
        <f t="shared" si="115"/>
        <v>1.193527681562717E-2</v>
      </c>
      <c r="L1090" s="30">
        <f t="shared" si="116"/>
        <v>-2.8747213137538682E-2</v>
      </c>
      <c r="M1090" s="30">
        <f t="shared" si="117"/>
        <v>1.0352059321032432E-2</v>
      </c>
      <c r="N1090" s="30">
        <f t="shared" si="118"/>
        <v>4.7382839914599994E-3</v>
      </c>
      <c r="O1090" s="30">
        <f t="shared" si="119"/>
        <v>6.0023338750966925E-3</v>
      </c>
    </row>
    <row r="1091" spans="1:15" s="30" customFormat="1">
      <c r="A1091" s="27">
        <v>44510</v>
      </c>
      <c r="B1091" s="28" t="s">
        <v>1061</v>
      </c>
      <c r="C1091" s="28">
        <v>645.79</v>
      </c>
      <c r="D1091" s="28" t="s">
        <v>2239</v>
      </c>
      <c r="E1091" s="28">
        <v>396.43</v>
      </c>
      <c r="F1091" s="28">
        <v>96.6</v>
      </c>
      <c r="G1091" s="28" t="s">
        <v>3410</v>
      </c>
      <c r="H1091" s="28">
        <v>213.03</v>
      </c>
      <c r="I1091" s="30">
        <f t="shared" si="113"/>
        <v>1.4517899760106649E-2</v>
      </c>
      <c r="J1091" s="30">
        <f t="shared" si="114"/>
        <v>-5.4050846604380845E-3</v>
      </c>
      <c r="K1091" s="30">
        <f t="shared" si="115"/>
        <v>2.9188328230088309E-3</v>
      </c>
      <c r="L1091" s="30">
        <f t="shared" si="116"/>
        <v>2.5548741646226111E-2</v>
      </c>
      <c r="M1091" s="30">
        <f t="shared" si="117"/>
        <v>-5.1626340788069429E-3</v>
      </c>
      <c r="N1091" s="30">
        <f t="shared" si="118"/>
        <v>1.3161298287523498E-3</v>
      </c>
      <c r="O1091" s="30">
        <f t="shared" si="119"/>
        <v>3.8095284166676487E-3</v>
      </c>
    </row>
    <row r="1092" spans="1:15" s="30" customFormat="1">
      <c r="A1092" s="27">
        <v>44509</v>
      </c>
      <c r="B1092" s="28" t="s">
        <v>1062</v>
      </c>
      <c r="C1092" s="28">
        <v>645.79</v>
      </c>
      <c r="D1092" s="28" t="s">
        <v>2240</v>
      </c>
      <c r="E1092" s="28">
        <v>401.1</v>
      </c>
      <c r="F1092" s="28">
        <v>95.95</v>
      </c>
      <c r="G1092" s="28" t="s">
        <v>3411</v>
      </c>
      <c r="H1092" s="28">
        <v>214.12</v>
      </c>
      <c r="I1092" s="30">
        <f t="shared" ref="I1092:I1155" si="120">LN(B1092/B1091)</f>
        <v>1.1785630824943667E-2</v>
      </c>
      <c r="J1092" s="30">
        <f t="shared" ref="J1092:J1155" si="121">LN(C1092/C1091)</f>
        <v>0</v>
      </c>
      <c r="K1092" s="30">
        <f t="shared" ref="K1092:K1155" si="122">LN(D1092/D1091)</f>
        <v>5.7696166205162174E-3</v>
      </c>
      <c r="L1092" s="30">
        <f t="shared" ref="L1092:L1155" si="123">LN(E1092/E1091)</f>
        <v>1.1711292053675031E-2</v>
      </c>
      <c r="M1092" s="30">
        <f t="shared" ref="M1092:M1155" si="124">LN(F1092/F1091)</f>
        <v>-6.7515187647633618E-3</v>
      </c>
      <c r="N1092" s="30">
        <f t="shared" ref="N1092:N1155" si="125">LN(G1092/G1091)</f>
        <v>-7.6151774922133776E-3</v>
      </c>
      <c r="O1092" s="30">
        <f t="shared" ref="O1092:O1155" si="126">LN(H1092/H1091)</f>
        <v>5.103604663068648E-3</v>
      </c>
    </row>
    <row r="1093" spans="1:15" s="30" customFormat="1">
      <c r="A1093" s="27">
        <v>44508</v>
      </c>
      <c r="B1093" s="28" t="s">
        <v>1063</v>
      </c>
      <c r="C1093" s="28">
        <v>629.46</v>
      </c>
      <c r="D1093" s="28" t="s">
        <v>2241</v>
      </c>
      <c r="E1093" s="28">
        <v>398.23</v>
      </c>
      <c r="F1093" s="28">
        <v>91.2</v>
      </c>
      <c r="G1093" s="28" t="s">
        <v>3412</v>
      </c>
      <c r="H1093" s="28">
        <v>192.5</v>
      </c>
      <c r="I1093" s="30">
        <f t="shared" si="120"/>
        <v>-2.2759294577815747E-3</v>
      </c>
      <c r="J1093" s="30">
        <f t="shared" si="121"/>
        <v>-2.5612064562660294E-2</v>
      </c>
      <c r="K1093" s="30">
        <f t="shared" si="122"/>
        <v>1.5665454337231786E-2</v>
      </c>
      <c r="L1093" s="30">
        <f t="shared" si="123"/>
        <v>-7.1810449581378791E-3</v>
      </c>
      <c r="M1093" s="30">
        <f t="shared" si="124"/>
        <v>-5.0772325373423258E-2</v>
      </c>
      <c r="N1093" s="30">
        <f t="shared" si="125"/>
        <v>-4.8158565290123976E-3</v>
      </c>
      <c r="O1093" s="30">
        <f t="shared" si="126"/>
        <v>-0.10644045179734164</v>
      </c>
    </row>
    <row r="1094" spans="1:15" s="30" customFormat="1">
      <c r="A1094" s="27">
        <v>44504</v>
      </c>
      <c r="B1094" s="28" t="s">
        <v>1064</v>
      </c>
      <c r="C1094" s="28">
        <v>635.83000000000004</v>
      </c>
      <c r="D1094" s="28" t="s">
        <v>2242</v>
      </c>
      <c r="E1094" s="28">
        <v>383.23</v>
      </c>
      <c r="F1094" s="28">
        <v>91.3</v>
      </c>
      <c r="G1094" s="28" t="s">
        <v>3413</v>
      </c>
      <c r="H1094" s="28">
        <v>197.85</v>
      </c>
      <c r="I1094" s="30">
        <f t="shared" si="120"/>
        <v>6.7490033458121636E-3</v>
      </c>
      <c r="J1094" s="30">
        <f t="shared" si="121"/>
        <v>1.0068923041353319E-2</v>
      </c>
      <c r="K1094" s="30">
        <f t="shared" si="122"/>
        <v>-1.428143001299215E-2</v>
      </c>
      <c r="L1094" s="30">
        <f t="shared" si="123"/>
        <v>-3.8394396685308474E-2</v>
      </c>
      <c r="M1094" s="30">
        <f t="shared" si="124"/>
        <v>1.0958905206371096E-3</v>
      </c>
      <c r="N1094" s="30">
        <f t="shared" si="125"/>
        <v>1.0997308322304998E-2</v>
      </c>
      <c r="O1094" s="30">
        <f t="shared" si="126"/>
        <v>2.7413014103594292E-2</v>
      </c>
    </row>
    <row r="1095" spans="1:15" s="30" customFormat="1">
      <c r="A1095" s="27">
        <v>44503</v>
      </c>
      <c r="B1095" s="28" t="s">
        <v>1065</v>
      </c>
      <c r="C1095" s="28">
        <v>634.62</v>
      </c>
      <c r="D1095" s="28" t="s">
        <v>2243</v>
      </c>
      <c r="E1095" s="28">
        <v>380</v>
      </c>
      <c r="F1095" s="28">
        <v>90.7</v>
      </c>
      <c r="G1095" s="28" t="s">
        <v>3414</v>
      </c>
      <c r="H1095" s="28">
        <v>192.85</v>
      </c>
      <c r="I1095" s="30">
        <f t="shared" si="120"/>
        <v>3.6019565318199435E-3</v>
      </c>
      <c r="J1095" s="30">
        <f t="shared" si="121"/>
        <v>-1.904837444786063E-3</v>
      </c>
      <c r="K1095" s="30">
        <f t="shared" si="122"/>
        <v>-1.4164573122365669E-2</v>
      </c>
      <c r="L1095" s="30">
        <f t="shared" si="123"/>
        <v>-8.4640784121294728E-3</v>
      </c>
      <c r="M1095" s="30">
        <f t="shared" si="124"/>
        <v>-6.5934304798318452E-3</v>
      </c>
      <c r="N1095" s="30">
        <f t="shared" si="125"/>
        <v>-1.7175542017369524E-2</v>
      </c>
      <c r="O1095" s="30">
        <f t="shared" si="126"/>
        <v>-2.5596483177196445E-2</v>
      </c>
    </row>
    <row r="1096" spans="1:15" s="30" customFormat="1">
      <c r="A1096" s="27">
        <v>44502</v>
      </c>
      <c r="B1096" s="28" t="s">
        <v>1066</v>
      </c>
      <c r="C1096" s="28">
        <v>629.71</v>
      </c>
      <c r="D1096" s="28" t="s">
        <v>2244</v>
      </c>
      <c r="E1096" s="28">
        <v>379.27</v>
      </c>
      <c r="F1096" s="28">
        <v>91</v>
      </c>
      <c r="G1096" s="28" t="s">
        <v>3415</v>
      </c>
      <c r="H1096" s="28">
        <v>192.12</v>
      </c>
      <c r="I1096" s="30">
        <f t="shared" si="120"/>
        <v>-2.1454441012748213E-2</v>
      </c>
      <c r="J1096" s="30">
        <f t="shared" si="121"/>
        <v>-7.7669986213614681E-3</v>
      </c>
      <c r="K1096" s="30">
        <f t="shared" si="122"/>
        <v>1.1245236316398319E-2</v>
      </c>
      <c r="L1096" s="30">
        <f t="shared" si="123"/>
        <v>-1.9229002197743265E-3</v>
      </c>
      <c r="M1096" s="30">
        <f t="shared" si="124"/>
        <v>3.3021493957590318E-3</v>
      </c>
      <c r="N1096" s="30">
        <f t="shared" si="125"/>
        <v>1.2271259811840629E-2</v>
      </c>
      <c r="O1096" s="30">
        <f t="shared" si="126"/>
        <v>-3.7925078576130883E-3</v>
      </c>
    </row>
    <row r="1097" spans="1:15" s="30" customFormat="1">
      <c r="A1097" s="27">
        <v>44501</v>
      </c>
      <c r="B1097" s="28" t="s">
        <v>1067</v>
      </c>
      <c r="C1097" s="28">
        <v>628.21</v>
      </c>
      <c r="D1097" s="28" t="s">
        <v>2245</v>
      </c>
      <c r="E1097" s="28">
        <v>368.57</v>
      </c>
      <c r="F1097" s="28">
        <v>90.95</v>
      </c>
      <c r="G1097" s="28" t="s">
        <v>3416</v>
      </c>
      <c r="H1097" s="28">
        <v>184.68</v>
      </c>
      <c r="I1097" s="30">
        <f t="shared" si="120"/>
        <v>5.927585366450972E-3</v>
      </c>
      <c r="J1097" s="30">
        <f t="shared" si="121"/>
        <v>-2.3848904715128836E-3</v>
      </c>
      <c r="K1097" s="30">
        <f t="shared" si="122"/>
        <v>9.2824354596447809E-3</v>
      </c>
      <c r="L1097" s="30">
        <f t="shared" si="123"/>
        <v>-2.8617699616811192E-2</v>
      </c>
      <c r="M1097" s="30">
        <f t="shared" si="124"/>
        <v>-5.496015527187791E-4</v>
      </c>
      <c r="N1097" s="30">
        <f t="shared" si="125"/>
        <v>-1.7621496300084069E-2</v>
      </c>
      <c r="O1097" s="30">
        <f t="shared" si="126"/>
        <v>-3.9495579157835393E-2</v>
      </c>
    </row>
    <row r="1098" spans="1:15" s="30" customFormat="1">
      <c r="A1098" s="27">
        <v>44498</v>
      </c>
      <c r="B1098" s="28" t="s">
        <v>944</v>
      </c>
      <c r="C1098" s="28">
        <v>617.91999999999996</v>
      </c>
      <c r="D1098" s="28" t="s">
        <v>2246</v>
      </c>
      <c r="E1098" s="28">
        <v>363.37</v>
      </c>
      <c r="F1098" s="28">
        <v>90.85</v>
      </c>
      <c r="G1098" s="28" t="s">
        <v>3417</v>
      </c>
      <c r="H1098" s="28">
        <v>181.32</v>
      </c>
      <c r="I1098" s="30">
        <f t="shared" si="120"/>
        <v>-6.9753895068393528E-3</v>
      </c>
      <c r="J1098" s="30">
        <f t="shared" si="121"/>
        <v>-1.6515506234992625E-2</v>
      </c>
      <c r="K1098" s="30">
        <f t="shared" si="122"/>
        <v>1.0725203750955474E-2</v>
      </c>
      <c r="L1098" s="30">
        <f t="shared" si="123"/>
        <v>-1.4209053989394971E-2</v>
      </c>
      <c r="M1098" s="30">
        <f t="shared" si="124"/>
        <v>-1.1001101219511602E-3</v>
      </c>
      <c r="N1098" s="30">
        <f t="shared" si="125"/>
        <v>1.0743400735713424E-2</v>
      </c>
      <c r="O1098" s="30">
        <f t="shared" si="126"/>
        <v>-1.836117156613977E-2</v>
      </c>
    </row>
    <row r="1099" spans="1:15" s="30" customFormat="1">
      <c r="A1099" s="27">
        <v>44497</v>
      </c>
      <c r="B1099" s="28" t="s">
        <v>1068</v>
      </c>
      <c r="C1099" s="28">
        <v>614.75</v>
      </c>
      <c r="D1099" s="28" t="s">
        <v>2247</v>
      </c>
      <c r="E1099" s="28">
        <v>365.7</v>
      </c>
      <c r="F1099" s="28">
        <v>91.2</v>
      </c>
      <c r="G1099" s="28" t="s">
        <v>3418</v>
      </c>
      <c r="H1099" s="28">
        <v>187.12</v>
      </c>
      <c r="I1099" s="30">
        <f t="shared" si="120"/>
        <v>5.2120316173678554E-3</v>
      </c>
      <c r="J1099" s="30">
        <f t="shared" si="121"/>
        <v>-5.1433181438475762E-3</v>
      </c>
      <c r="K1099" s="30">
        <f t="shared" si="122"/>
        <v>-8.3673255984274126E-5</v>
      </c>
      <c r="L1099" s="30">
        <f t="shared" si="123"/>
        <v>6.3917262608845522E-3</v>
      </c>
      <c r="M1099" s="30">
        <f t="shared" si="124"/>
        <v>3.8451022381056398E-3</v>
      </c>
      <c r="N1099" s="30">
        <f t="shared" si="125"/>
        <v>1.3803102628656912E-2</v>
      </c>
      <c r="O1099" s="30">
        <f t="shared" si="126"/>
        <v>3.1486696203275079E-2</v>
      </c>
    </row>
    <row r="1100" spans="1:15" s="30" customFormat="1">
      <c r="A1100" s="27">
        <v>44496</v>
      </c>
      <c r="B1100" s="28" t="s">
        <v>1069</v>
      </c>
      <c r="C1100" s="28">
        <v>613.5</v>
      </c>
      <c r="D1100" s="28" t="s">
        <v>2248</v>
      </c>
      <c r="E1100" s="28">
        <v>373.33</v>
      </c>
      <c r="F1100" s="28">
        <v>93.45</v>
      </c>
      <c r="G1100" s="28" t="s">
        <v>3419</v>
      </c>
      <c r="H1100" s="28">
        <v>190.53</v>
      </c>
      <c r="I1100" s="30">
        <f t="shared" si="120"/>
        <v>-6.9715865327769329E-3</v>
      </c>
      <c r="J1100" s="30">
        <f t="shared" si="121"/>
        <v>-2.03541694533583E-3</v>
      </c>
      <c r="K1100" s="30">
        <f t="shared" si="122"/>
        <v>9.8668577333800335E-3</v>
      </c>
      <c r="L1100" s="30">
        <f t="shared" si="123"/>
        <v>2.0649421854406436E-2</v>
      </c>
      <c r="M1100" s="30">
        <f t="shared" si="124"/>
        <v>2.437163682128617E-2</v>
      </c>
      <c r="N1100" s="30">
        <f t="shared" si="125"/>
        <v>-5.2246476899395688E-3</v>
      </c>
      <c r="O1100" s="30">
        <f t="shared" si="126"/>
        <v>1.8059540207069642E-2</v>
      </c>
    </row>
    <row r="1101" spans="1:15" s="30" customFormat="1">
      <c r="A1101" s="27">
        <v>44495</v>
      </c>
      <c r="B1101" s="28" t="s">
        <v>1070</v>
      </c>
      <c r="C1101" s="28">
        <v>611.08000000000004</v>
      </c>
      <c r="D1101" s="28" t="s">
        <v>2249</v>
      </c>
      <c r="E1101" s="28">
        <v>378.8</v>
      </c>
      <c r="F1101" s="28">
        <v>91.35</v>
      </c>
      <c r="G1101" s="28" t="s">
        <v>3420</v>
      </c>
      <c r="H1101" s="28">
        <v>192.3</v>
      </c>
      <c r="I1101" s="30">
        <f t="shared" si="120"/>
        <v>-4.1180203640103323E-2</v>
      </c>
      <c r="J1101" s="30">
        <f t="shared" si="121"/>
        <v>-3.9523806534439926E-3</v>
      </c>
      <c r="K1101" s="30">
        <f t="shared" si="122"/>
        <v>-1.2317403001430232E-2</v>
      </c>
      <c r="L1101" s="30">
        <f t="shared" si="123"/>
        <v>1.4545614302181304E-2</v>
      </c>
      <c r="M1101" s="30">
        <f t="shared" si="124"/>
        <v>-2.2728251077556175E-2</v>
      </c>
      <c r="N1101" s="30">
        <f t="shared" si="125"/>
        <v>-1.2059207052363028E-2</v>
      </c>
      <c r="O1101" s="30">
        <f t="shared" si="126"/>
        <v>9.2469901117410141E-3</v>
      </c>
    </row>
    <row r="1102" spans="1:15" s="30" customFormat="1">
      <c r="A1102" s="27">
        <v>44494</v>
      </c>
      <c r="B1102" s="28" t="s">
        <v>1071</v>
      </c>
      <c r="C1102" s="28">
        <v>598.12</v>
      </c>
      <c r="D1102" s="28" t="s">
        <v>2250</v>
      </c>
      <c r="E1102" s="28">
        <v>362.07</v>
      </c>
      <c r="F1102" s="28">
        <v>90</v>
      </c>
      <c r="G1102" s="28" t="s">
        <v>3421</v>
      </c>
      <c r="H1102" s="28">
        <v>188.12</v>
      </c>
      <c r="I1102" s="30">
        <f t="shared" si="120"/>
        <v>-1.7579025502043922E-2</v>
      </c>
      <c r="J1102" s="30">
        <f t="shared" si="121"/>
        <v>-2.1436480781879211E-2</v>
      </c>
      <c r="K1102" s="30">
        <f t="shared" si="122"/>
        <v>7.8123765421075006E-3</v>
      </c>
      <c r="L1102" s="30">
        <f t="shared" si="123"/>
        <v>-4.5170798014007037E-2</v>
      </c>
      <c r="M1102" s="30">
        <f t="shared" si="124"/>
        <v>-1.4888612493750637E-2</v>
      </c>
      <c r="N1102" s="30">
        <f t="shared" si="125"/>
        <v>6.7122333270653988E-3</v>
      </c>
      <c r="O1102" s="30">
        <f t="shared" si="126"/>
        <v>-2.1976595517886867E-2</v>
      </c>
    </row>
    <row r="1103" spans="1:15" s="30" customFormat="1">
      <c r="A1103" s="27">
        <v>44491</v>
      </c>
      <c r="B1103" s="28" t="s">
        <v>1072</v>
      </c>
      <c r="C1103" s="28">
        <v>613.71</v>
      </c>
      <c r="D1103" s="28" t="s">
        <v>2251</v>
      </c>
      <c r="E1103" s="28">
        <v>366.57</v>
      </c>
      <c r="F1103" s="28">
        <v>91.65</v>
      </c>
      <c r="G1103" s="28" t="s">
        <v>3422</v>
      </c>
      <c r="H1103" s="28">
        <v>198.95</v>
      </c>
      <c r="I1103" s="30">
        <f t="shared" si="120"/>
        <v>2.1812760531354915E-2</v>
      </c>
      <c r="J1103" s="30">
        <f t="shared" si="121"/>
        <v>2.5731101153138061E-2</v>
      </c>
      <c r="K1103" s="30">
        <f t="shared" si="122"/>
        <v>7.3801072976226803E-3</v>
      </c>
      <c r="L1103" s="30">
        <f t="shared" si="123"/>
        <v>1.2351935698624378E-2</v>
      </c>
      <c r="M1103" s="30">
        <f t="shared" si="124"/>
        <v>1.8167303955448934E-2</v>
      </c>
      <c r="N1103" s="30">
        <f t="shared" si="125"/>
        <v>2.5089452454498805E-2</v>
      </c>
      <c r="O1103" s="30">
        <f t="shared" si="126"/>
        <v>5.5973479796090408E-2</v>
      </c>
    </row>
    <row r="1104" spans="1:15" s="30" customFormat="1">
      <c r="A1104" s="27">
        <v>44490</v>
      </c>
      <c r="B1104" s="28" t="s">
        <v>1073</v>
      </c>
      <c r="C1104" s="28">
        <v>625.04</v>
      </c>
      <c r="D1104" s="28" t="s">
        <v>2252</v>
      </c>
      <c r="E1104" s="28">
        <v>372.33</v>
      </c>
      <c r="F1104" s="28">
        <v>92.3</v>
      </c>
      <c r="G1104" s="28" t="s">
        <v>3423</v>
      </c>
      <c r="H1104" s="28">
        <v>197.68</v>
      </c>
      <c r="I1104" s="30">
        <f t="shared" si="120"/>
        <v>6.5503877021352176E-3</v>
      </c>
      <c r="J1104" s="30">
        <f t="shared" si="121"/>
        <v>1.829314381970791E-2</v>
      </c>
      <c r="K1104" s="30">
        <f t="shared" si="122"/>
        <v>1.1520462552661885E-2</v>
      </c>
      <c r="L1104" s="30">
        <f t="shared" si="123"/>
        <v>1.5591058812998855E-2</v>
      </c>
      <c r="M1104" s="30">
        <f t="shared" si="124"/>
        <v>7.0671672230923528E-3</v>
      </c>
      <c r="N1104" s="30">
        <f t="shared" si="125"/>
        <v>6.3189177552971541E-3</v>
      </c>
      <c r="O1104" s="30">
        <f t="shared" si="126"/>
        <v>-6.4039751925829618E-3</v>
      </c>
    </row>
    <row r="1105" spans="1:15" s="30" customFormat="1">
      <c r="A1105" s="27">
        <v>44489</v>
      </c>
      <c r="B1105" s="28" t="s">
        <v>1074</v>
      </c>
      <c r="C1105" s="28">
        <v>666.33</v>
      </c>
      <c r="D1105" s="28" t="s">
        <v>2253</v>
      </c>
      <c r="E1105" s="28">
        <v>384.4</v>
      </c>
      <c r="F1105" s="28">
        <v>93.55</v>
      </c>
      <c r="G1105" s="28" t="s">
        <v>3424</v>
      </c>
      <c r="H1105" s="28">
        <v>201.22</v>
      </c>
      <c r="I1105" s="30">
        <f t="shared" si="120"/>
        <v>5.4326663750879217E-2</v>
      </c>
      <c r="J1105" s="30">
        <f t="shared" si="121"/>
        <v>6.396939563003852E-2</v>
      </c>
      <c r="K1105" s="30">
        <f t="shared" si="122"/>
        <v>1.3123787512208907E-2</v>
      </c>
      <c r="L1105" s="30">
        <f t="shared" si="123"/>
        <v>3.1903119286597934E-2</v>
      </c>
      <c r="M1105" s="30">
        <f t="shared" si="124"/>
        <v>1.3451911211292182E-2</v>
      </c>
      <c r="N1105" s="30">
        <f t="shared" si="125"/>
        <v>1.0473934023998334E-2</v>
      </c>
      <c r="O1105" s="30">
        <f t="shared" si="126"/>
        <v>1.7749275183549882E-2</v>
      </c>
    </row>
    <row r="1106" spans="1:15" s="30" customFormat="1">
      <c r="A1106" s="27">
        <v>44488</v>
      </c>
      <c r="B1106" s="28" t="s">
        <v>1075</v>
      </c>
      <c r="C1106" s="28">
        <v>686.46</v>
      </c>
      <c r="D1106" s="28" t="s">
        <v>2254</v>
      </c>
      <c r="E1106" s="28">
        <v>383.3</v>
      </c>
      <c r="F1106" s="28">
        <v>94</v>
      </c>
      <c r="G1106" s="28" t="s">
        <v>3425</v>
      </c>
      <c r="H1106" s="28">
        <v>202.55</v>
      </c>
      <c r="I1106" s="30">
        <f t="shared" si="120"/>
        <v>4.4543503493803746E-3</v>
      </c>
      <c r="J1106" s="30">
        <f t="shared" si="121"/>
        <v>2.9762913622380413E-2</v>
      </c>
      <c r="K1106" s="30">
        <f t="shared" si="122"/>
        <v>-2.7039587070215899E-3</v>
      </c>
      <c r="L1106" s="30">
        <f t="shared" si="123"/>
        <v>-2.8657047096278974E-3</v>
      </c>
      <c r="M1106" s="30">
        <f t="shared" si="124"/>
        <v>4.7987295499054118E-3</v>
      </c>
      <c r="N1106" s="30">
        <f t="shared" si="125"/>
        <v>3.7013110366518752E-3</v>
      </c>
      <c r="O1106" s="30">
        <f t="shared" si="126"/>
        <v>6.5879327847950756E-3</v>
      </c>
    </row>
    <row r="1107" spans="1:15" s="30" customFormat="1">
      <c r="A1107" s="27">
        <v>44487</v>
      </c>
      <c r="B1107" s="28" t="s">
        <v>1076</v>
      </c>
      <c r="C1107" s="28">
        <v>698.25</v>
      </c>
      <c r="D1107" s="28" t="s">
        <v>2255</v>
      </c>
      <c r="E1107" s="28">
        <v>397.93</v>
      </c>
      <c r="F1107" s="28">
        <v>96.35</v>
      </c>
      <c r="G1107" s="28" t="s">
        <v>3426</v>
      </c>
      <c r="H1107" s="28">
        <v>208.6</v>
      </c>
      <c r="I1107" s="30">
        <f t="shared" si="120"/>
        <v>1.7976438321383546E-2</v>
      </c>
      <c r="J1107" s="30">
        <f t="shared" si="121"/>
        <v>1.7029247884378564E-2</v>
      </c>
      <c r="K1107" s="30">
        <f t="shared" si="122"/>
        <v>7.7893456928658875E-3</v>
      </c>
      <c r="L1107" s="30">
        <f t="shared" si="123"/>
        <v>3.7458138032348431E-2</v>
      </c>
      <c r="M1107" s="30">
        <f t="shared" si="124"/>
        <v>2.4692612590371414E-2</v>
      </c>
      <c r="N1107" s="30">
        <f t="shared" si="125"/>
        <v>5.3573373158159838E-3</v>
      </c>
      <c r="O1107" s="30">
        <f t="shared" si="126"/>
        <v>2.9431772917972481E-2</v>
      </c>
    </row>
    <row r="1108" spans="1:15" s="30" customFormat="1">
      <c r="A1108" s="27">
        <v>44483</v>
      </c>
      <c r="B1108" s="28" t="s">
        <v>1077</v>
      </c>
      <c r="C1108" s="28">
        <v>698.71</v>
      </c>
      <c r="D1108" s="28" t="s">
        <v>2256</v>
      </c>
      <c r="E1108" s="28">
        <v>404.8</v>
      </c>
      <c r="F1108" s="28">
        <v>97.05</v>
      </c>
      <c r="G1108" s="28" t="s">
        <v>3427</v>
      </c>
      <c r="H1108" s="28">
        <v>208.93</v>
      </c>
      <c r="I1108" s="30">
        <f t="shared" si="120"/>
        <v>1.7219393851817675E-2</v>
      </c>
      <c r="J1108" s="30">
        <f t="shared" si="121"/>
        <v>6.5857292495985638E-4</v>
      </c>
      <c r="K1108" s="30">
        <f t="shared" si="122"/>
        <v>5.6579216680047902E-3</v>
      </c>
      <c r="L1108" s="30">
        <f t="shared" si="123"/>
        <v>1.711700755439793E-2</v>
      </c>
      <c r="M1108" s="30">
        <f t="shared" si="124"/>
        <v>7.2389147546438812E-3</v>
      </c>
      <c r="N1108" s="30">
        <f t="shared" si="125"/>
        <v>1.4868216300634612E-3</v>
      </c>
      <c r="O1108" s="30">
        <f t="shared" si="126"/>
        <v>1.5807250674874413E-3</v>
      </c>
    </row>
    <row r="1109" spans="1:15" s="30" customFormat="1">
      <c r="A1109" s="27">
        <v>44482</v>
      </c>
      <c r="B1109" s="28" t="s">
        <v>1078</v>
      </c>
      <c r="C1109" s="28">
        <v>690.96</v>
      </c>
      <c r="D1109" s="28" t="s">
        <v>2257</v>
      </c>
      <c r="E1109" s="28">
        <v>398.93</v>
      </c>
      <c r="F1109" s="28">
        <v>97.3</v>
      </c>
      <c r="G1109" s="28" t="s">
        <v>3428</v>
      </c>
      <c r="H1109" s="28">
        <v>210.68</v>
      </c>
      <c r="I1109" s="30">
        <f t="shared" si="120"/>
        <v>7.7628650147685508E-3</v>
      </c>
      <c r="J1109" s="30">
        <f t="shared" si="121"/>
        <v>-1.115384277821569E-2</v>
      </c>
      <c r="K1109" s="30">
        <f t="shared" si="122"/>
        <v>5.6855609094180592E-3</v>
      </c>
      <c r="L1109" s="30">
        <f t="shared" si="123"/>
        <v>-1.4607155071034304E-2</v>
      </c>
      <c r="M1109" s="30">
        <f t="shared" si="124"/>
        <v>2.5726795769401719E-3</v>
      </c>
      <c r="N1109" s="30">
        <f t="shared" si="125"/>
        <v>1.0680441417027434E-2</v>
      </c>
      <c r="O1109" s="30">
        <f t="shared" si="126"/>
        <v>8.3411269810289793E-3</v>
      </c>
    </row>
    <row r="1110" spans="1:15" s="30" customFormat="1">
      <c r="A1110" s="27">
        <v>44481</v>
      </c>
      <c r="B1110" s="28" t="s">
        <v>618</v>
      </c>
      <c r="C1110" s="28">
        <v>683.96</v>
      </c>
      <c r="D1110" s="28" t="s">
        <v>2258</v>
      </c>
      <c r="E1110" s="28">
        <v>412.77</v>
      </c>
      <c r="F1110" s="28">
        <v>96.9</v>
      </c>
      <c r="G1110" s="28" t="s">
        <v>3429</v>
      </c>
      <c r="H1110" s="28">
        <v>214.05</v>
      </c>
      <c r="I1110" s="30">
        <f t="shared" si="120"/>
        <v>-7.522473392796858E-5</v>
      </c>
      <c r="J1110" s="30">
        <f t="shared" si="121"/>
        <v>-1.0182498591637905E-2</v>
      </c>
      <c r="K1110" s="30">
        <f t="shared" si="122"/>
        <v>5.71255049696288E-3</v>
      </c>
      <c r="L1110" s="30">
        <f t="shared" si="123"/>
        <v>3.4104574205613247E-2</v>
      </c>
      <c r="M1110" s="30">
        <f t="shared" si="124"/>
        <v>-4.119470295238725E-3</v>
      </c>
      <c r="N1110" s="30">
        <f t="shared" si="125"/>
        <v>-5.0461178368435954E-3</v>
      </c>
      <c r="O1110" s="30">
        <f t="shared" si="126"/>
        <v>1.5869237975766552E-2</v>
      </c>
    </row>
    <row r="1111" spans="1:15" s="30" customFormat="1">
      <c r="A1111" s="27">
        <v>44480</v>
      </c>
      <c r="B1111" s="28" t="s">
        <v>1079</v>
      </c>
      <c r="C1111" s="28">
        <v>686.67</v>
      </c>
      <c r="D1111" s="28" t="s">
        <v>2259</v>
      </c>
      <c r="E1111" s="28">
        <v>404.37</v>
      </c>
      <c r="F1111" s="28">
        <v>97.05</v>
      </c>
      <c r="G1111" s="28" t="s">
        <v>3430</v>
      </c>
      <c r="H1111" s="28">
        <v>209.05</v>
      </c>
      <c r="I1111" s="30">
        <f t="shared" si="120"/>
        <v>-5.1890964641669287E-3</v>
      </c>
      <c r="J1111" s="30">
        <f t="shared" si="121"/>
        <v>3.9543910922744093E-3</v>
      </c>
      <c r="K1111" s="30">
        <f t="shared" si="122"/>
        <v>2.4607522629273926E-3</v>
      </c>
      <c r="L1111" s="30">
        <f t="shared" si="123"/>
        <v>-2.0560236689546773E-2</v>
      </c>
      <c r="M1111" s="30">
        <f t="shared" si="124"/>
        <v>1.5467907182987329E-3</v>
      </c>
      <c r="N1111" s="30">
        <f t="shared" si="125"/>
        <v>-2.5775231958596661E-3</v>
      </c>
      <c r="O1111" s="30">
        <f t="shared" si="126"/>
        <v>-2.3636174788381047E-2</v>
      </c>
    </row>
    <row r="1112" spans="1:15" s="30" customFormat="1">
      <c r="A1112" s="27">
        <v>44477</v>
      </c>
      <c r="B1112" s="28" t="s">
        <v>1080</v>
      </c>
      <c r="C1112" s="28">
        <v>691.96</v>
      </c>
      <c r="D1112" s="28" t="s">
        <v>2260</v>
      </c>
      <c r="E1112" s="28">
        <v>421.13</v>
      </c>
      <c r="F1112" s="28">
        <v>97.55</v>
      </c>
      <c r="G1112" s="28" t="s">
        <v>3431</v>
      </c>
      <c r="H1112" s="28">
        <v>204.47</v>
      </c>
      <c r="I1112" s="30">
        <f t="shared" si="120"/>
        <v>2.5707135383775775E-4</v>
      </c>
      <c r="J1112" s="30">
        <f t="shared" si="121"/>
        <v>7.674323006110143E-3</v>
      </c>
      <c r="K1112" s="30">
        <f t="shared" si="122"/>
        <v>-3.8216857971094696E-3</v>
      </c>
      <c r="L1112" s="30">
        <f t="shared" si="123"/>
        <v>4.0611274197281132E-2</v>
      </c>
      <c r="M1112" s="30">
        <f t="shared" si="124"/>
        <v>5.1387574541008462E-3</v>
      </c>
      <c r="N1112" s="30">
        <f t="shared" si="125"/>
        <v>4.9697886037071946E-3</v>
      </c>
      <c r="O1112" s="30">
        <f t="shared" si="126"/>
        <v>-2.2152192347611219E-2</v>
      </c>
    </row>
    <row r="1113" spans="1:15" s="30" customFormat="1">
      <c r="A1113" s="27">
        <v>44476</v>
      </c>
      <c r="B1113" s="28" t="s">
        <v>1081</v>
      </c>
      <c r="C1113" s="28">
        <v>691.29</v>
      </c>
      <c r="D1113" s="28" t="s">
        <v>2261</v>
      </c>
      <c r="E1113" s="28">
        <v>426.83</v>
      </c>
      <c r="F1113" s="28">
        <v>97.55</v>
      </c>
      <c r="G1113" s="28" t="s">
        <v>3432</v>
      </c>
      <c r="H1113" s="28">
        <v>205.12</v>
      </c>
      <c r="I1113" s="30">
        <f t="shared" si="120"/>
        <v>-4.8653045841999679E-3</v>
      </c>
      <c r="J1113" s="30">
        <f t="shared" si="121"/>
        <v>-9.6873313196674466E-4</v>
      </c>
      <c r="K1113" s="30">
        <f t="shared" si="122"/>
        <v>-6.9915811792636033E-3</v>
      </c>
      <c r="L1113" s="30">
        <f t="shared" si="123"/>
        <v>1.3444232875973509E-2</v>
      </c>
      <c r="M1113" s="30">
        <f t="shared" si="124"/>
        <v>0</v>
      </c>
      <c r="N1113" s="30">
        <f t="shared" si="125"/>
        <v>-8.0423568439088483E-4</v>
      </c>
      <c r="O1113" s="30">
        <f t="shared" si="126"/>
        <v>3.1739082773424156E-3</v>
      </c>
    </row>
    <row r="1114" spans="1:15" s="30" customFormat="1">
      <c r="A1114" s="27">
        <v>44475</v>
      </c>
      <c r="B1114" s="28" t="s">
        <v>692</v>
      </c>
      <c r="C1114" s="28">
        <v>684.25</v>
      </c>
      <c r="D1114" s="28" t="s">
        <v>2262</v>
      </c>
      <c r="E1114" s="28">
        <v>430.53</v>
      </c>
      <c r="F1114" s="28">
        <v>96.85</v>
      </c>
      <c r="G1114" s="28" t="s">
        <v>3433</v>
      </c>
      <c r="H1114" s="28">
        <v>208.75</v>
      </c>
      <c r="I1114" s="30">
        <f t="shared" si="120"/>
        <v>-2.4174263889589449E-2</v>
      </c>
      <c r="J1114" s="30">
        <f t="shared" si="121"/>
        <v>-1.0236069426021387E-2</v>
      </c>
      <c r="K1114" s="30">
        <f t="shared" si="122"/>
        <v>-5.7006333369876705E-3</v>
      </c>
      <c r="L1114" s="30">
        <f t="shared" si="123"/>
        <v>8.6312003594076741E-3</v>
      </c>
      <c r="M1114" s="30">
        <f t="shared" si="124"/>
        <v>-7.2016772161153141E-3</v>
      </c>
      <c r="N1114" s="30">
        <f t="shared" si="125"/>
        <v>4.1260164472470369E-3</v>
      </c>
      <c r="O1114" s="30">
        <f t="shared" si="126"/>
        <v>1.7542189998659558E-2</v>
      </c>
    </row>
    <row r="1115" spans="1:15" s="30" customFormat="1">
      <c r="A1115" s="27">
        <v>44474</v>
      </c>
      <c r="B1115" s="28" t="s">
        <v>1082</v>
      </c>
      <c r="C1115" s="28">
        <v>687.87</v>
      </c>
      <c r="D1115" s="28" t="s">
        <v>2263</v>
      </c>
      <c r="E1115" s="28">
        <v>434.23</v>
      </c>
      <c r="F1115" s="28">
        <v>96.8</v>
      </c>
      <c r="G1115" s="28" t="s">
        <v>3434</v>
      </c>
      <c r="H1115" s="28">
        <v>214.4</v>
      </c>
      <c r="I1115" s="30">
        <f t="shared" si="120"/>
        <v>1.3143841613916336E-2</v>
      </c>
      <c r="J1115" s="30">
        <f t="shared" si="121"/>
        <v>5.2765186702235451E-3</v>
      </c>
      <c r="K1115" s="30">
        <f t="shared" si="122"/>
        <v>1.3165792803645179E-2</v>
      </c>
      <c r="L1115" s="30">
        <f t="shared" si="123"/>
        <v>8.5573397905214371E-3</v>
      </c>
      <c r="M1115" s="30">
        <f t="shared" si="124"/>
        <v>-5.16395570473542E-4</v>
      </c>
      <c r="N1115" s="30">
        <f t="shared" si="125"/>
        <v>8.7309704362513747E-3</v>
      </c>
      <c r="O1115" s="30">
        <f t="shared" si="126"/>
        <v>2.6706065465682022E-2</v>
      </c>
    </row>
    <row r="1116" spans="1:15" s="30" customFormat="1">
      <c r="A1116" s="27">
        <v>44473</v>
      </c>
      <c r="B1116" s="28" t="s">
        <v>1083</v>
      </c>
      <c r="C1116" s="28">
        <v>684</v>
      </c>
      <c r="D1116" s="28" t="s">
        <v>2264</v>
      </c>
      <c r="E1116" s="28">
        <v>421.4</v>
      </c>
      <c r="F1116" s="28">
        <v>98.25</v>
      </c>
      <c r="G1116" s="28" t="s">
        <v>3435</v>
      </c>
      <c r="H1116" s="28">
        <v>213.62</v>
      </c>
      <c r="I1116" s="30">
        <f t="shared" si="120"/>
        <v>-1.6464782948037587E-2</v>
      </c>
      <c r="J1116" s="30">
        <f t="shared" si="121"/>
        <v>-5.6419489684617005E-3</v>
      </c>
      <c r="K1116" s="30">
        <f t="shared" si="122"/>
        <v>4.4682035227523193E-3</v>
      </c>
      <c r="L1116" s="30">
        <f t="shared" si="123"/>
        <v>-2.999184627138286E-2</v>
      </c>
      <c r="M1116" s="30">
        <f t="shared" si="124"/>
        <v>1.4868256466839386E-2</v>
      </c>
      <c r="N1116" s="30">
        <f t="shared" si="125"/>
        <v>-6.0193153328699433E-3</v>
      </c>
      <c r="O1116" s="30">
        <f t="shared" si="126"/>
        <v>-3.6446935350975462E-3</v>
      </c>
    </row>
    <row r="1117" spans="1:15" s="30" customFormat="1">
      <c r="A1117" s="27">
        <v>44470</v>
      </c>
      <c r="B1117" s="28" t="s">
        <v>1084</v>
      </c>
      <c r="C1117" s="28">
        <v>675.33</v>
      </c>
      <c r="D1117" s="28" t="s">
        <v>2265</v>
      </c>
      <c r="E1117" s="28">
        <v>424.77</v>
      </c>
      <c r="F1117" s="28">
        <v>93.65</v>
      </c>
      <c r="G1117" s="28" t="s">
        <v>3436</v>
      </c>
      <c r="H1117" s="28">
        <v>178.03</v>
      </c>
      <c r="I1117" s="30">
        <f t="shared" si="120"/>
        <v>-7.445817343277661E-3</v>
      </c>
      <c r="J1117" s="30">
        <f t="shared" si="121"/>
        <v>-1.2756457328368593E-2</v>
      </c>
      <c r="K1117" s="30">
        <f t="shared" si="122"/>
        <v>-7.7088007311000659E-3</v>
      </c>
      <c r="L1117" s="30">
        <f t="shared" si="123"/>
        <v>7.965344594900562E-3</v>
      </c>
      <c r="M1117" s="30">
        <f t="shared" si="124"/>
        <v>-4.7950821859273067E-2</v>
      </c>
      <c r="N1117" s="30">
        <f t="shared" si="125"/>
        <v>-1.3104560707060864E-3</v>
      </c>
      <c r="O1117" s="30">
        <f t="shared" si="126"/>
        <v>-0.18224666024477817</v>
      </c>
    </row>
    <row r="1118" spans="1:15" s="30" customFormat="1">
      <c r="A1118" s="27">
        <v>44469</v>
      </c>
      <c r="B1118" s="28" t="s">
        <v>1085</v>
      </c>
      <c r="C1118" s="28">
        <v>674.17</v>
      </c>
      <c r="D1118" s="28" t="s">
        <v>2266</v>
      </c>
      <c r="E1118" s="28">
        <v>422.17</v>
      </c>
      <c r="F1118" s="28">
        <v>92.9</v>
      </c>
      <c r="G1118" s="28" t="s">
        <v>3090</v>
      </c>
      <c r="H1118" s="28">
        <v>177.53</v>
      </c>
      <c r="I1118" s="30">
        <f t="shared" si="120"/>
        <v>2.0802618591428942E-2</v>
      </c>
      <c r="J1118" s="30">
        <f t="shared" si="121"/>
        <v>-1.7191556660956793E-3</v>
      </c>
      <c r="K1118" s="30">
        <f t="shared" si="122"/>
        <v>1.334912825149074E-2</v>
      </c>
      <c r="L1118" s="30">
        <f t="shared" si="123"/>
        <v>-6.1397694467803564E-3</v>
      </c>
      <c r="M1118" s="30">
        <f t="shared" si="124"/>
        <v>-8.0407830703046624E-3</v>
      </c>
      <c r="N1118" s="30">
        <f t="shared" si="125"/>
        <v>1.530687142291948E-2</v>
      </c>
      <c r="O1118" s="30">
        <f t="shared" si="126"/>
        <v>-2.81246669806495E-3</v>
      </c>
    </row>
    <row r="1119" spans="1:15" s="30" customFormat="1">
      <c r="A1119" s="27">
        <v>44468</v>
      </c>
      <c r="B1119" s="28" t="s">
        <v>1086</v>
      </c>
      <c r="C1119" s="28">
        <v>680.96</v>
      </c>
      <c r="D1119" s="28" t="s">
        <v>2267</v>
      </c>
      <c r="E1119" s="28">
        <v>422.97</v>
      </c>
      <c r="F1119" s="28">
        <v>93.15</v>
      </c>
      <c r="G1119" s="28" t="s">
        <v>3437</v>
      </c>
      <c r="H1119" s="28">
        <v>169.7</v>
      </c>
      <c r="I1119" s="30">
        <f t="shared" si="120"/>
        <v>2.3875549808372691E-2</v>
      </c>
      <c r="J1119" s="30">
        <f t="shared" si="121"/>
        <v>1.0021262645084036E-2</v>
      </c>
      <c r="K1119" s="30">
        <f t="shared" si="122"/>
        <v>-6.6421820055531829E-4</v>
      </c>
      <c r="L1119" s="30">
        <f t="shared" si="123"/>
        <v>1.893178027170712E-3</v>
      </c>
      <c r="M1119" s="30">
        <f t="shared" si="124"/>
        <v>2.6874512278045339E-3</v>
      </c>
      <c r="N1119" s="30">
        <f t="shared" si="125"/>
        <v>-1.1469202142551024E-2</v>
      </c>
      <c r="O1119" s="30">
        <f t="shared" si="126"/>
        <v>-4.5107436478525727E-2</v>
      </c>
    </row>
    <row r="1120" spans="1:15" s="30" customFormat="1">
      <c r="A1120" s="27">
        <v>44467</v>
      </c>
      <c r="B1120" s="28" t="s">
        <v>1087</v>
      </c>
      <c r="C1120" s="28">
        <v>682.75</v>
      </c>
      <c r="D1120" s="28" t="s">
        <v>2268</v>
      </c>
      <c r="E1120" s="28">
        <v>423.9</v>
      </c>
      <c r="F1120" s="28">
        <v>93.9</v>
      </c>
      <c r="G1120" s="28" t="s">
        <v>3438</v>
      </c>
      <c r="H1120" s="28">
        <v>167.4</v>
      </c>
      <c r="I1120" s="30">
        <f t="shared" si="120"/>
        <v>1.6903912255450855E-2</v>
      </c>
      <c r="J1120" s="30">
        <f t="shared" si="121"/>
        <v>2.6251930806441477E-3</v>
      </c>
      <c r="K1120" s="30">
        <f t="shared" si="122"/>
        <v>-1.3734425489006769E-2</v>
      </c>
      <c r="L1120" s="30">
        <f t="shared" si="123"/>
        <v>2.1963238132118789E-3</v>
      </c>
      <c r="M1120" s="30">
        <f t="shared" si="124"/>
        <v>8.0192891666197967E-3</v>
      </c>
      <c r="N1120" s="30">
        <f t="shared" si="125"/>
        <v>-2.8908745673472444E-2</v>
      </c>
      <c r="O1120" s="30">
        <f t="shared" si="126"/>
        <v>-1.3646014184805632E-2</v>
      </c>
    </row>
    <row r="1121" spans="1:15" s="30" customFormat="1">
      <c r="A1121" s="27">
        <v>44466</v>
      </c>
      <c r="B1121" s="28" t="s">
        <v>1088</v>
      </c>
      <c r="C1121" s="28">
        <v>692.25</v>
      </c>
      <c r="D1121" s="28" t="s">
        <v>2269</v>
      </c>
      <c r="E1121" s="28">
        <v>422.17</v>
      </c>
      <c r="F1121" s="28">
        <v>94.1</v>
      </c>
      <c r="G1121" s="28" t="s">
        <v>204</v>
      </c>
      <c r="H1121" s="28">
        <v>169.22</v>
      </c>
      <c r="I1121" s="30">
        <f t="shared" si="120"/>
        <v>1.4962799438033898E-2</v>
      </c>
      <c r="J1121" s="30">
        <f t="shared" si="121"/>
        <v>1.3818401697256837E-2</v>
      </c>
      <c r="K1121" s="30">
        <f t="shared" si="122"/>
        <v>2.2758541798911422E-3</v>
      </c>
      <c r="L1121" s="30">
        <f t="shared" si="123"/>
        <v>-4.0895018403825948E-3</v>
      </c>
      <c r="M1121" s="30">
        <f t="shared" si="124"/>
        <v>2.1276603771166066E-3</v>
      </c>
      <c r="N1121" s="30">
        <f t="shared" si="125"/>
        <v>1.1308005422584927E-2</v>
      </c>
      <c r="O1121" s="30">
        <f t="shared" si="126"/>
        <v>1.081348544097979E-2</v>
      </c>
    </row>
    <row r="1122" spans="1:15" s="30" customFormat="1">
      <c r="A1122" s="27">
        <v>44463</v>
      </c>
      <c r="B1122" s="28" t="s">
        <v>1089</v>
      </c>
      <c r="C1122" s="28">
        <v>700.08</v>
      </c>
      <c r="D1122" s="28" t="s">
        <v>2270</v>
      </c>
      <c r="E1122" s="28">
        <v>419.1</v>
      </c>
      <c r="F1122" s="28">
        <v>96.85</v>
      </c>
      <c r="G1122" s="28" t="s">
        <v>3439</v>
      </c>
      <c r="H1122" s="28">
        <v>172.03</v>
      </c>
      <c r="I1122" s="30">
        <f t="shared" si="120"/>
        <v>5.2186039865533716E-3</v>
      </c>
      <c r="J1122" s="30">
        <f t="shared" si="121"/>
        <v>1.1247452176504483E-2</v>
      </c>
      <c r="K1122" s="30">
        <f t="shared" si="122"/>
        <v>2.2845294680651513E-2</v>
      </c>
      <c r="L1122" s="30">
        <f t="shared" si="123"/>
        <v>-7.2985215871828411E-3</v>
      </c>
      <c r="M1122" s="30">
        <f t="shared" si="124"/>
        <v>2.8805343261670995E-2</v>
      </c>
      <c r="N1122" s="30">
        <f t="shared" si="125"/>
        <v>-5.3547953842213161E-3</v>
      </c>
      <c r="O1122" s="30">
        <f t="shared" si="126"/>
        <v>1.6469236712593063E-2</v>
      </c>
    </row>
    <row r="1123" spans="1:15" s="30" customFormat="1">
      <c r="A1123" s="27">
        <v>44462</v>
      </c>
      <c r="B1123" s="28" t="s">
        <v>1090</v>
      </c>
      <c r="C1123" s="28">
        <v>684.25</v>
      </c>
      <c r="D1123" s="28" t="s">
        <v>2271</v>
      </c>
      <c r="E1123" s="28">
        <v>416.7</v>
      </c>
      <c r="F1123" s="28">
        <v>93.05</v>
      </c>
      <c r="G1123" s="28" t="s">
        <v>3440</v>
      </c>
      <c r="H1123" s="28">
        <v>170.47</v>
      </c>
      <c r="I1123" s="30">
        <f t="shared" si="120"/>
        <v>-3.7807804685983167E-2</v>
      </c>
      <c r="J1123" s="30">
        <f t="shared" si="121"/>
        <v>-2.2871266306787298E-2</v>
      </c>
      <c r="K1123" s="30">
        <f t="shared" si="122"/>
        <v>-4.1626794152531546E-3</v>
      </c>
      <c r="L1123" s="30">
        <f t="shared" si="123"/>
        <v>-5.7430165026181122E-3</v>
      </c>
      <c r="M1123" s="30">
        <f t="shared" si="124"/>
        <v>-4.002640676474508E-2</v>
      </c>
      <c r="N1123" s="30">
        <f t="shared" si="125"/>
        <v>-3.4949200424902235E-3</v>
      </c>
      <c r="O1123" s="30">
        <f t="shared" si="126"/>
        <v>-9.1095520461143952E-3</v>
      </c>
    </row>
    <row r="1124" spans="1:15" s="30" customFormat="1">
      <c r="A1124" s="27">
        <v>44461</v>
      </c>
      <c r="B1124" s="28" t="s">
        <v>1091</v>
      </c>
      <c r="C1124" s="28">
        <v>676.67</v>
      </c>
      <c r="D1124" s="28" t="s">
        <v>2272</v>
      </c>
      <c r="E1124" s="28">
        <v>412.53</v>
      </c>
      <c r="F1124" s="28">
        <v>92.95</v>
      </c>
      <c r="G1124" s="28" t="s">
        <v>3441</v>
      </c>
      <c r="H1124" s="28">
        <v>167.82</v>
      </c>
      <c r="I1124" s="30">
        <f t="shared" si="120"/>
        <v>-9.4905967368541923E-4</v>
      </c>
      <c r="J1124" s="30">
        <f t="shared" si="121"/>
        <v>-1.1139638456824053E-2</v>
      </c>
      <c r="K1124" s="30">
        <f t="shared" si="122"/>
        <v>6.3435790801804172E-3</v>
      </c>
      <c r="L1124" s="30">
        <f t="shared" si="123"/>
        <v>-1.0057608025444784E-2</v>
      </c>
      <c r="M1124" s="30">
        <f t="shared" si="124"/>
        <v>-1.0752689208066546E-3</v>
      </c>
      <c r="N1124" s="30">
        <f t="shared" si="125"/>
        <v>1.1360539256923786E-3</v>
      </c>
      <c r="O1124" s="30">
        <f t="shared" si="126"/>
        <v>-1.566735172091022E-2</v>
      </c>
    </row>
    <row r="1125" spans="1:15" s="30" customFormat="1">
      <c r="A1125" s="27">
        <v>44460</v>
      </c>
      <c r="B1125" s="28" t="s">
        <v>1092</v>
      </c>
      <c r="C1125" s="28">
        <v>679.42</v>
      </c>
      <c r="D1125" s="28" t="s">
        <v>2273</v>
      </c>
      <c r="E1125" s="28">
        <v>413.27</v>
      </c>
      <c r="F1125" s="28">
        <v>90.35</v>
      </c>
      <c r="G1125" s="28" t="s">
        <v>3442</v>
      </c>
      <c r="H1125" s="28">
        <v>165.85</v>
      </c>
      <c r="I1125" s="30">
        <f t="shared" si="120"/>
        <v>-2.5050188903347637E-3</v>
      </c>
      <c r="J1125" s="30">
        <f t="shared" si="121"/>
        <v>4.0557835684189927E-3</v>
      </c>
      <c r="K1125" s="30">
        <f t="shared" si="122"/>
        <v>-1.2434810415321752E-2</v>
      </c>
      <c r="L1125" s="30">
        <f t="shared" si="123"/>
        <v>1.792201981284978E-3</v>
      </c>
      <c r="M1125" s="30">
        <f t="shared" si="124"/>
        <v>-2.8370697129215576E-2</v>
      </c>
      <c r="N1125" s="30">
        <f t="shared" si="125"/>
        <v>7.5784502332072769E-3</v>
      </c>
      <c r="O1125" s="30">
        <f t="shared" si="126"/>
        <v>-1.1808211048861882E-2</v>
      </c>
    </row>
    <row r="1126" spans="1:15" s="30" customFormat="1">
      <c r="A1126" s="27">
        <v>44459</v>
      </c>
      <c r="B1126" s="28" t="s">
        <v>1093</v>
      </c>
      <c r="C1126" s="28">
        <v>677.96</v>
      </c>
      <c r="D1126" s="28" t="s">
        <v>2274</v>
      </c>
      <c r="E1126" s="28">
        <v>410.07</v>
      </c>
      <c r="F1126" s="28">
        <v>93.7</v>
      </c>
      <c r="G1126" s="28" t="s">
        <v>3443</v>
      </c>
      <c r="H1126" s="28">
        <v>165.93</v>
      </c>
      <c r="I1126" s="30">
        <f t="shared" si="120"/>
        <v>-1.1442589613932238E-2</v>
      </c>
      <c r="J1126" s="30">
        <f t="shared" si="121"/>
        <v>-2.1512038825296461E-3</v>
      </c>
      <c r="K1126" s="30">
        <f t="shared" si="122"/>
        <v>7.6227884911432529E-3</v>
      </c>
      <c r="L1126" s="30">
        <f t="shared" si="123"/>
        <v>-7.7732555515766825E-3</v>
      </c>
      <c r="M1126" s="30">
        <f t="shared" si="124"/>
        <v>3.6407172206139114E-2</v>
      </c>
      <c r="N1126" s="30">
        <f t="shared" si="125"/>
        <v>-8.100874749069998E-3</v>
      </c>
      <c r="O1126" s="30">
        <f t="shared" si="126"/>
        <v>4.822472816349507E-4</v>
      </c>
    </row>
    <row r="1127" spans="1:15" s="30" customFormat="1">
      <c r="A1127" s="27">
        <v>44456</v>
      </c>
      <c r="B1127" s="28" t="s">
        <v>1094</v>
      </c>
      <c r="C1127" s="28">
        <v>682.29</v>
      </c>
      <c r="D1127" s="28" t="s">
        <v>2275</v>
      </c>
      <c r="E1127" s="28">
        <v>409.3</v>
      </c>
      <c r="F1127" s="28">
        <v>95.8</v>
      </c>
      <c r="G1127" s="28" t="s">
        <v>3444</v>
      </c>
      <c r="H1127" s="28">
        <v>169.28</v>
      </c>
      <c r="I1127" s="30">
        <f t="shared" si="120"/>
        <v>9.5824053276768115E-3</v>
      </c>
      <c r="J1127" s="30">
        <f t="shared" si="121"/>
        <v>6.3664982545781268E-3</v>
      </c>
      <c r="K1127" s="30">
        <f t="shared" si="122"/>
        <v>9.3707303008548955E-3</v>
      </c>
      <c r="L1127" s="30">
        <f t="shared" si="123"/>
        <v>-1.8794933343139766E-3</v>
      </c>
      <c r="M1127" s="30">
        <f t="shared" si="124"/>
        <v>2.2164495732438404E-2</v>
      </c>
      <c r="N1127" s="30">
        <f t="shared" si="125"/>
        <v>4.7372506059077035E-3</v>
      </c>
      <c r="O1127" s="30">
        <f t="shared" si="126"/>
        <v>1.9988135995238205E-2</v>
      </c>
    </row>
    <row r="1128" spans="1:15" s="30" customFormat="1">
      <c r="A1128" s="27">
        <v>44455</v>
      </c>
      <c r="B1128" s="28" t="s">
        <v>1095</v>
      </c>
      <c r="C1128" s="28">
        <v>694.75</v>
      </c>
      <c r="D1128" s="28" t="s">
        <v>2276</v>
      </c>
      <c r="E1128" s="28">
        <v>415.73</v>
      </c>
      <c r="F1128" s="28">
        <v>97.05</v>
      </c>
      <c r="G1128" s="28" t="s">
        <v>3445</v>
      </c>
      <c r="H1128" s="28">
        <v>174.62</v>
      </c>
      <c r="I1128" s="30">
        <f t="shared" si="120"/>
        <v>1.1753067880180509E-2</v>
      </c>
      <c r="J1128" s="30">
        <f t="shared" si="121"/>
        <v>1.8097281218181289E-2</v>
      </c>
      <c r="K1128" s="30">
        <f t="shared" si="122"/>
        <v>-1.1270986825512223E-2</v>
      </c>
      <c r="L1128" s="30">
        <f t="shared" si="123"/>
        <v>1.5587627584724744E-2</v>
      </c>
      <c r="M1128" s="30">
        <f t="shared" si="124"/>
        <v>1.2963624638204298E-2</v>
      </c>
      <c r="N1128" s="30">
        <f t="shared" si="125"/>
        <v>-5.8966446682835304E-3</v>
      </c>
      <c r="O1128" s="30">
        <f t="shared" si="126"/>
        <v>3.1058035712726986E-2</v>
      </c>
    </row>
    <row r="1129" spans="1:15" s="30" customFormat="1">
      <c r="A1129" s="27">
        <v>44454</v>
      </c>
      <c r="B1129" s="28" t="s">
        <v>1096</v>
      </c>
      <c r="C1129" s="28">
        <v>697.87</v>
      </c>
      <c r="D1129" s="28" t="s">
        <v>2277</v>
      </c>
      <c r="E1129" s="28">
        <v>417</v>
      </c>
      <c r="F1129" s="28">
        <v>97</v>
      </c>
      <c r="G1129" s="28" t="s">
        <v>3446</v>
      </c>
      <c r="H1129" s="28">
        <v>174.65</v>
      </c>
      <c r="I1129" s="30">
        <f t="shared" si="120"/>
        <v>3.0473254939242054E-3</v>
      </c>
      <c r="J1129" s="30">
        <f t="shared" si="121"/>
        <v>4.4807703754032825E-3</v>
      </c>
      <c r="K1129" s="30">
        <f t="shared" si="122"/>
        <v>1.1250777102349411E-3</v>
      </c>
      <c r="L1129" s="30">
        <f t="shared" si="123"/>
        <v>3.0502107157192619E-3</v>
      </c>
      <c r="M1129" s="30">
        <f t="shared" si="124"/>
        <v>-5.1533111163642954E-4</v>
      </c>
      <c r="N1129" s="30">
        <f t="shared" si="125"/>
        <v>6.2583819153380488E-3</v>
      </c>
      <c r="O1129" s="30">
        <f t="shared" si="126"/>
        <v>1.7178687017940038E-4</v>
      </c>
    </row>
    <row r="1130" spans="1:15" s="30" customFormat="1">
      <c r="A1130" s="27">
        <v>44453</v>
      </c>
      <c r="B1130" s="28" t="s">
        <v>875</v>
      </c>
      <c r="C1130" s="28">
        <v>695.71</v>
      </c>
      <c r="D1130" s="28" t="s">
        <v>2278</v>
      </c>
      <c r="E1130" s="28">
        <v>408.73</v>
      </c>
      <c r="F1130" s="28">
        <v>96.3</v>
      </c>
      <c r="G1130" s="28" t="s">
        <v>3447</v>
      </c>
      <c r="H1130" s="28">
        <v>174.3</v>
      </c>
      <c r="I1130" s="30">
        <f t="shared" si="120"/>
        <v>3.0380675062175763E-3</v>
      </c>
      <c r="J1130" s="30">
        <f t="shared" si="121"/>
        <v>-3.0999321599391766E-3</v>
      </c>
      <c r="K1130" s="30">
        <f t="shared" si="122"/>
        <v>-1.6492528743932029E-3</v>
      </c>
      <c r="L1130" s="30">
        <f t="shared" si="123"/>
        <v>-2.0031430448041874E-2</v>
      </c>
      <c r="M1130" s="30">
        <f t="shared" si="124"/>
        <v>-7.242659699302924E-3</v>
      </c>
      <c r="N1130" s="30">
        <f t="shared" si="125"/>
        <v>-5.5762226274360688E-3</v>
      </c>
      <c r="O1130" s="30">
        <f t="shared" si="126"/>
        <v>-2.006018726865743E-3</v>
      </c>
    </row>
    <row r="1131" spans="1:15" s="30" customFormat="1">
      <c r="A1131" s="27">
        <v>44452</v>
      </c>
      <c r="B1131" s="28" t="s">
        <v>1097</v>
      </c>
      <c r="C1131" s="28">
        <v>699.42</v>
      </c>
      <c r="D1131" s="28" t="s">
        <v>2279</v>
      </c>
      <c r="E1131" s="28">
        <v>402.63</v>
      </c>
      <c r="F1131" s="28">
        <v>96.75</v>
      </c>
      <c r="G1131" s="28" t="s">
        <v>3448</v>
      </c>
      <c r="H1131" s="28">
        <v>168.6</v>
      </c>
      <c r="I1131" s="30">
        <f t="shared" si="120"/>
        <v>1.3522451555697044E-3</v>
      </c>
      <c r="J1131" s="30">
        <f t="shared" si="121"/>
        <v>5.3185133217187076E-3</v>
      </c>
      <c r="K1131" s="30">
        <f t="shared" si="122"/>
        <v>5.1521545721818617E-3</v>
      </c>
      <c r="L1131" s="30">
        <f t="shared" si="123"/>
        <v>-1.5036765272935331E-2</v>
      </c>
      <c r="M1131" s="30">
        <f t="shared" si="124"/>
        <v>4.6620131058113714E-3</v>
      </c>
      <c r="N1131" s="30">
        <f t="shared" si="125"/>
        <v>2.2024690169770819E-3</v>
      </c>
      <c r="O1131" s="30">
        <f t="shared" si="126"/>
        <v>-3.3248906958220213E-2</v>
      </c>
    </row>
    <row r="1132" spans="1:15" s="30" customFormat="1">
      <c r="A1132" s="27">
        <v>44448</v>
      </c>
      <c r="B1132" s="28" t="s">
        <v>1098</v>
      </c>
      <c r="C1132" s="28">
        <v>697.12</v>
      </c>
      <c r="D1132" s="28" t="s">
        <v>2280</v>
      </c>
      <c r="E1132" s="28">
        <v>407.47</v>
      </c>
      <c r="F1132" s="28">
        <v>97.7</v>
      </c>
      <c r="G1132" s="28" t="s">
        <v>3449</v>
      </c>
      <c r="H1132" s="28">
        <v>165.2</v>
      </c>
      <c r="I1132" s="30">
        <f t="shared" si="120"/>
        <v>-6.1667904788958068E-3</v>
      </c>
      <c r="J1132" s="30">
        <f t="shared" si="121"/>
        <v>-3.2938577906638962E-3</v>
      </c>
      <c r="K1132" s="30">
        <f t="shared" si="122"/>
        <v>7.9177332384349907E-4</v>
      </c>
      <c r="L1132" s="30">
        <f t="shared" si="123"/>
        <v>1.1949284261133297E-2</v>
      </c>
      <c r="M1132" s="30">
        <f t="shared" si="124"/>
        <v>9.7712271388459004E-3</v>
      </c>
      <c r="N1132" s="30">
        <f t="shared" si="125"/>
        <v>-3.9315105124618993E-3</v>
      </c>
      <c r="O1132" s="30">
        <f t="shared" si="126"/>
        <v>-2.037218448087744E-2</v>
      </c>
    </row>
    <row r="1133" spans="1:15" s="30" customFormat="1">
      <c r="A1133" s="27">
        <v>44447</v>
      </c>
      <c r="B1133" s="28" t="s">
        <v>1099</v>
      </c>
      <c r="C1133" s="28">
        <v>692.67</v>
      </c>
      <c r="D1133" s="28" t="s">
        <v>2281</v>
      </c>
      <c r="E1133" s="28">
        <v>410.33</v>
      </c>
      <c r="F1133" s="28">
        <v>99.05</v>
      </c>
      <c r="G1133" s="28" t="s">
        <v>3450</v>
      </c>
      <c r="H1133" s="28">
        <v>166.6</v>
      </c>
      <c r="I1133" s="30">
        <f t="shared" si="120"/>
        <v>-2.9178751651950793E-3</v>
      </c>
      <c r="J1133" s="30">
        <f t="shared" si="121"/>
        <v>-6.4038670701102151E-3</v>
      </c>
      <c r="K1133" s="30">
        <f t="shared" si="122"/>
        <v>-3.475306054981105E-4</v>
      </c>
      <c r="L1133" s="30">
        <f t="shared" si="123"/>
        <v>6.9944036675425123E-3</v>
      </c>
      <c r="M1133" s="30">
        <f t="shared" si="124"/>
        <v>1.3723214095822753E-2</v>
      </c>
      <c r="N1133" s="30">
        <f t="shared" si="125"/>
        <v>1.3210171972433066E-2</v>
      </c>
      <c r="O1133" s="30">
        <f t="shared" si="126"/>
        <v>8.4388686458646035E-3</v>
      </c>
    </row>
    <row r="1134" spans="1:15" s="30" customFormat="1">
      <c r="A1134" s="27">
        <v>44446</v>
      </c>
      <c r="B1134" s="28" t="s">
        <v>1100</v>
      </c>
      <c r="C1134" s="28">
        <v>694.92</v>
      </c>
      <c r="D1134" s="28" t="s">
        <v>2282</v>
      </c>
      <c r="E1134" s="28">
        <v>414.3</v>
      </c>
      <c r="F1134" s="28">
        <v>100.1</v>
      </c>
      <c r="G1134" s="28" t="s">
        <v>3451</v>
      </c>
      <c r="H1134" s="28">
        <v>167.72</v>
      </c>
      <c r="I1134" s="30">
        <f t="shared" si="120"/>
        <v>-1.0490270283938295E-4</v>
      </c>
      <c r="J1134" s="30">
        <f t="shared" si="121"/>
        <v>3.2430357266769612E-3</v>
      </c>
      <c r="K1134" s="30">
        <f t="shared" si="122"/>
        <v>9.360322817872184E-3</v>
      </c>
      <c r="L1134" s="30">
        <f t="shared" si="123"/>
        <v>9.6286350768561412E-3</v>
      </c>
      <c r="M1134" s="30">
        <f t="shared" si="124"/>
        <v>1.054491317661504E-2</v>
      </c>
      <c r="N1134" s="30">
        <f t="shared" si="125"/>
        <v>8.658837618853471E-3</v>
      </c>
      <c r="O1134" s="30">
        <f t="shared" si="126"/>
        <v>6.7001925698195654E-3</v>
      </c>
    </row>
    <row r="1135" spans="1:15" s="30" customFormat="1">
      <c r="A1135" s="27">
        <v>44445</v>
      </c>
      <c r="B1135" s="28" t="s">
        <v>1101</v>
      </c>
      <c r="C1135" s="28">
        <v>695.79</v>
      </c>
      <c r="D1135" s="28" t="s">
        <v>2283</v>
      </c>
      <c r="E1135" s="28">
        <v>417.2</v>
      </c>
      <c r="F1135" s="28">
        <v>98.55</v>
      </c>
      <c r="G1135" s="28" t="s">
        <v>3452</v>
      </c>
      <c r="H1135" s="28">
        <v>167.05</v>
      </c>
      <c r="I1135" s="30">
        <f t="shared" si="120"/>
        <v>-6.2238993418770698E-3</v>
      </c>
      <c r="J1135" s="30">
        <f t="shared" si="121"/>
        <v>1.2511596429039882E-3</v>
      </c>
      <c r="K1135" s="30">
        <f t="shared" si="122"/>
        <v>-1.4358328860255511E-3</v>
      </c>
      <c r="L1135" s="30">
        <f t="shared" si="123"/>
        <v>6.9753740432611606E-3</v>
      </c>
      <c r="M1135" s="30">
        <f t="shared" si="124"/>
        <v>-1.5605652722445667E-2</v>
      </c>
      <c r="N1135" s="30">
        <f t="shared" si="125"/>
        <v>-3.2354905444128791E-3</v>
      </c>
      <c r="O1135" s="30">
        <f t="shared" si="126"/>
        <v>-4.0027534997962525E-3</v>
      </c>
    </row>
    <row r="1136" spans="1:15" s="30" customFormat="1">
      <c r="A1136" s="27">
        <v>44442</v>
      </c>
      <c r="B1136" s="28" t="s">
        <v>1102</v>
      </c>
      <c r="C1136" s="28">
        <v>692.79</v>
      </c>
      <c r="D1136" s="28" t="s">
        <v>2284</v>
      </c>
      <c r="E1136" s="28">
        <v>413.03</v>
      </c>
      <c r="F1136" s="28">
        <v>98.65</v>
      </c>
      <c r="G1136" s="28" t="s">
        <v>3453</v>
      </c>
      <c r="H1136" s="28">
        <v>168.93</v>
      </c>
      <c r="I1136" s="30">
        <f t="shared" si="120"/>
        <v>6.9879385997247212E-3</v>
      </c>
      <c r="J1136" s="30">
        <f t="shared" si="121"/>
        <v>-4.3209677046896862E-3</v>
      </c>
      <c r="K1136" s="30">
        <f t="shared" si="122"/>
        <v>6.1880676462163359E-3</v>
      </c>
      <c r="L1136" s="30">
        <f t="shared" si="123"/>
        <v>-1.0045493578503855E-2</v>
      </c>
      <c r="M1136" s="30">
        <f t="shared" si="124"/>
        <v>1.0141988698952537E-3</v>
      </c>
      <c r="N1136" s="30">
        <f t="shared" si="125"/>
        <v>7.7698392780267541E-3</v>
      </c>
      <c r="O1136" s="30">
        <f t="shared" si="126"/>
        <v>1.1191259131871254E-2</v>
      </c>
    </row>
    <row r="1137" spans="1:15" s="30" customFormat="1">
      <c r="A1137" s="27">
        <v>44441</v>
      </c>
      <c r="B1137" s="28" t="s">
        <v>1103</v>
      </c>
      <c r="C1137" s="28">
        <v>695.04</v>
      </c>
      <c r="D1137" s="28" t="s">
        <v>2285</v>
      </c>
      <c r="E1137" s="28">
        <v>412.97</v>
      </c>
      <c r="F1137" s="28">
        <v>96.8</v>
      </c>
      <c r="G1137" s="28" t="s">
        <v>3454</v>
      </c>
      <c r="H1137" s="28">
        <v>168.03</v>
      </c>
      <c r="I1137" s="30">
        <f t="shared" si="120"/>
        <v>-1.1204261538209619E-2</v>
      </c>
      <c r="J1137" s="30">
        <f t="shared" si="121"/>
        <v>3.242474901548254E-3</v>
      </c>
      <c r="K1137" s="30">
        <f t="shared" si="122"/>
        <v>-1.2279730170661887E-2</v>
      </c>
      <c r="L1137" s="30">
        <f t="shared" si="123"/>
        <v>-1.4527845061853957E-4</v>
      </c>
      <c r="M1137" s="30">
        <f t="shared" si="124"/>
        <v>-1.8931238186093158E-2</v>
      </c>
      <c r="N1137" s="30">
        <f t="shared" si="125"/>
        <v>6.6530609552585265E-3</v>
      </c>
      <c r="O1137" s="30">
        <f t="shared" si="126"/>
        <v>-5.3418930447862315E-3</v>
      </c>
    </row>
    <row r="1138" spans="1:15" s="30" customFormat="1">
      <c r="A1138" s="27">
        <v>44440</v>
      </c>
      <c r="B1138" s="28" t="s">
        <v>1104</v>
      </c>
      <c r="C1138" s="28">
        <v>690.54</v>
      </c>
      <c r="D1138" s="28" t="s">
        <v>2286</v>
      </c>
      <c r="E1138" s="28">
        <v>415</v>
      </c>
      <c r="F1138" s="28">
        <v>95.05</v>
      </c>
      <c r="G1138" s="28" t="s">
        <v>3455</v>
      </c>
      <c r="H1138" s="28">
        <v>166.7</v>
      </c>
      <c r="I1138" s="30">
        <f t="shared" si="120"/>
        <v>3.4825532009144213E-4</v>
      </c>
      <c r="J1138" s="30">
        <f t="shared" si="121"/>
        <v>-6.4954976570065848E-3</v>
      </c>
      <c r="K1138" s="30">
        <f t="shared" si="122"/>
        <v>-6.7691971081101799E-3</v>
      </c>
      <c r="L1138" s="30">
        <f t="shared" si="123"/>
        <v>4.903569133203411E-3</v>
      </c>
      <c r="M1138" s="30">
        <f t="shared" si="124"/>
        <v>-1.8243925348093173E-2</v>
      </c>
      <c r="N1138" s="30">
        <f t="shared" si="125"/>
        <v>3.1233528822385377E-3</v>
      </c>
      <c r="O1138" s="30">
        <f t="shared" si="126"/>
        <v>-7.9467451331023918E-3</v>
      </c>
    </row>
    <row r="1139" spans="1:15" s="30" customFormat="1">
      <c r="A1139" s="27">
        <v>44439</v>
      </c>
      <c r="B1139" s="28" t="s">
        <v>1105</v>
      </c>
      <c r="C1139" s="28">
        <v>684</v>
      </c>
      <c r="D1139" s="28" t="s">
        <v>2287</v>
      </c>
      <c r="E1139" s="28">
        <v>413.03</v>
      </c>
      <c r="F1139" s="28">
        <v>94.85</v>
      </c>
      <c r="G1139" s="28" t="s">
        <v>3456</v>
      </c>
      <c r="H1139" s="28">
        <v>167.22</v>
      </c>
      <c r="I1139" s="30">
        <f t="shared" si="120"/>
        <v>-3.1182858934883071E-2</v>
      </c>
      <c r="J1139" s="30">
        <f t="shared" si="121"/>
        <v>-9.515982585904189E-3</v>
      </c>
      <c r="K1139" s="30">
        <f t="shared" si="122"/>
        <v>3.6610564964787949E-3</v>
      </c>
      <c r="L1139" s="30">
        <f t="shared" si="123"/>
        <v>-4.7582906825847605E-3</v>
      </c>
      <c r="M1139" s="30">
        <f t="shared" si="124"/>
        <v>-2.1063725534150256E-3</v>
      </c>
      <c r="N1139" s="30">
        <f t="shared" si="125"/>
        <v>-2.9100578483989639E-2</v>
      </c>
      <c r="O1139" s="30">
        <f t="shared" si="126"/>
        <v>3.1145209651636751E-3</v>
      </c>
    </row>
    <row r="1140" spans="1:15" s="30" customFormat="1">
      <c r="A1140" s="27">
        <v>44438</v>
      </c>
      <c r="B1140" s="28" t="s">
        <v>1106</v>
      </c>
      <c r="C1140" s="28">
        <v>675.54</v>
      </c>
      <c r="D1140" s="28" t="s">
        <v>2288</v>
      </c>
      <c r="E1140" s="28">
        <v>412.9</v>
      </c>
      <c r="F1140" s="28">
        <v>95.15</v>
      </c>
      <c r="G1140" s="28" t="s">
        <v>3457</v>
      </c>
      <c r="H1140" s="28">
        <v>167.8</v>
      </c>
      <c r="I1140" s="30">
        <f t="shared" si="120"/>
        <v>-2.9351879705965967E-2</v>
      </c>
      <c r="J1140" s="30">
        <f t="shared" si="121"/>
        <v>-1.2445546579456311E-2</v>
      </c>
      <c r="K1140" s="30">
        <f t="shared" si="122"/>
        <v>-9.8708661167629334E-3</v>
      </c>
      <c r="L1140" s="30">
        <f t="shared" si="123"/>
        <v>-3.1479665606906545E-4</v>
      </c>
      <c r="M1140" s="30">
        <f t="shared" si="124"/>
        <v>3.1578973611354013E-3</v>
      </c>
      <c r="N1140" s="30">
        <f t="shared" si="125"/>
        <v>-1.4707049589018088E-3</v>
      </c>
      <c r="O1140" s="30">
        <f t="shared" si="126"/>
        <v>3.4624833111940785E-3</v>
      </c>
    </row>
    <row r="1141" spans="1:15" s="30" customFormat="1">
      <c r="A1141" s="27">
        <v>44435</v>
      </c>
      <c r="B1141" s="28" t="s">
        <v>1107</v>
      </c>
      <c r="C1141" s="28">
        <v>654.87</v>
      </c>
      <c r="D1141" s="28" t="s">
        <v>2289</v>
      </c>
      <c r="E1141" s="28">
        <v>414.77</v>
      </c>
      <c r="F1141" s="28">
        <v>93.8</v>
      </c>
      <c r="G1141" s="28" t="s">
        <v>3458</v>
      </c>
      <c r="H1141" s="28">
        <v>173.22</v>
      </c>
      <c r="I1141" s="30">
        <f t="shared" si="120"/>
        <v>-2.341638670200567E-2</v>
      </c>
      <c r="J1141" s="30">
        <f t="shared" si="121"/>
        <v>-3.1075628388713285E-2</v>
      </c>
      <c r="K1141" s="30">
        <f t="shared" si="122"/>
        <v>1.1667429948160807E-2</v>
      </c>
      <c r="L1141" s="30">
        <f t="shared" si="123"/>
        <v>4.5187168362485529E-3</v>
      </c>
      <c r="M1141" s="30">
        <f t="shared" si="124"/>
        <v>-1.4289737729979598E-2</v>
      </c>
      <c r="N1141" s="30">
        <f t="shared" si="125"/>
        <v>-3.1750378194328826E-3</v>
      </c>
      <c r="O1141" s="30">
        <f t="shared" si="126"/>
        <v>3.1789668869792849E-2</v>
      </c>
    </row>
    <row r="1142" spans="1:15" s="30" customFormat="1">
      <c r="A1142" s="27">
        <v>44434</v>
      </c>
      <c r="B1142" s="28" t="s">
        <v>1108</v>
      </c>
      <c r="C1142" s="28">
        <v>655.46</v>
      </c>
      <c r="D1142" s="28" t="s">
        <v>2290</v>
      </c>
      <c r="E1142" s="28">
        <v>417.97</v>
      </c>
      <c r="F1142" s="28">
        <v>93.8</v>
      </c>
      <c r="G1142" s="28" t="s">
        <v>3459</v>
      </c>
      <c r="H1142" s="28">
        <v>162.22</v>
      </c>
      <c r="I1142" s="30">
        <f t="shared" si="120"/>
        <v>9.3804777756219325E-4</v>
      </c>
      <c r="J1142" s="30">
        <f t="shared" si="121"/>
        <v>9.0053656692972231E-4</v>
      </c>
      <c r="K1142" s="30">
        <f t="shared" si="122"/>
        <v>-2.5232691240686229E-2</v>
      </c>
      <c r="L1142" s="30">
        <f t="shared" si="123"/>
        <v>7.6855098859214838E-3</v>
      </c>
      <c r="M1142" s="30">
        <f t="shared" si="124"/>
        <v>0</v>
      </c>
      <c r="N1142" s="30">
        <f t="shared" si="125"/>
        <v>-2.9533708398903405E-4</v>
      </c>
      <c r="O1142" s="30">
        <f t="shared" si="126"/>
        <v>-6.5609024260700019E-2</v>
      </c>
    </row>
    <row r="1143" spans="1:15" s="30" customFormat="1">
      <c r="A1143" s="27">
        <v>44433</v>
      </c>
      <c r="B1143" s="28" t="s">
        <v>1109</v>
      </c>
      <c r="C1143" s="28">
        <v>653.75</v>
      </c>
      <c r="D1143" s="28" t="s">
        <v>2291</v>
      </c>
      <c r="E1143" s="28">
        <v>427.47</v>
      </c>
      <c r="F1143" s="28">
        <v>93.1</v>
      </c>
      <c r="G1143" s="28" t="s">
        <v>3460</v>
      </c>
      <c r="H1143" s="28">
        <v>158.88</v>
      </c>
      <c r="I1143" s="30">
        <f t="shared" si="120"/>
        <v>-5.2651497670577762E-4</v>
      </c>
      <c r="J1143" s="30">
        <f t="shared" si="121"/>
        <v>-2.6122638421778996E-3</v>
      </c>
      <c r="K1143" s="30">
        <f t="shared" si="122"/>
        <v>2.8123590781346373E-2</v>
      </c>
      <c r="L1143" s="30">
        <f t="shared" si="123"/>
        <v>2.2474450861592745E-2</v>
      </c>
      <c r="M1143" s="30">
        <f t="shared" si="124"/>
        <v>-7.4906717291576257E-3</v>
      </c>
      <c r="N1143" s="30">
        <f t="shared" si="125"/>
        <v>2.541585773711393E-3</v>
      </c>
      <c r="O1143" s="30">
        <f t="shared" si="126"/>
        <v>-2.0804238345336235E-2</v>
      </c>
    </row>
    <row r="1144" spans="1:15" s="30" customFormat="1">
      <c r="A1144" s="27">
        <v>44432</v>
      </c>
      <c r="B1144" s="28" t="s">
        <v>1110</v>
      </c>
      <c r="C1144" s="28">
        <v>659.12</v>
      </c>
      <c r="D1144" s="28" t="s">
        <v>2292</v>
      </c>
      <c r="E1144" s="28">
        <v>420.8</v>
      </c>
      <c r="F1144" s="28">
        <v>93.85</v>
      </c>
      <c r="G1144" s="28" t="s">
        <v>3461</v>
      </c>
      <c r="H1144" s="28">
        <v>154.5</v>
      </c>
      <c r="I1144" s="30">
        <f t="shared" si="120"/>
        <v>2.5969771334616487E-3</v>
      </c>
      <c r="J1144" s="30">
        <f t="shared" si="121"/>
        <v>8.1805966282018725E-3</v>
      </c>
      <c r="K1144" s="30">
        <f t="shared" si="122"/>
        <v>-7.3786817554710397E-3</v>
      </c>
      <c r="L1144" s="30">
        <f t="shared" si="123"/>
        <v>-1.5726449052307096E-2</v>
      </c>
      <c r="M1144" s="30">
        <f t="shared" si="124"/>
        <v>8.0235787494964197E-3</v>
      </c>
      <c r="N1144" s="30">
        <f t="shared" si="125"/>
        <v>-9.6788539833467732E-3</v>
      </c>
      <c r="O1144" s="30">
        <f t="shared" si="126"/>
        <v>-2.7955103959062314E-2</v>
      </c>
    </row>
    <row r="1145" spans="1:15" s="30" customFormat="1">
      <c r="A1145" s="27">
        <v>44431</v>
      </c>
      <c r="B1145" s="28" t="s">
        <v>1111</v>
      </c>
      <c r="C1145" s="28">
        <v>662.87</v>
      </c>
      <c r="D1145" s="28" t="s">
        <v>2293</v>
      </c>
      <c r="E1145" s="28">
        <v>424.73</v>
      </c>
      <c r="F1145" s="28">
        <v>93.85</v>
      </c>
      <c r="G1145" s="28" t="s">
        <v>3462</v>
      </c>
      <c r="H1145" s="28">
        <v>159.19999999999999</v>
      </c>
      <c r="I1145" s="30">
        <f t="shared" si="120"/>
        <v>1.028849262300215E-2</v>
      </c>
      <c r="J1145" s="30">
        <f t="shared" si="121"/>
        <v>5.6732805212664442E-3</v>
      </c>
      <c r="K1145" s="30">
        <f t="shared" si="122"/>
        <v>-5.3068053435198171E-3</v>
      </c>
      <c r="L1145" s="30">
        <f t="shared" si="123"/>
        <v>9.2960114984530322E-3</v>
      </c>
      <c r="M1145" s="30">
        <f t="shared" si="124"/>
        <v>0</v>
      </c>
      <c r="N1145" s="30">
        <f t="shared" si="125"/>
        <v>1.4635264446263411E-3</v>
      </c>
      <c r="O1145" s="30">
        <f t="shared" si="126"/>
        <v>2.9967177072482459E-2</v>
      </c>
    </row>
    <row r="1146" spans="1:15" s="30" customFormat="1">
      <c r="A1146" s="27">
        <v>44428</v>
      </c>
      <c r="B1146" s="28" t="s">
        <v>1112</v>
      </c>
      <c r="C1146" s="28">
        <v>682.71</v>
      </c>
      <c r="D1146" s="28" t="s">
        <v>2294</v>
      </c>
      <c r="E1146" s="28">
        <v>417</v>
      </c>
      <c r="F1146" s="28">
        <v>97.75</v>
      </c>
      <c r="G1146" s="28" t="s">
        <v>3463</v>
      </c>
      <c r="H1146" s="28">
        <v>162.85</v>
      </c>
      <c r="I1146" s="30">
        <f t="shared" si="120"/>
        <v>1.1469497662849871E-2</v>
      </c>
      <c r="J1146" s="30">
        <f t="shared" si="121"/>
        <v>2.9491279510635928E-2</v>
      </c>
      <c r="K1146" s="30">
        <f t="shared" si="122"/>
        <v>-5.2969857754302289E-2</v>
      </c>
      <c r="L1146" s="30">
        <f t="shared" si="123"/>
        <v>-1.8367451123151697E-2</v>
      </c>
      <c r="M1146" s="30">
        <f t="shared" si="124"/>
        <v>4.071543583295744E-2</v>
      </c>
      <c r="N1146" s="30">
        <f t="shared" si="125"/>
        <v>1.1947899086744896E-2</v>
      </c>
      <c r="O1146" s="30">
        <f t="shared" si="126"/>
        <v>2.2668258311959892E-2</v>
      </c>
    </row>
    <row r="1147" spans="1:15" s="30" customFormat="1">
      <c r="A1147" s="27">
        <v>44426</v>
      </c>
      <c r="B1147" s="28" t="s">
        <v>1113</v>
      </c>
      <c r="C1147" s="28">
        <v>678.08</v>
      </c>
      <c r="D1147" s="28" t="s">
        <v>2295</v>
      </c>
      <c r="E1147" s="28">
        <v>423.13</v>
      </c>
      <c r="F1147" s="28">
        <v>99.7</v>
      </c>
      <c r="G1147" s="28" t="s">
        <v>3464</v>
      </c>
      <c r="H1147" s="28">
        <v>163.80000000000001</v>
      </c>
      <c r="I1147" s="30">
        <f t="shared" si="120"/>
        <v>-3.644200774513174E-2</v>
      </c>
      <c r="J1147" s="30">
        <f t="shared" si="121"/>
        <v>-6.804896959302662E-3</v>
      </c>
      <c r="K1147" s="30">
        <f t="shared" si="122"/>
        <v>-1.7329731813794536E-2</v>
      </c>
      <c r="L1147" s="30">
        <f t="shared" si="123"/>
        <v>1.4593238636915282E-2</v>
      </c>
      <c r="M1147" s="30">
        <f t="shared" si="124"/>
        <v>1.9752478102317547E-2</v>
      </c>
      <c r="N1147" s="30">
        <f t="shared" si="125"/>
        <v>4.84284263498905E-3</v>
      </c>
      <c r="O1147" s="30">
        <f t="shared" si="126"/>
        <v>5.8166396967266453E-3</v>
      </c>
    </row>
    <row r="1148" spans="1:15" s="30" customFormat="1">
      <c r="A1148" s="27">
        <v>44425</v>
      </c>
      <c r="B1148" s="28" t="s">
        <v>1114</v>
      </c>
      <c r="C1148" s="28">
        <v>679.12</v>
      </c>
      <c r="D1148" s="28" t="s">
        <v>2296</v>
      </c>
      <c r="E1148" s="28">
        <v>422.2</v>
      </c>
      <c r="F1148" s="28">
        <v>103.6</v>
      </c>
      <c r="G1148" s="28" t="s">
        <v>3465</v>
      </c>
      <c r="H1148" s="28">
        <v>165.82</v>
      </c>
      <c r="I1148" s="30">
        <f t="shared" si="120"/>
        <v>4.5705058081566934E-3</v>
      </c>
      <c r="J1148" s="30">
        <f t="shared" si="121"/>
        <v>1.5325673497779888E-3</v>
      </c>
      <c r="K1148" s="30">
        <f t="shared" si="122"/>
        <v>8.5365610322968247E-3</v>
      </c>
      <c r="L1148" s="30">
        <f t="shared" si="123"/>
        <v>-2.2003250214965484E-3</v>
      </c>
      <c r="M1148" s="30">
        <f t="shared" si="124"/>
        <v>3.837165285759004E-2</v>
      </c>
      <c r="N1148" s="30">
        <f t="shared" si="125"/>
        <v>3.3201008580920062E-3</v>
      </c>
      <c r="O1148" s="30">
        <f t="shared" si="126"/>
        <v>1.2256691269103552E-2</v>
      </c>
    </row>
    <row r="1149" spans="1:15" s="30" customFormat="1">
      <c r="A1149" s="27">
        <v>44424</v>
      </c>
      <c r="B1149" s="28" t="s">
        <v>1115</v>
      </c>
      <c r="C1149" s="28">
        <v>679.21</v>
      </c>
      <c r="D1149" s="28" t="s">
        <v>2297</v>
      </c>
      <c r="E1149" s="28">
        <v>419.23</v>
      </c>
      <c r="F1149" s="28">
        <v>99.2</v>
      </c>
      <c r="G1149" s="28" t="s">
        <v>3466</v>
      </c>
      <c r="H1149" s="28">
        <v>165.28</v>
      </c>
      <c r="I1149" s="30">
        <f t="shared" si="120"/>
        <v>-1.4666105495551383E-2</v>
      </c>
      <c r="J1149" s="30">
        <f t="shared" si="121"/>
        <v>1.3251566280910137E-4</v>
      </c>
      <c r="K1149" s="30">
        <f t="shared" si="122"/>
        <v>-4.654844031029671E-3</v>
      </c>
      <c r="L1149" s="30">
        <f t="shared" si="123"/>
        <v>-7.0594400825357883E-3</v>
      </c>
      <c r="M1149" s="30">
        <f t="shared" si="124"/>
        <v>-4.3399315534555484E-2</v>
      </c>
      <c r="N1149" s="30">
        <f t="shared" si="125"/>
        <v>-3.4099864787005539E-3</v>
      </c>
      <c r="O1149" s="30">
        <f t="shared" si="126"/>
        <v>-3.2618573167441742E-3</v>
      </c>
    </row>
    <row r="1150" spans="1:15" s="30" customFormat="1">
      <c r="A1150" s="27">
        <v>44421</v>
      </c>
      <c r="B1150" s="28" t="s">
        <v>1116</v>
      </c>
      <c r="C1150" s="28">
        <v>675.96</v>
      </c>
      <c r="D1150" s="28" t="s">
        <v>2298</v>
      </c>
      <c r="E1150" s="28">
        <v>418.73</v>
      </c>
      <c r="F1150" s="28">
        <v>101.4</v>
      </c>
      <c r="G1150" s="28" t="s">
        <v>204</v>
      </c>
      <c r="H1150" s="28">
        <v>170.68</v>
      </c>
      <c r="I1150" s="30">
        <f t="shared" si="120"/>
        <v>5.8052880274200164E-3</v>
      </c>
      <c r="J1150" s="30">
        <f t="shared" si="121"/>
        <v>-4.7964553978985178E-3</v>
      </c>
      <c r="K1150" s="30">
        <f t="shared" si="122"/>
        <v>8.978526511683349E-3</v>
      </c>
      <c r="L1150" s="30">
        <f t="shared" si="123"/>
        <v>-1.1933745270401067E-3</v>
      </c>
      <c r="M1150" s="30">
        <f t="shared" si="124"/>
        <v>2.1935076866255714E-2</v>
      </c>
      <c r="N1150" s="30">
        <f t="shared" si="125"/>
        <v>-2.7228658653600623E-3</v>
      </c>
      <c r="O1150" s="30">
        <f t="shared" si="126"/>
        <v>3.214945294847079E-2</v>
      </c>
    </row>
    <row r="1151" spans="1:15" s="30" customFormat="1">
      <c r="A1151" s="27">
        <v>44420</v>
      </c>
      <c r="B1151" s="28" t="s">
        <v>1117</v>
      </c>
      <c r="C1151" s="28">
        <v>679.12</v>
      </c>
      <c r="D1151" s="28" t="s">
        <v>2299</v>
      </c>
      <c r="E1151" s="28">
        <v>416.83</v>
      </c>
      <c r="F1151" s="28">
        <v>104.6</v>
      </c>
      <c r="G1151" s="28" t="s">
        <v>3467</v>
      </c>
      <c r="H1151" s="28">
        <v>170</v>
      </c>
      <c r="I1151" s="30">
        <f t="shared" si="120"/>
        <v>-4.4264181457657646E-3</v>
      </c>
      <c r="J1151" s="30">
        <f t="shared" si="121"/>
        <v>4.6639397350894344E-3</v>
      </c>
      <c r="K1151" s="30">
        <f t="shared" si="122"/>
        <v>-6.1930369640907291E-5</v>
      </c>
      <c r="L1151" s="30">
        <f t="shared" si="123"/>
        <v>-4.5478559883342547E-3</v>
      </c>
      <c r="M1151" s="30">
        <f t="shared" si="124"/>
        <v>3.1070460473739677E-2</v>
      </c>
      <c r="N1151" s="30">
        <f t="shared" si="125"/>
        <v>-3.3196262913044484E-2</v>
      </c>
      <c r="O1151" s="30">
        <f t="shared" si="126"/>
        <v>-3.9920212695374498E-3</v>
      </c>
    </row>
    <row r="1152" spans="1:15" s="30" customFormat="1">
      <c r="A1152" s="27">
        <v>44419</v>
      </c>
      <c r="B1152" s="28" t="s">
        <v>1118</v>
      </c>
      <c r="C1152" s="28">
        <v>682</v>
      </c>
      <c r="D1152" s="28" t="s">
        <v>2300</v>
      </c>
      <c r="E1152" s="28">
        <v>410.8</v>
      </c>
      <c r="F1152" s="28">
        <v>102.4</v>
      </c>
      <c r="G1152" s="28" t="s">
        <v>3468</v>
      </c>
      <c r="H1152" s="28">
        <v>162.47</v>
      </c>
      <c r="I1152" s="30">
        <f t="shared" si="120"/>
        <v>-9.7510137011217943E-4</v>
      </c>
      <c r="J1152" s="30">
        <f t="shared" si="121"/>
        <v>4.2318154137496438E-3</v>
      </c>
      <c r="K1152" s="30">
        <f t="shared" si="122"/>
        <v>-2.0251706617775899E-3</v>
      </c>
      <c r="L1152" s="30">
        <f t="shared" si="123"/>
        <v>-1.4571986761906767E-2</v>
      </c>
      <c r="M1152" s="30">
        <f t="shared" si="124"/>
        <v>-2.1256839025415038E-2</v>
      </c>
      <c r="N1152" s="30">
        <f t="shared" si="125"/>
        <v>-6.9424432366992266E-3</v>
      </c>
      <c r="O1152" s="30">
        <f t="shared" si="126"/>
        <v>-4.5305067708602778E-2</v>
      </c>
    </row>
    <row r="1153" spans="1:15" s="30" customFormat="1">
      <c r="A1153" s="27">
        <v>44418</v>
      </c>
      <c r="B1153" s="28" t="s">
        <v>1119</v>
      </c>
      <c r="C1153" s="28">
        <v>675.83</v>
      </c>
      <c r="D1153" s="28" t="s">
        <v>2301</v>
      </c>
      <c r="E1153" s="28">
        <v>416.3</v>
      </c>
      <c r="F1153" s="28">
        <v>102.45</v>
      </c>
      <c r="G1153" s="28" t="s">
        <v>3469</v>
      </c>
      <c r="H1153" s="28">
        <v>162.32</v>
      </c>
      <c r="I1153" s="30">
        <f t="shared" si="120"/>
        <v>1.5294763265630013E-3</v>
      </c>
      <c r="J1153" s="30">
        <f t="shared" si="121"/>
        <v>-9.0880927166577963E-3</v>
      </c>
      <c r="K1153" s="30">
        <f t="shared" si="122"/>
        <v>1.5436079717714483E-2</v>
      </c>
      <c r="L1153" s="30">
        <f t="shared" si="123"/>
        <v>1.3299676146526591E-2</v>
      </c>
      <c r="M1153" s="30">
        <f t="shared" si="124"/>
        <v>4.8816207950135119E-4</v>
      </c>
      <c r="N1153" s="30">
        <f t="shared" si="125"/>
        <v>2.1970237953077284E-2</v>
      </c>
      <c r="O1153" s="30">
        <f t="shared" si="126"/>
        <v>-9.2367382409972516E-4</v>
      </c>
    </row>
    <row r="1154" spans="1:15" s="30" customFormat="1">
      <c r="A1154" s="27">
        <v>44417</v>
      </c>
      <c r="B1154" s="28" t="s">
        <v>1120</v>
      </c>
      <c r="C1154" s="28">
        <v>677.37</v>
      </c>
      <c r="D1154" s="28" t="s">
        <v>2302</v>
      </c>
      <c r="E1154" s="28">
        <v>423.83</v>
      </c>
      <c r="F1154" s="28">
        <v>106.9</v>
      </c>
      <c r="G1154" s="28" t="s">
        <v>3116</v>
      </c>
      <c r="H1154" s="28">
        <v>167.9</v>
      </c>
      <c r="I1154" s="30">
        <f t="shared" si="120"/>
        <v>5.1593996889473699E-3</v>
      </c>
      <c r="J1154" s="30">
        <f t="shared" si="121"/>
        <v>2.2760872965417664E-3</v>
      </c>
      <c r="K1154" s="30">
        <f t="shared" si="122"/>
        <v>2.3034884709521503E-2</v>
      </c>
      <c r="L1154" s="30">
        <f t="shared" si="123"/>
        <v>1.7926277235507014E-2</v>
      </c>
      <c r="M1154" s="30">
        <f t="shared" si="124"/>
        <v>4.2518943346090757E-2</v>
      </c>
      <c r="N1154" s="30">
        <f t="shared" si="125"/>
        <v>2.3001513087768617E-2</v>
      </c>
      <c r="O1154" s="30">
        <f t="shared" si="126"/>
        <v>3.3798868565936009E-2</v>
      </c>
    </row>
    <row r="1155" spans="1:15" s="30" customFormat="1">
      <c r="A1155" s="27">
        <v>44414</v>
      </c>
      <c r="B1155" s="28" t="s">
        <v>1121</v>
      </c>
      <c r="C1155" s="28">
        <v>689.83</v>
      </c>
      <c r="D1155" s="28" t="s">
        <v>2303</v>
      </c>
      <c r="E1155" s="28">
        <v>424.33</v>
      </c>
      <c r="F1155" s="28">
        <v>108.2</v>
      </c>
      <c r="G1155" s="28" t="s">
        <v>3470</v>
      </c>
      <c r="H1155" s="28">
        <v>174.88</v>
      </c>
      <c r="I1155" s="30">
        <f t="shared" si="120"/>
        <v>-8.7599150531397479E-3</v>
      </c>
      <c r="J1155" s="30">
        <f t="shared" si="121"/>
        <v>1.8227538000612043E-2</v>
      </c>
      <c r="K1155" s="30">
        <f t="shared" si="122"/>
        <v>4.3812859592226527E-2</v>
      </c>
      <c r="L1155" s="30">
        <f t="shared" si="123"/>
        <v>1.1790229624614556E-3</v>
      </c>
      <c r="M1155" s="30">
        <f t="shared" si="124"/>
        <v>1.2087548381381572E-2</v>
      </c>
      <c r="N1155" s="30">
        <f t="shared" si="125"/>
        <v>-1.8405463985605888E-3</v>
      </c>
      <c r="O1155" s="30">
        <f t="shared" si="126"/>
        <v>4.0731460344733329E-2</v>
      </c>
    </row>
    <row r="1156" spans="1:15" s="30" customFormat="1">
      <c r="A1156" s="27">
        <v>44413</v>
      </c>
      <c r="B1156" s="28" t="s">
        <v>1122</v>
      </c>
      <c r="C1156" s="28">
        <v>698.5</v>
      </c>
      <c r="D1156" s="28" t="s">
        <v>2304</v>
      </c>
      <c r="E1156" s="28">
        <v>425.23</v>
      </c>
      <c r="F1156" s="28">
        <v>108.25</v>
      </c>
      <c r="G1156" s="28" t="s">
        <v>3471</v>
      </c>
      <c r="H1156" s="28">
        <v>166.47</v>
      </c>
      <c r="I1156" s="30">
        <f t="shared" ref="I1156:I1219" si="127">LN(B1156/B1155)</f>
        <v>7.3721754244810414E-3</v>
      </c>
      <c r="J1156" s="30">
        <f t="shared" ref="J1156:J1219" si="128">LN(C1156/C1155)</f>
        <v>1.2489988273058205E-2</v>
      </c>
      <c r="K1156" s="30">
        <f t="shared" ref="K1156:K1219" si="129">LN(D1156/D1155)</f>
        <v>-6.9974475367379834E-3</v>
      </c>
      <c r="L1156" s="30">
        <f t="shared" ref="L1156:L1219" si="130">LN(E1156/E1155)</f>
        <v>2.1187446129312744E-3</v>
      </c>
      <c r="M1156" s="30">
        <f t="shared" ref="M1156:M1219" si="131">LN(F1156/F1155)</f>
        <v>4.620004702180313E-4</v>
      </c>
      <c r="N1156" s="30">
        <f t="shared" ref="N1156:N1219" si="132">LN(G1156/G1155)</f>
        <v>-2.5869743470331602E-3</v>
      </c>
      <c r="O1156" s="30">
        <f t="shared" ref="O1156:O1219" si="133">LN(H1156/H1155)</f>
        <v>-4.9284911422308897E-2</v>
      </c>
    </row>
    <row r="1157" spans="1:15" s="30" customFormat="1">
      <c r="A1157" s="27">
        <v>44412</v>
      </c>
      <c r="B1157" s="28" t="s">
        <v>1123</v>
      </c>
      <c r="C1157" s="28">
        <v>701.83</v>
      </c>
      <c r="D1157" s="28" t="s">
        <v>2305</v>
      </c>
      <c r="E1157" s="28">
        <v>421.7</v>
      </c>
      <c r="F1157" s="28">
        <v>108.4</v>
      </c>
      <c r="G1157" s="28" t="s">
        <v>3472</v>
      </c>
      <c r="H1157" s="28">
        <v>164.35</v>
      </c>
      <c r="I1157" s="30">
        <f t="shared" si="127"/>
        <v>1.0055020623681641E-2</v>
      </c>
      <c r="J1157" s="30">
        <f t="shared" si="128"/>
        <v>4.7560307598925582E-3</v>
      </c>
      <c r="K1157" s="30">
        <f t="shared" si="129"/>
        <v>2.031625039953714E-3</v>
      </c>
      <c r="L1157" s="30">
        <f t="shared" si="130"/>
        <v>-8.3360382593151428E-3</v>
      </c>
      <c r="M1157" s="30">
        <f t="shared" si="131"/>
        <v>1.3847221229466983E-3</v>
      </c>
      <c r="N1157" s="30">
        <f t="shared" si="132"/>
        <v>7.6291713216119434E-3</v>
      </c>
      <c r="O1157" s="30">
        <f t="shared" si="133"/>
        <v>-1.2816812895691164E-2</v>
      </c>
    </row>
    <row r="1158" spans="1:15" s="30" customFormat="1">
      <c r="A1158" s="27">
        <v>44411</v>
      </c>
      <c r="B1158" s="28" t="s">
        <v>1124</v>
      </c>
      <c r="C1158" s="28">
        <v>704.83</v>
      </c>
      <c r="D1158" s="28" t="s">
        <v>2306</v>
      </c>
      <c r="E1158" s="28">
        <v>423.47</v>
      </c>
      <c r="F1158" s="28">
        <v>109.55</v>
      </c>
      <c r="G1158" s="28" t="s">
        <v>3473</v>
      </c>
      <c r="H1158" s="28">
        <v>165.65</v>
      </c>
      <c r="I1158" s="30">
        <f t="shared" si="127"/>
        <v>2.7788822963908562E-3</v>
      </c>
      <c r="J1158" s="30">
        <f t="shared" si="128"/>
        <v>4.2654295259278779E-3</v>
      </c>
      <c r="K1158" s="30">
        <f t="shared" si="129"/>
        <v>2.7724418098817988E-3</v>
      </c>
      <c r="L1158" s="30">
        <f t="shared" si="130"/>
        <v>4.1885125777909498E-3</v>
      </c>
      <c r="M1158" s="30">
        <f t="shared" si="131"/>
        <v>1.0552977035929688E-2</v>
      </c>
      <c r="N1158" s="30">
        <f t="shared" si="132"/>
        <v>1.5306081737879434E-2</v>
      </c>
      <c r="O1158" s="30">
        <f t="shared" si="133"/>
        <v>7.8788286356764221E-3</v>
      </c>
    </row>
    <row r="1159" spans="1:15" s="30" customFormat="1">
      <c r="A1159" s="27">
        <v>44410</v>
      </c>
      <c r="B1159" s="28" t="s">
        <v>1125</v>
      </c>
      <c r="C1159" s="28">
        <v>700.87</v>
      </c>
      <c r="D1159" s="28" t="s">
        <v>2307</v>
      </c>
      <c r="E1159" s="28">
        <v>419.47</v>
      </c>
      <c r="F1159" s="28">
        <v>108.95</v>
      </c>
      <c r="G1159" s="28" t="s">
        <v>20</v>
      </c>
      <c r="H1159" s="28">
        <v>169.6</v>
      </c>
      <c r="I1159" s="30">
        <f t="shared" si="127"/>
        <v>-1.7647369769037382E-2</v>
      </c>
      <c r="J1159" s="30">
        <f t="shared" si="128"/>
        <v>-5.6342185041651817E-3</v>
      </c>
      <c r="K1159" s="30">
        <f t="shared" si="129"/>
        <v>1.9093625593471962E-5</v>
      </c>
      <c r="L1159" s="30">
        <f t="shared" si="130"/>
        <v>-9.4906636870651356E-3</v>
      </c>
      <c r="M1159" s="30">
        <f t="shared" si="131"/>
        <v>-5.4920046508465745E-3</v>
      </c>
      <c r="N1159" s="30">
        <f t="shared" si="132"/>
        <v>3.9985113800562163E-3</v>
      </c>
      <c r="O1159" s="30">
        <f t="shared" si="133"/>
        <v>2.356559461189783E-2</v>
      </c>
    </row>
    <row r="1160" spans="1:15" s="30" customFormat="1">
      <c r="A1160" s="27">
        <v>44407</v>
      </c>
      <c r="B1160" s="28" t="s">
        <v>1126</v>
      </c>
      <c r="C1160" s="28">
        <v>702.96</v>
      </c>
      <c r="D1160" s="28" t="s">
        <v>2308</v>
      </c>
      <c r="E1160" s="28">
        <v>417.3</v>
      </c>
      <c r="F1160" s="28">
        <v>108.75</v>
      </c>
      <c r="G1160" s="28" t="s">
        <v>3474</v>
      </c>
      <c r="H1160" s="28">
        <v>169.5</v>
      </c>
      <c r="I1160" s="30">
        <f t="shared" si="127"/>
        <v>-5.2591777350592559E-3</v>
      </c>
      <c r="J1160" s="30">
        <f t="shared" si="128"/>
        <v>2.9775707089161377E-3</v>
      </c>
      <c r="K1160" s="30">
        <f t="shared" si="129"/>
        <v>-5.2069492428050319E-3</v>
      </c>
      <c r="L1160" s="30">
        <f t="shared" si="130"/>
        <v>-5.1866220457331309E-3</v>
      </c>
      <c r="M1160" s="30">
        <f t="shared" si="131"/>
        <v>-1.8373914218354323E-3</v>
      </c>
      <c r="N1160" s="30">
        <f t="shared" si="132"/>
        <v>-3.8004065819704468E-3</v>
      </c>
      <c r="O1160" s="30">
        <f t="shared" si="133"/>
        <v>-5.897965372977257E-4</v>
      </c>
    </row>
    <row r="1161" spans="1:15" s="30" customFormat="1">
      <c r="A1161" s="27">
        <v>44406</v>
      </c>
      <c r="B1161" s="28" t="s">
        <v>1127</v>
      </c>
      <c r="C1161" s="28">
        <v>704.58</v>
      </c>
      <c r="D1161" s="28" t="s">
        <v>2309</v>
      </c>
      <c r="E1161" s="28">
        <v>413.23</v>
      </c>
      <c r="F1161" s="28">
        <v>110.3</v>
      </c>
      <c r="G1161" s="28" t="s">
        <v>3475</v>
      </c>
      <c r="H1161" s="28">
        <v>170.7</v>
      </c>
      <c r="I1161" s="30">
        <f t="shared" si="127"/>
        <v>1.3096444677785665E-2</v>
      </c>
      <c r="J1161" s="30">
        <f t="shared" si="128"/>
        <v>2.3018894174570885E-3</v>
      </c>
      <c r="K1161" s="30">
        <f t="shared" si="129"/>
        <v>-1.5532076929121128E-2</v>
      </c>
      <c r="L1161" s="30">
        <f t="shared" si="130"/>
        <v>-9.8010489217433099E-3</v>
      </c>
      <c r="M1161" s="30">
        <f t="shared" si="131"/>
        <v>1.4152256290663282E-2</v>
      </c>
      <c r="N1161" s="30">
        <f t="shared" si="132"/>
        <v>-7.4448335199904896E-3</v>
      </c>
      <c r="O1161" s="30">
        <f t="shared" si="133"/>
        <v>7.054702979889812E-3</v>
      </c>
    </row>
    <row r="1162" spans="1:15" s="30" customFormat="1">
      <c r="A1162" s="27">
        <v>44405</v>
      </c>
      <c r="B1162" s="28" t="s">
        <v>1128</v>
      </c>
      <c r="C1162" s="28">
        <v>708.62</v>
      </c>
      <c r="D1162" s="28" t="s">
        <v>2310</v>
      </c>
      <c r="E1162" s="28">
        <v>406.63</v>
      </c>
      <c r="F1162" s="28">
        <v>107</v>
      </c>
      <c r="G1162" s="28" t="s">
        <v>3476</v>
      </c>
      <c r="H1162" s="28">
        <v>167.53</v>
      </c>
      <c r="I1162" s="30">
        <f t="shared" si="127"/>
        <v>2.2160950826220554E-3</v>
      </c>
      <c r="J1162" s="30">
        <f t="shared" si="128"/>
        <v>5.7175360963784292E-3</v>
      </c>
      <c r="K1162" s="30">
        <f t="shared" si="129"/>
        <v>7.2254368925646342E-3</v>
      </c>
      <c r="L1162" s="30">
        <f t="shared" si="130"/>
        <v>-1.6100657616009165E-2</v>
      </c>
      <c r="M1162" s="30">
        <f t="shared" si="131"/>
        <v>-3.0375091797550553E-2</v>
      </c>
      <c r="N1162" s="30">
        <f t="shared" si="132"/>
        <v>1.1086351603917934E-4</v>
      </c>
      <c r="O1162" s="30">
        <f t="shared" si="133"/>
        <v>-1.8745190094953838E-2</v>
      </c>
    </row>
    <row r="1163" spans="1:15" s="30" customFormat="1">
      <c r="A1163" s="27">
        <v>44404</v>
      </c>
      <c r="B1163" s="28" t="s">
        <v>1129</v>
      </c>
      <c r="C1163" s="28">
        <v>703</v>
      </c>
      <c r="D1163" s="28" t="s">
        <v>2311</v>
      </c>
      <c r="E1163" s="28">
        <v>410.37</v>
      </c>
      <c r="F1163" s="28">
        <v>108.2</v>
      </c>
      <c r="G1163" s="28" t="s">
        <v>3477</v>
      </c>
      <c r="H1163" s="28">
        <v>171.8</v>
      </c>
      <c r="I1163" s="30">
        <f t="shared" si="127"/>
        <v>8.138953386463128E-3</v>
      </c>
      <c r="J1163" s="30">
        <f t="shared" si="128"/>
        <v>-7.9625248907584673E-3</v>
      </c>
      <c r="K1163" s="30">
        <f t="shared" si="129"/>
        <v>-9.1001506836746883E-4</v>
      </c>
      <c r="L1163" s="30">
        <f t="shared" si="130"/>
        <v>9.1555107097081485E-3</v>
      </c>
      <c r="M1163" s="30">
        <f t="shared" si="131"/>
        <v>1.1152531950475107E-2</v>
      </c>
      <c r="N1163" s="30">
        <f t="shared" si="132"/>
        <v>4.3582693456293686E-3</v>
      </c>
      <c r="O1163" s="30">
        <f t="shared" si="133"/>
        <v>2.5168569844713974E-2</v>
      </c>
    </row>
    <row r="1164" spans="1:15" s="30" customFormat="1">
      <c r="A1164" s="27">
        <v>44403</v>
      </c>
      <c r="B1164" s="28" t="s">
        <v>1130</v>
      </c>
      <c r="C1164" s="28">
        <v>708.12</v>
      </c>
      <c r="D1164" s="28" t="s">
        <v>2312</v>
      </c>
      <c r="E1164" s="28">
        <v>411.97</v>
      </c>
      <c r="F1164" s="28">
        <v>111.2</v>
      </c>
      <c r="G1164" s="28" t="s">
        <v>3478</v>
      </c>
      <c r="H1164" s="28">
        <v>173.07</v>
      </c>
      <c r="I1164" s="30">
        <f t="shared" si="127"/>
        <v>1.0690020271273014E-2</v>
      </c>
      <c r="J1164" s="30">
        <f t="shared" si="128"/>
        <v>7.2566790464128651E-3</v>
      </c>
      <c r="K1164" s="30">
        <f t="shared" si="129"/>
        <v>4.9659538795177186E-3</v>
      </c>
      <c r="L1164" s="30">
        <f t="shared" si="130"/>
        <v>3.8913393949035449E-3</v>
      </c>
      <c r="M1164" s="30">
        <f t="shared" si="131"/>
        <v>2.7349015404100764E-2</v>
      </c>
      <c r="N1164" s="30">
        <f t="shared" si="132"/>
        <v>1.986557633258821E-4</v>
      </c>
      <c r="O1164" s="30">
        <f t="shared" si="133"/>
        <v>7.3651273867527409E-3</v>
      </c>
    </row>
    <row r="1165" spans="1:15" s="30" customFormat="1">
      <c r="A1165" s="27">
        <v>44400</v>
      </c>
      <c r="B1165" s="28" t="s">
        <v>1131</v>
      </c>
      <c r="C1165" s="28">
        <v>711.87</v>
      </c>
      <c r="D1165" s="28" t="s">
        <v>2313</v>
      </c>
      <c r="E1165" s="28">
        <v>416.03</v>
      </c>
      <c r="F1165" s="28">
        <v>112.15</v>
      </c>
      <c r="G1165" s="28" t="s">
        <v>3479</v>
      </c>
      <c r="H1165" s="28">
        <v>173.88</v>
      </c>
      <c r="I1165" s="30">
        <f t="shared" si="127"/>
        <v>7.339392907800538E-3</v>
      </c>
      <c r="J1165" s="30">
        <f t="shared" si="128"/>
        <v>5.2817396146980933E-3</v>
      </c>
      <c r="K1165" s="30">
        <f t="shared" si="129"/>
        <v>2.1372260789915766E-3</v>
      </c>
      <c r="L1165" s="30">
        <f t="shared" si="130"/>
        <v>9.8068418813230928E-3</v>
      </c>
      <c r="M1165" s="30">
        <f t="shared" si="131"/>
        <v>8.506879149735436E-3</v>
      </c>
      <c r="N1165" s="30">
        <f t="shared" si="132"/>
        <v>1.0276093325393991E-2</v>
      </c>
      <c r="O1165" s="30">
        <f t="shared" si="133"/>
        <v>4.6692691836836926E-3</v>
      </c>
    </row>
    <row r="1166" spans="1:15" s="30" customFormat="1">
      <c r="A1166" s="27">
        <v>44399</v>
      </c>
      <c r="B1166" s="28" t="s">
        <v>1132</v>
      </c>
      <c r="C1166" s="28">
        <v>713.08</v>
      </c>
      <c r="D1166" s="28" t="s">
        <v>2314</v>
      </c>
      <c r="E1166" s="28">
        <v>416.5</v>
      </c>
      <c r="F1166" s="28">
        <v>112.05</v>
      </c>
      <c r="G1166" s="28" t="s">
        <v>3480</v>
      </c>
      <c r="H1166" s="28">
        <v>176.03</v>
      </c>
      <c r="I1166" s="30">
        <f t="shared" si="127"/>
        <v>7.430774842537579E-3</v>
      </c>
      <c r="J1166" s="30">
        <f t="shared" si="128"/>
        <v>1.6983056118850717E-3</v>
      </c>
      <c r="K1166" s="30">
        <f t="shared" si="129"/>
        <v>-3.950708074624153E-3</v>
      </c>
      <c r="L1166" s="30">
        <f t="shared" si="130"/>
        <v>1.1290885612080853E-3</v>
      </c>
      <c r="M1166" s="30">
        <f t="shared" si="131"/>
        <v>-8.9206071928136588E-4</v>
      </c>
      <c r="N1166" s="30">
        <f t="shared" si="132"/>
        <v>-8.1375266722745702E-3</v>
      </c>
      <c r="O1166" s="30">
        <f t="shared" si="133"/>
        <v>1.2289028937289592E-2</v>
      </c>
    </row>
    <row r="1167" spans="1:15" s="30" customFormat="1">
      <c r="A1167" s="27">
        <v>44397</v>
      </c>
      <c r="B1167" s="28" t="s">
        <v>1133</v>
      </c>
      <c r="C1167" s="28">
        <v>720.79</v>
      </c>
      <c r="D1167" s="28" t="s">
        <v>2315</v>
      </c>
      <c r="E1167" s="28">
        <v>412.13</v>
      </c>
      <c r="F1167" s="28">
        <v>112.55</v>
      </c>
      <c r="G1167" s="28" t="s">
        <v>3481</v>
      </c>
      <c r="H1167" s="28">
        <v>174.25</v>
      </c>
      <c r="I1167" s="30">
        <f t="shared" si="127"/>
        <v>1.6694185784328564E-2</v>
      </c>
      <c r="J1167" s="30">
        <f t="shared" si="128"/>
        <v>1.0754216640311759E-2</v>
      </c>
      <c r="K1167" s="30">
        <f t="shared" si="129"/>
        <v>1.4968417078143141E-2</v>
      </c>
      <c r="L1167" s="30">
        <f t="shared" si="130"/>
        <v>-1.0547628047165665E-2</v>
      </c>
      <c r="M1167" s="30">
        <f t="shared" si="131"/>
        <v>4.4523671058051524E-3</v>
      </c>
      <c r="N1167" s="30">
        <f t="shared" si="132"/>
        <v>7.7052630756442033E-4</v>
      </c>
      <c r="O1167" s="30">
        <f t="shared" si="133"/>
        <v>-1.0163385417247608E-2</v>
      </c>
    </row>
    <row r="1168" spans="1:15" s="30" customFormat="1">
      <c r="A1168" s="27">
        <v>44396</v>
      </c>
      <c r="B1168" s="28" t="s">
        <v>1134</v>
      </c>
      <c r="C1168" s="28">
        <v>696.08</v>
      </c>
      <c r="D1168" s="28" t="s">
        <v>2316</v>
      </c>
      <c r="E1168" s="28">
        <v>400.5</v>
      </c>
      <c r="F1168" s="28">
        <v>111.4</v>
      </c>
      <c r="G1168" s="28" t="s">
        <v>3482</v>
      </c>
      <c r="H1168" s="28">
        <v>174.38</v>
      </c>
      <c r="I1168" s="30">
        <f t="shared" si="127"/>
        <v>-5.7693900556609619E-2</v>
      </c>
      <c r="J1168" s="30">
        <f t="shared" si="128"/>
        <v>-3.4883236466203726E-2</v>
      </c>
      <c r="K1168" s="30">
        <f t="shared" si="129"/>
        <v>-1.2750244520730685E-2</v>
      </c>
      <c r="L1168" s="30">
        <f t="shared" si="130"/>
        <v>-2.8625067051317812E-2</v>
      </c>
      <c r="M1168" s="30">
        <f t="shared" si="131"/>
        <v>-1.0270239859557573E-2</v>
      </c>
      <c r="N1168" s="30">
        <f t="shared" si="132"/>
        <v>-3.3726844786392302E-3</v>
      </c>
      <c r="O1168" s="30">
        <f t="shared" si="133"/>
        <v>7.4577635903569329E-4</v>
      </c>
    </row>
    <row r="1169" spans="1:15" s="30" customFormat="1">
      <c r="A1169" s="27">
        <v>44393</v>
      </c>
      <c r="B1169" s="28" t="s">
        <v>1135</v>
      </c>
      <c r="C1169" s="28">
        <v>703.21</v>
      </c>
      <c r="D1169" s="28" t="s">
        <v>2317</v>
      </c>
      <c r="E1169" s="28">
        <v>399.93</v>
      </c>
      <c r="F1169" s="28">
        <v>112.7</v>
      </c>
      <c r="G1169" s="28" t="s">
        <v>3483</v>
      </c>
      <c r="H1169" s="28">
        <v>172.25</v>
      </c>
      <c r="I1169" s="30">
        <f t="shared" si="127"/>
        <v>2.4617973496414104E-3</v>
      </c>
      <c r="J1169" s="30">
        <f t="shared" si="128"/>
        <v>1.0190970717432036E-2</v>
      </c>
      <c r="K1169" s="30">
        <f t="shared" si="129"/>
        <v>5.840105737106467E-3</v>
      </c>
      <c r="L1169" s="30">
        <f t="shared" si="130"/>
        <v>-1.4242347147186256E-3</v>
      </c>
      <c r="M1169" s="30">
        <f t="shared" si="131"/>
        <v>1.1602093552546979E-2</v>
      </c>
      <c r="N1169" s="30">
        <f t="shared" si="132"/>
        <v>7.5452133713442117E-3</v>
      </c>
      <c r="O1169" s="30">
        <f t="shared" si="133"/>
        <v>-1.2289916105900949E-2</v>
      </c>
    </row>
    <row r="1170" spans="1:15" s="30" customFormat="1">
      <c r="A1170" s="27">
        <v>44392</v>
      </c>
      <c r="B1170" s="28" t="s">
        <v>1136</v>
      </c>
      <c r="C1170" s="28">
        <v>700.96</v>
      </c>
      <c r="D1170" s="28" t="s">
        <v>2318</v>
      </c>
      <c r="E1170" s="28">
        <v>400.17</v>
      </c>
      <c r="F1170" s="28">
        <v>114.7</v>
      </c>
      <c r="G1170" s="28" t="s">
        <v>3484</v>
      </c>
      <c r="H1170" s="28">
        <v>163.1</v>
      </c>
      <c r="I1170" s="30">
        <f t="shared" si="127"/>
        <v>-1.9086211824563661E-3</v>
      </c>
      <c r="J1170" s="30">
        <f t="shared" si="128"/>
        <v>-3.2047429096126261E-3</v>
      </c>
      <c r="K1170" s="30">
        <f t="shared" si="129"/>
        <v>-4.2999260017408045E-3</v>
      </c>
      <c r="L1170" s="30">
        <f t="shared" si="130"/>
        <v>5.9992502736701454E-4</v>
      </c>
      <c r="M1170" s="30">
        <f t="shared" si="131"/>
        <v>1.7590603089594484E-2</v>
      </c>
      <c r="N1170" s="30">
        <f t="shared" si="132"/>
        <v>3.6312766856684588E-3</v>
      </c>
      <c r="O1170" s="30">
        <f t="shared" si="133"/>
        <v>-5.4583400266799816E-2</v>
      </c>
    </row>
    <row r="1171" spans="1:15" s="30" customFormat="1">
      <c r="A1171" s="27">
        <v>44391</v>
      </c>
      <c r="B1171" s="28" t="s">
        <v>1137</v>
      </c>
      <c r="C1171" s="28">
        <v>698.92</v>
      </c>
      <c r="D1171" s="28" t="s">
        <v>2319</v>
      </c>
      <c r="E1171" s="28">
        <v>400.13</v>
      </c>
      <c r="F1171" s="28">
        <v>114.15</v>
      </c>
      <c r="G1171" s="28" t="s">
        <v>3485</v>
      </c>
      <c r="H1171" s="28">
        <v>164.03</v>
      </c>
      <c r="I1171" s="30">
        <f t="shared" si="127"/>
        <v>6.1314524107354959E-3</v>
      </c>
      <c r="J1171" s="30">
        <f t="shared" si="128"/>
        <v>-2.9145375947507717E-3</v>
      </c>
      <c r="K1171" s="30">
        <f t="shared" si="129"/>
        <v>8.1808274936597206E-3</v>
      </c>
      <c r="L1171" s="30">
        <f t="shared" si="130"/>
        <v>-9.9962514140557659E-5</v>
      </c>
      <c r="M1171" s="30">
        <f t="shared" si="131"/>
        <v>-4.806651159520477E-3</v>
      </c>
      <c r="N1171" s="30">
        <f t="shared" si="132"/>
        <v>2.8999115463306233E-3</v>
      </c>
      <c r="O1171" s="30">
        <f t="shared" si="133"/>
        <v>5.6858282974261935E-3</v>
      </c>
    </row>
    <row r="1172" spans="1:15" s="30" customFormat="1">
      <c r="A1172" s="27">
        <v>44390</v>
      </c>
      <c r="B1172" s="28" t="s">
        <v>1138</v>
      </c>
      <c r="C1172" s="28">
        <v>698.04</v>
      </c>
      <c r="D1172" s="28" t="s">
        <v>2320</v>
      </c>
      <c r="E1172" s="28">
        <v>401.33</v>
      </c>
      <c r="F1172" s="28">
        <v>109.05</v>
      </c>
      <c r="G1172" s="28" t="s">
        <v>3486</v>
      </c>
      <c r="H1172" s="28">
        <v>160.85</v>
      </c>
      <c r="I1172" s="30">
        <f t="shared" si="127"/>
        <v>-2.701892967627816E-3</v>
      </c>
      <c r="J1172" s="30">
        <f t="shared" si="128"/>
        <v>-1.2598787601672029E-3</v>
      </c>
      <c r="K1172" s="30">
        <f t="shared" si="129"/>
        <v>-3.1989390203348414E-2</v>
      </c>
      <c r="L1172" s="30">
        <f t="shared" si="130"/>
        <v>2.994537211402071E-3</v>
      </c>
      <c r="M1172" s="30">
        <f t="shared" si="131"/>
        <v>-4.5706880328166506E-2</v>
      </c>
      <c r="N1172" s="30">
        <f t="shared" si="132"/>
        <v>-3.8392787441105768E-3</v>
      </c>
      <c r="O1172" s="30">
        <f t="shared" si="133"/>
        <v>-1.9577084239359079E-2</v>
      </c>
    </row>
    <row r="1173" spans="1:15" s="30" customFormat="1">
      <c r="A1173" s="27">
        <v>44389</v>
      </c>
      <c r="B1173" s="28" t="s">
        <v>1139</v>
      </c>
      <c r="C1173" s="28">
        <v>699.71</v>
      </c>
      <c r="D1173" s="28" t="s">
        <v>2321</v>
      </c>
      <c r="E1173" s="28">
        <v>401.5</v>
      </c>
      <c r="F1173" s="28">
        <v>109.15</v>
      </c>
      <c r="G1173" s="28" t="s">
        <v>3487</v>
      </c>
      <c r="H1173" s="28">
        <v>161.22</v>
      </c>
      <c r="I1173" s="30">
        <f t="shared" si="127"/>
        <v>1.8520841234637257E-3</v>
      </c>
      <c r="J1173" s="30">
        <f t="shared" si="128"/>
        <v>2.3895557784130222E-3</v>
      </c>
      <c r="K1173" s="30">
        <f t="shared" si="129"/>
        <v>-1.5065936672366878E-2</v>
      </c>
      <c r="L1173" s="30">
        <f t="shared" si="130"/>
        <v>4.2350186849238452E-4</v>
      </c>
      <c r="M1173" s="30">
        <f t="shared" si="131"/>
        <v>9.1659034831488475E-4</v>
      </c>
      <c r="N1173" s="30">
        <f t="shared" si="132"/>
        <v>-3.4372947111576801E-3</v>
      </c>
      <c r="O1173" s="30">
        <f t="shared" si="133"/>
        <v>2.2976381704194727E-3</v>
      </c>
    </row>
    <row r="1174" spans="1:15" s="30" customFormat="1">
      <c r="A1174" s="27">
        <v>44386</v>
      </c>
      <c r="B1174" s="28" t="s">
        <v>1140</v>
      </c>
      <c r="C1174" s="28">
        <v>703.42</v>
      </c>
      <c r="D1174" s="28" t="s">
        <v>2322</v>
      </c>
      <c r="E1174" s="28">
        <v>401.83</v>
      </c>
      <c r="F1174" s="28">
        <v>111.25</v>
      </c>
      <c r="G1174" s="28" t="s">
        <v>3488</v>
      </c>
      <c r="H1174" s="28">
        <v>164.57</v>
      </c>
      <c r="I1174" s="30">
        <f t="shared" si="127"/>
        <v>3.7271257788237377E-3</v>
      </c>
      <c r="J1174" s="30">
        <f t="shared" si="128"/>
        <v>5.2881894704347888E-3</v>
      </c>
      <c r="K1174" s="30">
        <f t="shared" si="129"/>
        <v>7.5514161528343797E-3</v>
      </c>
      <c r="L1174" s="30">
        <f t="shared" si="130"/>
        <v>8.2158021874529903E-4</v>
      </c>
      <c r="M1174" s="30">
        <f t="shared" si="131"/>
        <v>1.9056838050396638E-2</v>
      </c>
      <c r="N1174" s="30">
        <f t="shared" si="132"/>
        <v>6.8410333786969677E-3</v>
      </c>
      <c r="O1174" s="30">
        <f t="shared" si="133"/>
        <v>2.0566119751836604E-2</v>
      </c>
    </row>
    <row r="1175" spans="1:15" s="30" customFormat="1">
      <c r="A1175" s="27">
        <v>44385</v>
      </c>
      <c r="B1175" s="28" t="s">
        <v>1141</v>
      </c>
      <c r="C1175" s="28">
        <v>701.37</v>
      </c>
      <c r="D1175" s="28" t="s">
        <v>2323</v>
      </c>
      <c r="E1175" s="28">
        <v>400.03</v>
      </c>
      <c r="F1175" s="28">
        <v>111</v>
      </c>
      <c r="G1175" s="28" t="s">
        <v>3489</v>
      </c>
      <c r="H1175" s="28">
        <v>161.69999999999999</v>
      </c>
      <c r="I1175" s="30">
        <f t="shared" si="127"/>
        <v>5.8620115205287281E-3</v>
      </c>
      <c r="J1175" s="30">
        <f t="shared" si="128"/>
        <v>-2.9185877678293277E-3</v>
      </c>
      <c r="K1175" s="30">
        <f t="shared" si="129"/>
        <v>1.5227170736505119E-2</v>
      </c>
      <c r="L1175" s="30">
        <f t="shared" si="130"/>
        <v>-4.4895693099391122E-3</v>
      </c>
      <c r="M1175" s="30">
        <f t="shared" si="131"/>
        <v>-2.2497197340154416E-3</v>
      </c>
      <c r="N1175" s="30">
        <f t="shared" si="132"/>
        <v>6.2102559917103211E-3</v>
      </c>
      <c r="O1175" s="30">
        <f t="shared" si="133"/>
        <v>-1.7593245024230274E-2</v>
      </c>
    </row>
    <row r="1176" spans="1:15" s="30" customFormat="1">
      <c r="A1176" s="27">
        <v>44384</v>
      </c>
      <c r="B1176" s="28" t="s">
        <v>1142</v>
      </c>
      <c r="C1176" s="28">
        <v>705.12</v>
      </c>
      <c r="D1176" s="28" t="s">
        <v>2324</v>
      </c>
      <c r="E1176" s="28">
        <v>404.77</v>
      </c>
      <c r="F1176" s="28">
        <v>112.95</v>
      </c>
      <c r="G1176" s="28" t="s">
        <v>3490</v>
      </c>
      <c r="H1176" s="28">
        <v>166.12</v>
      </c>
      <c r="I1176" s="30">
        <f t="shared" si="127"/>
        <v>3.8890036491573006E-3</v>
      </c>
      <c r="J1176" s="30">
        <f t="shared" si="128"/>
        <v>5.3324359019878871E-3</v>
      </c>
      <c r="K1176" s="30">
        <f t="shared" si="129"/>
        <v>-1.5842695888227093E-2</v>
      </c>
      <c r="L1176" s="30">
        <f t="shared" si="130"/>
        <v>1.1779460259364867E-2</v>
      </c>
      <c r="M1176" s="30">
        <f t="shared" si="131"/>
        <v>1.7415041601678071E-2</v>
      </c>
      <c r="N1176" s="30">
        <f t="shared" si="132"/>
        <v>8.9862579309575238E-3</v>
      </c>
      <c r="O1176" s="30">
        <f t="shared" si="133"/>
        <v>2.6967652179491725E-2</v>
      </c>
    </row>
    <row r="1177" spans="1:15" s="30" customFormat="1">
      <c r="A1177" s="27">
        <v>44383</v>
      </c>
      <c r="B1177" s="28" t="s">
        <v>1143</v>
      </c>
      <c r="C1177" s="28">
        <v>678.42</v>
      </c>
      <c r="D1177" s="28" t="s">
        <v>2325</v>
      </c>
      <c r="E1177" s="28">
        <v>409</v>
      </c>
      <c r="F1177" s="28">
        <v>106.3</v>
      </c>
      <c r="G1177" s="28" t="s">
        <v>3491</v>
      </c>
      <c r="H1177" s="28">
        <v>167.57</v>
      </c>
      <c r="I1177" s="30">
        <f t="shared" si="127"/>
        <v>-1.2445134641950852E-2</v>
      </c>
      <c r="J1177" s="30">
        <f t="shared" si="128"/>
        <v>-3.8601435918468173E-2</v>
      </c>
      <c r="K1177" s="30">
        <f t="shared" si="129"/>
        <v>9.0358785085860593E-3</v>
      </c>
      <c r="L1177" s="30">
        <f t="shared" si="130"/>
        <v>1.0396151487814217E-2</v>
      </c>
      <c r="M1177" s="30">
        <f t="shared" si="131"/>
        <v>-6.0679957566110054E-2</v>
      </c>
      <c r="N1177" s="30">
        <f t="shared" si="132"/>
        <v>-1.266543043931499E-3</v>
      </c>
      <c r="O1177" s="30">
        <f t="shared" si="133"/>
        <v>8.6907556500800068E-3</v>
      </c>
    </row>
    <row r="1178" spans="1:15" s="30" customFormat="1">
      <c r="A1178" s="27">
        <v>44382</v>
      </c>
      <c r="B1178" s="28" t="s">
        <v>1144</v>
      </c>
      <c r="C1178" s="28">
        <v>680.46</v>
      </c>
      <c r="D1178" s="28" t="s">
        <v>2326</v>
      </c>
      <c r="E1178" s="28">
        <v>396.77</v>
      </c>
      <c r="F1178" s="28">
        <v>109.75</v>
      </c>
      <c r="G1178" s="28" t="s">
        <v>3492</v>
      </c>
      <c r="H1178" s="28">
        <v>166.55</v>
      </c>
      <c r="I1178" s="30">
        <f t="shared" si="127"/>
        <v>4.0882180151763526E-3</v>
      </c>
      <c r="J1178" s="30">
        <f t="shared" si="128"/>
        <v>3.0024748800854804E-3</v>
      </c>
      <c r="K1178" s="30">
        <f t="shared" si="129"/>
        <v>-6.8914597854181328E-4</v>
      </c>
      <c r="L1178" s="30">
        <f t="shared" si="130"/>
        <v>-3.0358388328983632E-2</v>
      </c>
      <c r="M1178" s="30">
        <f t="shared" si="131"/>
        <v>3.1939766607378538E-2</v>
      </c>
      <c r="N1178" s="30">
        <f t="shared" si="132"/>
        <v>1.1362787782891218E-2</v>
      </c>
      <c r="O1178" s="30">
        <f t="shared" si="133"/>
        <v>-6.1056097729440244E-3</v>
      </c>
    </row>
    <row r="1179" spans="1:15" s="30" customFormat="1">
      <c r="A1179" s="27">
        <v>44379</v>
      </c>
      <c r="B1179" s="28" t="s">
        <v>1145</v>
      </c>
      <c r="C1179" s="28">
        <v>672.42</v>
      </c>
      <c r="D1179" s="28" t="s">
        <v>2327</v>
      </c>
      <c r="E1179" s="28">
        <v>391.47</v>
      </c>
      <c r="F1179" s="28">
        <v>110.45</v>
      </c>
      <c r="G1179" s="28" t="s">
        <v>3493</v>
      </c>
      <c r="H1179" s="28">
        <v>165.12</v>
      </c>
      <c r="I1179" s="30">
        <f t="shared" si="127"/>
        <v>-3.25592500000695E-3</v>
      </c>
      <c r="J1179" s="30">
        <f t="shared" si="128"/>
        <v>-1.1885894763302554E-2</v>
      </c>
      <c r="K1179" s="30">
        <f t="shared" si="129"/>
        <v>-5.8869018907946619E-3</v>
      </c>
      <c r="L1179" s="30">
        <f t="shared" si="130"/>
        <v>-1.3447883571552901E-2</v>
      </c>
      <c r="M1179" s="30">
        <f t="shared" si="131"/>
        <v>6.3578779108454872E-3</v>
      </c>
      <c r="N1179" s="30">
        <f t="shared" si="132"/>
        <v>-2.4453269252627946E-3</v>
      </c>
      <c r="O1179" s="30">
        <f t="shared" si="133"/>
        <v>-8.6230823464907465E-3</v>
      </c>
    </row>
    <row r="1180" spans="1:15" s="30" customFormat="1">
      <c r="A1180" s="27">
        <v>44378</v>
      </c>
      <c r="B1180" s="28" t="s">
        <v>1146</v>
      </c>
      <c r="C1180" s="28">
        <v>674.17</v>
      </c>
      <c r="D1180" s="28" t="s">
        <v>2328</v>
      </c>
      <c r="E1180" s="28">
        <v>381.43</v>
      </c>
      <c r="F1180" s="28">
        <v>113.7</v>
      </c>
      <c r="G1180" s="28" t="s">
        <v>3494</v>
      </c>
      <c r="H1180" s="28">
        <v>162.05000000000001</v>
      </c>
      <c r="I1180" s="30">
        <f t="shared" si="127"/>
        <v>5.5089244289390459E-3</v>
      </c>
      <c r="J1180" s="30">
        <f t="shared" si="128"/>
        <v>2.5991593360945933E-3</v>
      </c>
      <c r="K1180" s="30">
        <f t="shared" si="129"/>
        <v>-3.0757348955445804E-3</v>
      </c>
      <c r="L1180" s="30">
        <f t="shared" si="130"/>
        <v>-2.5981536491944967E-2</v>
      </c>
      <c r="M1180" s="30">
        <f t="shared" si="131"/>
        <v>2.9000470890364099E-2</v>
      </c>
      <c r="N1180" s="30">
        <f t="shared" si="132"/>
        <v>-9.4116328610243608E-3</v>
      </c>
      <c r="O1180" s="30">
        <f t="shared" si="133"/>
        <v>-1.8767552705641517E-2</v>
      </c>
    </row>
    <row r="1181" spans="1:15" s="30" customFormat="1">
      <c r="A1181" s="27">
        <v>44377</v>
      </c>
      <c r="B1181" s="28" t="s">
        <v>1147</v>
      </c>
      <c r="C1181" s="28">
        <v>670.92</v>
      </c>
      <c r="D1181" s="28" t="s">
        <v>2329</v>
      </c>
      <c r="E1181" s="28">
        <v>383.47</v>
      </c>
      <c r="F1181" s="28">
        <v>111.45</v>
      </c>
      <c r="G1181" s="28" t="s">
        <v>3495</v>
      </c>
      <c r="H1181" s="28">
        <v>163.82</v>
      </c>
      <c r="I1181" s="30">
        <f t="shared" si="127"/>
        <v>-9.6105024483503203E-3</v>
      </c>
      <c r="J1181" s="30">
        <f t="shared" si="128"/>
        <v>-4.8323998015320389E-3</v>
      </c>
      <c r="K1181" s="30">
        <f t="shared" si="129"/>
        <v>-1.3125449342783473E-3</v>
      </c>
      <c r="L1181" s="30">
        <f t="shared" si="130"/>
        <v>5.33404323922251E-3</v>
      </c>
      <c r="M1181" s="30">
        <f t="shared" si="131"/>
        <v>-1.9987340924612493E-2</v>
      </c>
      <c r="N1181" s="30">
        <f t="shared" si="132"/>
        <v>1.1984378079479089E-2</v>
      </c>
      <c r="O1181" s="30">
        <f t="shared" si="133"/>
        <v>1.0863334499899456E-2</v>
      </c>
    </row>
    <row r="1182" spans="1:15" s="30" customFormat="1">
      <c r="A1182" s="27">
        <v>44376</v>
      </c>
      <c r="B1182" s="28" t="s">
        <v>1148</v>
      </c>
      <c r="C1182" s="28">
        <v>670.29</v>
      </c>
      <c r="D1182" s="28" t="s">
        <v>2330</v>
      </c>
      <c r="E1182" s="28">
        <v>389.53</v>
      </c>
      <c r="F1182" s="28">
        <v>105.85</v>
      </c>
      <c r="G1182" s="28" t="s">
        <v>3496</v>
      </c>
      <c r="H1182" s="28">
        <v>165.4</v>
      </c>
      <c r="I1182" s="30">
        <f t="shared" si="127"/>
        <v>2.9361737420010806E-3</v>
      </c>
      <c r="J1182" s="30">
        <f t="shared" si="128"/>
        <v>-9.3945026704953395E-4</v>
      </c>
      <c r="K1182" s="30">
        <f t="shared" si="129"/>
        <v>1.2557389368932768E-2</v>
      </c>
      <c r="L1182" s="30">
        <f t="shared" si="130"/>
        <v>1.5679493278081488E-2</v>
      </c>
      <c r="M1182" s="30">
        <f t="shared" si="131"/>
        <v>-5.155306225100377E-2</v>
      </c>
      <c r="N1182" s="30">
        <f t="shared" si="132"/>
        <v>-1.4308109142102168E-2</v>
      </c>
      <c r="O1182" s="30">
        <f t="shared" si="133"/>
        <v>9.5985185021349555E-3</v>
      </c>
    </row>
    <row r="1183" spans="1:15" s="30" customFormat="1">
      <c r="A1183" s="27">
        <v>44375</v>
      </c>
      <c r="B1183" s="28" t="s">
        <v>1149</v>
      </c>
      <c r="C1183" s="28">
        <v>670.62</v>
      </c>
      <c r="D1183" s="28" t="s">
        <v>2331</v>
      </c>
      <c r="E1183" s="28">
        <v>392.53</v>
      </c>
      <c r="F1183" s="28">
        <v>109.05</v>
      </c>
      <c r="G1183" s="28" t="s">
        <v>3497</v>
      </c>
      <c r="H1183" s="28">
        <v>164.43</v>
      </c>
      <c r="I1183" s="30">
        <f t="shared" si="127"/>
        <v>-6.1994199669736126E-3</v>
      </c>
      <c r="J1183" s="30">
        <f t="shared" si="128"/>
        <v>4.9220306607041105E-4</v>
      </c>
      <c r="K1183" s="30">
        <f t="shared" si="129"/>
        <v>1.0847683257205934E-2</v>
      </c>
      <c r="L1183" s="30">
        <f t="shared" si="130"/>
        <v>7.6720832549955304E-3</v>
      </c>
      <c r="M1183" s="30">
        <f t="shared" si="131"/>
        <v>2.9783495066763862E-2</v>
      </c>
      <c r="N1183" s="30">
        <f t="shared" si="132"/>
        <v>-1.366378506263922E-2</v>
      </c>
      <c r="O1183" s="30">
        <f t="shared" si="133"/>
        <v>-5.8818348634562291E-3</v>
      </c>
    </row>
    <row r="1184" spans="1:15" s="30" customFormat="1">
      <c r="A1184" s="27">
        <v>44372</v>
      </c>
      <c r="B1184" s="28" t="s">
        <v>1150</v>
      </c>
      <c r="C1184" s="28">
        <v>671.71</v>
      </c>
      <c r="D1184" s="28" t="s">
        <v>2332</v>
      </c>
      <c r="E1184" s="28">
        <v>392.77</v>
      </c>
      <c r="F1184" s="28">
        <v>104.55</v>
      </c>
      <c r="G1184" s="28" t="s">
        <v>3498</v>
      </c>
      <c r="H1184" s="28">
        <v>162.05000000000001</v>
      </c>
      <c r="I1184" s="30">
        <f t="shared" si="127"/>
        <v>6.9987006569427112E-3</v>
      </c>
      <c r="J1184" s="30">
        <f t="shared" si="128"/>
        <v>1.6240421350547781E-3</v>
      </c>
      <c r="K1184" s="30">
        <f t="shared" si="129"/>
        <v>-2.1039760107264868E-2</v>
      </c>
      <c r="L1184" s="30">
        <f t="shared" si="130"/>
        <v>6.1123139557398465E-4</v>
      </c>
      <c r="M1184" s="30">
        <f t="shared" si="131"/>
        <v>-4.2141066772995492E-2</v>
      </c>
      <c r="N1184" s="30">
        <f t="shared" si="132"/>
        <v>9.1299027764560597E-3</v>
      </c>
      <c r="O1184" s="30">
        <f t="shared" si="133"/>
        <v>-1.4580018138578293E-2</v>
      </c>
    </row>
    <row r="1185" spans="1:15" s="30" customFormat="1">
      <c r="A1185" s="27">
        <v>44371</v>
      </c>
      <c r="B1185" s="28" t="s">
        <v>1151</v>
      </c>
      <c r="C1185" s="28">
        <v>677.67</v>
      </c>
      <c r="D1185" s="28" t="s">
        <v>2333</v>
      </c>
      <c r="E1185" s="28">
        <v>393.3</v>
      </c>
      <c r="F1185" s="28">
        <v>105</v>
      </c>
      <c r="G1185" s="28" t="s">
        <v>3499</v>
      </c>
      <c r="H1185" s="28">
        <v>160.80000000000001</v>
      </c>
      <c r="I1185" s="30">
        <f t="shared" si="127"/>
        <v>1.301457890783885E-2</v>
      </c>
      <c r="J1185" s="30">
        <f t="shared" si="128"/>
        <v>8.8337440266634086E-3</v>
      </c>
      <c r="K1185" s="30">
        <f t="shared" si="129"/>
        <v>1.2116098254433759E-2</v>
      </c>
      <c r="L1185" s="30">
        <f t="shared" si="130"/>
        <v>1.3484806195700886E-3</v>
      </c>
      <c r="M1185" s="30">
        <f t="shared" si="131"/>
        <v>4.2949242828808709E-3</v>
      </c>
      <c r="N1185" s="30">
        <f t="shared" si="132"/>
        <v>1.3604482383053064E-2</v>
      </c>
      <c r="O1185" s="30">
        <f t="shared" si="133"/>
        <v>-7.7435728426903721E-3</v>
      </c>
    </row>
    <row r="1186" spans="1:15" s="30" customFormat="1">
      <c r="A1186" s="27">
        <v>44370</v>
      </c>
      <c r="B1186" s="28" t="s">
        <v>1152</v>
      </c>
      <c r="C1186" s="28">
        <v>671.75</v>
      </c>
      <c r="D1186" s="28" t="s">
        <v>2334</v>
      </c>
      <c r="E1186" s="28">
        <v>389.7</v>
      </c>
      <c r="F1186" s="28">
        <v>105.3</v>
      </c>
      <c r="G1186" s="28" t="s">
        <v>3500</v>
      </c>
      <c r="H1186" s="28">
        <v>162.6</v>
      </c>
      <c r="I1186" s="30">
        <f t="shared" si="127"/>
        <v>-1.8539316515484884E-2</v>
      </c>
      <c r="J1186" s="30">
        <f t="shared" si="128"/>
        <v>-8.7741962916928276E-3</v>
      </c>
      <c r="K1186" s="30">
        <f t="shared" si="129"/>
        <v>1.3597700403942323E-2</v>
      </c>
      <c r="L1186" s="30">
        <f t="shared" si="130"/>
        <v>-9.1954670931003856E-3</v>
      </c>
      <c r="M1186" s="30">
        <f t="shared" si="131"/>
        <v>2.8530689824064807E-3</v>
      </c>
      <c r="N1186" s="30">
        <f t="shared" si="132"/>
        <v>-7.1767824133240031E-3</v>
      </c>
      <c r="O1186" s="30">
        <f t="shared" si="133"/>
        <v>1.1131840368844199E-2</v>
      </c>
    </row>
    <row r="1187" spans="1:15" s="30" customFormat="1">
      <c r="A1187" s="27">
        <v>44369</v>
      </c>
      <c r="B1187" s="28" t="s">
        <v>1153</v>
      </c>
      <c r="C1187" s="28">
        <v>673.67</v>
      </c>
      <c r="D1187" s="28" t="s">
        <v>2335</v>
      </c>
      <c r="E1187" s="28">
        <v>387.47</v>
      </c>
      <c r="F1187" s="28">
        <v>105.85</v>
      </c>
      <c r="G1187" s="28" t="s">
        <v>3501</v>
      </c>
      <c r="H1187" s="28">
        <v>165.85</v>
      </c>
      <c r="I1187" s="30">
        <f t="shared" si="127"/>
        <v>7.8191173861562289E-3</v>
      </c>
      <c r="J1187" s="30">
        <f t="shared" si="128"/>
        <v>2.8541292731910852E-3</v>
      </c>
      <c r="K1187" s="30">
        <f t="shared" si="129"/>
        <v>-1.0073398678788528E-2</v>
      </c>
      <c r="L1187" s="30">
        <f t="shared" si="130"/>
        <v>-5.7387859031333586E-3</v>
      </c>
      <c r="M1187" s="30">
        <f t="shared" si="131"/>
        <v>5.2095784409443516E-3</v>
      </c>
      <c r="N1187" s="30">
        <f t="shared" si="132"/>
        <v>-1.6715655162759059E-2</v>
      </c>
      <c r="O1187" s="30">
        <f t="shared" si="133"/>
        <v>1.9790568279351217E-2</v>
      </c>
    </row>
    <row r="1188" spans="1:15" s="30" customFormat="1">
      <c r="A1188" s="27">
        <v>44368</v>
      </c>
      <c r="B1188" s="28" t="s">
        <v>1154</v>
      </c>
      <c r="C1188" s="28">
        <v>689.79</v>
      </c>
      <c r="D1188" s="28" t="s">
        <v>2336</v>
      </c>
      <c r="E1188" s="28">
        <v>384.43</v>
      </c>
      <c r="F1188" s="28">
        <v>106.75</v>
      </c>
      <c r="G1188" s="28" t="s">
        <v>3502</v>
      </c>
      <c r="H1188" s="28">
        <v>167.3</v>
      </c>
      <c r="I1188" s="30">
        <f t="shared" si="127"/>
        <v>1.8999313142504273E-2</v>
      </c>
      <c r="J1188" s="30">
        <f t="shared" si="128"/>
        <v>2.3646826673227449E-2</v>
      </c>
      <c r="K1188" s="30">
        <f t="shared" si="129"/>
        <v>5.5159918049731051E-3</v>
      </c>
      <c r="L1188" s="30">
        <f t="shared" si="130"/>
        <v>-7.8767086861696763E-3</v>
      </c>
      <c r="M1188" s="30">
        <f t="shared" si="131"/>
        <v>8.4666545278597686E-3</v>
      </c>
      <c r="N1188" s="30">
        <f t="shared" si="132"/>
        <v>-1.8513122379515308E-2</v>
      </c>
      <c r="O1188" s="30">
        <f t="shared" si="133"/>
        <v>8.7048425997169315E-3</v>
      </c>
    </row>
    <row r="1189" spans="1:15" s="30" customFormat="1">
      <c r="A1189" s="27">
        <v>44365</v>
      </c>
      <c r="B1189" s="28" t="s">
        <v>1155</v>
      </c>
      <c r="C1189" s="28">
        <v>688</v>
      </c>
      <c r="D1189" s="28" t="s">
        <v>2337</v>
      </c>
      <c r="E1189" s="28">
        <v>382.93</v>
      </c>
      <c r="F1189" s="28">
        <v>105.7</v>
      </c>
      <c r="G1189" s="28" t="s">
        <v>3503</v>
      </c>
      <c r="H1189" s="28">
        <v>169.1</v>
      </c>
      <c r="I1189" s="30">
        <f t="shared" si="127"/>
        <v>-6.9820011384871348E-3</v>
      </c>
      <c r="J1189" s="30">
        <f t="shared" si="128"/>
        <v>-2.5983655086756719E-3</v>
      </c>
      <c r="K1189" s="30">
        <f t="shared" si="129"/>
        <v>3.9767654422854341E-3</v>
      </c>
      <c r="L1189" s="30">
        <f t="shared" si="130"/>
        <v>-3.9095129027729133E-3</v>
      </c>
      <c r="M1189" s="30">
        <f t="shared" si="131"/>
        <v>-9.8847592325419734E-3</v>
      </c>
      <c r="N1189" s="30">
        <f t="shared" si="132"/>
        <v>-5.8073469592808272E-3</v>
      </c>
      <c r="O1189" s="30">
        <f t="shared" si="133"/>
        <v>1.0701647911756276E-2</v>
      </c>
    </row>
    <row r="1190" spans="1:15" s="30" customFormat="1">
      <c r="A1190" s="27">
        <v>44364</v>
      </c>
      <c r="B1190" s="28" t="s">
        <v>1156</v>
      </c>
      <c r="C1190" s="28">
        <v>683.58</v>
      </c>
      <c r="D1190" s="28" t="s">
        <v>2338</v>
      </c>
      <c r="E1190" s="28">
        <v>378.43</v>
      </c>
      <c r="F1190" s="28">
        <v>108.55</v>
      </c>
      <c r="G1190" s="28" t="s">
        <v>3504</v>
      </c>
      <c r="H1190" s="28">
        <v>169.12</v>
      </c>
      <c r="I1190" s="30">
        <f t="shared" si="127"/>
        <v>4.2898141921886932E-3</v>
      </c>
      <c r="J1190" s="30">
        <f t="shared" si="128"/>
        <v>-6.4451439952642603E-3</v>
      </c>
      <c r="K1190" s="30">
        <f t="shared" si="129"/>
        <v>3.8453039082368633E-3</v>
      </c>
      <c r="L1190" s="30">
        <f t="shared" si="130"/>
        <v>-1.1821089633519015E-2</v>
      </c>
      <c r="M1190" s="30">
        <f t="shared" si="131"/>
        <v>2.6606003448108803E-2</v>
      </c>
      <c r="N1190" s="30">
        <f t="shared" si="132"/>
        <v>1.5933847480831192E-2</v>
      </c>
      <c r="O1190" s="30">
        <f t="shared" si="133"/>
        <v>1.1826621739299935E-4</v>
      </c>
    </row>
    <row r="1191" spans="1:15" s="30" customFormat="1">
      <c r="A1191" s="27">
        <v>44363</v>
      </c>
      <c r="B1191" s="28" t="s">
        <v>1157</v>
      </c>
      <c r="C1191" s="28">
        <v>681.58</v>
      </c>
      <c r="D1191" s="28" t="s">
        <v>2339</v>
      </c>
      <c r="E1191" s="28">
        <v>384.17</v>
      </c>
      <c r="F1191" s="28">
        <v>110.65</v>
      </c>
      <c r="G1191" s="28" t="s">
        <v>3505</v>
      </c>
      <c r="H1191" s="28">
        <v>166.8</v>
      </c>
      <c r="I1191" s="30">
        <f t="shared" si="127"/>
        <v>-1.368667523986857E-2</v>
      </c>
      <c r="J1191" s="30">
        <f t="shared" si="128"/>
        <v>-2.9300615764842465E-3</v>
      </c>
      <c r="K1191" s="30">
        <f t="shared" si="129"/>
        <v>2.1955427796557254E-2</v>
      </c>
      <c r="L1191" s="30">
        <f t="shared" si="130"/>
        <v>1.5054047735570128E-2</v>
      </c>
      <c r="M1191" s="30">
        <f t="shared" si="131"/>
        <v>1.9161170172757896E-2</v>
      </c>
      <c r="N1191" s="30">
        <f t="shared" si="132"/>
        <v>1.3424196162247354E-2</v>
      </c>
      <c r="O1191" s="30">
        <f t="shared" si="133"/>
        <v>-1.3813032197281062E-2</v>
      </c>
    </row>
    <row r="1192" spans="1:15" s="30" customFormat="1">
      <c r="A1192" s="27">
        <v>44362</v>
      </c>
      <c r="B1192" s="28" t="s">
        <v>1158</v>
      </c>
      <c r="C1192" s="28">
        <v>686.46</v>
      </c>
      <c r="D1192" s="28" t="s">
        <v>2340</v>
      </c>
      <c r="E1192" s="28">
        <v>387.22</v>
      </c>
      <c r="F1192" s="28">
        <v>111.55</v>
      </c>
      <c r="G1192" s="28" t="s">
        <v>302</v>
      </c>
      <c r="H1192" s="28">
        <v>172.5</v>
      </c>
      <c r="I1192" s="30">
        <f t="shared" si="127"/>
        <v>7.7546627609281918E-3</v>
      </c>
      <c r="J1192" s="30">
        <f t="shared" si="128"/>
        <v>7.1343245793124149E-3</v>
      </c>
      <c r="K1192" s="30">
        <f t="shared" si="129"/>
        <v>1.030482216652041E-2</v>
      </c>
      <c r="L1192" s="30">
        <f t="shared" si="130"/>
        <v>7.9078440063805912E-3</v>
      </c>
      <c r="M1192" s="30">
        <f t="shared" si="131"/>
        <v>8.1008543814828551E-3</v>
      </c>
      <c r="N1192" s="30">
        <f t="shared" si="132"/>
        <v>9.6119199529783126E-3</v>
      </c>
      <c r="O1192" s="30">
        <f t="shared" si="133"/>
        <v>3.360174654676807E-2</v>
      </c>
    </row>
    <row r="1193" spans="1:15" s="30" customFormat="1">
      <c r="A1193" s="27">
        <v>44361</v>
      </c>
      <c r="B1193" s="28" t="s">
        <v>1159</v>
      </c>
      <c r="C1193" s="28">
        <v>674.71</v>
      </c>
      <c r="D1193" s="28" t="s">
        <v>2285</v>
      </c>
      <c r="E1193" s="28">
        <v>382.47</v>
      </c>
      <c r="F1193" s="28">
        <v>110.4</v>
      </c>
      <c r="G1193" s="28" t="s">
        <v>3506</v>
      </c>
      <c r="H1193" s="28">
        <v>171.35</v>
      </c>
      <c r="I1193" s="30">
        <f t="shared" si="127"/>
        <v>-3.0809666423422269E-2</v>
      </c>
      <c r="J1193" s="30">
        <f t="shared" si="128"/>
        <v>-1.7264988015259133E-2</v>
      </c>
      <c r="K1193" s="30">
        <f t="shared" si="129"/>
        <v>-3.1701111407476376E-2</v>
      </c>
      <c r="L1193" s="30">
        <f t="shared" si="130"/>
        <v>-1.2342788142878676E-2</v>
      </c>
      <c r="M1193" s="30">
        <f t="shared" si="131"/>
        <v>-1.0362787035546547E-2</v>
      </c>
      <c r="N1193" s="30">
        <f t="shared" si="132"/>
        <v>-7.4389980402302614E-3</v>
      </c>
      <c r="O1193" s="30">
        <f t="shared" si="133"/>
        <v>-6.688988150796652E-3</v>
      </c>
    </row>
    <row r="1194" spans="1:15" s="30" customFormat="1">
      <c r="A1194" s="27">
        <v>44358</v>
      </c>
      <c r="B1194" s="28" t="s">
        <v>1160</v>
      </c>
      <c r="C1194" s="28">
        <v>671.75</v>
      </c>
      <c r="D1194" s="28" t="s">
        <v>2341</v>
      </c>
      <c r="E1194" s="28">
        <v>387.19</v>
      </c>
      <c r="F1194" s="28">
        <v>113.15</v>
      </c>
      <c r="G1194" s="28" t="s">
        <v>3507</v>
      </c>
      <c r="H1194" s="28">
        <v>173.18</v>
      </c>
      <c r="I1194" s="30">
        <f t="shared" si="127"/>
        <v>2.1503017860228994E-3</v>
      </c>
      <c r="J1194" s="30">
        <f t="shared" si="128"/>
        <v>-4.3967214300478855E-3</v>
      </c>
      <c r="K1194" s="30">
        <f t="shared" si="129"/>
        <v>1.5226584399730564E-2</v>
      </c>
      <c r="L1194" s="30">
        <f t="shared" si="130"/>
        <v>1.2265309804491824E-2</v>
      </c>
      <c r="M1194" s="30">
        <f t="shared" si="131"/>
        <v>2.4604238236551366E-2</v>
      </c>
      <c r="N1194" s="30">
        <f t="shared" si="132"/>
        <v>-4.1979854797294224E-3</v>
      </c>
      <c r="O1194" s="30">
        <f t="shared" si="133"/>
        <v>1.0623267699037328E-2</v>
      </c>
    </row>
    <row r="1195" spans="1:15" s="30" customFormat="1">
      <c r="A1195" s="27">
        <v>44357</v>
      </c>
      <c r="B1195" s="28" t="s">
        <v>1161</v>
      </c>
      <c r="C1195" s="28">
        <v>674.25</v>
      </c>
      <c r="D1195" s="28" t="s">
        <v>2342</v>
      </c>
      <c r="E1195" s="28">
        <v>385.79</v>
      </c>
      <c r="F1195" s="28">
        <v>110.45</v>
      </c>
      <c r="G1195" s="28" t="s">
        <v>3508</v>
      </c>
      <c r="H1195" s="28">
        <v>180.9</v>
      </c>
      <c r="I1195" s="30">
        <f t="shared" si="127"/>
        <v>-1.9130337567765572E-3</v>
      </c>
      <c r="J1195" s="30">
        <f t="shared" si="128"/>
        <v>3.7147145242388342E-3</v>
      </c>
      <c r="K1195" s="30">
        <f t="shared" si="129"/>
        <v>-1.2377908646479384E-2</v>
      </c>
      <c r="L1195" s="30">
        <f t="shared" si="130"/>
        <v>-3.6223486528261517E-3</v>
      </c>
      <c r="M1195" s="30">
        <f t="shared" si="131"/>
        <v>-2.415144221342019E-2</v>
      </c>
      <c r="N1195" s="30">
        <f t="shared" si="132"/>
        <v>-4.1281306235426436E-3</v>
      </c>
      <c r="O1195" s="30">
        <f t="shared" si="133"/>
        <v>4.3612876381594251E-2</v>
      </c>
    </row>
    <row r="1196" spans="1:15" s="30" customFormat="1">
      <c r="A1196" s="27">
        <v>44356</v>
      </c>
      <c r="B1196" s="28" t="s">
        <v>1162</v>
      </c>
      <c r="C1196" s="28">
        <v>668.75</v>
      </c>
      <c r="D1196" s="28" t="s">
        <v>2343</v>
      </c>
      <c r="E1196" s="28">
        <v>391.57</v>
      </c>
      <c r="F1196" s="28">
        <v>107.55</v>
      </c>
      <c r="G1196" s="28" t="s">
        <v>3509</v>
      </c>
      <c r="H1196" s="28">
        <v>181.05</v>
      </c>
      <c r="I1196" s="30">
        <f t="shared" si="127"/>
        <v>-2.3922035788193907E-3</v>
      </c>
      <c r="J1196" s="30">
        <f t="shared" si="128"/>
        <v>-8.1906638096229927E-3</v>
      </c>
      <c r="K1196" s="30">
        <f t="shared" si="129"/>
        <v>-2.3747894834364583E-2</v>
      </c>
      <c r="L1196" s="30">
        <f t="shared" si="130"/>
        <v>1.4871118967472199E-2</v>
      </c>
      <c r="M1196" s="30">
        <f t="shared" si="131"/>
        <v>-2.6607074152387181E-2</v>
      </c>
      <c r="N1196" s="30">
        <f t="shared" si="132"/>
        <v>-6.1252235985338639E-3</v>
      </c>
      <c r="O1196" s="30">
        <f t="shared" si="133"/>
        <v>8.2884381040069046E-4</v>
      </c>
    </row>
    <row r="1197" spans="1:15" s="30" customFormat="1">
      <c r="A1197" s="27">
        <v>44355</v>
      </c>
      <c r="B1197" s="28" t="s">
        <v>1163</v>
      </c>
      <c r="C1197" s="28">
        <v>672.46</v>
      </c>
      <c r="D1197" s="28" t="s">
        <v>2344</v>
      </c>
      <c r="E1197" s="28">
        <v>392.7</v>
      </c>
      <c r="F1197" s="28">
        <v>111.05</v>
      </c>
      <c r="G1197" s="28" t="s">
        <v>3510</v>
      </c>
      <c r="H1197" s="28">
        <v>181.3</v>
      </c>
      <c r="I1197" s="30">
        <f t="shared" si="127"/>
        <v>-5.8945960995265417E-3</v>
      </c>
      <c r="J1197" s="30">
        <f t="shared" si="128"/>
        <v>5.5323319428958557E-3</v>
      </c>
      <c r="K1197" s="30">
        <f t="shared" si="129"/>
        <v>-1.0665448614231592E-2</v>
      </c>
      <c r="L1197" s="30">
        <f t="shared" si="130"/>
        <v>2.8816626466854102E-3</v>
      </c>
      <c r="M1197" s="30">
        <f t="shared" si="131"/>
        <v>3.2024694626697436E-2</v>
      </c>
      <c r="N1197" s="30">
        <f t="shared" si="132"/>
        <v>4.0657162757691667E-3</v>
      </c>
      <c r="O1197" s="30">
        <f t="shared" si="133"/>
        <v>1.3798815491552691E-3</v>
      </c>
    </row>
    <row r="1198" spans="1:15" s="30" customFormat="1">
      <c r="A1198" s="27">
        <v>44354</v>
      </c>
      <c r="B1198" s="28" t="s">
        <v>1164</v>
      </c>
      <c r="C1198" s="28">
        <v>675.54</v>
      </c>
      <c r="D1198" s="28" t="s">
        <v>2345</v>
      </c>
      <c r="E1198" s="28">
        <v>391.54</v>
      </c>
      <c r="F1198" s="28">
        <v>113.85</v>
      </c>
      <c r="G1198" s="28" t="s">
        <v>3511</v>
      </c>
      <c r="H1198" s="28">
        <v>178.68</v>
      </c>
      <c r="I1198" s="30">
        <f t="shared" si="127"/>
        <v>2.3381443746145866E-3</v>
      </c>
      <c r="J1198" s="30">
        <f t="shared" si="128"/>
        <v>4.5697408899819303E-3</v>
      </c>
      <c r="K1198" s="30">
        <f t="shared" si="129"/>
        <v>-1.8517970704963022E-3</v>
      </c>
      <c r="L1198" s="30">
        <f t="shared" si="130"/>
        <v>-2.9582802355672382E-3</v>
      </c>
      <c r="M1198" s="30">
        <f t="shared" si="131"/>
        <v>2.4901242169312127E-2</v>
      </c>
      <c r="N1198" s="30">
        <f t="shared" si="132"/>
        <v>-1.1191697368482041E-3</v>
      </c>
      <c r="O1198" s="30">
        <f t="shared" si="133"/>
        <v>-1.4556621276887491E-2</v>
      </c>
    </row>
    <row r="1199" spans="1:15" s="30" customFormat="1">
      <c r="A1199" s="27">
        <v>44351</v>
      </c>
      <c r="B1199" s="28" t="s">
        <v>1165</v>
      </c>
      <c r="C1199" s="28">
        <v>663.62</v>
      </c>
      <c r="D1199" s="28" t="s">
        <v>2346</v>
      </c>
      <c r="E1199" s="28">
        <v>385.1</v>
      </c>
      <c r="F1199" s="28">
        <v>115.15</v>
      </c>
      <c r="G1199" s="28" t="s">
        <v>3512</v>
      </c>
      <c r="H1199" s="28">
        <v>178.35</v>
      </c>
      <c r="I1199" s="30">
        <f t="shared" si="127"/>
        <v>-2.7995921323904793E-3</v>
      </c>
      <c r="J1199" s="30">
        <f t="shared" si="128"/>
        <v>-1.7802674543230722E-2</v>
      </c>
      <c r="K1199" s="30">
        <f t="shared" si="129"/>
        <v>-9.9144570571785204E-3</v>
      </c>
      <c r="L1199" s="30">
        <f t="shared" si="130"/>
        <v>-1.658464052753339E-2</v>
      </c>
      <c r="M1199" s="30">
        <f t="shared" si="131"/>
        <v>1.135383375694571E-2</v>
      </c>
      <c r="N1199" s="30">
        <f t="shared" si="132"/>
        <v>-5.6588760626425537E-3</v>
      </c>
      <c r="O1199" s="30">
        <f t="shared" si="133"/>
        <v>-1.8485846790174203E-3</v>
      </c>
    </row>
    <row r="1200" spans="1:15" s="30" customFormat="1">
      <c r="A1200" s="27">
        <v>44350</v>
      </c>
      <c r="B1200" s="28" t="s">
        <v>1166</v>
      </c>
      <c r="C1200" s="28">
        <v>667.12</v>
      </c>
      <c r="D1200" s="28" t="s">
        <v>2347</v>
      </c>
      <c r="E1200" s="28">
        <v>382.14</v>
      </c>
      <c r="F1200" s="28">
        <v>116.1</v>
      </c>
      <c r="G1200" s="28" t="s">
        <v>3513</v>
      </c>
      <c r="H1200" s="28">
        <v>185.15</v>
      </c>
      <c r="I1200" s="30">
        <f t="shared" si="127"/>
        <v>3.5664045309795576E-3</v>
      </c>
      <c r="J1200" s="30">
        <f t="shared" si="128"/>
        <v>5.2602432788664407E-3</v>
      </c>
      <c r="K1200" s="30">
        <f t="shared" si="129"/>
        <v>2.3356344509124861E-2</v>
      </c>
      <c r="L1200" s="30">
        <f t="shared" si="130"/>
        <v>-7.7160072095338803E-3</v>
      </c>
      <c r="M1200" s="30">
        <f t="shared" si="131"/>
        <v>8.2162624371515201E-3</v>
      </c>
      <c r="N1200" s="30">
        <f t="shared" si="132"/>
        <v>2.2277373426047862E-3</v>
      </c>
      <c r="O1200" s="30">
        <f t="shared" si="133"/>
        <v>3.7418395554721311E-2</v>
      </c>
    </row>
    <row r="1201" spans="1:15" s="30" customFormat="1">
      <c r="A1201" s="27">
        <v>44349</v>
      </c>
      <c r="B1201" s="28" t="s">
        <v>1167</v>
      </c>
      <c r="C1201" s="28">
        <v>661.62</v>
      </c>
      <c r="D1201" s="28" t="s">
        <v>2348</v>
      </c>
      <c r="E1201" s="28">
        <v>386.56</v>
      </c>
      <c r="F1201" s="28">
        <v>116.9</v>
      </c>
      <c r="G1201" s="28" t="s">
        <v>3514</v>
      </c>
      <c r="H1201" s="28">
        <v>184.18</v>
      </c>
      <c r="I1201" s="30">
        <f t="shared" si="127"/>
        <v>-1.0840910755171813E-2</v>
      </c>
      <c r="J1201" s="30">
        <f t="shared" si="128"/>
        <v>-8.2785667800877386E-3</v>
      </c>
      <c r="K1201" s="30">
        <f t="shared" si="129"/>
        <v>-7.4751650967766383E-4</v>
      </c>
      <c r="L1201" s="30">
        <f t="shared" si="130"/>
        <v>1.1500061695065967E-2</v>
      </c>
      <c r="M1201" s="30">
        <f t="shared" si="131"/>
        <v>6.8669797741769756E-3</v>
      </c>
      <c r="N1201" s="30">
        <f t="shared" si="132"/>
        <v>6.2814552806570384E-3</v>
      </c>
      <c r="O1201" s="30">
        <f t="shared" si="133"/>
        <v>-5.2527670664007523E-3</v>
      </c>
    </row>
    <row r="1202" spans="1:15" s="30" customFormat="1">
      <c r="A1202" s="27">
        <v>44348</v>
      </c>
      <c r="B1202" s="28" t="s">
        <v>1168</v>
      </c>
      <c r="C1202" s="28">
        <v>665.21</v>
      </c>
      <c r="D1202" s="28" t="s">
        <v>2349</v>
      </c>
      <c r="E1202" s="28">
        <v>382.74</v>
      </c>
      <c r="F1202" s="28">
        <v>115.5</v>
      </c>
      <c r="G1202" s="28" t="s">
        <v>3515</v>
      </c>
      <c r="H1202" s="28">
        <v>184.68</v>
      </c>
      <c r="I1202" s="30">
        <f t="shared" si="127"/>
        <v>9.3578758877399353E-3</v>
      </c>
      <c r="J1202" s="30">
        <f t="shared" si="128"/>
        <v>5.4114072798950013E-3</v>
      </c>
      <c r="K1202" s="30">
        <f t="shared" si="129"/>
        <v>1.9468417011510208E-2</v>
      </c>
      <c r="L1202" s="30">
        <f t="shared" si="130"/>
        <v>-9.9311878244764361E-3</v>
      </c>
      <c r="M1202" s="30">
        <f t="shared" si="131"/>
        <v>-1.2048338516174593E-2</v>
      </c>
      <c r="N1202" s="30">
        <f t="shared" si="132"/>
        <v>-1.3334559461003787E-2</v>
      </c>
      <c r="O1202" s="30">
        <f t="shared" si="133"/>
        <v>2.7110573455672621E-3</v>
      </c>
    </row>
    <row r="1203" spans="1:15" s="30" customFormat="1">
      <c r="A1203" s="27">
        <v>44347</v>
      </c>
      <c r="B1203" s="28" t="s">
        <v>1169</v>
      </c>
      <c r="C1203" s="28">
        <v>671.29</v>
      </c>
      <c r="D1203" s="28" t="s">
        <v>2350</v>
      </c>
      <c r="E1203" s="28">
        <v>379.91</v>
      </c>
      <c r="F1203" s="28">
        <v>124.25</v>
      </c>
      <c r="G1203" s="28" t="s">
        <v>3516</v>
      </c>
      <c r="H1203" s="28">
        <v>182.15</v>
      </c>
      <c r="I1203" s="30">
        <f t="shared" si="127"/>
        <v>1.5740360518562837E-2</v>
      </c>
      <c r="J1203" s="30">
        <f t="shared" si="128"/>
        <v>9.0984540856783314E-3</v>
      </c>
      <c r="K1203" s="30">
        <f t="shared" si="129"/>
        <v>-2.7152936716813948E-2</v>
      </c>
      <c r="L1203" s="30">
        <f t="shared" si="130"/>
        <v>-7.4215249182712807E-3</v>
      </c>
      <c r="M1203" s="30">
        <f t="shared" si="131"/>
        <v>7.3025135014889817E-2</v>
      </c>
      <c r="N1203" s="30">
        <f t="shared" si="132"/>
        <v>1.0659881787285566E-2</v>
      </c>
      <c r="O1203" s="30">
        <f t="shared" si="133"/>
        <v>-1.379407418421536E-2</v>
      </c>
    </row>
    <row r="1204" spans="1:15" s="30" customFormat="1">
      <c r="A1204" s="27">
        <v>44344</v>
      </c>
      <c r="B1204" s="28" t="s">
        <v>1170</v>
      </c>
      <c r="C1204" s="28">
        <v>668.54</v>
      </c>
      <c r="D1204" s="28" t="s">
        <v>2351</v>
      </c>
      <c r="E1204" s="28">
        <v>380.21</v>
      </c>
      <c r="F1204" s="28">
        <v>117.15</v>
      </c>
      <c r="G1204" s="28" t="s">
        <v>3517</v>
      </c>
      <c r="H1204" s="28">
        <v>188.78</v>
      </c>
      <c r="I1204" s="30">
        <f t="shared" si="127"/>
        <v>-1.2436373998805495E-2</v>
      </c>
      <c r="J1204" s="30">
        <f t="shared" si="128"/>
        <v>-4.1050041597814708E-3</v>
      </c>
      <c r="K1204" s="30">
        <f t="shared" si="129"/>
        <v>-6.2263357471803614E-3</v>
      </c>
      <c r="L1204" s="30">
        <f t="shared" si="130"/>
        <v>7.8934909113489136E-4</v>
      </c>
      <c r="M1204" s="30">
        <f t="shared" si="131"/>
        <v>-5.8840500022933347E-2</v>
      </c>
      <c r="N1204" s="30">
        <f t="shared" si="132"/>
        <v>5.9255359405736851E-4</v>
      </c>
      <c r="O1204" s="30">
        <f t="shared" si="133"/>
        <v>3.5751792442225462E-2</v>
      </c>
    </row>
    <row r="1205" spans="1:15" s="30" customFormat="1">
      <c r="A1205" s="27">
        <v>44343</v>
      </c>
      <c r="B1205" s="28" t="s">
        <v>1171</v>
      </c>
      <c r="C1205" s="28">
        <v>665.25</v>
      </c>
      <c r="D1205" s="28" t="s">
        <v>2352</v>
      </c>
      <c r="E1205" s="28">
        <v>391.11</v>
      </c>
      <c r="F1205" s="28">
        <v>111.7</v>
      </c>
      <c r="G1205" s="28" t="s">
        <v>3518</v>
      </c>
      <c r="H1205" s="28">
        <v>183.88</v>
      </c>
      <c r="I1205" s="30">
        <f t="shared" si="127"/>
        <v>2.9371588419649735E-3</v>
      </c>
      <c r="J1205" s="30">
        <f t="shared" si="128"/>
        <v>-4.933320346635549E-3</v>
      </c>
      <c r="K1205" s="30">
        <f t="shared" si="129"/>
        <v>1.516950885968024E-2</v>
      </c>
      <c r="L1205" s="30">
        <f t="shared" si="130"/>
        <v>2.8265118688014547E-2</v>
      </c>
      <c r="M1205" s="30">
        <f t="shared" si="131"/>
        <v>-4.7638458878649717E-2</v>
      </c>
      <c r="N1205" s="30">
        <f t="shared" si="132"/>
        <v>-3.0720618164889029E-4</v>
      </c>
      <c r="O1205" s="30">
        <f t="shared" si="133"/>
        <v>-2.6298944958771168E-2</v>
      </c>
    </row>
    <row r="1206" spans="1:15" s="30" customFormat="1">
      <c r="A1206" s="27">
        <v>44342</v>
      </c>
      <c r="B1206" s="28" t="s">
        <v>1172</v>
      </c>
      <c r="C1206" s="28">
        <v>693.62</v>
      </c>
      <c r="D1206" s="28" t="s">
        <v>2331</v>
      </c>
      <c r="E1206" s="28">
        <v>386.86</v>
      </c>
      <c r="F1206" s="28">
        <v>113.6</v>
      </c>
      <c r="G1206" s="28" t="s">
        <v>3519</v>
      </c>
      <c r="H1206" s="28">
        <v>181.78</v>
      </c>
      <c r="I1206" s="30">
        <f t="shared" si="127"/>
        <v>-2.63115608555231E-3</v>
      </c>
      <c r="J1206" s="30">
        <f t="shared" si="128"/>
        <v>4.1761350256248296E-2</v>
      </c>
      <c r="K1206" s="30">
        <f t="shared" si="129"/>
        <v>1.0965600832957388E-2</v>
      </c>
      <c r="L1206" s="30">
        <f t="shared" si="130"/>
        <v>-1.0925979868845357E-2</v>
      </c>
      <c r="M1206" s="30">
        <f t="shared" si="131"/>
        <v>1.6866800211895797E-2</v>
      </c>
      <c r="N1206" s="30">
        <f t="shared" si="132"/>
        <v>1.5721266180908383E-2</v>
      </c>
      <c r="O1206" s="30">
        <f t="shared" si="133"/>
        <v>-1.1486206247402932E-2</v>
      </c>
    </row>
    <row r="1207" spans="1:15" s="30" customFormat="1">
      <c r="A1207" s="27">
        <v>44341</v>
      </c>
      <c r="B1207" s="28" t="s">
        <v>1173</v>
      </c>
      <c r="C1207" s="28">
        <v>683.37</v>
      </c>
      <c r="D1207" s="28" t="s">
        <v>2353</v>
      </c>
      <c r="E1207" s="28">
        <v>381.81</v>
      </c>
      <c r="F1207" s="28">
        <v>102.8</v>
      </c>
      <c r="G1207" s="28" t="s">
        <v>3520</v>
      </c>
      <c r="H1207" s="28">
        <v>177.97</v>
      </c>
      <c r="I1207" s="30">
        <f t="shared" si="127"/>
        <v>-9.2896842927081662E-3</v>
      </c>
      <c r="J1207" s="30">
        <f t="shared" si="128"/>
        <v>-1.4887819552685012E-2</v>
      </c>
      <c r="K1207" s="30">
        <f t="shared" si="129"/>
        <v>-1.2007810411401127E-2</v>
      </c>
      <c r="L1207" s="30">
        <f t="shared" si="130"/>
        <v>-1.3139767801886271E-2</v>
      </c>
      <c r="M1207" s="30">
        <f t="shared" si="131"/>
        <v>-9.9898153265986223E-2</v>
      </c>
      <c r="N1207" s="30">
        <f t="shared" si="132"/>
        <v>-2.8020892381497388E-2</v>
      </c>
      <c r="O1207" s="30">
        <f t="shared" si="133"/>
        <v>-2.1182167928730105E-2</v>
      </c>
    </row>
    <row r="1208" spans="1:15" s="30" customFormat="1">
      <c r="A1208" s="27">
        <v>44340</v>
      </c>
      <c r="B1208" s="28" t="s">
        <v>1174</v>
      </c>
      <c r="C1208" s="28">
        <v>673.83</v>
      </c>
      <c r="D1208" s="28" t="s">
        <v>2354</v>
      </c>
      <c r="E1208" s="28">
        <v>375.73</v>
      </c>
      <c r="F1208" s="28">
        <v>106.85</v>
      </c>
      <c r="G1208" s="28" t="s">
        <v>3521</v>
      </c>
      <c r="H1208" s="28">
        <v>177.68</v>
      </c>
      <c r="I1208" s="30">
        <f t="shared" si="127"/>
        <v>-3.3210809952493814E-2</v>
      </c>
      <c r="J1208" s="30">
        <f t="shared" si="128"/>
        <v>-1.4058586982548431E-2</v>
      </c>
      <c r="K1208" s="30">
        <f t="shared" si="129"/>
        <v>9.6723156848415488E-3</v>
      </c>
      <c r="L1208" s="30">
        <f t="shared" si="130"/>
        <v>-1.6052302335156324E-2</v>
      </c>
      <c r="M1208" s="30">
        <f t="shared" si="131"/>
        <v>3.8640628744091972E-2</v>
      </c>
      <c r="N1208" s="30">
        <f t="shared" si="132"/>
        <v>1.5097023426019036E-3</v>
      </c>
      <c r="O1208" s="30">
        <f t="shared" si="133"/>
        <v>-1.6308171757221713E-3</v>
      </c>
    </row>
    <row r="1209" spans="1:15" s="30" customFormat="1">
      <c r="A1209" s="27">
        <v>44337</v>
      </c>
      <c r="B1209" s="28" t="s">
        <v>1175</v>
      </c>
      <c r="C1209" s="28">
        <v>659</v>
      </c>
      <c r="D1209" s="28" t="s">
        <v>2355</v>
      </c>
      <c r="E1209" s="28">
        <v>371.51</v>
      </c>
      <c r="F1209" s="28">
        <v>101.7</v>
      </c>
      <c r="G1209" s="28" t="s">
        <v>3522</v>
      </c>
      <c r="H1209" s="28">
        <v>169.97</v>
      </c>
      <c r="I1209" s="30">
        <f t="shared" si="127"/>
        <v>4.7065571603010815E-3</v>
      </c>
      <c r="J1209" s="30">
        <f t="shared" si="128"/>
        <v>-2.2254319076306119E-2</v>
      </c>
      <c r="K1209" s="30">
        <f t="shared" si="129"/>
        <v>-1.4682188096245229E-2</v>
      </c>
      <c r="L1209" s="30">
        <f t="shared" si="130"/>
        <v>-1.1295018640971728E-2</v>
      </c>
      <c r="M1209" s="30">
        <f t="shared" si="131"/>
        <v>-4.9398678710642303E-2</v>
      </c>
      <c r="N1209" s="30">
        <f t="shared" si="132"/>
        <v>5.9940681329476962E-3</v>
      </c>
      <c r="O1209" s="30">
        <f t="shared" si="133"/>
        <v>-4.4362228696911893E-2</v>
      </c>
    </row>
    <row r="1210" spans="1:15" s="30" customFormat="1">
      <c r="A1210" s="27">
        <v>44336</v>
      </c>
      <c r="B1210" s="28" t="s">
        <v>1176</v>
      </c>
      <c r="C1210" s="28">
        <v>656.87</v>
      </c>
      <c r="D1210" s="28" t="s">
        <v>2356</v>
      </c>
      <c r="E1210" s="28">
        <v>370.71</v>
      </c>
      <c r="F1210" s="28">
        <v>105.85</v>
      </c>
      <c r="G1210" s="28" t="s">
        <v>3523</v>
      </c>
      <c r="H1210" s="28">
        <v>168.78</v>
      </c>
      <c r="I1210" s="30">
        <f t="shared" si="127"/>
        <v>-1.3649662745063289E-2</v>
      </c>
      <c r="J1210" s="30">
        <f t="shared" si="128"/>
        <v>-3.2374046985489016E-3</v>
      </c>
      <c r="K1210" s="30">
        <f t="shared" si="129"/>
        <v>-2.3244765571109698E-2</v>
      </c>
      <c r="L1210" s="30">
        <f t="shared" si="130"/>
        <v>-2.1556959117286661E-3</v>
      </c>
      <c r="M1210" s="30">
        <f t="shared" si="131"/>
        <v>3.9995694526359829E-2</v>
      </c>
      <c r="N1210" s="30">
        <f t="shared" si="132"/>
        <v>-2.1510040389265132E-2</v>
      </c>
      <c r="O1210" s="30">
        <f t="shared" si="133"/>
        <v>-7.0258591594395629E-3</v>
      </c>
    </row>
    <row r="1211" spans="1:15" s="30" customFormat="1">
      <c r="A1211" s="27">
        <v>44335</v>
      </c>
      <c r="B1211" s="28" t="s">
        <v>1177</v>
      </c>
      <c r="C1211" s="28">
        <v>658.58</v>
      </c>
      <c r="D1211" s="28" t="s">
        <v>2357</v>
      </c>
      <c r="E1211" s="28">
        <v>373.34</v>
      </c>
      <c r="F1211" s="28">
        <v>101.5</v>
      </c>
      <c r="G1211" s="28" t="s">
        <v>3524</v>
      </c>
      <c r="H1211" s="28">
        <v>169.12</v>
      </c>
      <c r="I1211" s="30">
        <f t="shared" si="127"/>
        <v>7.7541186566409412E-3</v>
      </c>
      <c r="J1211" s="30">
        <f t="shared" si="128"/>
        <v>2.5998722311075693E-3</v>
      </c>
      <c r="K1211" s="30">
        <f t="shared" si="129"/>
        <v>-2.9794802887651859E-3</v>
      </c>
      <c r="L1211" s="30">
        <f t="shared" si="130"/>
        <v>7.0694468202419335E-3</v>
      </c>
      <c r="M1211" s="30">
        <f t="shared" si="131"/>
        <v>-4.1964199099032082E-2</v>
      </c>
      <c r="N1211" s="30">
        <f t="shared" si="132"/>
        <v>-7.4632275310880522E-3</v>
      </c>
      <c r="O1211" s="30">
        <f t="shared" si="133"/>
        <v>2.012430392106938E-3</v>
      </c>
    </row>
    <row r="1212" spans="1:15" s="30" customFormat="1">
      <c r="A1212" s="27">
        <v>44334</v>
      </c>
      <c r="B1212" s="28" t="s">
        <v>1178</v>
      </c>
      <c r="C1212" s="28">
        <v>651</v>
      </c>
      <c r="D1212" s="28" t="s">
        <v>2358</v>
      </c>
      <c r="E1212" s="28">
        <v>369.52</v>
      </c>
      <c r="F1212" s="28">
        <v>92.55</v>
      </c>
      <c r="G1212" s="28" t="s">
        <v>3525</v>
      </c>
      <c r="H1212" s="28">
        <v>171.82</v>
      </c>
      <c r="I1212" s="30">
        <f t="shared" si="127"/>
        <v>2.1108093653182565E-3</v>
      </c>
      <c r="J1212" s="30">
        <f t="shared" si="128"/>
        <v>-1.1576359826496758E-2</v>
      </c>
      <c r="K1212" s="30">
        <f t="shared" si="129"/>
        <v>-4.4347505996232162E-2</v>
      </c>
      <c r="L1212" s="30">
        <f t="shared" si="130"/>
        <v>-1.0284666482100852E-2</v>
      </c>
      <c r="M1212" s="30">
        <f t="shared" si="131"/>
        <v>-9.2309759462335605E-2</v>
      </c>
      <c r="N1212" s="30">
        <f t="shared" si="132"/>
        <v>1.0343128725065447E-2</v>
      </c>
      <c r="O1212" s="30">
        <f t="shared" si="133"/>
        <v>1.5838895087982939E-2</v>
      </c>
    </row>
    <row r="1213" spans="1:15" s="30" customFormat="1">
      <c r="A1213" s="27">
        <v>44333</v>
      </c>
      <c r="B1213" s="28" t="s">
        <v>1179</v>
      </c>
      <c r="C1213" s="28">
        <v>640.04</v>
      </c>
      <c r="D1213" s="28" t="s">
        <v>2359</v>
      </c>
      <c r="E1213" s="28">
        <v>369.95</v>
      </c>
      <c r="F1213" s="28">
        <v>94.6</v>
      </c>
      <c r="G1213" s="28" t="s">
        <v>3526</v>
      </c>
      <c r="H1213" s="28">
        <v>171.95</v>
      </c>
      <c r="I1213" s="30">
        <f t="shared" si="127"/>
        <v>-1.3935331805722118E-2</v>
      </c>
      <c r="J1213" s="30">
        <f t="shared" si="128"/>
        <v>-1.6978967807895415E-2</v>
      </c>
      <c r="K1213" s="30">
        <f t="shared" si="129"/>
        <v>-1.698983142770288E-3</v>
      </c>
      <c r="L1213" s="30">
        <f t="shared" si="130"/>
        <v>1.1629952492100339E-3</v>
      </c>
      <c r="M1213" s="30">
        <f t="shared" si="131"/>
        <v>2.1908437038326036E-2</v>
      </c>
      <c r="N1213" s="30">
        <f t="shared" si="132"/>
        <v>-1.2251786427878811E-2</v>
      </c>
      <c r="O1213" s="30">
        <f t="shared" si="133"/>
        <v>7.5631966836481475E-4</v>
      </c>
    </row>
    <row r="1214" spans="1:15" s="30" customFormat="1">
      <c r="A1214" s="27">
        <v>44330</v>
      </c>
      <c r="B1214" s="28" t="s">
        <v>1180</v>
      </c>
      <c r="C1214" s="28">
        <v>627.29</v>
      </c>
      <c r="D1214" s="28" t="s">
        <v>2360</v>
      </c>
      <c r="E1214" s="28">
        <v>369.82</v>
      </c>
      <c r="F1214" s="28">
        <v>92.35</v>
      </c>
      <c r="G1214" s="28" t="s">
        <v>3527</v>
      </c>
      <c r="H1214" s="28">
        <v>167.97</v>
      </c>
      <c r="I1214" s="30">
        <f t="shared" si="127"/>
        <v>-2.9690966073792524E-3</v>
      </c>
      <c r="J1214" s="30">
        <f t="shared" si="128"/>
        <v>-2.0121720760924756E-2</v>
      </c>
      <c r="K1214" s="30">
        <f t="shared" si="129"/>
        <v>5.5380833103024274E-2</v>
      </c>
      <c r="L1214" s="30">
        <f t="shared" si="130"/>
        <v>-3.5146059271984559E-4</v>
      </c>
      <c r="M1214" s="30">
        <f t="shared" si="131"/>
        <v>-2.4071769412583616E-2</v>
      </c>
      <c r="N1214" s="30">
        <f t="shared" si="132"/>
        <v>-8.198545528640383E-3</v>
      </c>
      <c r="O1214" s="30">
        <f t="shared" si="133"/>
        <v>-2.3418344849363535E-2</v>
      </c>
    </row>
    <row r="1215" spans="1:15" s="30" customFormat="1">
      <c r="A1215" s="27">
        <v>44328</v>
      </c>
      <c r="B1215" s="28" t="s">
        <v>1181</v>
      </c>
      <c r="C1215" s="28">
        <v>611.79</v>
      </c>
      <c r="D1215" s="28" t="s">
        <v>2361</v>
      </c>
      <c r="E1215" s="28">
        <v>371.61</v>
      </c>
      <c r="F1215" s="28">
        <v>87.45</v>
      </c>
      <c r="G1215" s="28" t="s">
        <v>3528</v>
      </c>
      <c r="H1215" s="28">
        <v>163.75</v>
      </c>
      <c r="I1215" s="30">
        <f t="shared" si="127"/>
        <v>-8.1948770068342017E-2</v>
      </c>
      <c r="J1215" s="30">
        <f t="shared" si="128"/>
        <v>-2.5019867267383727E-2</v>
      </c>
      <c r="K1215" s="30">
        <f t="shared" si="129"/>
        <v>-2.7131432545114395E-2</v>
      </c>
      <c r="L1215" s="30">
        <f t="shared" si="130"/>
        <v>4.8285164553782921E-3</v>
      </c>
      <c r="M1215" s="30">
        <f t="shared" si="131"/>
        <v>-5.4518505180637812E-2</v>
      </c>
      <c r="N1215" s="30">
        <f t="shared" si="132"/>
        <v>-4.3578482094249507E-4</v>
      </c>
      <c r="O1215" s="30">
        <f t="shared" si="133"/>
        <v>-2.5444517513550275E-2</v>
      </c>
    </row>
    <row r="1216" spans="1:15" s="30" customFormat="1">
      <c r="A1216" s="27">
        <v>44327</v>
      </c>
      <c r="B1216" s="28" t="s">
        <v>1182</v>
      </c>
      <c r="C1216" s="28">
        <v>613.29</v>
      </c>
      <c r="D1216" s="28" t="s">
        <v>2362</v>
      </c>
      <c r="E1216" s="28">
        <v>367.66</v>
      </c>
      <c r="F1216" s="28">
        <v>84.9</v>
      </c>
      <c r="G1216" s="28" t="s">
        <v>3529</v>
      </c>
      <c r="H1216" s="28">
        <v>163.4</v>
      </c>
      <c r="I1216" s="30">
        <f t="shared" si="127"/>
        <v>1.9560093498005419E-5</v>
      </c>
      <c r="J1216" s="30">
        <f t="shared" si="128"/>
        <v>2.448820892660645E-3</v>
      </c>
      <c r="K1216" s="30">
        <f t="shared" si="129"/>
        <v>8.7025947077208066E-3</v>
      </c>
      <c r="L1216" s="30">
        <f t="shared" si="130"/>
        <v>-1.0686319179492634E-2</v>
      </c>
      <c r="M1216" s="30">
        <f t="shared" si="131"/>
        <v>-2.9593108147309397E-2</v>
      </c>
      <c r="N1216" s="30">
        <f t="shared" si="132"/>
        <v>1.2176085856833855E-2</v>
      </c>
      <c r="O1216" s="30">
        <f t="shared" si="133"/>
        <v>-2.1396920894587767E-3</v>
      </c>
    </row>
    <row r="1217" spans="1:15" s="30" customFormat="1">
      <c r="A1217" s="27">
        <v>44326</v>
      </c>
      <c r="B1217" s="28" t="s">
        <v>1183</v>
      </c>
      <c r="C1217" s="28">
        <v>602.62</v>
      </c>
      <c r="D1217" s="28" t="s">
        <v>2363</v>
      </c>
      <c r="E1217" s="28">
        <v>376.13</v>
      </c>
      <c r="F1217" s="28">
        <v>86.15</v>
      </c>
      <c r="G1217" s="28" t="s">
        <v>3530</v>
      </c>
      <c r="H1217" s="28">
        <v>164.32</v>
      </c>
      <c r="I1217" s="30">
        <f t="shared" si="127"/>
        <v>2.7380114385233337E-4</v>
      </c>
      <c r="J1217" s="30">
        <f t="shared" si="128"/>
        <v>-1.7551091607470683E-2</v>
      </c>
      <c r="K1217" s="30">
        <f t="shared" si="129"/>
        <v>-5.2417325137349334E-2</v>
      </c>
      <c r="L1217" s="30">
        <f t="shared" si="130"/>
        <v>2.2776230260100783E-2</v>
      </c>
      <c r="M1217" s="30">
        <f t="shared" si="131"/>
        <v>1.4615869656637099E-2</v>
      </c>
      <c r="N1217" s="30">
        <f t="shared" si="132"/>
        <v>6.2130945548855045E-3</v>
      </c>
      <c r="O1217" s="30">
        <f t="shared" si="133"/>
        <v>5.6145637543456028E-3</v>
      </c>
    </row>
    <row r="1218" spans="1:15" s="30" customFormat="1">
      <c r="A1218" s="27">
        <v>44323</v>
      </c>
      <c r="B1218" s="28" t="s">
        <v>1184</v>
      </c>
      <c r="C1218" s="28">
        <v>596.21</v>
      </c>
      <c r="D1218" s="28" t="s">
        <v>2364</v>
      </c>
      <c r="E1218" s="28">
        <v>392.8</v>
      </c>
      <c r="F1218" s="28">
        <v>86.3</v>
      </c>
      <c r="G1218" s="28" t="s">
        <v>3531</v>
      </c>
      <c r="H1218" s="28">
        <v>168.97</v>
      </c>
      <c r="I1218" s="30">
        <f t="shared" si="127"/>
        <v>-2.0749332112626547E-3</v>
      </c>
      <c r="J1218" s="30">
        <f t="shared" si="128"/>
        <v>-1.0693861659245969E-2</v>
      </c>
      <c r="K1218" s="30">
        <f t="shared" si="129"/>
        <v>1.7469890457517893E-3</v>
      </c>
      <c r="L1218" s="30">
        <f t="shared" si="130"/>
        <v>4.3365748165484268E-2</v>
      </c>
      <c r="M1218" s="30">
        <f t="shared" si="131"/>
        <v>1.7396351154435371E-3</v>
      </c>
      <c r="N1218" s="30">
        <f t="shared" si="132"/>
        <v>-6.5077622059095622E-3</v>
      </c>
      <c r="O1218" s="30">
        <f t="shared" si="133"/>
        <v>2.7905438192310335E-2</v>
      </c>
    </row>
    <row r="1219" spans="1:15" s="30" customFormat="1">
      <c r="A1219" s="27">
        <v>44322</v>
      </c>
      <c r="B1219" s="28" t="s">
        <v>1185</v>
      </c>
      <c r="C1219" s="28">
        <v>597.37</v>
      </c>
      <c r="D1219" s="28" t="s">
        <v>2365</v>
      </c>
      <c r="E1219" s="28">
        <v>393.8</v>
      </c>
      <c r="F1219" s="28">
        <v>86.4</v>
      </c>
      <c r="G1219" s="28" t="s">
        <v>3532</v>
      </c>
      <c r="H1219" s="28">
        <v>171.43</v>
      </c>
      <c r="I1219" s="30">
        <f t="shared" si="127"/>
        <v>-1.0194680044640313E-3</v>
      </c>
      <c r="J1219" s="30">
        <f t="shared" si="128"/>
        <v>1.9437329131119932E-3</v>
      </c>
      <c r="K1219" s="30">
        <f t="shared" si="129"/>
        <v>-1.0941857895623195E-2</v>
      </c>
      <c r="L1219" s="30">
        <f t="shared" si="130"/>
        <v>2.5425897247143554E-3</v>
      </c>
      <c r="M1219" s="30">
        <f t="shared" si="131"/>
        <v>1.1580777206278686E-3</v>
      </c>
      <c r="N1219" s="30">
        <f t="shared" si="132"/>
        <v>-6.3222260980538882E-3</v>
      </c>
      <c r="O1219" s="30">
        <f t="shared" si="133"/>
        <v>1.4453835646831375E-2</v>
      </c>
    </row>
    <row r="1220" spans="1:15" s="30" customFormat="1">
      <c r="A1220" s="27">
        <v>44321</v>
      </c>
      <c r="B1220" s="28" t="s">
        <v>1186</v>
      </c>
      <c r="C1220" s="28">
        <v>592.87</v>
      </c>
      <c r="D1220" s="28" t="s">
        <v>2366</v>
      </c>
      <c r="E1220" s="28">
        <v>393.4</v>
      </c>
      <c r="F1220" s="28">
        <v>88.9</v>
      </c>
      <c r="G1220" s="28" t="s">
        <v>3533</v>
      </c>
      <c r="H1220" s="28">
        <v>171.78</v>
      </c>
      <c r="I1220" s="30">
        <f t="shared" ref="I1220:I1240" si="134">LN(B1220/B1219)</f>
        <v>7.2703429670108437E-3</v>
      </c>
      <c r="J1220" s="30">
        <f t="shared" ref="J1220:J1241" si="135">LN(C1220/C1219)</f>
        <v>-7.5615362301566869E-3</v>
      </c>
      <c r="K1220" s="30">
        <f t="shared" ref="K1220:K1241" si="136">LN(D1220/D1219)</f>
        <v>-1.1117046190782759E-3</v>
      </c>
      <c r="L1220" s="30">
        <f t="shared" ref="L1220:L1241" si="137">LN(E1220/E1219)</f>
        <v>-1.0162602500665902E-3</v>
      </c>
      <c r="M1220" s="30">
        <f t="shared" ref="M1220:M1241" si="138">LN(F1220/F1219)</f>
        <v>2.8524466709848893E-2</v>
      </c>
      <c r="N1220" s="30">
        <f t="shared" ref="N1220:N1241" si="139">LN(G1220/G1219)</f>
        <v>3.3025505185217486E-3</v>
      </c>
      <c r="O1220" s="30">
        <f t="shared" ref="O1220:O1241" si="140">LN(H1220/H1219)</f>
        <v>2.0395683186888672E-3</v>
      </c>
    </row>
    <row r="1221" spans="1:15" s="30" customFormat="1">
      <c r="A1221" s="27">
        <v>44320</v>
      </c>
      <c r="B1221" s="28" t="s">
        <v>1187</v>
      </c>
      <c r="C1221" s="28">
        <v>588.58000000000004</v>
      </c>
      <c r="D1221" s="28" t="s">
        <v>2367</v>
      </c>
      <c r="E1221" s="28">
        <v>379.35</v>
      </c>
      <c r="F1221" s="28">
        <v>88.3</v>
      </c>
      <c r="G1221" s="28" t="s">
        <v>3534</v>
      </c>
      <c r="H1221" s="28">
        <v>170.53</v>
      </c>
      <c r="I1221" s="30">
        <f t="shared" si="134"/>
        <v>7.5658000376629952E-3</v>
      </c>
      <c r="J1221" s="30">
        <f t="shared" si="135"/>
        <v>-7.2622943922505548E-3</v>
      </c>
      <c r="K1221" s="30">
        <f t="shared" si="136"/>
        <v>1.1770605365350767E-3</v>
      </c>
      <c r="L1221" s="30">
        <f t="shared" si="137"/>
        <v>-3.6367644170874715E-2</v>
      </c>
      <c r="M1221" s="30">
        <f t="shared" si="138"/>
        <v>-6.7720349099446965E-3</v>
      </c>
      <c r="N1221" s="30">
        <f t="shared" si="139"/>
        <v>7.1597188210746204E-3</v>
      </c>
      <c r="O1221" s="30">
        <f t="shared" si="140"/>
        <v>-7.3033540132557374E-3</v>
      </c>
    </row>
    <row r="1222" spans="1:15" s="30" customFormat="1">
      <c r="A1222" s="27">
        <v>44319</v>
      </c>
      <c r="B1222" s="28" t="s">
        <v>1188</v>
      </c>
      <c r="C1222" s="28">
        <v>593.58000000000004</v>
      </c>
      <c r="D1222" s="28" t="s">
        <v>2365</v>
      </c>
      <c r="E1222" s="28">
        <v>373.2</v>
      </c>
      <c r="F1222" s="28">
        <v>90.8</v>
      </c>
      <c r="G1222" s="28" t="s">
        <v>3535</v>
      </c>
      <c r="H1222" s="28">
        <v>169.32</v>
      </c>
      <c r="I1222" s="30">
        <f t="shared" si="134"/>
        <v>-1.9344985043565233E-3</v>
      </c>
      <c r="J1222" s="30">
        <f t="shared" si="135"/>
        <v>8.4591422741722381E-3</v>
      </c>
      <c r="K1222" s="30">
        <f t="shared" si="136"/>
        <v>-6.5355917456835655E-5</v>
      </c>
      <c r="L1222" s="30">
        <f t="shared" si="137"/>
        <v>-1.6344792810895219E-2</v>
      </c>
      <c r="M1222" s="30">
        <f t="shared" si="138"/>
        <v>2.7919177997333233E-2</v>
      </c>
      <c r="N1222" s="30">
        <f t="shared" si="139"/>
        <v>1.510189800212039E-2</v>
      </c>
      <c r="O1222" s="30">
        <f t="shared" si="140"/>
        <v>-7.1208186720999938E-3</v>
      </c>
    </row>
    <row r="1223" spans="1:15" s="30" customFormat="1">
      <c r="A1223" s="27">
        <v>44316</v>
      </c>
      <c r="B1223" s="28" t="s">
        <v>1189</v>
      </c>
      <c r="C1223" s="28">
        <v>586.66999999999996</v>
      </c>
      <c r="D1223" s="28" t="s">
        <v>216</v>
      </c>
      <c r="E1223" s="28">
        <v>369.22</v>
      </c>
      <c r="F1223" s="28">
        <v>88.8</v>
      </c>
      <c r="G1223" s="28" t="s">
        <v>3536</v>
      </c>
      <c r="H1223" s="28">
        <v>170.2</v>
      </c>
      <c r="I1223" s="30">
        <f t="shared" si="134"/>
        <v>-1.7876632393678375E-2</v>
      </c>
      <c r="J1223" s="30">
        <f t="shared" si="135"/>
        <v>-1.170951739705821E-2</v>
      </c>
      <c r="K1223" s="30">
        <f t="shared" si="136"/>
        <v>8.8710171711085962E-3</v>
      </c>
      <c r="L1223" s="30">
        <f t="shared" si="137"/>
        <v>-1.0721796630765255E-2</v>
      </c>
      <c r="M1223" s="30">
        <f t="shared" si="138"/>
        <v>-2.2272635609123178E-2</v>
      </c>
      <c r="N1223" s="30">
        <f t="shared" si="139"/>
        <v>-2.3377241223707114E-3</v>
      </c>
      <c r="O1223" s="30">
        <f t="shared" si="140"/>
        <v>5.1838004865507751E-3</v>
      </c>
    </row>
    <row r="1224" spans="1:15" s="30" customFormat="1">
      <c r="A1224" s="27">
        <v>44315</v>
      </c>
      <c r="B1224" s="28" t="s">
        <v>1190</v>
      </c>
      <c r="C1224" s="28">
        <v>595.58000000000004</v>
      </c>
      <c r="D1224" s="28" t="s">
        <v>2368</v>
      </c>
      <c r="E1224" s="28">
        <v>378.42</v>
      </c>
      <c r="F1224" s="28">
        <v>88.95</v>
      </c>
      <c r="G1224" s="28" t="s">
        <v>3466</v>
      </c>
      <c r="H1224" s="28">
        <v>173.32</v>
      </c>
      <c r="I1224" s="30">
        <f t="shared" si="134"/>
        <v>2.9925434711147263E-2</v>
      </c>
      <c r="J1224" s="30">
        <f t="shared" si="135"/>
        <v>1.5073239496306035E-2</v>
      </c>
      <c r="K1224" s="30">
        <f t="shared" si="136"/>
        <v>9.0284362196741998E-3</v>
      </c>
      <c r="L1224" s="30">
        <f t="shared" si="137"/>
        <v>2.4612017561191395E-2</v>
      </c>
      <c r="M1224" s="30">
        <f t="shared" si="138"/>
        <v>1.6877641137198365E-3</v>
      </c>
      <c r="N1224" s="30">
        <f t="shared" si="139"/>
        <v>-8.1466845678182503E-3</v>
      </c>
      <c r="O1224" s="30">
        <f t="shared" si="140"/>
        <v>1.8165380732434892E-2</v>
      </c>
    </row>
    <row r="1225" spans="1:15" s="30" customFormat="1">
      <c r="A1225" s="27">
        <v>44314</v>
      </c>
      <c r="B1225" s="28" t="s">
        <v>1191</v>
      </c>
      <c r="C1225" s="28">
        <v>598.16999999999996</v>
      </c>
      <c r="D1225" s="28" t="s">
        <v>2369</v>
      </c>
      <c r="E1225" s="28">
        <v>374.67</v>
      </c>
      <c r="F1225" s="28">
        <v>90.55</v>
      </c>
      <c r="G1225" s="28" t="s">
        <v>3537</v>
      </c>
      <c r="H1225" s="28">
        <v>173.12</v>
      </c>
      <c r="I1225" s="30">
        <f t="shared" si="134"/>
        <v>4.2081102380741643E-4</v>
      </c>
      <c r="J1225" s="30">
        <f t="shared" si="135"/>
        <v>4.3392738244835589E-3</v>
      </c>
      <c r="K1225" s="30">
        <f t="shared" si="136"/>
        <v>1.1997080845132312E-2</v>
      </c>
      <c r="L1225" s="30">
        <f t="shared" si="137"/>
        <v>-9.9590513605114193E-3</v>
      </c>
      <c r="M1225" s="30">
        <f t="shared" si="138"/>
        <v>1.7827770217578146E-2</v>
      </c>
      <c r="N1225" s="30">
        <f t="shared" si="139"/>
        <v>7.0092436868918482E-3</v>
      </c>
      <c r="O1225" s="30">
        <f t="shared" si="140"/>
        <v>-1.1546012135919238E-3</v>
      </c>
    </row>
    <row r="1226" spans="1:15" s="30" customFormat="1">
      <c r="A1226" s="27">
        <v>44313</v>
      </c>
      <c r="B1226" s="28" t="s">
        <v>1192</v>
      </c>
      <c r="C1226" s="28">
        <v>594</v>
      </c>
      <c r="D1226" s="28" t="s">
        <v>2370</v>
      </c>
      <c r="E1226" s="28">
        <v>369.05</v>
      </c>
      <c r="F1226" s="28">
        <v>85.8</v>
      </c>
      <c r="G1226" s="28" t="s">
        <v>3538</v>
      </c>
      <c r="H1226" s="28">
        <v>172.32</v>
      </c>
      <c r="I1226" s="30">
        <f t="shared" si="134"/>
        <v>-1.5494923512565293E-2</v>
      </c>
      <c r="J1226" s="30">
        <f t="shared" si="135"/>
        <v>-6.995675124272697E-3</v>
      </c>
      <c r="K1226" s="30">
        <f t="shared" si="136"/>
        <v>-1.8437635525636813E-2</v>
      </c>
      <c r="L1226" s="30">
        <f t="shared" si="137"/>
        <v>-1.5113502327042144E-2</v>
      </c>
      <c r="M1226" s="30">
        <f t="shared" si="138"/>
        <v>-5.3883177835505822E-2</v>
      </c>
      <c r="N1226" s="30">
        <f t="shared" si="139"/>
        <v>-5.1457705777362825E-3</v>
      </c>
      <c r="O1226" s="30">
        <f t="shared" si="140"/>
        <v>-4.6317822500383252E-3</v>
      </c>
    </row>
    <row r="1227" spans="1:15" s="30" customFormat="1">
      <c r="A1227" s="27">
        <v>44312</v>
      </c>
      <c r="B1227" s="28" t="s">
        <v>1193</v>
      </c>
      <c r="C1227" s="28">
        <v>602</v>
      </c>
      <c r="D1227" s="28" t="s">
        <v>2371</v>
      </c>
      <c r="E1227" s="28">
        <v>367.86</v>
      </c>
      <c r="F1227" s="28">
        <v>85</v>
      </c>
      <c r="G1227" s="28" t="s">
        <v>3539</v>
      </c>
      <c r="H1227" s="28">
        <v>175.68</v>
      </c>
      <c r="I1227" s="30">
        <f t="shared" si="134"/>
        <v>-6.4104657150696664E-3</v>
      </c>
      <c r="J1227" s="30">
        <f t="shared" si="135"/>
        <v>1.337812594617605E-2</v>
      </c>
      <c r="K1227" s="30">
        <f t="shared" si="136"/>
        <v>6.61173626178445E-3</v>
      </c>
      <c r="L1227" s="30">
        <f t="shared" si="137"/>
        <v>-3.2297052134097454E-3</v>
      </c>
      <c r="M1227" s="30">
        <f t="shared" si="138"/>
        <v>-9.3677500036001594E-3</v>
      </c>
      <c r="N1227" s="30">
        <f t="shared" si="139"/>
        <v>-6.6390098582253289E-3</v>
      </c>
      <c r="O1227" s="30">
        <f t="shared" si="140"/>
        <v>1.9310944913087522E-2</v>
      </c>
    </row>
    <row r="1228" spans="1:15" s="30" customFormat="1">
      <c r="A1228" s="27">
        <v>44309</v>
      </c>
      <c r="B1228" s="28" t="s">
        <v>1194</v>
      </c>
      <c r="C1228" s="28">
        <v>591.41999999999996</v>
      </c>
      <c r="D1228" s="28" t="s">
        <v>2372</v>
      </c>
      <c r="E1228" s="28">
        <v>365.33</v>
      </c>
      <c r="F1228" s="28">
        <v>84.85</v>
      </c>
      <c r="G1228" s="28" t="s">
        <v>3540</v>
      </c>
      <c r="H1228" s="28">
        <v>175.75</v>
      </c>
      <c r="I1228" s="30">
        <f t="shared" si="134"/>
        <v>-1.5741530955445917E-2</v>
      </c>
      <c r="J1228" s="30">
        <f t="shared" si="135"/>
        <v>-1.7731020403418462E-2</v>
      </c>
      <c r="K1228" s="30">
        <f t="shared" si="136"/>
        <v>-9.3723815900938028E-3</v>
      </c>
      <c r="L1228" s="30">
        <f t="shared" si="137"/>
        <v>-6.9013762920164578E-3</v>
      </c>
      <c r="M1228" s="30">
        <f t="shared" si="138"/>
        <v>-1.7662648100811933E-3</v>
      </c>
      <c r="N1228" s="30">
        <f t="shared" si="139"/>
        <v>2.3906190907313852E-3</v>
      </c>
      <c r="O1228" s="30">
        <f t="shared" si="140"/>
        <v>3.9837236960850084E-4</v>
      </c>
    </row>
    <row r="1229" spans="1:15" s="30" customFormat="1">
      <c r="A1229" s="27">
        <v>44308</v>
      </c>
      <c r="B1229" s="28" t="s">
        <v>1195</v>
      </c>
      <c r="C1229" s="28">
        <v>595.87</v>
      </c>
      <c r="D1229" s="28" t="s">
        <v>2373</v>
      </c>
      <c r="E1229" s="28">
        <v>362.38</v>
      </c>
      <c r="F1229" s="28">
        <v>85.4</v>
      </c>
      <c r="G1229" s="28" t="s">
        <v>3541</v>
      </c>
      <c r="H1229" s="28">
        <v>180.8</v>
      </c>
      <c r="I1229" s="30">
        <f t="shared" si="134"/>
        <v>-2.6644412486064501E-3</v>
      </c>
      <c r="J1229" s="30">
        <f t="shared" si="135"/>
        <v>7.4960975627756214E-3</v>
      </c>
      <c r="K1229" s="30">
        <f t="shared" si="136"/>
        <v>-6.4568074731861146E-3</v>
      </c>
      <c r="L1229" s="30">
        <f t="shared" si="137"/>
        <v>-8.1076697026737487E-3</v>
      </c>
      <c r="M1229" s="30">
        <f t="shared" si="138"/>
        <v>6.4611091142890622E-3</v>
      </c>
      <c r="N1229" s="30">
        <f t="shared" si="139"/>
        <v>-2.9326857330276425E-3</v>
      </c>
      <c r="O1229" s="30">
        <f t="shared" si="140"/>
        <v>2.8328917267301811E-2</v>
      </c>
    </row>
    <row r="1230" spans="1:15" s="30" customFormat="1">
      <c r="A1230" s="27">
        <v>44306</v>
      </c>
      <c r="B1230" s="28" t="s">
        <v>1196</v>
      </c>
      <c r="C1230" s="28">
        <v>591.25</v>
      </c>
      <c r="D1230" s="28" t="s">
        <v>2374</v>
      </c>
      <c r="E1230" s="28">
        <v>364.34</v>
      </c>
      <c r="F1230" s="28">
        <v>83.45</v>
      </c>
      <c r="G1230" s="28" t="s">
        <v>3542</v>
      </c>
      <c r="H1230" s="28">
        <v>183.93</v>
      </c>
      <c r="I1230" s="30">
        <f t="shared" si="134"/>
        <v>1.6743071135157033E-2</v>
      </c>
      <c r="J1230" s="30">
        <f t="shared" si="135"/>
        <v>-7.7835826620353101E-3</v>
      </c>
      <c r="K1230" s="30">
        <f t="shared" si="136"/>
        <v>3.1902799561410759E-3</v>
      </c>
      <c r="L1230" s="30">
        <f t="shared" si="137"/>
        <v>5.394112594721381E-3</v>
      </c>
      <c r="M1230" s="30">
        <f t="shared" si="138"/>
        <v>-2.3098450686680178E-2</v>
      </c>
      <c r="N1230" s="30">
        <f t="shared" si="139"/>
        <v>-1.9448219608032367E-3</v>
      </c>
      <c r="O1230" s="30">
        <f t="shared" si="140"/>
        <v>1.7163802484630074E-2</v>
      </c>
    </row>
    <row r="1231" spans="1:15" s="30" customFormat="1">
      <c r="A1231" s="27">
        <v>44305</v>
      </c>
      <c r="B1231" s="28" t="s">
        <v>1197</v>
      </c>
      <c r="C1231" s="28">
        <v>596.5</v>
      </c>
      <c r="D1231" s="28" t="s">
        <v>2375</v>
      </c>
      <c r="E1231" s="28">
        <v>359.49</v>
      </c>
      <c r="F1231" s="28">
        <v>83.85</v>
      </c>
      <c r="G1231" s="28" t="s">
        <v>3543</v>
      </c>
      <c r="H1231" s="28">
        <v>181.9</v>
      </c>
      <c r="I1231" s="30">
        <f t="shared" si="134"/>
        <v>7.1212170885187583E-3</v>
      </c>
      <c r="J1231" s="30">
        <f t="shared" si="135"/>
        <v>8.8403017318280045E-3</v>
      </c>
      <c r="K1231" s="30">
        <f t="shared" si="136"/>
        <v>-2.3863253254083876E-3</v>
      </c>
      <c r="L1231" s="30">
        <f t="shared" si="137"/>
        <v>-1.3401137240147893E-2</v>
      </c>
      <c r="M1231" s="30">
        <f t="shared" si="138"/>
        <v>4.7818381613735838E-3</v>
      </c>
      <c r="N1231" s="30">
        <f t="shared" si="139"/>
        <v>-4.6739659441423255E-3</v>
      </c>
      <c r="O1231" s="30">
        <f t="shared" si="140"/>
        <v>-1.1098164918629656E-2</v>
      </c>
    </row>
    <row r="1232" spans="1:15" s="30" customFormat="1">
      <c r="A1232" s="27">
        <v>44302</v>
      </c>
      <c r="B1232" s="28" t="s">
        <v>1198</v>
      </c>
      <c r="C1232" s="28">
        <v>612.75</v>
      </c>
      <c r="D1232" s="28" t="s">
        <v>2376</v>
      </c>
      <c r="E1232" s="28">
        <v>380.35</v>
      </c>
      <c r="F1232" s="28">
        <v>88.75</v>
      </c>
      <c r="G1232" s="28" t="s">
        <v>2229</v>
      </c>
      <c r="H1232" s="28">
        <v>182.1</v>
      </c>
      <c r="I1232" s="30">
        <f t="shared" si="134"/>
        <v>3.5071208353570797E-2</v>
      </c>
      <c r="J1232" s="30">
        <f t="shared" si="135"/>
        <v>2.6877780870251118E-2</v>
      </c>
      <c r="K1232" s="30">
        <f t="shared" si="136"/>
        <v>6.8400015589167315E-3</v>
      </c>
      <c r="L1232" s="30">
        <f t="shared" si="137"/>
        <v>5.640552108077531E-2</v>
      </c>
      <c r="M1232" s="30">
        <f t="shared" si="138"/>
        <v>5.67939400863074E-2</v>
      </c>
      <c r="N1232" s="30">
        <f t="shared" si="139"/>
        <v>3.0923951308729273E-2</v>
      </c>
      <c r="O1232" s="30">
        <f t="shared" si="140"/>
        <v>1.0989012094855697E-3</v>
      </c>
    </row>
    <row r="1233" spans="1:15" s="30" customFormat="1">
      <c r="A1233" s="27">
        <v>44301</v>
      </c>
      <c r="B1233" s="28" t="s">
        <v>1199</v>
      </c>
      <c r="C1233" s="28">
        <v>606.21</v>
      </c>
      <c r="D1233" s="28" t="s">
        <v>2233</v>
      </c>
      <c r="E1233" s="28">
        <v>377.42</v>
      </c>
      <c r="F1233" s="28">
        <v>88.25</v>
      </c>
      <c r="G1233" s="28" t="s">
        <v>3544</v>
      </c>
      <c r="H1233" s="28">
        <v>175</v>
      </c>
      <c r="I1233" s="30">
        <f t="shared" si="134"/>
        <v>-2.8946683433856285E-2</v>
      </c>
      <c r="J1233" s="30">
        <f t="shared" si="135"/>
        <v>-1.0730561714707402E-2</v>
      </c>
      <c r="K1233" s="30">
        <f t="shared" si="136"/>
        <v>-7.4266074092072271E-3</v>
      </c>
      <c r="L1233" s="30">
        <f t="shared" si="137"/>
        <v>-7.7332557423606292E-3</v>
      </c>
      <c r="M1233" s="30">
        <f t="shared" si="138"/>
        <v>-5.6497325421190209E-3</v>
      </c>
      <c r="N1233" s="30">
        <f t="shared" si="139"/>
        <v>-6.8377579230483889E-4</v>
      </c>
      <c r="O1233" s="30">
        <f t="shared" si="140"/>
        <v>-3.977001281004814E-2</v>
      </c>
    </row>
    <row r="1234" spans="1:15" s="30" customFormat="1">
      <c r="A1234" s="27">
        <v>44299</v>
      </c>
      <c r="B1234" s="28" t="s">
        <v>1200</v>
      </c>
      <c r="C1234" s="28">
        <v>604.33000000000004</v>
      </c>
      <c r="D1234" s="28" t="s">
        <v>2377</v>
      </c>
      <c r="E1234" s="28">
        <v>375.2</v>
      </c>
      <c r="F1234" s="28">
        <v>89.4</v>
      </c>
      <c r="G1234" s="28" t="s">
        <v>3545</v>
      </c>
      <c r="H1234" s="28">
        <v>177.93</v>
      </c>
      <c r="I1234" s="30">
        <f t="shared" si="134"/>
        <v>-6.5912149293517134E-3</v>
      </c>
      <c r="J1234" s="30">
        <f t="shared" si="135"/>
        <v>-3.1060543417862421E-3</v>
      </c>
      <c r="K1234" s="30">
        <f t="shared" si="136"/>
        <v>-9.7844174662827183E-4</v>
      </c>
      <c r="L1234" s="30">
        <f t="shared" si="137"/>
        <v>-5.8994085688800317E-3</v>
      </c>
      <c r="M1234" s="30">
        <f t="shared" si="138"/>
        <v>1.2946986366062296E-2</v>
      </c>
      <c r="N1234" s="30">
        <f t="shared" si="139"/>
        <v>1.0513589890441519E-2</v>
      </c>
      <c r="O1234" s="30">
        <f t="shared" si="140"/>
        <v>1.6604240595230899E-2</v>
      </c>
    </row>
    <row r="1235" spans="1:15" s="30" customFormat="1">
      <c r="A1235" s="27">
        <v>44298</v>
      </c>
      <c r="B1235" s="28" t="s">
        <v>1201</v>
      </c>
      <c r="C1235" s="28">
        <v>606.83000000000004</v>
      </c>
      <c r="D1235" s="28" t="s">
        <v>2378</v>
      </c>
      <c r="E1235" s="28">
        <v>384.1</v>
      </c>
      <c r="F1235" s="28">
        <v>90.4</v>
      </c>
      <c r="G1235" s="28" t="s">
        <v>3546</v>
      </c>
      <c r="H1235" s="28">
        <v>176.95</v>
      </c>
      <c r="I1235" s="30">
        <f t="shared" si="134"/>
        <v>1.2179005726192776E-2</v>
      </c>
      <c r="J1235" s="30">
        <f t="shared" si="135"/>
        <v>4.1282795841339438E-3</v>
      </c>
      <c r="K1235" s="30">
        <f t="shared" si="136"/>
        <v>-9.8374350529350629E-3</v>
      </c>
      <c r="L1235" s="30">
        <f t="shared" si="137"/>
        <v>2.3443718219789668E-2</v>
      </c>
      <c r="M1235" s="30">
        <f t="shared" si="138"/>
        <v>1.1123585218662302E-2</v>
      </c>
      <c r="N1235" s="30">
        <f t="shared" si="139"/>
        <v>-1.3386139152233677E-2</v>
      </c>
      <c r="O1235" s="30">
        <f t="shared" si="140"/>
        <v>-5.523007727272689E-3</v>
      </c>
    </row>
    <row r="1236" spans="1:15" s="30" customFormat="1">
      <c r="A1236" s="27">
        <v>44295</v>
      </c>
      <c r="B1236" s="28" t="s">
        <v>1202</v>
      </c>
      <c r="C1236" s="28">
        <v>627.16999999999996</v>
      </c>
      <c r="D1236" s="28" t="s">
        <v>2379</v>
      </c>
      <c r="E1236" s="28">
        <v>395.96</v>
      </c>
      <c r="F1236" s="28">
        <v>94.4</v>
      </c>
      <c r="G1236" s="28" t="s">
        <v>3547</v>
      </c>
      <c r="H1236" s="28">
        <v>186.25</v>
      </c>
      <c r="I1236" s="30">
        <f t="shared" si="134"/>
        <v>1.0930741357820625E-2</v>
      </c>
      <c r="J1236" s="30">
        <f t="shared" si="135"/>
        <v>3.2968950323713608E-2</v>
      </c>
      <c r="K1236" s="30">
        <f t="shared" si="136"/>
        <v>2.9674611890281123E-2</v>
      </c>
      <c r="L1236" s="30">
        <f t="shared" si="137"/>
        <v>3.0410260699747491E-2</v>
      </c>
      <c r="M1236" s="30">
        <f t="shared" si="138"/>
        <v>4.3296805753324258E-2</v>
      </c>
      <c r="N1236" s="30">
        <f t="shared" si="139"/>
        <v>3.6885154397325648E-2</v>
      </c>
      <c r="O1236" s="30">
        <f t="shared" si="140"/>
        <v>5.1222650468196511E-2</v>
      </c>
    </row>
    <row r="1237" spans="1:15" s="30" customFormat="1">
      <c r="A1237" s="27">
        <v>44294</v>
      </c>
      <c r="B1237" s="28" t="s">
        <v>1203</v>
      </c>
      <c r="C1237" s="28">
        <v>635.37</v>
      </c>
      <c r="D1237" s="28" t="s">
        <v>2380</v>
      </c>
      <c r="E1237" s="28">
        <v>394.96</v>
      </c>
      <c r="F1237" s="28">
        <v>95.05</v>
      </c>
      <c r="G1237" s="28" t="s">
        <v>3548</v>
      </c>
      <c r="H1237" s="28">
        <v>186.45</v>
      </c>
      <c r="I1237" s="30">
        <f t="shared" si="134"/>
        <v>7.5169104949782527E-3</v>
      </c>
      <c r="J1237" s="30">
        <f t="shared" si="135"/>
        <v>1.2989870108043823E-2</v>
      </c>
      <c r="K1237" s="30">
        <f t="shared" si="136"/>
        <v>1.496530093962333E-2</v>
      </c>
      <c r="L1237" s="30">
        <f t="shared" si="137"/>
        <v>-2.5287021009992223E-3</v>
      </c>
      <c r="M1237" s="30">
        <f t="shared" si="138"/>
        <v>6.861995782983063E-3</v>
      </c>
      <c r="N1237" s="30">
        <f t="shared" si="139"/>
        <v>2.3980246398835985E-2</v>
      </c>
      <c r="O1237" s="30">
        <f t="shared" si="140"/>
        <v>1.0732493651607615E-3</v>
      </c>
    </row>
    <row r="1238" spans="1:15" s="30" customFormat="1">
      <c r="A1238" s="27">
        <v>44293</v>
      </c>
      <c r="B1238" s="28" t="s">
        <v>1204</v>
      </c>
      <c r="C1238" s="28">
        <v>626.66999999999996</v>
      </c>
      <c r="D1238" s="28" t="s">
        <v>2381</v>
      </c>
      <c r="E1238" s="28">
        <v>394.56</v>
      </c>
      <c r="F1238" s="28">
        <v>94.25</v>
      </c>
      <c r="G1238" s="28" t="s">
        <v>3549</v>
      </c>
      <c r="H1238" s="28">
        <v>183.88</v>
      </c>
      <c r="I1238" s="30">
        <f t="shared" si="134"/>
        <v>-8.3535078742665875E-3</v>
      </c>
      <c r="J1238" s="30">
        <f t="shared" si="135"/>
        <v>-1.3787420076945117E-2</v>
      </c>
      <c r="K1238" s="30">
        <f t="shared" si="136"/>
        <v>1.3729715317981126E-2</v>
      </c>
      <c r="L1238" s="30">
        <f t="shared" si="137"/>
        <v>-1.0132739746278898E-3</v>
      </c>
      <c r="M1238" s="30">
        <f t="shared" si="138"/>
        <v>-8.4522426063179668E-3</v>
      </c>
      <c r="N1238" s="30">
        <f t="shared" si="139"/>
        <v>-7.5240181897274312E-3</v>
      </c>
      <c r="O1238" s="30">
        <f t="shared" si="140"/>
        <v>-1.3879735686802484E-2</v>
      </c>
    </row>
    <row r="1239" spans="1:15" s="30" customFormat="1">
      <c r="A1239" s="27">
        <v>44292</v>
      </c>
      <c r="B1239" s="28" t="s">
        <v>1205</v>
      </c>
      <c r="C1239" s="28">
        <v>623.75</v>
      </c>
      <c r="D1239" s="28" t="s">
        <v>2382</v>
      </c>
      <c r="E1239" s="28">
        <v>392.74</v>
      </c>
      <c r="F1239" s="28">
        <v>94.85</v>
      </c>
      <c r="G1239" s="28" t="s">
        <v>3550</v>
      </c>
      <c r="H1239" s="28">
        <v>175.68</v>
      </c>
      <c r="I1239" s="30">
        <f t="shared" si="134"/>
        <v>-6.488324735429353E-3</v>
      </c>
      <c r="J1239" s="30">
        <f t="shared" si="135"/>
        <v>-4.6704392249462927E-3</v>
      </c>
      <c r="K1239" s="30">
        <f t="shared" si="136"/>
        <v>-1.6022401814184042E-2</v>
      </c>
      <c r="L1239" s="30">
        <f t="shared" si="137"/>
        <v>-4.6234046538952828E-3</v>
      </c>
      <c r="M1239" s="30">
        <f t="shared" si="138"/>
        <v>6.3458700529029615E-3</v>
      </c>
      <c r="N1239" s="30">
        <f t="shared" si="139"/>
        <v>1.8540218884137951E-2</v>
      </c>
      <c r="O1239" s="30">
        <f t="shared" si="140"/>
        <v>-4.5619212616861353E-2</v>
      </c>
    </row>
    <row r="1240" spans="1:15" s="30" customFormat="1">
      <c r="A1240" s="27">
        <v>44291</v>
      </c>
      <c r="B1240" s="28" t="s">
        <v>1206</v>
      </c>
      <c r="C1240" s="28">
        <v>622.29</v>
      </c>
      <c r="D1240" s="28" t="s">
        <v>2383</v>
      </c>
      <c r="E1240" s="28">
        <v>391.04</v>
      </c>
      <c r="F1240" s="28">
        <v>93.6</v>
      </c>
      <c r="G1240" s="28" t="s">
        <v>3551</v>
      </c>
      <c r="H1240" s="28">
        <v>167.8</v>
      </c>
      <c r="I1240" s="30">
        <f t="shared" si="134"/>
        <v>-3.9421376568648504E-2</v>
      </c>
      <c r="J1240" s="30">
        <f t="shared" si="135"/>
        <v>-2.3434250395646958E-3</v>
      </c>
      <c r="K1240" s="30">
        <f t="shared" si="136"/>
        <v>-2.1261322075916463E-2</v>
      </c>
      <c r="L1240" s="30">
        <f t="shared" si="137"/>
        <v>-4.3379587789083643E-3</v>
      </c>
      <c r="M1240" s="30">
        <f t="shared" si="138"/>
        <v>-1.3266312897476812E-2</v>
      </c>
      <c r="N1240" s="30">
        <f t="shared" si="139"/>
        <v>-2.3419200613637284E-2</v>
      </c>
      <c r="O1240" s="30">
        <f t="shared" si="140"/>
        <v>-4.5891364288059955E-2</v>
      </c>
    </row>
    <row r="1241" spans="1:15" s="30" customFormat="1">
      <c r="A1241" s="27">
        <v>44287</v>
      </c>
      <c r="B1241" s="28">
        <v>2551.75</v>
      </c>
      <c r="C1241" s="28">
        <v>639.96</v>
      </c>
      <c r="D1241" s="28">
        <v>2384.25</v>
      </c>
      <c r="E1241" s="28">
        <v>393.2</v>
      </c>
      <c r="F1241" s="28">
        <v>97.2</v>
      </c>
      <c r="G1241" s="28">
        <v>2371.0500000000002</v>
      </c>
      <c r="H1241" s="28">
        <v>161.05000000000001</v>
      </c>
      <c r="I1241" s="30">
        <f>LN(B1241/B1240)</f>
        <v>1.6237714539777844E-2</v>
      </c>
      <c r="J1241" s="30">
        <f t="shared" si="135"/>
        <v>2.7999452374347589E-2</v>
      </c>
      <c r="K1241" s="30">
        <f t="shared" si="136"/>
        <v>2.5401157561876823E-2</v>
      </c>
      <c r="L1241" s="30">
        <f t="shared" si="137"/>
        <v>5.5085317298356655E-3</v>
      </c>
      <c r="M1241" s="30">
        <f t="shared" si="138"/>
        <v>3.7740327982847113E-2</v>
      </c>
      <c r="N1241" s="30">
        <f t="shared" si="139"/>
        <v>-2.9518428147195044E-4</v>
      </c>
      <c r="O1241" s="30">
        <f t="shared" si="140"/>
        <v>-4.1057918255898024E-2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27158-C026-4095-875F-111D8A086EAE}">
  <dimension ref="A2:I1243"/>
  <sheetViews>
    <sheetView topLeftCell="A1221" workbookViewId="0">
      <selection activeCell="N1238" sqref="N1238"/>
    </sheetView>
  </sheetViews>
  <sheetFormatPr defaultRowHeight="13.8"/>
  <cols>
    <col min="1" max="1" width="14.21875" style="8" customWidth="1"/>
    <col min="2" max="2" width="16.33203125" style="8" customWidth="1"/>
    <col min="3" max="3" width="19.5546875" style="8" customWidth="1"/>
    <col min="4" max="4" width="18.6640625" style="8" customWidth="1"/>
    <col min="5" max="5" width="14.6640625" style="8" customWidth="1"/>
    <col min="6" max="6" width="17.6640625" style="8" customWidth="1"/>
    <col min="7" max="7" width="13" style="8" customWidth="1"/>
    <col min="8" max="8" width="15.77734375" style="8" customWidth="1"/>
    <col min="9" max="9" width="18.44140625" style="8" customWidth="1"/>
    <col min="10" max="16384" width="8.88671875" style="8"/>
  </cols>
  <sheetData>
    <row r="2" spans="1:9">
      <c r="A2" s="3" t="s">
        <v>3553</v>
      </c>
      <c r="B2" s="4">
        <v>0.71311053984575834</v>
      </c>
      <c r="C2" s="4">
        <v>0.16874035989717223</v>
      </c>
      <c r="D2" s="5">
        <v>1.2544987146529563E-2</v>
      </c>
      <c r="E2" s="4">
        <v>4.9494430162810625E-2</v>
      </c>
      <c r="F2" s="5">
        <v>1.1996572407883463E-3</v>
      </c>
      <c r="G2" s="6">
        <v>4.6683804627249352E-2</v>
      </c>
      <c r="H2" s="4">
        <v>8.2262210796915161E-3</v>
      </c>
      <c r="I2" s="7">
        <v>1</v>
      </c>
    </row>
    <row r="4" spans="1:9">
      <c r="A4" s="3" t="s">
        <v>0</v>
      </c>
      <c r="B4" s="9" t="s">
        <v>3569</v>
      </c>
      <c r="C4" s="10" t="s">
        <v>3570</v>
      </c>
      <c r="D4" s="9" t="s">
        <v>3571</v>
      </c>
      <c r="E4" s="10" t="s">
        <v>3572</v>
      </c>
      <c r="F4" s="9" t="s">
        <v>3573</v>
      </c>
      <c r="G4" s="10" t="s">
        <v>3574</v>
      </c>
      <c r="H4" s="9" t="s">
        <v>3575</v>
      </c>
      <c r="I4" s="11" t="s">
        <v>3577</v>
      </c>
    </row>
    <row r="5" spans="1:9">
      <c r="A5" s="12">
        <v>46111</v>
      </c>
      <c r="B5" s="13">
        <v>-2.7603665616502047E-2</v>
      </c>
      <c r="C5" s="14">
        <v>-1.8845689424111977E-2</v>
      </c>
      <c r="D5" s="13">
        <v>-5.3081930177827433E-2</v>
      </c>
      <c r="E5" s="14">
        <v>-4.8670554098121481E-2</v>
      </c>
      <c r="F5" s="13">
        <v>-0.12441289419505307</v>
      </c>
      <c r="G5" s="14">
        <v>-9.3769274586247495E-3</v>
      </c>
      <c r="H5" s="13">
        <v>-5.194712320110377E-2</v>
      </c>
      <c r="I5" s="15">
        <f>SUMPRODUCT($B$2:$H$2,B5:H5)</f>
        <v>-2.6953658776786262E-2</v>
      </c>
    </row>
    <row r="6" spans="1:9">
      <c r="A6" s="12">
        <v>46108</v>
      </c>
      <c r="B6" s="13">
        <v>1.9302616415960976E-2</v>
      </c>
      <c r="C6" s="14">
        <v>1.1277631198859162E-2</v>
      </c>
      <c r="D6" s="13">
        <v>2.7748728223355383E-2</v>
      </c>
      <c r="E6" s="14">
        <v>1.9424986001659626E-2</v>
      </c>
      <c r="F6" s="13">
        <v>8.2172452483317074E-2</v>
      </c>
      <c r="G6" s="14">
        <v>3.54997395657995E-2</v>
      </c>
      <c r="H6" s="13">
        <v>4.4706305761959324E-2</v>
      </c>
      <c r="I6" s="15">
        <f t="shared" ref="I6:I69" si="0">SUMPRODUCT($B$2:$H$2,B6:H6)</f>
        <v>1.9101032450748984E-2</v>
      </c>
    </row>
    <row r="7" spans="1:9">
      <c r="A7" s="12">
        <v>46106</v>
      </c>
      <c r="B7" s="13">
        <v>2.8052580982455135E-2</v>
      </c>
      <c r="C7" s="14">
        <v>2.5712641398353643E-2</v>
      </c>
      <c r="D7" s="13">
        <v>4.6846503606711505E-2</v>
      </c>
      <c r="E7" s="14">
        <v>1.8076107530285674E-2</v>
      </c>
      <c r="F7" s="13">
        <v>5.9708134752126767E-2</v>
      </c>
      <c r="G7" s="14">
        <v>-7.6286852957786347E-3</v>
      </c>
      <c r="H7" s="13">
        <v>3.1082077554264939E-2</v>
      </c>
      <c r="I7" s="15">
        <f t="shared" si="0"/>
        <v>2.5796888243165738E-2</v>
      </c>
    </row>
    <row r="8" spans="1:9">
      <c r="A8" s="12">
        <v>46105</v>
      </c>
      <c r="B8" s="13">
        <v>-2.3577693862288068E-2</v>
      </c>
      <c r="C8" s="14">
        <v>-2.7764666984123648E-2</v>
      </c>
      <c r="D8" s="13">
        <v>-4.8010289464574092E-2</v>
      </c>
      <c r="E8" s="14">
        <v>-7.360741732476607E-2</v>
      </c>
      <c r="F8" s="13">
        <v>1.195328599958758E-2</v>
      </c>
      <c r="G8" s="14">
        <v>-2.5167922961598772E-2</v>
      </c>
      <c r="H8" s="13">
        <v>-3.9456333934276215E-2</v>
      </c>
      <c r="I8" s="15">
        <f t="shared" si="0"/>
        <v>-2.7229138616509975E-2</v>
      </c>
    </row>
    <row r="9" spans="1:9">
      <c r="A9" s="12">
        <v>46104</v>
      </c>
      <c r="B9" s="13">
        <v>-4.4261131180645903E-2</v>
      </c>
      <c r="C9" s="14">
        <v>-2.0385203920876428E-2</v>
      </c>
      <c r="D9" s="13">
        <v>-2.3564746917860816E-2</v>
      </c>
      <c r="E9" s="14">
        <v>-1.3859630018822067E-2</v>
      </c>
      <c r="F9" s="13">
        <v>-3.4081848510321214E-2</v>
      </c>
      <c r="G9" s="14">
        <v>-1.754447974503086E-3</v>
      </c>
      <c r="H9" s="13">
        <v>-4.3082075011029577E-2</v>
      </c>
      <c r="I9" s="15">
        <f t="shared" si="0"/>
        <v>-3.6461673250272851E-2</v>
      </c>
    </row>
    <row r="10" spans="1:9">
      <c r="A10" s="12">
        <v>46101</v>
      </c>
      <c r="B10" s="13">
        <v>3.433515397491136E-2</v>
      </c>
      <c r="C10" s="14">
        <v>2.7368977037841566E-2</v>
      </c>
      <c r="D10" s="13">
        <v>4.229366513171124E-2</v>
      </c>
      <c r="E10" s="14">
        <v>4.7271260723218883E-2</v>
      </c>
      <c r="F10" s="13">
        <v>9.4706470326756137E-2</v>
      </c>
      <c r="G10" s="14">
        <v>1.3153264206900224E-2</v>
      </c>
      <c r="H10" s="13">
        <v>7.3955660829080602E-2</v>
      </c>
      <c r="I10" s="15">
        <f t="shared" si="0"/>
        <v>3.330928415554664E-2</v>
      </c>
    </row>
    <row r="11" spans="1:9">
      <c r="A11" s="12">
        <v>46100</v>
      </c>
      <c r="B11" s="13">
        <v>-4.2908725167322909E-3</v>
      </c>
      <c r="C11" s="14">
        <v>-1.7551742712210504E-2</v>
      </c>
      <c r="D11" s="13">
        <v>8.735679082562442E-4</v>
      </c>
      <c r="E11" s="14">
        <v>1.0320132158928552E-2</v>
      </c>
      <c r="F11" s="13">
        <v>1.531491480141293E-2</v>
      </c>
      <c r="G11" s="14">
        <v>-3.0726167344215564E-2</v>
      </c>
      <c r="H11" s="13">
        <v>-1.0774199551566655E-2</v>
      </c>
      <c r="I11" s="15">
        <f t="shared" si="0"/>
        <v>-7.004478532581359E-3</v>
      </c>
    </row>
    <row r="12" spans="1:9">
      <c r="A12" s="12">
        <v>46099</v>
      </c>
      <c r="B12" s="13">
        <v>3.4220195627305862E-2</v>
      </c>
      <c r="C12" s="14">
        <v>1.3343235328259708E-2</v>
      </c>
      <c r="D12" s="13">
        <v>3.179697428522528E-2</v>
      </c>
      <c r="E12" s="14">
        <v>3.7907365355649481E-2</v>
      </c>
      <c r="F12" s="13">
        <v>4.9209627262830659E-2</v>
      </c>
      <c r="G12" s="14">
        <v>4.3024157299096984E-2</v>
      </c>
      <c r="H12" s="13">
        <v>2.177923387438668E-2</v>
      </c>
      <c r="I12" s="15">
        <f t="shared" si="0"/>
        <v>3.117614742191922E-2</v>
      </c>
    </row>
    <row r="13" spans="1:9">
      <c r="A13" s="12">
        <v>46098</v>
      </c>
      <c r="B13" s="13">
        <v>-1.0621613979863109E-2</v>
      </c>
      <c r="C13" s="14">
        <v>2.8877411476471554E-3</v>
      </c>
      <c r="D13" s="13">
        <v>-1.421995718145258E-2</v>
      </c>
      <c r="E13" s="14">
        <v>-7.3983074814449245E-3</v>
      </c>
      <c r="F13" s="13">
        <v>-2.5699619766477201E-2</v>
      </c>
      <c r="G13" s="14">
        <v>-8.5961399941058107E-3</v>
      </c>
      <c r="H13" s="13">
        <v>-1.7901210329240178E-2</v>
      </c>
      <c r="I13" s="15">
        <f t="shared" si="0"/>
        <v>-8.2110611604325496E-3</v>
      </c>
    </row>
    <row r="14" spans="1:9">
      <c r="A14" s="12">
        <v>46097</v>
      </c>
      <c r="B14" s="13">
        <v>-9.2013486099434983E-3</v>
      </c>
      <c r="C14" s="14">
        <v>-2.8394035693557671E-2</v>
      </c>
      <c r="D14" s="13">
        <v>1.3198706545925528E-4</v>
      </c>
      <c r="E14" s="14">
        <v>2.1131357268867026E-2</v>
      </c>
      <c r="F14" s="13">
        <v>3.944410935564769E-2</v>
      </c>
      <c r="G14" s="14">
        <v>-3.8405029472364524E-3</v>
      </c>
      <c r="H14" s="13">
        <v>-4.2773815983286355E-2</v>
      </c>
      <c r="I14" s="15">
        <f t="shared" si="0"/>
        <v>-1.0789094958345636E-2</v>
      </c>
    </row>
    <row r="15" spans="1:9">
      <c r="A15" s="12">
        <v>46094</v>
      </c>
      <c r="B15" s="13">
        <v>-9.4688667602764801E-3</v>
      </c>
      <c r="C15" s="14">
        <v>8.1251216418084266E-3</v>
      </c>
      <c r="D15" s="13">
        <v>3.7750104109545601E-2</v>
      </c>
      <c r="E15" s="14">
        <v>2.6199457204184342E-2</v>
      </c>
      <c r="F15" s="13">
        <v>2.3506447675341317E-2</v>
      </c>
      <c r="G15" s="14">
        <v>-6.5035790119677851E-3</v>
      </c>
      <c r="H15" s="13">
        <v>4.3972221823219311E-3</v>
      </c>
      <c r="I15" s="15">
        <f t="shared" si="0"/>
        <v>-3.8502505713761547E-3</v>
      </c>
    </row>
    <row r="16" spans="1:9">
      <c r="A16" s="12">
        <v>46093</v>
      </c>
      <c r="B16" s="13">
        <v>1.1045834353745442E-2</v>
      </c>
      <c r="C16" s="14">
        <v>3.588584943238942E-2</v>
      </c>
      <c r="D16" s="13">
        <v>3.8885826382212128E-2</v>
      </c>
      <c r="E16" s="14">
        <v>3.1985438709258393E-2</v>
      </c>
      <c r="F16" s="13">
        <v>4.946333821033648E-2</v>
      </c>
      <c r="G16" s="14">
        <v>1.7604079095604006E-2</v>
      </c>
      <c r="H16" s="13">
        <v>3.3320436283543323E-2</v>
      </c>
      <c r="I16" s="15">
        <f t="shared" si="0"/>
        <v>1.7158481018372255E-2</v>
      </c>
    </row>
    <row r="17" spans="1:9">
      <c r="A17" s="12">
        <v>46092</v>
      </c>
      <c r="B17" s="13">
        <v>4.8504541337494799E-3</v>
      </c>
      <c r="C17" s="14">
        <v>1.8632987662438479E-2</v>
      </c>
      <c r="D17" s="13">
        <v>6.5793718911319118E-3</v>
      </c>
      <c r="E17" s="14">
        <v>-5.5454978416300434E-3</v>
      </c>
      <c r="F17" s="13">
        <v>4.7952523074852333E-3</v>
      </c>
      <c r="G17" s="14">
        <v>-1.245337514905559E-2</v>
      </c>
      <c r="H17" s="13">
        <v>1.0203571784090796E-2</v>
      </c>
      <c r="I17" s="15">
        <f t="shared" si="0"/>
        <v>5.9194324541426944E-3</v>
      </c>
    </row>
    <row r="18" spans="1:9">
      <c r="A18" s="12">
        <v>46091</v>
      </c>
      <c r="B18" s="13">
        <v>2.145282165622521E-2</v>
      </c>
      <c r="C18" s="14">
        <v>1.3950765256332593E-2</v>
      </c>
      <c r="D18" s="13">
        <v>1.9422756626260404E-2</v>
      </c>
      <c r="E18" s="14">
        <v>-7.6217426552006263E-3</v>
      </c>
      <c r="F18" s="13">
        <v>-1.3485082021479676E-2</v>
      </c>
      <c r="G18" s="14">
        <v>4.2605582383343056E-3</v>
      </c>
      <c r="H18" s="13">
        <v>2.3639036742241191E-2</v>
      </c>
      <c r="I18" s="15">
        <f t="shared" si="0"/>
        <v>1.789589633980428E-2</v>
      </c>
    </row>
    <row r="19" spans="1:9">
      <c r="A19" s="12">
        <v>46090</v>
      </c>
      <c r="B19" s="13">
        <v>-2.6483374844941406E-2</v>
      </c>
      <c r="C19" s="14">
        <v>-5.7412030473237511E-3</v>
      </c>
      <c r="D19" s="13">
        <v>-1.5495563026663103E-3</v>
      </c>
      <c r="E19" s="14">
        <v>-1.4558005428812429E-3</v>
      </c>
      <c r="F19" s="13">
        <v>-1.7806947376294326E-2</v>
      </c>
      <c r="G19" s="14">
        <v>-6.3720817227494189E-2</v>
      </c>
      <c r="H19" s="13">
        <v>-1.4231848153692217E-2</v>
      </c>
      <c r="I19" s="15">
        <f t="shared" si="0"/>
        <v>-2.3059006328040463E-2</v>
      </c>
    </row>
    <row r="20" spans="1:9">
      <c r="A20" s="12">
        <v>46087</v>
      </c>
      <c r="B20" s="13">
        <v>2.6088629341010756E-2</v>
      </c>
      <c r="C20" s="14">
        <v>1.395105531751663E-2</v>
      </c>
      <c r="D20" s="13">
        <v>4.1132097930299559E-2</v>
      </c>
      <c r="E20" s="14">
        <v>2.0613781289108971E-2</v>
      </c>
      <c r="F20" s="13">
        <v>3.8727007885292021E-2</v>
      </c>
      <c r="G20" s="14">
        <v>2.1970898165640483E-2</v>
      </c>
      <c r="H20" s="13">
        <v>4.2655937757051898E-2</v>
      </c>
      <c r="I20" s="15">
        <f t="shared" si="0"/>
        <v>2.3917493073902524E-2</v>
      </c>
    </row>
    <row r="21" spans="1:9">
      <c r="A21" s="12">
        <v>46086</v>
      </c>
      <c r="B21" s="13">
        <v>3.6345364380769786E-3</v>
      </c>
      <c r="C21" s="14">
        <v>-1.2570157514653763E-2</v>
      </c>
      <c r="D21" s="13">
        <v>3.0219911540319905E-2</v>
      </c>
      <c r="E21" s="14">
        <v>2.1905363957073525E-2</v>
      </c>
      <c r="F21" s="13">
        <v>-2.2818036141142514E-3</v>
      </c>
      <c r="G21" s="14">
        <v>2.1639615942936504E-2</v>
      </c>
      <c r="H21" s="13">
        <v>3.4278797318614638E-3</v>
      </c>
      <c r="I21" s="15">
        <f t="shared" si="0"/>
        <v>2.9697159640361464E-3</v>
      </c>
    </row>
    <row r="22" spans="1:9">
      <c r="A22" s="12">
        <v>46085</v>
      </c>
      <c r="B22" s="13">
        <v>-1.137109241265703E-3</v>
      </c>
      <c r="C22" s="14">
        <v>9.0436195330211716E-3</v>
      </c>
      <c r="D22" s="13">
        <v>8.8466793937366818E-3</v>
      </c>
      <c r="E22" s="14">
        <v>7.9833547026521741E-3</v>
      </c>
      <c r="F22" s="13">
        <v>7.7747618330849758E-3</v>
      </c>
      <c r="G22" s="14">
        <v>2.0594096064976541E-2</v>
      </c>
      <c r="H22" s="13">
        <v>-3.4019559026534217E-2</v>
      </c>
      <c r="I22" s="15">
        <f t="shared" si="0"/>
        <v>1.9121374938665108E-3</v>
      </c>
    </row>
    <row r="23" spans="1:9">
      <c r="A23" s="12">
        <v>46083</v>
      </c>
      <c r="B23" s="13">
        <v>9.5377767212553952E-3</v>
      </c>
      <c r="C23" s="14">
        <v>1.9523274275953614E-2</v>
      </c>
      <c r="D23" s="13">
        <v>1.0894964191608932E-2</v>
      </c>
      <c r="E23" s="14">
        <v>7.0545226618883485E-3</v>
      </c>
      <c r="F23" s="13">
        <v>2.0195151565514349E-2</v>
      </c>
      <c r="G23" s="14">
        <v>-5.5292533461082853E-4</v>
      </c>
      <c r="H23" s="13">
        <v>2.7372279864088371E-3</v>
      </c>
      <c r="I23" s="15">
        <f t="shared" si="0"/>
        <v>1.0602621843356469E-2</v>
      </c>
    </row>
    <row r="24" spans="1:9">
      <c r="A24" s="12">
        <v>46080</v>
      </c>
      <c r="B24" s="13">
        <v>2.9511248452624126E-2</v>
      </c>
      <c r="C24" s="14">
        <v>1.9259034661625606E-2</v>
      </c>
      <c r="D24" s="13">
        <v>2.0000127583730789E-2</v>
      </c>
      <c r="E24" s="14">
        <v>3.6020101304515037E-2</v>
      </c>
      <c r="F24" s="13">
        <v>2.5405734514788701E-2</v>
      </c>
      <c r="G24" s="14">
        <v>1.4550203504953618E-2</v>
      </c>
      <c r="H24" s="13">
        <v>4.0730874195803658E-2</v>
      </c>
      <c r="I24" s="15">
        <f t="shared" si="0"/>
        <v>2.7373052694572415E-2</v>
      </c>
    </row>
    <row r="25" spans="1:9">
      <c r="A25" s="12">
        <v>46079</v>
      </c>
      <c r="B25" s="13">
        <v>7.8389032956759641E-3</v>
      </c>
      <c r="C25" s="14">
        <v>6.8826403775802151E-3</v>
      </c>
      <c r="D25" s="13">
        <v>1.1357124673073824E-2</v>
      </c>
      <c r="E25" s="14">
        <v>-1.5349875559120011E-2</v>
      </c>
      <c r="F25" s="13">
        <v>2.9693709729377418E-2</v>
      </c>
      <c r="G25" s="14">
        <v>3.1257784731599805E-2</v>
      </c>
      <c r="H25" s="13">
        <v>2.1845994488393834E-3</v>
      </c>
      <c r="I25" s="15">
        <f t="shared" si="0"/>
        <v>7.6469510019204837E-3</v>
      </c>
    </row>
    <row r="26" spans="1:9">
      <c r="A26" s="12">
        <v>46078</v>
      </c>
      <c r="B26" s="13">
        <v>8.937352944723212E-3</v>
      </c>
      <c r="C26" s="14">
        <v>-6.9922714690675951E-3</v>
      </c>
      <c r="D26" s="13">
        <v>4.2207450241454089E-4</v>
      </c>
      <c r="E26" s="14">
        <v>1.1469892792188999E-3</v>
      </c>
      <c r="F26" s="13">
        <v>-1.8209643090466812E-2</v>
      </c>
      <c r="G26" s="14">
        <v>2.042721571111436E-2</v>
      </c>
      <c r="H26" s="13">
        <v>2.3975599976611313E-3</v>
      </c>
      <c r="I26" s="15">
        <f t="shared" si="0"/>
        <v>6.2070043547431892E-3</v>
      </c>
    </row>
    <row r="27" spans="1:9">
      <c r="A27" s="12">
        <v>46077</v>
      </c>
      <c r="B27" s="13">
        <v>-1.3666013101107579E-3</v>
      </c>
      <c r="C27" s="14">
        <v>1.4476443286786525E-2</v>
      </c>
      <c r="D27" s="13">
        <v>4.2189643068572726E-4</v>
      </c>
      <c r="E27" s="14">
        <v>-1.496387449651802E-2</v>
      </c>
      <c r="F27" s="13">
        <v>-1.0221554071538028E-2</v>
      </c>
      <c r="G27" s="14">
        <v>8.6329617464642548E-3</v>
      </c>
      <c r="H27" s="13">
        <v>1.0718448308400495E-2</v>
      </c>
      <c r="I27" s="15">
        <f t="shared" si="0"/>
        <v>1.2118161598920758E-3</v>
      </c>
    </row>
    <row r="28" spans="1:9">
      <c r="A28" s="12">
        <v>46076</v>
      </c>
      <c r="B28" s="13">
        <v>6.8555649685784412E-3</v>
      </c>
      <c r="C28" s="14">
        <v>4.5283096247476099E-3</v>
      </c>
      <c r="D28" s="13">
        <v>2.7379966557167412E-3</v>
      </c>
      <c r="E28" s="14">
        <v>9.9673616533706606E-3</v>
      </c>
      <c r="F28" s="13">
        <v>2.4393624749914352E-2</v>
      </c>
      <c r="G28" s="14">
        <v>-1.0219467073486581E-2</v>
      </c>
      <c r="H28" s="13">
        <v>7.7237028462945551E-3</v>
      </c>
      <c r="I28" s="15">
        <f t="shared" si="0"/>
        <v>5.7962785210843356E-3</v>
      </c>
    </row>
    <row r="29" spans="1:9">
      <c r="A29" s="12">
        <v>46073</v>
      </c>
      <c r="B29" s="13">
        <v>-6.5873443034186838E-4</v>
      </c>
      <c r="C29" s="14">
        <v>-2.0321264346882702E-2</v>
      </c>
      <c r="D29" s="13">
        <v>-7.2827383998978383E-3</v>
      </c>
      <c r="E29" s="14">
        <v>-4.7699234364106556E-3</v>
      </c>
      <c r="F29" s="13">
        <v>7.1860794734238927E-3</v>
      </c>
      <c r="G29" s="14">
        <v>-1.0324983833610857E-2</v>
      </c>
      <c r="H29" s="13">
        <v>-1.9531238607148307E-2</v>
      </c>
      <c r="I29" s="15">
        <f t="shared" si="0"/>
        <v>-4.8602714092555082E-3</v>
      </c>
    </row>
    <row r="30" spans="1:9">
      <c r="A30" s="12">
        <v>46072</v>
      </c>
      <c r="B30" s="13">
        <v>-1.1307043366554482E-2</v>
      </c>
      <c r="C30" s="14">
        <v>4.3816479347254357E-3</v>
      </c>
      <c r="D30" s="13">
        <v>2.2519935723068468E-2</v>
      </c>
      <c r="E30" s="14">
        <v>9.0684255816260301E-3</v>
      </c>
      <c r="F30" s="13">
        <v>5.5729855140608468E-3</v>
      </c>
      <c r="G30" s="14">
        <v>-4.6598712615641543E-3</v>
      </c>
      <c r="H30" s="13">
        <v>1.5462274860623655E-2</v>
      </c>
      <c r="I30" s="15">
        <f t="shared" si="0"/>
        <v>-6.6761208446515915E-3</v>
      </c>
    </row>
    <row r="31" spans="1:9">
      <c r="A31" s="12">
        <v>46071</v>
      </c>
      <c r="B31" s="13">
        <v>1.2953066535613587E-2</v>
      </c>
      <c r="C31" s="14">
        <v>6.4280877221833659E-3</v>
      </c>
      <c r="D31" s="13">
        <v>9.2784170790463395E-3</v>
      </c>
      <c r="E31" s="14">
        <v>4.379423740844845E-3</v>
      </c>
      <c r="F31" s="13">
        <v>3.3473070403600445E-2</v>
      </c>
      <c r="G31" s="14">
        <v>8.5483202932213065E-3</v>
      </c>
      <c r="H31" s="13">
        <v>4.2826617920009493E-3</v>
      </c>
      <c r="I31" s="15">
        <f t="shared" si="0"/>
        <v>1.1129255259504162E-2</v>
      </c>
    </row>
    <row r="32" spans="1:9">
      <c r="A32" s="12">
        <v>46070</v>
      </c>
      <c r="B32" s="13">
        <v>2.1768157276308379E-3</v>
      </c>
      <c r="C32" s="14">
        <v>6.4949351505482053E-3</v>
      </c>
      <c r="D32" s="13">
        <v>3.5851510872017488E-3</v>
      </c>
      <c r="E32" s="14">
        <v>5.0028585906455019E-3</v>
      </c>
      <c r="F32" s="13">
        <v>5.8611906887406414E-3</v>
      </c>
      <c r="G32" s="14">
        <v>-1.0424956727230504E-2</v>
      </c>
      <c r="H32" s="13">
        <v>-1.4968462112662456E-3</v>
      </c>
      <c r="I32" s="15">
        <f t="shared" si="0"/>
        <v>2.4488986318159526E-3</v>
      </c>
    </row>
    <row r="33" spans="1:9">
      <c r="A33" s="12">
        <v>46069</v>
      </c>
      <c r="B33" s="13">
        <v>-1.6630507805371928E-2</v>
      </c>
      <c r="C33" s="14">
        <v>-2.1602946401080834E-3</v>
      </c>
      <c r="D33" s="13">
        <v>9.5655557899450502E-3</v>
      </c>
      <c r="E33" s="14">
        <v>5.0762781193359396E-3</v>
      </c>
      <c r="F33" s="13">
        <v>-1.2602031852039853E-2</v>
      </c>
      <c r="G33" s="14">
        <v>-4.2601738776627627E-3</v>
      </c>
      <c r="H33" s="13">
        <v>1.2969247373502985E-2</v>
      </c>
      <c r="I33" s="15">
        <f t="shared" si="0"/>
        <v>-1.1959983374366115E-2</v>
      </c>
    </row>
    <row r="34" spans="1:9">
      <c r="A34" s="12">
        <v>46066</v>
      </c>
      <c r="B34" s="13">
        <v>-1.2931576627494683E-2</v>
      </c>
      <c r="C34" s="14">
        <v>-8.6542627642882187E-4</v>
      </c>
      <c r="D34" s="13">
        <v>-1.4588373996819157E-2</v>
      </c>
      <c r="E34" s="14">
        <v>-1.6805451898288488E-2</v>
      </c>
      <c r="F34" s="13">
        <v>3.2604351753218491E-2</v>
      </c>
      <c r="G34" s="14">
        <v>-2.3676283847506641E-2</v>
      </c>
      <c r="H34" s="13">
        <v>-1.6913323270759751E-3</v>
      </c>
      <c r="I34" s="15">
        <f t="shared" si="0"/>
        <v>-1.1462561397267866E-2</v>
      </c>
    </row>
    <row r="35" spans="1:9">
      <c r="A35" s="12">
        <v>46065</v>
      </c>
      <c r="B35" s="13">
        <v>1.8464381889141505E-2</v>
      </c>
      <c r="C35" s="14">
        <v>-2.7092945318061366E-3</v>
      </c>
      <c r="D35" s="13">
        <v>2.4665041284078773E-2</v>
      </c>
      <c r="E35" s="14">
        <v>1.1877391461593558E-2</v>
      </c>
      <c r="F35" s="13">
        <v>2.6168509864602764E-2</v>
      </c>
      <c r="G35" s="14">
        <v>1.660207509983962E-2</v>
      </c>
      <c r="H35" s="13">
        <v>1.177969027141673E-2</v>
      </c>
      <c r="I35" s="15">
        <f t="shared" si="0"/>
        <v>1.451060895973964E-2</v>
      </c>
    </row>
    <row r="36" spans="1:9">
      <c r="A36" s="12">
        <v>46064</v>
      </c>
      <c r="B36" s="13">
        <v>-7.4953505185676736E-3</v>
      </c>
      <c r="C36" s="14">
        <v>-4.8953048534131297E-3</v>
      </c>
      <c r="D36" s="13">
        <v>1.1662230358460932E-2</v>
      </c>
      <c r="E36" s="14">
        <v>1.9665066519771394E-2</v>
      </c>
      <c r="F36" s="13">
        <v>8.7309071166405162E-3</v>
      </c>
      <c r="G36" s="14">
        <v>2.6660446053861363E-4</v>
      </c>
      <c r="H36" s="13">
        <v>2.7148392992685675E-3</v>
      </c>
      <c r="I36" s="15">
        <f t="shared" si="0"/>
        <v>-5.0061820911823911E-3</v>
      </c>
    </row>
    <row r="37" spans="1:9">
      <c r="A37" s="12">
        <v>46063</v>
      </c>
      <c r="B37" s="13">
        <v>4.596644530487201E-4</v>
      </c>
      <c r="C37" s="14">
        <v>3.2710025914498161E-4</v>
      </c>
      <c r="D37" s="13">
        <v>2.1858258146375542E-2</v>
      </c>
      <c r="E37" s="14">
        <v>2.6104651993727034E-2</v>
      </c>
      <c r="F37" s="13">
        <v>9.281904127843011E-3</v>
      </c>
      <c r="G37" s="14">
        <v>7.0392427997211862E-3</v>
      </c>
      <c r="H37" s="13">
        <v>1.4587894636598666E-3</v>
      </c>
      <c r="I37" s="15">
        <f t="shared" si="0"/>
        <v>2.3009870879498813E-3</v>
      </c>
    </row>
    <row r="38" spans="1:9">
      <c r="A38" s="12">
        <v>46062</v>
      </c>
      <c r="B38" s="13">
        <v>9.8940736451985367E-3</v>
      </c>
      <c r="C38" s="14">
        <v>1.8363013283300113E-2</v>
      </c>
      <c r="D38" s="13">
        <v>8.1112843327567474E-3</v>
      </c>
      <c r="E38" s="14">
        <v>3.2509628387172146E-3</v>
      </c>
      <c r="F38" s="13">
        <v>1.9692085271674046E-2</v>
      </c>
      <c r="G38" s="14">
        <v>-1.5606038825933239E-2</v>
      </c>
      <c r="H38" s="13">
        <v>-2.3386718452740391E-2</v>
      </c>
      <c r="I38" s="15">
        <f t="shared" si="0"/>
        <v>9.5195003483074039E-3</v>
      </c>
    </row>
    <row r="39" spans="1:9">
      <c r="A39" s="12">
        <v>46059</v>
      </c>
      <c r="B39" s="13">
        <v>-6.7656167586256002E-3</v>
      </c>
      <c r="C39" s="14">
        <v>1.1175679084242537E-2</v>
      </c>
      <c r="D39" s="13">
        <v>-3.0167758535281752E-2</v>
      </c>
      <c r="E39" s="14">
        <v>8.2447649310153186E-3</v>
      </c>
      <c r="F39" s="13">
        <v>-3.961999445225721E-2</v>
      </c>
      <c r="G39" s="14">
        <v>-1.9308042851261392E-2</v>
      </c>
      <c r="H39" s="13">
        <v>-7.7038686172905928E-3</v>
      </c>
      <c r="I39" s="15">
        <f t="shared" si="0"/>
        <v>-3.9215057491826339E-3</v>
      </c>
    </row>
    <row r="40" spans="1:9">
      <c r="A40" s="12">
        <v>46058</v>
      </c>
      <c r="B40" s="13">
        <v>1.2828115995040074E-2</v>
      </c>
      <c r="C40" s="14">
        <v>-2.1170742113578954E-4</v>
      </c>
      <c r="D40" s="13">
        <v>2.5737491934666088E-3</v>
      </c>
      <c r="E40" s="14">
        <v>1.8305877983118651E-2</v>
      </c>
      <c r="F40" s="13">
        <v>-2.3598961643364377E-2</v>
      </c>
      <c r="G40" s="14">
        <v>-3.3197635700793378E-2</v>
      </c>
      <c r="H40" s="13">
        <v>2.869287937976063E-2</v>
      </c>
      <c r="I40" s="15">
        <f t="shared" si="0"/>
        <v>8.7083991507843593E-3</v>
      </c>
    </row>
    <row r="41" spans="1:9">
      <c r="A41" s="12">
        <v>46057</v>
      </c>
      <c r="B41" s="13">
        <v>8.4343768921198957E-3</v>
      </c>
      <c r="C41" s="14">
        <v>1.6380038634823197E-2</v>
      </c>
      <c r="D41" s="13">
        <v>1.2379800473591744E-2</v>
      </c>
      <c r="E41" s="14">
        <v>1.7076576459063453E-2</v>
      </c>
      <c r="F41" s="13">
        <v>3.6928260863903981E-2</v>
      </c>
      <c r="G41" s="14">
        <v>2.4456742442273725E-2</v>
      </c>
      <c r="H41" s="13">
        <v>-3.9740692336196239E-3</v>
      </c>
      <c r="I41" s="15">
        <f t="shared" si="0"/>
        <v>1.0932460001390093E-2</v>
      </c>
    </row>
    <row r="42" spans="1:9">
      <c r="A42" s="12">
        <v>46056</v>
      </c>
      <c r="B42" s="13">
        <v>-1.0945648049895474E-2</v>
      </c>
      <c r="C42" s="14">
        <v>-1.0415039326185823E-4</v>
      </c>
      <c r="D42" s="13">
        <v>5.647532050364266E-3</v>
      </c>
      <c r="E42" s="14">
        <v>2.6966828113583492E-2</v>
      </c>
      <c r="F42" s="13">
        <v>-7.5949732174447485E-3</v>
      </c>
      <c r="G42" s="14">
        <v>-1.4062187866249631E-2</v>
      </c>
      <c r="H42" s="13">
        <v>-6.518105499294608E-3</v>
      </c>
      <c r="I42" s="15">
        <f t="shared" si="0"/>
        <v>-7.1366825293548881E-3</v>
      </c>
    </row>
    <row r="43" spans="1:9">
      <c r="A43" s="12">
        <v>46055</v>
      </c>
      <c r="B43" s="13">
        <v>-9.9420868640665346E-3</v>
      </c>
      <c r="C43" s="14">
        <v>-2.9382794400930268E-2</v>
      </c>
      <c r="D43" s="13">
        <v>2.4244787127028294E-3</v>
      </c>
      <c r="E43" s="14">
        <v>2.608787171416924E-2</v>
      </c>
      <c r="F43" s="13">
        <v>-4.0517614757835836E-2</v>
      </c>
      <c r="G43" s="14">
        <v>-1.1883283051747094E-2</v>
      </c>
      <c r="H43" s="13">
        <v>-3.991708466395516E-2</v>
      </c>
      <c r="I43" s="15">
        <f t="shared" si="0"/>
        <v>-1.1657981711428534E-2</v>
      </c>
    </row>
    <row r="44" spans="1:9">
      <c r="A44" s="12">
        <v>46054</v>
      </c>
      <c r="B44" s="13">
        <v>-1.8912099703797786E-2</v>
      </c>
      <c r="C44" s="14">
        <v>-7.1044432294822936E-3</v>
      </c>
      <c r="D44" s="13">
        <v>-7.7519383726929662E-4</v>
      </c>
      <c r="E44" s="14">
        <v>-3.8259480789717852E-2</v>
      </c>
      <c r="F44" s="13">
        <v>2.4507026197355852E-2</v>
      </c>
      <c r="G44" s="14">
        <v>-3.4059354763444606E-2</v>
      </c>
      <c r="H44" s="13">
        <v>2.4120173956821865E-3</v>
      </c>
      <c r="I44" s="15">
        <f t="shared" si="0"/>
        <v>-1.8129358377274644E-2</v>
      </c>
    </row>
    <row r="45" spans="1:9">
      <c r="A45" s="12">
        <v>46052</v>
      </c>
      <c r="B45" s="13">
        <v>2.9801800094886251E-2</v>
      </c>
      <c r="C45" s="14">
        <v>1.0802052400455398E-4</v>
      </c>
      <c r="D45" s="13">
        <v>1.2331562817784279E-2</v>
      </c>
      <c r="E45" s="14">
        <v>2.1117188333480388E-2</v>
      </c>
      <c r="F45" s="13">
        <v>-1.3977149371118243E-2</v>
      </c>
      <c r="G45" s="14">
        <v>2.7261086869611012E-2</v>
      </c>
      <c r="H45" s="13">
        <v>1.575349000358528E-2</v>
      </c>
      <c r="I45" s="15">
        <f t="shared" si="0"/>
        <v>2.3855562832833559E-2</v>
      </c>
    </row>
    <row r="46" spans="1:9">
      <c r="A46" s="12">
        <v>46051</v>
      </c>
      <c r="B46" s="13">
        <v>-5.0781439763118042E-3</v>
      </c>
      <c r="C46" s="14">
        <v>1.295336968685058E-3</v>
      </c>
      <c r="D46" s="13">
        <v>-8.1719437609174515E-3</v>
      </c>
      <c r="E46" s="14">
        <v>-2.0939726043751081E-2</v>
      </c>
      <c r="F46" s="13">
        <v>4.1044555676397074E-2</v>
      </c>
      <c r="G46" s="14">
        <v>-4.6536686813471112E-3</v>
      </c>
      <c r="H46" s="13">
        <v>4.0877853824173339E-3</v>
      </c>
      <c r="I46" s="15">
        <f t="shared" si="0"/>
        <v>-4.6760036386475964E-3</v>
      </c>
    </row>
    <row r="47" spans="1:9">
      <c r="A47" s="12">
        <v>46050</v>
      </c>
      <c r="B47" s="13">
        <v>3.8886347529320915E-2</v>
      </c>
      <c r="C47" s="14">
        <v>3.2581010961718608E-2</v>
      </c>
      <c r="D47" s="13">
        <v>2.2715235116734015E-2</v>
      </c>
      <c r="E47" s="14">
        <v>3.4100252259573389E-3</v>
      </c>
      <c r="F47" s="13">
        <v>1.8366275013528589E-2</v>
      </c>
      <c r="G47" s="14">
        <v>1.4674718391727784E-2</v>
      </c>
      <c r="H47" s="13">
        <v>2.9720340923896405E-2</v>
      </c>
      <c r="I47" s="15">
        <f t="shared" si="0"/>
        <v>3.4633326398896713E-2</v>
      </c>
    </row>
    <row r="48" spans="1:9">
      <c r="A48" s="12">
        <v>46049</v>
      </c>
      <c r="B48" s="13">
        <v>4.3242821805437877E-2</v>
      </c>
      <c r="C48" s="14">
        <v>3.3776243626563597E-2</v>
      </c>
      <c r="D48" s="13">
        <v>-4.5398734930271606E-3</v>
      </c>
      <c r="E48" s="14">
        <v>-3.942506601691151E-3</v>
      </c>
      <c r="F48" s="13">
        <v>-1.1166369126123102E-2</v>
      </c>
      <c r="G48" s="14">
        <v>2.541503824772787E-2</v>
      </c>
      <c r="H48" s="13">
        <v>-4.105649471023267E-2</v>
      </c>
      <c r="I48" s="15">
        <f t="shared" si="0"/>
        <v>3.7119577797701898E-2</v>
      </c>
    </row>
    <row r="49" spans="1:9">
      <c r="A49" s="12">
        <v>46045</v>
      </c>
      <c r="B49" s="13">
        <v>3.0378755872782631E-2</v>
      </c>
      <c r="C49" s="14">
        <v>1.8404200199471709E-2</v>
      </c>
      <c r="D49" s="13">
        <v>-7.0396028914703973E-3</v>
      </c>
      <c r="E49" s="14">
        <v>7.8695308643267989E-3</v>
      </c>
      <c r="F49" s="13">
        <v>-6.8580782804091592E-2</v>
      </c>
      <c r="G49" s="14">
        <v>1.2877772320441802E-2</v>
      </c>
      <c r="H49" s="13">
        <v>-1.1950677721953155E-3</v>
      </c>
      <c r="I49" s="15">
        <f t="shared" si="0"/>
        <v>2.5579207666221876E-2</v>
      </c>
    </row>
    <row r="50" spans="1:9">
      <c r="A50" s="12">
        <v>46044</v>
      </c>
      <c r="B50" s="13">
        <v>3.6985668057941316E-5</v>
      </c>
      <c r="C50" s="14">
        <v>6.5198294769143956E-3</v>
      </c>
      <c r="D50" s="13">
        <v>4.2977188320529713E-2</v>
      </c>
      <c r="E50" s="14">
        <v>1.0563381263951372E-3</v>
      </c>
      <c r="F50" s="13">
        <v>8.2673156943799925E-2</v>
      </c>
      <c r="G50" s="14">
        <v>-1.3621196684793825E-3</v>
      </c>
      <c r="H50" s="13">
        <v>2.2040348182802916E-2</v>
      </c>
      <c r="I50" s="15">
        <f t="shared" si="0"/>
        <v>1.9348636705076359E-3</v>
      </c>
    </row>
    <row r="51" spans="1:9">
      <c r="A51" s="12">
        <v>46043</v>
      </c>
      <c r="B51" s="13">
        <v>-1.5918619801524505E-2</v>
      </c>
      <c r="C51" s="14">
        <v>1.563142417666619E-2</v>
      </c>
      <c r="D51" s="13">
        <v>6.8352966058574383E-3</v>
      </c>
      <c r="E51" s="14">
        <v>8.2798974773543831E-3</v>
      </c>
      <c r="F51" s="13">
        <v>1.3830198132243796E-3</v>
      </c>
      <c r="G51" s="14">
        <v>4.0468675046015715E-3</v>
      </c>
      <c r="H51" s="13">
        <v>-2.448763534009136E-3</v>
      </c>
      <c r="I51" s="15">
        <f t="shared" si="0"/>
        <v>-8.0480876520095338E-3</v>
      </c>
    </row>
    <row r="52" spans="1:9">
      <c r="A52" s="12">
        <v>46042</v>
      </c>
      <c r="B52" s="13">
        <v>5.4340831154723428E-3</v>
      </c>
      <c r="C52" s="14">
        <v>-2.8151258702052533E-3</v>
      </c>
      <c r="D52" s="13">
        <v>3.4458465901073231E-2</v>
      </c>
      <c r="E52" s="14">
        <v>-1.0349607796302163E-2</v>
      </c>
      <c r="F52" s="13">
        <v>3.1739100602674715E-2</v>
      </c>
      <c r="G52" s="14">
        <v>8.9198820965708039E-3</v>
      </c>
      <c r="H52" s="13">
        <v>2.6612141064215097E-2</v>
      </c>
      <c r="I52" s="15">
        <f t="shared" si="0"/>
        <v>3.993517093825151E-3</v>
      </c>
    </row>
    <row r="53" spans="1:9">
      <c r="A53" s="12">
        <v>46041</v>
      </c>
      <c r="B53" s="13">
        <v>2.8880746044347257E-2</v>
      </c>
      <c r="C53" s="14">
        <v>1.0347754437357229E-2</v>
      </c>
      <c r="D53" s="13">
        <v>1.8604379074138262E-2</v>
      </c>
      <c r="E53" s="14">
        <v>2.5632944569958023E-2</v>
      </c>
      <c r="F53" s="13">
        <v>1.5646075629280221E-2</v>
      </c>
      <c r="G53" s="14">
        <v>2.8877008571887679E-2</v>
      </c>
      <c r="H53" s="13">
        <v>2.4606531628642153E-2</v>
      </c>
      <c r="I53" s="15">
        <f t="shared" si="0"/>
        <v>2.5412605215448782E-2</v>
      </c>
    </row>
    <row r="54" spans="1:9">
      <c r="A54" s="12">
        <v>46038</v>
      </c>
      <c r="B54" s="13">
        <v>1.0524597679825868E-3</v>
      </c>
      <c r="C54" s="14">
        <v>9.6204723726020793E-5</v>
      </c>
      <c r="D54" s="13">
        <v>6.2922228560069821E-2</v>
      </c>
      <c r="E54" s="14">
        <v>-5.6444986883600777E-3</v>
      </c>
      <c r="F54" s="13">
        <v>1.5549248834600649E-2</v>
      </c>
      <c r="G54" s="14">
        <v>9.367750003600241E-3</v>
      </c>
      <c r="H54" s="13">
        <v>-4.6695851777385361E-3</v>
      </c>
      <c r="I54" s="15">
        <f t="shared" si="0"/>
        <v>1.6943040152950068E-3</v>
      </c>
    </row>
    <row r="55" spans="1:9">
      <c r="A55" s="12">
        <v>46036</v>
      </c>
      <c r="B55" s="13">
        <v>2.0464561383611003E-2</v>
      </c>
      <c r="C55" s="14">
        <v>1.0336009330662073E-2</v>
      </c>
      <c r="D55" s="13">
        <v>-2.9799044620565724E-2</v>
      </c>
      <c r="E55" s="14">
        <v>2.1882150085586381E-2</v>
      </c>
      <c r="F55" s="13">
        <v>4.1729681391476856E-3</v>
      </c>
      <c r="G55" s="14">
        <v>7.1615519476103361E-3</v>
      </c>
      <c r="H55" s="13">
        <v>-1.2800338615770263E-2</v>
      </c>
      <c r="I55" s="15">
        <f t="shared" si="0"/>
        <v>1.7280848475854899E-2</v>
      </c>
    </row>
    <row r="56" spans="1:9">
      <c r="A56" s="12">
        <v>46035</v>
      </c>
      <c r="B56" s="13">
        <v>2.5403983595135012E-2</v>
      </c>
      <c r="C56" s="14">
        <v>-8.4138559277029124E-3</v>
      </c>
      <c r="D56" s="13">
        <v>1.8983732855921691E-2</v>
      </c>
      <c r="E56" s="14">
        <v>-1.830216825954541E-2</v>
      </c>
      <c r="F56" s="13">
        <v>-2.5303080335337739E-2</v>
      </c>
      <c r="G56" s="14">
        <v>-2.703748267406205E-3</v>
      </c>
      <c r="H56" s="13">
        <v>-1.2757524060393139E-2</v>
      </c>
      <c r="I56" s="15">
        <f t="shared" si="0"/>
        <v>1.5766864181550912E-2</v>
      </c>
    </row>
    <row r="57" spans="1:9">
      <c r="A57" s="12">
        <v>46034</v>
      </c>
      <c r="B57" s="13">
        <v>3.4931814793369509E-3</v>
      </c>
      <c r="C57" s="14">
        <v>-2.1055452079971417E-2</v>
      </c>
      <c r="D57" s="13">
        <v>-2.1152569208247086E-2</v>
      </c>
      <c r="E57" s="14">
        <v>-6.9993804874650426E-3</v>
      </c>
      <c r="F57" s="13">
        <v>4.4085302847659564E-3</v>
      </c>
      <c r="G57" s="14">
        <v>1.1440782387594177E-2</v>
      </c>
      <c r="H57" s="13">
        <v>-2.2057777841082541E-2</v>
      </c>
      <c r="I57" s="15">
        <f t="shared" si="0"/>
        <v>-1.3157332708209671E-3</v>
      </c>
    </row>
    <row r="58" spans="1:9">
      <c r="A58" s="12">
        <v>46031</v>
      </c>
      <c r="B58" s="13">
        <v>-2.4783246444767759E-2</v>
      </c>
      <c r="C58" s="14">
        <v>8.3976667706791627E-3</v>
      </c>
      <c r="D58" s="13">
        <v>2.3354752462287605E-3</v>
      </c>
      <c r="E58" s="14">
        <v>7.860113885415269E-3</v>
      </c>
      <c r="F58" s="13">
        <v>5.8479698824228992E-3</v>
      </c>
      <c r="G58" s="14">
        <v>-1.4030167155917317E-3</v>
      </c>
      <c r="H58" s="13">
        <v>4.0468638829419682E-3</v>
      </c>
      <c r="I58" s="15">
        <f t="shared" si="0"/>
        <v>-1.5863030775305074E-2</v>
      </c>
    </row>
    <row r="59" spans="1:9">
      <c r="A59" s="12">
        <v>46030</v>
      </c>
      <c r="B59" s="13">
        <v>-1.389901206030696E-2</v>
      </c>
      <c r="C59" s="14">
        <v>1.0639427182607023E-2</v>
      </c>
      <c r="D59" s="13">
        <v>1.7098669579405687E-2</v>
      </c>
      <c r="E59" s="14">
        <v>9.121142349359606E-3</v>
      </c>
      <c r="F59" s="13">
        <v>2.7036446896084695E-2</v>
      </c>
      <c r="G59" s="14">
        <v>8.6418329713584836E-3</v>
      </c>
      <c r="H59" s="13">
        <v>2.7775196376162818E-2</v>
      </c>
      <c r="I59" s="15">
        <f t="shared" si="0"/>
        <v>-6.7859298713810389E-3</v>
      </c>
    </row>
    <row r="60" spans="1:9">
      <c r="A60" s="12">
        <v>46029</v>
      </c>
      <c r="B60" s="13">
        <v>8.1846093872184403E-3</v>
      </c>
      <c r="C60" s="14">
        <v>1.2334621172424882E-2</v>
      </c>
      <c r="D60" s="13">
        <v>7.3682921177204103E-4</v>
      </c>
      <c r="E60" s="14">
        <v>1.3842955734177733E-2</v>
      </c>
      <c r="F60" s="13">
        <v>3.7456519268014417E-2</v>
      </c>
      <c r="G60" s="14">
        <v>3.2845938003603528E-3</v>
      </c>
      <c r="H60" s="13">
        <v>1.1306523984079678E-2</v>
      </c>
      <c r="I60" s="15">
        <f t="shared" si="0"/>
        <v>8.9035546389456387E-3</v>
      </c>
    </row>
    <row r="61" spans="1:9">
      <c r="A61" s="12">
        <v>46028</v>
      </c>
      <c r="B61" s="13">
        <v>1.2873285714781524E-2</v>
      </c>
      <c r="C61" s="14">
        <v>1.2346266823046663E-3</v>
      </c>
      <c r="D61" s="13">
        <v>-2.6033637395559174E-2</v>
      </c>
      <c r="E61" s="14">
        <v>9.9977825513026444E-3</v>
      </c>
      <c r="F61" s="13">
        <v>-7.1321108796465991E-3</v>
      </c>
      <c r="G61" s="14">
        <v>2.3620198368509517E-3</v>
      </c>
      <c r="H61" s="13">
        <v>4.4870562740615362E-3</v>
      </c>
      <c r="I61" s="15">
        <f t="shared" si="0"/>
        <v>9.6952734811688052E-3</v>
      </c>
    </row>
    <row r="62" spans="1:9">
      <c r="A62" s="12">
        <v>46027</v>
      </c>
      <c r="B62" s="13">
        <v>-1.0668840377614544E-2</v>
      </c>
      <c r="C62" s="14">
        <v>3.4110323010629008E-3</v>
      </c>
      <c r="D62" s="13">
        <v>-4.7994029733285032E-3</v>
      </c>
      <c r="E62" s="14">
        <v>-3.8784793285708565E-3</v>
      </c>
      <c r="F62" s="13">
        <v>1.1768061369704314E-2</v>
      </c>
      <c r="G62" s="14">
        <v>1.1946305925770175E-3</v>
      </c>
      <c r="H62" s="13">
        <v>1.8648794066733133E-2</v>
      </c>
      <c r="I62" s="15">
        <f t="shared" si="0"/>
        <v>-7.0613586319035818E-3</v>
      </c>
    </row>
    <row r="63" spans="1:9">
      <c r="A63" s="12">
        <v>46024</v>
      </c>
      <c r="B63" s="13">
        <v>-1.5389874629700855E-2</v>
      </c>
      <c r="C63" s="14">
        <v>-8.5494963620682384E-3</v>
      </c>
      <c r="D63" s="13">
        <v>-1.1545119746541861E-2</v>
      </c>
      <c r="E63" s="14">
        <v>7.3272600930124471E-3</v>
      </c>
      <c r="F63" s="13">
        <v>2.4987866469382253E-2</v>
      </c>
      <c r="G63" s="14">
        <v>9.0079428071491632E-3</v>
      </c>
      <c r="H63" s="13">
        <v>5.9743282348782619E-3</v>
      </c>
      <c r="I63" s="15">
        <f t="shared" si="0"/>
        <v>-1.1699853652379648E-2</v>
      </c>
    </row>
    <row r="64" spans="1:9">
      <c r="A64" s="12">
        <v>46023</v>
      </c>
      <c r="B64" s="13">
        <v>-7.4575880510413355E-3</v>
      </c>
      <c r="C64" s="14">
        <v>1.8057687551853246E-2</v>
      </c>
      <c r="D64" s="13">
        <v>1.340025140262085E-2</v>
      </c>
      <c r="E64" s="14">
        <v>-5.6572530248588685E-3</v>
      </c>
      <c r="F64" s="13">
        <v>-0.15512413123156271</v>
      </c>
      <c r="G64" s="14">
        <v>-8.0344316526501387E-3</v>
      </c>
      <c r="H64" s="13">
        <v>-4.1554417943372661E-2</v>
      </c>
      <c r="I64" s="15">
        <f t="shared" si="0"/>
        <v>-3.2859299314173798E-3</v>
      </c>
    </row>
    <row r="65" spans="1:9">
      <c r="A65" s="12">
        <v>46022</v>
      </c>
      <c r="B65" s="13">
        <v>6.3388784199244182E-3</v>
      </c>
      <c r="C65" s="14">
        <v>5.4195610131624883E-3</v>
      </c>
      <c r="D65" s="13">
        <v>-3.7073063128452238E-2</v>
      </c>
      <c r="E65" s="14">
        <v>-1.7972998900420919E-2</v>
      </c>
      <c r="F65" s="13">
        <v>-4.5811957013462523E-2</v>
      </c>
      <c r="G65" s="14">
        <v>-2.7030441401454841E-3</v>
      </c>
      <c r="H65" s="13">
        <v>7.2180144271851788E-3</v>
      </c>
      <c r="I65" s="15">
        <f t="shared" si="0"/>
        <v>3.9584052005237442E-3</v>
      </c>
    </row>
    <row r="66" spans="1:9">
      <c r="A66" s="12">
        <v>46021</v>
      </c>
      <c r="B66" s="13">
        <v>-4.0522505611688331E-3</v>
      </c>
      <c r="C66" s="14">
        <v>-2.071442110377299E-2</v>
      </c>
      <c r="D66" s="13">
        <v>-1.8797711864806457E-2</v>
      </c>
      <c r="E66" s="14">
        <v>-6.7759309773910391E-3</v>
      </c>
      <c r="F66" s="13">
        <v>-2.7962348136829941E-2</v>
      </c>
      <c r="G66" s="14">
        <v>9.0546557378398656E-3</v>
      </c>
      <c r="H66" s="13">
        <v>-5.4602721558708574E-3</v>
      </c>
      <c r="I66" s="15">
        <f t="shared" si="0"/>
        <v>-6.6120062135432379E-3</v>
      </c>
    </row>
    <row r="67" spans="1:9">
      <c r="A67" s="12">
        <v>46020</v>
      </c>
      <c r="B67" s="13">
        <v>6.1803330249204907E-3</v>
      </c>
      <c r="C67" s="14">
        <v>3.5606246970295963E-2</v>
      </c>
      <c r="D67" s="13">
        <v>3.9121593418944686E-3</v>
      </c>
      <c r="E67" s="14">
        <v>2.6476506904645164E-3</v>
      </c>
      <c r="F67" s="13">
        <v>-2.3800600209783529E-2</v>
      </c>
      <c r="G67" s="14">
        <v>-1.8605041401138084E-2</v>
      </c>
      <c r="H67" s="13">
        <v>-1.0335918232826594E-3</v>
      </c>
      <c r="I67" s="15">
        <f t="shared" si="0"/>
        <v>9.6899842639630376E-3</v>
      </c>
    </row>
    <row r="68" spans="1:9">
      <c r="A68" s="12">
        <v>46017</v>
      </c>
      <c r="B68" s="13">
        <v>-1.0467507154235044E-2</v>
      </c>
      <c r="C68" s="14">
        <v>-4.6933321323585648E-3</v>
      </c>
      <c r="D68" s="13">
        <v>5.3229241852972343E-4</v>
      </c>
      <c r="E68" s="14">
        <v>1.2460428222750938E-2</v>
      </c>
      <c r="F68" s="13">
        <v>-1.6882399244572646E-2</v>
      </c>
      <c r="G68" s="14">
        <v>-7.4311844308129664E-3</v>
      </c>
      <c r="H68" s="13">
        <v>5.6715800393070401E-3</v>
      </c>
      <c r="I68" s="15">
        <f t="shared" si="0"/>
        <v>-7.9535582180469792E-3</v>
      </c>
    </row>
    <row r="69" spans="1:9">
      <c r="A69" s="12">
        <v>46015</v>
      </c>
      <c r="B69" s="13">
        <v>1.4100016678194972E-2</v>
      </c>
      <c r="C69" s="14">
        <v>2.3880099392974061E-2</v>
      </c>
      <c r="D69" s="13">
        <v>2.3144716823788641E-2</v>
      </c>
      <c r="E69" s="14">
        <v>2.0015679467516659E-2</v>
      </c>
      <c r="F69" s="13">
        <v>-3.0337423565049957E-2</v>
      </c>
      <c r="G69" s="14">
        <v>3.897893046676283E-3</v>
      </c>
      <c r="H69" s="13">
        <v>-8.8825207026788939E-3</v>
      </c>
      <c r="I69" s="15">
        <f t="shared" si="0"/>
        <v>1.5437926284360302E-2</v>
      </c>
    </row>
    <row r="70" spans="1:9">
      <c r="A70" s="12">
        <v>46014</v>
      </c>
      <c r="B70" s="13">
        <v>7.9738680769806392E-3</v>
      </c>
      <c r="C70" s="14">
        <v>-2.0197193103253703E-2</v>
      </c>
      <c r="D70" s="13">
        <v>1.3172245036468785E-2</v>
      </c>
      <c r="E70" s="14">
        <v>-7.7040311060169814E-2</v>
      </c>
      <c r="F70" s="13">
        <v>2.9294489349187637E-2</v>
      </c>
      <c r="G70" s="14">
        <v>4.6130679118117756E-3</v>
      </c>
      <c r="H70" s="13">
        <v>2.3885098361200986E-2</v>
      </c>
      <c r="I70" s="15">
        <f t="shared" ref="I70:I133" si="1">SUMPRODUCT($B$2:$H$2,B70:H70)</f>
        <v>-9.2266990791691438E-4</v>
      </c>
    </row>
    <row r="71" spans="1:9">
      <c r="A71" s="12">
        <v>46013</v>
      </c>
      <c r="B71" s="13">
        <v>-7.1232681584535514E-5</v>
      </c>
      <c r="C71" s="14">
        <v>-3.4984384788301157E-3</v>
      </c>
      <c r="D71" s="13">
        <v>9.364161385977475E-3</v>
      </c>
      <c r="E71" s="14">
        <v>-5.1411696494160844E-3</v>
      </c>
      <c r="F71" s="13">
        <v>2.7787444069513616E-3</v>
      </c>
      <c r="G71" s="14">
        <v>-3.1741497249006205E-5</v>
      </c>
      <c r="H71" s="13">
        <v>1.5977830738315997E-2</v>
      </c>
      <c r="I71" s="15">
        <f t="shared" si="1"/>
        <v>-6.4482162693916016E-4</v>
      </c>
    </row>
    <row r="72" spans="1:9">
      <c r="A72" s="12">
        <v>46010</v>
      </c>
      <c r="B72" s="13">
        <v>-2.7463236164555842E-3</v>
      </c>
      <c r="C72" s="14">
        <v>-7.684155756406472E-3</v>
      </c>
      <c r="D72" s="13">
        <v>7.0922283094918366E-3</v>
      </c>
      <c r="E72" s="14">
        <v>-5.8284204389322648E-4</v>
      </c>
      <c r="F72" s="13">
        <v>-4.4869659608663813E-2</v>
      </c>
      <c r="G72" s="14">
        <v>-3.1747039855200589E-4</v>
      </c>
      <c r="H72" s="13">
        <v>-4.1628154624086068E-2</v>
      </c>
      <c r="I72" s="15">
        <f t="shared" si="1"/>
        <v>-3.6060263875978414E-3</v>
      </c>
    </row>
    <row r="73" spans="1:9">
      <c r="A73" s="12">
        <v>46009</v>
      </c>
      <c r="B73" s="13">
        <v>-1.4461724088589574E-2</v>
      </c>
      <c r="C73" s="14">
        <v>-3.0716271183461341E-3</v>
      </c>
      <c r="D73" s="13">
        <v>-8.364007700036374E-3</v>
      </c>
      <c r="E73" s="14">
        <v>-9.3267025853318291E-3</v>
      </c>
      <c r="F73" s="13">
        <v>-4.3628500397944539E-3</v>
      </c>
      <c r="G73" s="14">
        <v>-1.1914219028209872E-2</v>
      </c>
      <c r="H73" s="13">
        <v>-1.1918593779314517E-2</v>
      </c>
      <c r="I73" s="15">
        <f t="shared" si="1"/>
        <v>-1.2057141521611197E-2</v>
      </c>
    </row>
    <row r="74" spans="1:9">
      <c r="A74" s="12">
        <v>46008</v>
      </c>
      <c r="B74" s="13">
        <v>9.3772101270260186E-3</v>
      </c>
      <c r="C74" s="14">
        <v>4.7430918960126318E-3</v>
      </c>
      <c r="D74" s="13">
        <v>1.640829441730076E-2</v>
      </c>
      <c r="E74" s="14">
        <v>5.2372687320745839E-3</v>
      </c>
      <c r="F74" s="13">
        <v>5.6317707212518208E-3</v>
      </c>
      <c r="G74" s="14">
        <v>6.5975130417632952E-3</v>
      </c>
      <c r="H74" s="13">
        <v>1.0150246722572526E-2</v>
      </c>
      <c r="I74" s="15">
        <f t="shared" si="1"/>
        <v>8.3506472614991306E-3</v>
      </c>
    </row>
    <row r="75" spans="1:9">
      <c r="A75" s="12">
        <v>46007</v>
      </c>
      <c r="B75" s="13">
        <v>1.8649361643754796E-3</v>
      </c>
      <c r="C75" s="14">
        <v>2.1317029250320493E-3</v>
      </c>
      <c r="D75" s="13">
        <v>1.7292450921275911E-2</v>
      </c>
      <c r="E75" s="14">
        <v>1.0972142587830448E-2</v>
      </c>
      <c r="F75" s="13">
        <v>3.890711883722154E-2</v>
      </c>
      <c r="G75" s="14">
        <v>0.14568313566300733</v>
      </c>
      <c r="H75" s="13">
        <v>2.5994295895142858E-3</v>
      </c>
      <c r="I75" s="15">
        <f t="shared" si="1"/>
        <v>9.3187052054012308E-3</v>
      </c>
    </row>
    <row r="76" spans="1:9">
      <c r="A76" s="12">
        <v>46006</v>
      </c>
      <c r="B76" s="13">
        <v>-3.8412568996305093E-3</v>
      </c>
      <c r="C76" s="14">
        <v>9.2579734362482346E-5</v>
      </c>
      <c r="D76" s="13">
        <v>1.9736681264136805E-2</v>
      </c>
      <c r="E76" s="14">
        <v>8.2060386410359662E-3</v>
      </c>
      <c r="F76" s="13">
        <v>2.5291670685055421E-2</v>
      </c>
      <c r="G76" s="14">
        <v>2.7280635279962177E-3</v>
      </c>
      <c r="H76" s="13">
        <v>-4.6838493124263143E-3</v>
      </c>
      <c r="I76" s="15">
        <f t="shared" si="1"/>
        <v>-1.9507018838077384E-3</v>
      </c>
    </row>
    <row r="77" spans="1:9">
      <c r="A77" s="12">
        <v>46003</v>
      </c>
      <c r="B77" s="13">
        <v>-5.5545679332556679E-3</v>
      </c>
      <c r="C77" s="14">
        <v>2.1269717178540415E-3</v>
      </c>
      <c r="D77" s="13">
        <v>-7.6696779307490149E-3</v>
      </c>
      <c r="E77" s="14">
        <v>-1.2759414661410989E-2</v>
      </c>
      <c r="F77" s="13">
        <v>2.3340829565437735E-2</v>
      </c>
      <c r="G77" s="14">
        <v>-9.0393284565445323E-3</v>
      </c>
      <c r="H77" s="13">
        <v>-1.0698654596017449E-2</v>
      </c>
      <c r="I77" s="15">
        <f t="shared" si="1"/>
        <v>-4.8118496796636786E-3</v>
      </c>
    </row>
    <row r="78" spans="1:9">
      <c r="A78" s="12">
        <v>46002</v>
      </c>
      <c r="B78" s="13">
        <v>5.2667774427450865E-3</v>
      </c>
      <c r="C78" s="14">
        <v>-3.2384946185102068E-3</v>
      </c>
      <c r="D78" s="13">
        <v>-1.4598542738656281E-3</v>
      </c>
      <c r="E78" s="14">
        <v>-1.0744024670374622E-3</v>
      </c>
      <c r="F78" s="13">
        <v>6.7819298896706036E-3</v>
      </c>
      <c r="G78" s="14">
        <v>-1.4375859380075511E-2</v>
      </c>
      <c r="H78" s="13">
        <v>-6.5594818350595786E-3</v>
      </c>
      <c r="I78" s="15">
        <f t="shared" si="1"/>
        <v>2.4208953999249427E-3</v>
      </c>
    </row>
    <row r="79" spans="1:9">
      <c r="A79" s="12">
        <v>46001</v>
      </c>
      <c r="B79" s="13">
        <v>8.9901928959099219E-3</v>
      </c>
      <c r="C79" s="14">
        <v>1.7637789586637604E-2</v>
      </c>
      <c r="D79" s="13">
        <v>-4.4739164387392269E-3</v>
      </c>
      <c r="E79" s="14">
        <v>6.0730739483038955E-3</v>
      </c>
      <c r="F79" s="13">
        <v>-9.6074948045556784E-3</v>
      </c>
      <c r="G79" s="14">
        <v>-9.4250871061732182E-3</v>
      </c>
      <c r="H79" s="13">
        <v>-2.33030678934113E-2</v>
      </c>
      <c r="I79" s="15">
        <f t="shared" si="1"/>
        <v>8.9884455680551509E-3</v>
      </c>
    </row>
    <row r="80" spans="1:9">
      <c r="A80" s="12">
        <v>46000</v>
      </c>
      <c r="B80" s="13">
        <v>-3.0354455946907137E-3</v>
      </c>
      <c r="C80" s="14">
        <v>-1.6804031606058149E-2</v>
      </c>
      <c r="D80" s="13">
        <v>-2.1174838525245546E-2</v>
      </c>
      <c r="E80" s="14">
        <v>-1.2138191267004122E-2</v>
      </c>
      <c r="F80" s="13">
        <v>6.6555742889448243E-4</v>
      </c>
      <c r="G80" s="14">
        <v>1.3950299657021336E-2</v>
      </c>
      <c r="H80" s="13">
        <v>2.0858728507504486E-2</v>
      </c>
      <c r="I80" s="15">
        <f t="shared" si="1"/>
        <v>-5.0428975081159531E-3</v>
      </c>
    </row>
    <row r="81" spans="1:9">
      <c r="A81" s="12">
        <v>45999</v>
      </c>
      <c r="B81" s="13">
        <v>4.6232225495328197E-2</v>
      </c>
      <c r="C81" s="14">
        <v>-1.5754602211456947E-3</v>
      </c>
      <c r="D81" s="13">
        <v>2.4119444470326531E-3</v>
      </c>
      <c r="E81" s="14">
        <v>-2.7041644296751585E-4</v>
      </c>
      <c r="F81" s="13">
        <v>-2.4981277043553646E-3</v>
      </c>
      <c r="G81" s="14">
        <v>-2.1600703788771013E-2</v>
      </c>
      <c r="H81" s="13">
        <v>-6.386375948832136E-4</v>
      </c>
      <c r="I81" s="15">
        <f t="shared" si="1"/>
        <v>3.1703063754339025E-2</v>
      </c>
    </row>
    <row r="82" spans="1:9">
      <c r="A82" s="12">
        <v>45996</v>
      </c>
      <c r="B82" s="13">
        <v>1.3634724861700996E-2</v>
      </c>
      <c r="C82" s="14">
        <v>2.8165724332798663E-2</v>
      </c>
      <c r="D82" s="13">
        <v>2.5992526314994401E-2</v>
      </c>
      <c r="E82" s="14">
        <v>2.7826490925328896E-2</v>
      </c>
      <c r="F82" s="13">
        <v>3.1029330076505265E-2</v>
      </c>
      <c r="G82" s="14">
        <v>6.7684569629592488E-3</v>
      </c>
      <c r="H82" s="13">
        <v>6.5622633020330445E-2</v>
      </c>
      <c r="I82" s="15">
        <f t="shared" si="1"/>
        <v>1.7072120857810704E-2</v>
      </c>
    </row>
    <row r="83" spans="1:9">
      <c r="A83" s="12">
        <v>45995</v>
      </c>
      <c r="B83" s="13">
        <v>-3.8139000277851755E-3</v>
      </c>
      <c r="C83" s="14">
        <v>2.9712352476165089E-3</v>
      </c>
      <c r="D83" s="13">
        <v>5.0888518020963239E-2</v>
      </c>
      <c r="E83" s="14">
        <v>6.771985597796017E-3</v>
      </c>
      <c r="F83" s="13">
        <v>3.5414578259211883E-2</v>
      </c>
      <c r="G83" s="14">
        <v>8.0226082656407027E-3</v>
      </c>
      <c r="H83" s="13">
        <v>-2.9917726475958884E-4</v>
      </c>
      <c r="I83" s="15">
        <f t="shared" si="1"/>
        <v>-8.3024349620674381E-4</v>
      </c>
    </row>
    <row r="84" spans="1:9">
      <c r="A84" s="12">
        <v>45994</v>
      </c>
      <c r="B84" s="13">
        <v>-1.2519669356550016E-3</v>
      </c>
      <c r="C84" s="14">
        <v>3.8584102782764575E-3</v>
      </c>
      <c r="D84" s="13">
        <v>-1.1138729026325293E-2</v>
      </c>
      <c r="E84" s="14">
        <v>1.3021186291158449E-2</v>
      </c>
      <c r="F84" s="13">
        <v>5.1357983869173649E-3</v>
      </c>
      <c r="G84" s="14">
        <v>-3.4222877857400052E-3</v>
      </c>
      <c r="H84" s="13">
        <v>8.1454706846361084E-3</v>
      </c>
      <c r="I84" s="15">
        <f t="shared" si="1"/>
        <v>1.7642193069845148E-4</v>
      </c>
    </row>
    <row r="85" spans="1:9">
      <c r="A85" s="12">
        <v>45993</v>
      </c>
      <c r="B85" s="13">
        <v>3.0467679106365965E-4</v>
      </c>
      <c r="C85" s="14">
        <v>1.3424622770622672E-3</v>
      </c>
      <c r="D85" s="13">
        <v>-5.0688298179554165E-3</v>
      </c>
      <c r="E85" s="14">
        <v>-8.7197306353721925E-3</v>
      </c>
      <c r="F85" s="13">
        <v>1.3108368744073225E-2</v>
      </c>
      <c r="G85" s="14">
        <v>-1.3347982104722688E-2</v>
      </c>
      <c r="H85" s="13">
        <v>-7.8462934198764919E-3</v>
      </c>
      <c r="I85" s="15">
        <f t="shared" si="1"/>
        <v>-7.2332508874557808E-4</v>
      </c>
    </row>
    <row r="86" spans="1:9">
      <c r="A86" s="12">
        <v>45992</v>
      </c>
      <c r="B86" s="13">
        <v>-2.9820141559636307E-2</v>
      </c>
      <c r="C86" s="14">
        <v>-5.2907803998586394E-3</v>
      </c>
      <c r="D86" s="13">
        <v>5.6131744793223286E-3</v>
      </c>
      <c r="E86" s="14">
        <v>6.3099872256433239E-3</v>
      </c>
      <c r="F86" s="13">
        <v>1.0364366516197567E-2</v>
      </c>
      <c r="G86" s="14">
        <v>-5.4065626130984271E-2</v>
      </c>
      <c r="H86" s="13">
        <v>4.2784006359749662E-3</v>
      </c>
      <c r="I86" s="15">
        <f t="shared" si="1"/>
        <v>-2.4251459381428489E-2</v>
      </c>
    </row>
    <row r="87" spans="1:9">
      <c r="A87" s="12">
        <v>45989</v>
      </c>
      <c r="B87" s="13">
        <v>2.368513820591838E-3</v>
      </c>
      <c r="C87" s="14">
        <v>1.5169381625870709E-2</v>
      </c>
      <c r="D87" s="13">
        <v>-2.062297662771505E-3</v>
      </c>
      <c r="E87" s="14">
        <v>1.8694526510453682E-2</v>
      </c>
      <c r="F87" s="13">
        <v>1.2656489574221145E-2</v>
      </c>
      <c r="G87" s="14">
        <v>3.4189101877643607E-3</v>
      </c>
      <c r="H87" s="13">
        <v>3.1276982626252295E-2</v>
      </c>
      <c r="I87" s="15">
        <f t="shared" si="1"/>
        <v>5.5801850817216369E-3</v>
      </c>
    </row>
    <row r="88" spans="1:9">
      <c r="A88" s="12">
        <v>45988</v>
      </c>
      <c r="B88" s="13">
        <v>1.6337884923827289E-3</v>
      </c>
      <c r="C88" s="14">
        <v>1.1008962302947293E-2</v>
      </c>
      <c r="D88" s="13">
        <v>-2.1836624001734307E-3</v>
      </c>
      <c r="E88" s="14">
        <v>1.0143274611265755E-3</v>
      </c>
      <c r="F88" s="13">
        <v>2.2433270456357133E-3</v>
      </c>
      <c r="G88" s="14">
        <v>2.6762034612144603E-2</v>
      </c>
      <c r="H88" s="13">
        <v>8.3369751245063392E-3</v>
      </c>
      <c r="I88" s="15">
        <f t="shared" si="1"/>
        <v>4.3661642171398535E-3</v>
      </c>
    </row>
    <row r="89" spans="1:9">
      <c r="A89" s="12">
        <v>45987</v>
      </c>
      <c r="B89" s="13">
        <v>-1.7729576527214139E-3</v>
      </c>
      <c r="C89" s="14">
        <v>8.3733589973372224E-3</v>
      </c>
      <c r="D89" s="13">
        <v>1.9942689911285907E-2</v>
      </c>
      <c r="E89" s="14">
        <v>-1.1556401713732794E-2</v>
      </c>
      <c r="F89" s="13">
        <v>3.8765517459232947E-3</v>
      </c>
      <c r="G89" s="14">
        <v>5.3377256684776168E-3</v>
      </c>
      <c r="H89" s="13">
        <v>-9.5474515558670499E-4</v>
      </c>
      <c r="I89" s="15">
        <f t="shared" si="1"/>
        <v>7.2794023861375571E-5</v>
      </c>
    </row>
    <row r="90" spans="1:9">
      <c r="A90" s="12">
        <v>45986</v>
      </c>
      <c r="B90" s="13">
        <v>6.2610875467035768E-4</v>
      </c>
      <c r="C90" s="14">
        <v>-1.1355817348447799E-2</v>
      </c>
      <c r="D90" s="13">
        <v>-2.3344652251472295E-2</v>
      </c>
      <c r="E90" s="14">
        <v>-1.2859562626786161E-2</v>
      </c>
      <c r="F90" s="13">
        <v>-1.1675031580503419E-2</v>
      </c>
      <c r="G90" s="14">
        <v>-6.249745266564217E-3</v>
      </c>
      <c r="H90" s="13">
        <v>-1.9191485396751175E-2</v>
      </c>
      <c r="I90" s="15">
        <f t="shared" si="1"/>
        <v>-2.8626763659368691E-3</v>
      </c>
    </row>
    <row r="91" spans="1:9">
      <c r="A91" s="12">
        <v>45985</v>
      </c>
      <c r="B91" s="13">
        <v>1.1815813711801575E-3</v>
      </c>
      <c r="C91" s="14">
        <v>1.7676458331352674E-2</v>
      </c>
      <c r="D91" s="13">
        <v>-1.1751571786258183E-4</v>
      </c>
      <c r="E91" s="14">
        <v>4.1899804285195404E-3</v>
      </c>
      <c r="F91" s="13">
        <v>1.1675031580503448E-2</v>
      </c>
      <c r="G91" s="14">
        <v>-1.2111310151219957E-2</v>
      </c>
      <c r="H91" s="13">
        <v>6.4059230997791389E-3</v>
      </c>
      <c r="I91" s="15">
        <f t="shared" si="1"/>
        <v>3.532537069477289E-3</v>
      </c>
    </row>
    <row r="92" spans="1:9">
      <c r="A92" s="12">
        <v>45982</v>
      </c>
      <c r="B92" s="13">
        <v>-9.0343659503200661E-4</v>
      </c>
      <c r="C92" s="14">
        <v>4.3146223217547836E-4</v>
      </c>
      <c r="D92" s="13">
        <v>3.7926967713272372E-3</v>
      </c>
      <c r="E92" s="14">
        <v>3.4854485682289651E-3</v>
      </c>
      <c r="F92" s="13">
        <v>1.6821999158041962E-2</v>
      </c>
      <c r="G92" s="14">
        <v>8.4253494722965512E-3</v>
      </c>
      <c r="H92" s="13">
        <v>9.2450581440512089E-3</v>
      </c>
      <c r="I92" s="15">
        <f t="shared" si="1"/>
        <v>1.3820445129593959E-4</v>
      </c>
    </row>
    <row r="93" spans="1:9">
      <c r="A93" s="12">
        <v>45981</v>
      </c>
      <c r="B93" s="13">
        <v>-5.8573488710418602E-3</v>
      </c>
      <c r="C93" s="14">
        <v>1.8040073728369261E-2</v>
      </c>
      <c r="D93" s="13">
        <v>1.9860781867987287E-2</v>
      </c>
      <c r="E93" s="14">
        <v>2.9542120422224698E-2</v>
      </c>
      <c r="F93" s="13">
        <v>1.9991973964674288E-2</v>
      </c>
      <c r="G93" s="14">
        <v>2.6257962541555084E-3</v>
      </c>
      <c r="H93" s="13">
        <v>1.5692937008401801E-2</v>
      </c>
      <c r="I93" s="15">
        <f t="shared" si="1"/>
        <v>8.5413423222113467E-4</v>
      </c>
    </row>
    <row r="94" spans="1:9">
      <c r="A94" s="12">
        <v>45980</v>
      </c>
      <c r="B94" s="13">
        <v>1.178426776880963E-2</v>
      </c>
      <c r="C94" s="14">
        <v>-1.9507236583295E-3</v>
      </c>
      <c r="D94" s="13">
        <v>-1.0267543911460324E-2</v>
      </c>
      <c r="E94" s="14">
        <v>2.1005621195826697E-2</v>
      </c>
      <c r="F94" s="13">
        <v>5.2929098604132209E-3</v>
      </c>
      <c r="G94" s="14">
        <v>-6.5922934772038068E-3</v>
      </c>
      <c r="H94" s="13">
        <v>5.1767257589867841E-3</v>
      </c>
      <c r="I94" s="15">
        <f t="shared" si="1"/>
        <v>8.7263560105099308E-3</v>
      </c>
    </row>
    <row r="95" spans="1:9">
      <c r="A95" s="12">
        <v>45979</v>
      </c>
      <c r="B95" s="13">
        <v>4.2416050626716065E-3</v>
      </c>
      <c r="C95" s="14">
        <v>-3.9981338614428746E-3</v>
      </c>
      <c r="D95" s="13">
        <v>2.4776515054277876E-2</v>
      </c>
      <c r="E95" s="14">
        <v>8.5394142862061755E-3</v>
      </c>
      <c r="F95" s="13">
        <v>-1.0037365600775968E-2</v>
      </c>
      <c r="G95" s="14">
        <v>2.9911324923471007E-3</v>
      </c>
      <c r="H95" s="13">
        <v>3.7481303249868566E-3</v>
      </c>
      <c r="I95" s="15">
        <f t="shared" si="1"/>
        <v>3.2419902315233367E-3</v>
      </c>
    </row>
    <row r="96" spans="1:9">
      <c r="A96" s="12">
        <v>45978</v>
      </c>
      <c r="B96" s="13">
        <v>-6.2479707557875751E-3</v>
      </c>
      <c r="C96" s="14">
        <v>-1.4596292454920303E-2</v>
      </c>
      <c r="D96" s="13">
        <v>-3.5507913256366125E-3</v>
      </c>
      <c r="E96" s="14">
        <v>2.9110925017892019E-3</v>
      </c>
      <c r="F96" s="13">
        <v>1.1747986117699848E-2</v>
      </c>
      <c r="G96" s="14">
        <v>-1.6007018674574974E-2</v>
      </c>
      <c r="H96" s="13">
        <v>-1.0057893689844126E-2</v>
      </c>
      <c r="I96" s="15">
        <f t="shared" si="1"/>
        <v>-7.634852640567155E-3</v>
      </c>
    </row>
    <row r="97" spans="1:9">
      <c r="A97" s="12">
        <v>45975</v>
      </c>
      <c r="B97" s="13">
        <v>6.3856075325516891E-3</v>
      </c>
      <c r="C97" s="14">
        <v>2.5050762463235308E-3</v>
      </c>
      <c r="D97" s="13">
        <v>-1.7175339191480347E-2</v>
      </c>
      <c r="E97" s="14">
        <v>4.471396601694896E-3</v>
      </c>
      <c r="F97" s="13">
        <v>1.3159015491151692E-2</v>
      </c>
      <c r="G97" s="14">
        <v>9.3610959784140701E-3</v>
      </c>
      <c r="H97" s="13">
        <v>-1.7439809235947661E-2</v>
      </c>
      <c r="I97" s="15">
        <f t="shared" si="1"/>
        <v>5.291530477200242E-3</v>
      </c>
    </row>
    <row r="98" spans="1:9">
      <c r="A98" s="12">
        <v>45974</v>
      </c>
      <c r="B98" s="13">
        <v>-9.3332628147373628E-3</v>
      </c>
      <c r="C98" s="14">
        <v>-2.8510970110216358E-3</v>
      </c>
      <c r="D98" s="13">
        <v>-6.4885134176916283E-3</v>
      </c>
      <c r="E98" s="14">
        <v>2.1680660518044589E-3</v>
      </c>
      <c r="F98" s="13">
        <v>2.9091953286000678E-2</v>
      </c>
      <c r="G98" s="14">
        <v>-2.7424227996570819E-3</v>
      </c>
      <c r="H98" s="13">
        <v>-1.5013115533299889E-2</v>
      </c>
      <c r="I98" s="15">
        <f t="shared" si="1"/>
        <v>-7.3274619089650304E-3</v>
      </c>
    </row>
    <row r="99" spans="1:9">
      <c r="A99" s="12">
        <v>45973</v>
      </c>
      <c r="B99" s="13">
        <v>-3.8806823683637449E-2</v>
      </c>
      <c r="C99" s="14">
        <v>-3.128550410794563E-2</v>
      </c>
      <c r="D99" s="13">
        <v>-4.5907620894154011E-2</v>
      </c>
      <c r="E99" s="14">
        <v>-1.5398287555347672E-2</v>
      </c>
      <c r="F99" s="13">
        <v>5.0583047683560249E-2</v>
      </c>
      <c r="G99" s="14">
        <v>-1.1951376414712674E-2</v>
      </c>
      <c r="H99" s="13">
        <v>9.7584776852223276E-5</v>
      </c>
      <c r="I99" s="15">
        <f t="shared" si="1"/>
        <v>-3.4787172839765054E-2</v>
      </c>
    </row>
    <row r="100" spans="1:9">
      <c r="A100" s="12">
        <v>45972</v>
      </c>
      <c r="B100" s="13">
        <v>-4.1502178617531339E-2</v>
      </c>
      <c r="C100" s="14">
        <v>-2.513013017618192E-2</v>
      </c>
      <c r="D100" s="13">
        <v>-2.4600324759774906E-2</v>
      </c>
      <c r="E100" s="14">
        <v>-6.8658572054197007E-3</v>
      </c>
      <c r="F100" s="13">
        <v>-3.298887343875772E-2</v>
      </c>
      <c r="G100" s="14">
        <v>-1.2090803395374662E-3</v>
      </c>
      <c r="H100" s="13">
        <v>5.0613306411570816E-3</v>
      </c>
      <c r="I100" s="15">
        <f t="shared" si="1"/>
        <v>-3.4538924843212186E-2</v>
      </c>
    </row>
    <row r="101" spans="1:9">
      <c r="A101" s="12">
        <v>45971</v>
      </c>
      <c r="B101" s="13">
        <v>-2.5623648053999517E-3</v>
      </c>
      <c r="C101" s="14">
        <v>-1.9597595222587187E-2</v>
      </c>
      <c r="D101" s="13">
        <v>-4.0040973802555044E-2</v>
      </c>
      <c r="E101" s="14">
        <v>8.0462786307731217E-3</v>
      </c>
      <c r="F101" s="13">
        <v>-1.3370447003665948E-2</v>
      </c>
      <c r="G101" s="14">
        <v>-2.0891056237819258E-3</v>
      </c>
      <c r="H101" s="13">
        <v>2.2369290618814711E-2</v>
      </c>
      <c r="I101" s="15">
        <f t="shared" si="1"/>
        <v>-5.1677747688858699E-3</v>
      </c>
    </row>
    <row r="102" spans="1:9">
      <c r="A102" s="12">
        <v>45968</v>
      </c>
      <c r="B102" s="13">
        <v>-1.3905470822750583E-2</v>
      </c>
      <c r="C102" s="14">
        <v>-8.5314350494689797E-3</v>
      </c>
      <c r="D102" s="13">
        <v>-0.14031171046912458</v>
      </c>
      <c r="E102" s="14">
        <v>2.0319428294102177E-3</v>
      </c>
      <c r="F102" s="13">
        <v>2.0988258650473813E-2</v>
      </c>
      <c r="G102" s="14">
        <v>-1.1308165671953667E-2</v>
      </c>
      <c r="H102" s="13">
        <v>-3.1733385574839915E-2</v>
      </c>
      <c r="I102" s="15">
        <f t="shared" si="1"/>
        <v>-1.3779149303591731E-2</v>
      </c>
    </row>
    <row r="103" spans="1:9">
      <c r="A103" s="12">
        <v>45967</v>
      </c>
      <c r="B103" s="13">
        <v>-4.1788931172406672E-3</v>
      </c>
      <c r="C103" s="14">
        <v>2.4919932024521588E-2</v>
      </c>
      <c r="D103" s="13">
        <v>-1.3334199270186187E-2</v>
      </c>
      <c r="E103" s="14">
        <v>7.5227857302285605E-3</v>
      </c>
      <c r="F103" s="13">
        <v>-5.7413870243984552E-3</v>
      </c>
      <c r="G103" s="14">
        <v>-1.3858888113662817E-2</v>
      </c>
      <c r="H103" s="13">
        <v>-1.2028144619125767E-2</v>
      </c>
      <c r="I103" s="15">
        <f t="shared" si="1"/>
        <v>6.7722470775789898E-4</v>
      </c>
    </row>
    <row r="104" spans="1:9">
      <c r="A104" s="12">
        <v>45965</v>
      </c>
      <c r="B104" s="13">
        <v>-4.5669677780104841E-2</v>
      </c>
      <c r="C104" s="14">
        <v>-1.2940378372997503E-2</v>
      </c>
      <c r="D104" s="13">
        <v>4.4310243697105204E-3</v>
      </c>
      <c r="E104" s="14">
        <v>1.4495090313748845E-3</v>
      </c>
      <c r="F104" s="13">
        <v>3.3187138357208504E-2</v>
      </c>
      <c r="G104" s="14">
        <v>6.8762854186272234E-3</v>
      </c>
      <c r="H104" s="13">
        <v>4.8483744111012146E-3</v>
      </c>
      <c r="I104" s="15">
        <f t="shared" si="1"/>
        <v>-3.4223054757271353E-2</v>
      </c>
    </row>
    <row r="105" spans="1:9">
      <c r="A105" s="12">
        <v>45964</v>
      </c>
      <c r="B105" s="13">
        <v>1.0202332987562341E-2</v>
      </c>
      <c r="C105" s="14">
        <v>2.8798384899245528E-3</v>
      </c>
      <c r="D105" s="13">
        <v>8.7537762298458902E-3</v>
      </c>
      <c r="E105" s="14">
        <v>2.4513263495651526E-3</v>
      </c>
      <c r="F105" s="13">
        <v>1.1462550643853165E-2</v>
      </c>
      <c r="G105" s="14">
        <v>6.6453604139209361E-3</v>
      </c>
      <c r="H105" s="13">
        <v>3.0523364936988803E-2</v>
      </c>
      <c r="I105" s="15">
        <f t="shared" si="1"/>
        <v>8.5675529659709065E-3</v>
      </c>
    </row>
    <row r="106" spans="1:9">
      <c r="A106" s="12">
        <v>45961</v>
      </c>
      <c r="B106" s="13">
        <v>-5.5743580977580772E-4</v>
      </c>
      <c r="C106" s="14">
        <v>5.7349153572954347E-3</v>
      </c>
      <c r="D106" s="13">
        <v>-4.0422242329572425E-3</v>
      </c>
      <c r="E106" s="14">
        <v>-4.7876818936948787E-3</v>
      </c>
      <c r="F106" s="13">
        <v>2.8133010882625251E-3</v>
      </c>
      <c r="G106" s="14">
        <v>-5.9973422467360987E-3</v>
      </c>
      <c r="H106" s="13">
        <v>-6.0498576034917432E-3</v>
      </c>
      <c r="I106" s="15">
        <f t="shared" si="1"/>
        <v>-4.3846130899105526E-5</v>
      </c>
    </row>
    <row r="107" spans="1:9">
      <c r="A107" s="12">
        <v>45960</v>
      </c>
      <c r="B107" s="13">
        <v>5.0453993369404225E-3</v>
      </c>
      <c r="C107" s="14">
        <v>4.8764875584366065E-3</v>
      </c>
      <c r="D107" s="13">
        <v>1.1138852115549739E-2</v>
      </c>
      <c r="E107" s="14">
        <v>1.0151556734689322E-2</v>
      </c>
      <c r="F107" s="13">
        <v>-9.4945542600662295E-3</v>
      </c>
      <c r="G107" s="14">
        <v>8.8449948592480097E-3</v>
      </c>
      <c r="H107" s="13">
        <v>-9.873277378018297E-3</v>
      </c>
      <c r="I107" s="15">
        <f t="shared" si="1"/>
        <v>5.3832780216925644E-3</v>
      </c>
    </row>
    <row r="108" spans="1:9">
      <c r="A108" s="12">
        <v>45959</v>
      </c>
      <c r="B108" s="13">
        <v>6.0053121886742286E-3</v>
      </c>
      <c r="C108" s="14">
        <v>5.5055974963809167E-4</v>
      </c>
      <c r="D108" s="13">
        <v>2.5681562910005429E-3</v>
      </c>
      <c r="E108" s="14">
        <v>8.7048664620915824E-3</v>
      </c>
      <c r="F108" s="13">
        <v>1.5986017264077456E-2</v>
      </c>
      <c r="G108" s="14">
        <v>1.0130442719772845E-2</v>
      </c>
      <c r="H108" s="13">
        <v>-4.3870409137661817E-3</v>
      </c>
      <c r="I108" s="15">
        <f t="shared" si="1"/>
        <v>5.2944295415894276E-3</v>
      </c>
    </row>
    <row r="109" spans="1:9">
      <c r="A109" s="12">
        <v>45958</v>
      </c>
      <c r="B109" s="13">
        <v>-1.1648309200816371E-2</v>
      </c>
      <c r="C109" s="14">
        <v>-2.7524198531488585E-4</v>
      </c>
      <c r="D109" s="13">
        <v>-8.6194618951778955E-3</v>
      </c>
      <c r="E109" s="14">
        <v>-1.2664950838926358E-2</v>
      </c>
      <c r="F109" s="13">
        <v>-1.8826194747782458E-2</v>
      </c>
      <c r="G109" s="14">
        <v>-5.9502300633033451E-3</v>
      </c>
      <c r="H109" s="13">
        <v>-3.3274644128710351E-3</v>
      </c>
      <c r="I109" s="15">
        <f t="shared" si="1"/>
        <v>-9.4156888741461896E-3</v>
      </c>
    </row>
    <row r="110" spans="1:9">
      <c r="A110" s="12">
        <v>45957</v>
      </c>
      <c r="B110" s="13">
        <v>3.778767846412838E-3</v>
      </c>
      <c r="C110" s="14">
        <v>-6.8133952924195607E-3</v>
      </c>
      <c r="D110" s="13">
        <v>5.3587505431053045E-3</v>
      </c>
      <c r="E110" s="14">
        <v>1.4641783017108797E-2</v>
      </c>
      <c r="F110" s="13">
        <v>1.1312628677914313E-2</v>
      </c>
      <c r="G110" s="14">
        <v>-1.0560406686878795E-2</v>
      </c>
      <c r="H110" s="13">
        <v>-1.4813622657779021E-2</v>
      </c>
      <c r="I110" s="15">
        <f t="shared" si="1"/>
        <v>1.7356077482039538E-3</v>
      </c>
    </row>
    <row r="111" spans="1:9">
      <c r="A111" s="12">
        <v>45954</v>
      </c>
      <c r="B111" s="13">
        <v>-6.8520704709562489E-3</v>
      </c>
      <c r="C111" s="14">
        <v>8.1888482624657075E-3</v>
      </c>
      <c r="D111" s="13">
        <v>2.1733601409267292E-2</v>
      </c>
      <c r="E111" s="14">
        <v>3.1154515980705605E-3</v>
      </c>
      <c r="F111" s="13">
        <v>1.0427357958491611E-2</v>
      </c>
      <c r="G111" s="14">
        <v>1.0347242260169181E-2</v>
      </c>
      <c r="H111" s="13">
        <v>-1.2942408098609805E-3</v>
      </c>
      <c r="I111" s="15">
        <f t="shared" si="1"/>
        <v>-2.5927380372301415E-3</v>
      </c>
    </row>
    <row r="112" spans="1:9">
      <c r="A112" s="12">
        <v>45953</v>
      </c>
      <c r="B112" s="13">
        <v>3.197442073603844E-4</v>
      </c>
      <c r="C112" s="14">
        <v>-6.0661950728721614E-3</v>
      </c>
      <c r="D112" s="13">
        <v>5.6011735042770846E-3</v>
      </c>
      <c r="E112" s="14">
        <v>5.7322496969167084E-3</v>
      </c>
      <c r="F112" s="13">
        <v>-5.0613692083898798E-4</v>
      </c>
      <c r="G112" s="14">
        <v>1.5292851231100654E-2</v>
      </c>
      <c r="H112" s="13">
        <v>3.5799560907169045E-3</v>
      </c>
      <c r="I112" s="15">
        <f t="shared" si="1"/>
        <v>3.0115290493909393E-4</v>
      </c>
    </row>
    <row r="113" spans="1:9">
      <c r="A113" s="12">
        <v>45951</v>
      </c>
      <c r="B113" s="13">
        <v>8.7876977894010995E-4</v>
      </c>
      <c r="C113" s="14">
        <v>-1.7531723060258109E-3</v>
      </c>
      <c r="D113" s="13">
        <v>5.7764514940169165E-4</v>
      </c>
      <c r="E113" s="14">
        <v>5.5438574096073768E-3</v>
      </c>
      <c r="F113" s="13">
        <v>3.2989859156787718E-2</v>
      </c>
      <c r="G113" s="14">
        <v>1.0917660048008985E-2</v>
      </c>
      <c r="H113" s="13">
        <v>-1.5304124655693252E-2</v>
      </c>
      <c r="I113" s="15">
        <f t="shared" si="1"/>
        <v>1.0358249991755755E-3</v>
      </c>
    </row>
    <row r="114" spans="1:9">
      <c r="A114" s="12">
        <v>45950</v>
      </c>
      <c r="B114" s="13">
        <v>4.5412976903991603E-3</v>
      </c>
      <c r="C114" s="14">
        <v>-3.0523077852840147E-3</v>
      </c>
      <c r="D114" s="13">
        <v>-1.8358050410754119E-2</v>
      </c>
      <c r="E114" s="14">
        <v>-1.2970655402696374E-2</v>
      </c>
      <c r="F114" s="13">
        <v>-1.0463565646073397E-2</v>
      </c>
      <c r="G114" s="14">
        <v>-5.9810036507050241E-3</v>
      </c>
      <c r="H114" s="13">
        <v>-5.8633406959090455E-3</v>
      </c>
      <c r="I114" s="15">
        <f t="shared" si="1"/>
        <v>1.5111211939359305E-3</v>
      </c>
    </row>
    <row r="115" spans="1:9">
      <c r="A115" s="12">
        <v>45947</v>
      </c>
      <c r="B115" s="13">
        <v>-3.2644640638935869E-3</v>
      </c>
      <c r="C115" s="14">
        <v>9.4962221941357738E-3</v>
      </c>
      <c r="D115" s="13">
        <v>8.2979926523425833E-3</v>
      </c>
      <c r="E115" s="14">
        <v>-1.1049724881182148E-3</v>
      </c>
      <c r="F115" s="13">
        <v>-6.7047681018709039E-3</v>
      </c>
      <c r="G115" s="14">
        <v>1.328214011710132E-2</v>
      </c>
      <c r="H115" s="13">
        <v>1.0133766574560246E-3</v>
      </c>
      <c r="I115" s="15">
        <f t="shared" si="1"/>
        <v>-5.5765881609083722E-5</v>
      </c>
    </row>
    <row r="116" spans="1:9">
      <c r="A116" s="12">
        <v>45946</v>
      </c>
      <c r="B116" s="13">
        <v>-3.9903616347981237E-2</v>
      </c>
      <c r="C116" s="14">
        <v>-2.2268502286316064E-2</v>
      </c>
      <c r="D116" s="13">
        <v>2.2335527615233337E-3</v>
      </c>
      <c r="E116" s="14">
        <v>-3.2505570404931412E-2</v>
      </c>
      <c r="F116" s="13">
        <v>-9.8905344598692897E-3</v>
      </c>
      <c r="G116" s="14">
        <v>-1.650651792579059E-3</v>
      </c>
      <c r="H116" s="13">
        <v>1.3181254386060132E-2</v>
      </c>
      <c r="I116" s="15">
        <f t="shared" si="1"/>
        <v>-3.377460132388075E-2</v>
      </c>
    </row>
    <row r="117" spans="1:9">
      <c r="A117" s="12">
        <v>45945</v>
      </c>
      <c r="B117" s="13">
        <v>-1.4462716562958576E-2</v>
      </c>
      <c r="C117" s="14">
        <v>-1.2557404306145357E-2</v>
      </c>
      <c r="D117" s="13">
        <v>-9.2579718887955652E-3</v>
      </c>
      <c r="E117" s="14">
        <v>2.037407493417387E-3</v>
      </c>
      <c r="F117" s="13">
        <v>8.1448981063629196E-3</v>
      </c>
      <c r="G117" s="14">
        <v>7.0775585378453527E-4</v>
      </c>
      <c r="H117" s="13">
        <v>2.6952848859755044E-3</v>
      </c>
      <c r="I117" s="15">
        <f t="shared" si="1"/>
        <v>-1.2382773521957153E-2</v>
      </c>
    </row>
    <row r="118" spans="1:9">
      <c r="A118" s="12">
        <v>45944</v>
      </c>
      <c r="B118" s="13">
        <v>-2.4291657237849904E-2</v>
      </c>
      <c r="C118" s="14">
        <v>1.4525816620963175E-2</v>
      </c>
      <c r="D118" s="13">
        <v>2.0543358120461867E-2</v>
      </c>
      <c r="E118" s="14">
        <v>-8.9594793205695366E-4</v>
      </c>
      <c r="F118" s="13">
        <v>-8.019088204957928E-3</v>
      </c>
      <c r="G118" s="14">
        <v>-1.1474101897946716E-2</v>
      </c>
      <c r="H118" s="13">
        <v>3.0856541677788114E-3</v>
      </c>
      <c r="I118" s="15">
        <f t="shared" si="1"/>
        <v>-1.5178065166141447E-2</v>
      </c>
    </row>
    <row r="119" spans="1:9">
      <c r="A119" s="12">
        <v>45943</v>
      </c>
      <c r="B119" s="13">
        <v>1.0470850504929448E-2</v>
      </c>
      <c r="C119" s="14">
        <v>2.8088572817033716E-4</v>
      </c>
      <c r="D119" s="13">
        <v>-1.1516316052066534E-3</v>
      </c>
      <c r="E119" s="14">
        <v>1.0587613482421182E-3</v>
      </c>
      <c r="F119" s="13">
        <v>2.0421578821952384E-2</v>
      </c>
      <c r="G119" s="14">
        <v>-4.3931155632102974E-3</v>
      </c>
      <c r="H119" s="13">
        <v>-3.8835000263977445E-3</v>
      </c>
      <c r="I119" s="15">
        <f t="shared" si="1"/>
        <v>7.3396912174648219E-3</v>
      </c>
    </row>
    <row r="120" spans="1:9">
      <c r="A120" s="12">
        <v>45940</v>
      </c>
      <c r="B120" s="13">
        <v>-9.8233932771981444E-4</v>
      </c>
      <c r="C120" s="14">
        <v>1.9639940846598006E-3</v>
      </c>
      <c r="D120" s="13">
        <v>9.5566476565488809E-3</v>
      </c>
      <c r="E120" s="14">
        <v>7.2993024816115351E-3</v>
      </c>
      <c r="F120" s="13">
        <v>-2.8389823425274676E-3</v>
      </c>
      <c r="G120" s="14">
        <v>1.8253367726536419E-3</v>
      </c>
      <c r="H120" s="13">
        <v>-2.556598598803771E-2</v>
      </c>
      <c r="I120" s="15">
        <f t="shared" si="1"/>
        <v>-1.645221399999467E-5</v>
      </c>
    </row>
    <row r="121" spans="1:9">
      <c r="A121" s="12">
        <v>45939</v>
      </c>
      <c r="B121" s="13">
        <v>-1.6251126187030696E-3</v>
      </c>
      <c r="C121" s="14">
        <v>-4.0256572645400333E-3</v>
      </c>
      <c r="D121" s="13">
        <v>-2.2852799890506264E-3</v>
      </c>
      <c r="E121" s="14">
        <v>-8.7248194728326463E-3</v>
      </c>
      <c r="F121" s="13">
        <v>1.4724192393936443E-2</v>
      </c>
      <c r="G121" s="14">
        <v>-4.5846211098652416E-3</v>
      </c>
      <c r="H121" s="13">
        <v>-1.7970121077243238E-2</v>
      </c>
      <c r="I121" s="15">
        <f t="shared" si="1"/>
        <v>-2.642864329617751E-3</v>
      </c>
    </row>
    <row r="122" spans="1:9">
      <c r="A122" s="12">
        <v>45938</v>
      </c>
      <c r="B122" s="13">
        <v>-3.3869997437224416E-3</v>
      </c>
      <c r="C122" s="14">
        <v>-1.2840055559652142E-2</v>
      </c>
      <c r="D122" s="13">
        <v>-5.4485629223735912E-3</v>
      </c>
      <c r="E122" s="14">
        <v>-3.0615392828404354E-3</v>
      </c>
      <c r="F122" s="13">
        <v>8.3692646923321286E-3</v>
      </c>
      <c r="G122" s="14">
        <v>5.5408441021945727E-3</v>
      </c>
      <c r="H122" s="13">
        <v>-7.3214425987794636E-3</v>
      </c>
      <c r="I122" s="15">
        <f t="shared" si="1"/>
        <v>-4.5933419789069285E-3</v>
      </c>
    </row>
    <row r="123" spans="1:9">
      <c r="A123" s="12">
        <v>45937</v>
      </c>
      <c r="B123" s="13">
        <v>1.0381824817353521E-2</v>
      </c>
      <c r="C123" s="14">
        <v>1.8639342227299616E-2</v>
      </c>
      <c r="D123" s="13">
        <v>1.3707972860083706E-2</v>
      </c>
      <c r="E123" s="14">
        <v>7.6566310353404915E-3</v>
      </c>
      <c r="F123" s="13">
        <v>-6.0412011744918155E-4</v>
      </c>
      <c r="G123" s="14">
        <v>-4.2802262325768161E-3</v>
      </c>
      <c r="H123" s="13">
        <v>1.0754475879478141E-2</v>
      </c>
      <c r="I123" s="15">
        <f t="shared" si="1"/>
        <v>1.0987451663069501E-2</v>
      </c>
    </row>
    <row r="124" spans="1:9">
      <c r="A124" s="12">
        <v>45936</v>
      </c>
      <c r="B124" s="13">
        <v>8.4968991432107625E-4</v>
      </c>
      <c r="C124" s="14">
        <v>-7.3013522899032131E-3</v>
      </c>
      <c r="D124" s="13">
        <v>2.1974796068285351E-2</v>
      </c>
      <c r="E124" s="14">
        <v>1.8132243412262064E-2</v>
      </c>
      <c r="F124" s="13">
        <v>-2.0567426039283052E-3</v>
      </c>
      <c r="G124" s="14">
        <v>-6.3794149909337412E-3</v>
      </c>
      <c r="H124" s="13">
        <v>3.007591667395763E-2</v>
      </c>
      <c r="I124" s="15">
        <f t="shared" si="1"/>
        <v>4.9413700036044276E-4</v>
      </c>
    </row>
    <row r="125" spans="1:9">
      <c r="A125" s="12">
        <v>45933</v>
      </c>
      <c r="B125" s="13">
        <v>1.2731827039207937E-3</v>
      </c>
      <c r="C125" s="14">
        <v>1.9353041681242411E-2</v>
      </c>
      <c r="D125" s="13">
        <v>2.6786142649534829E-3</v>
      </c>
      <c r="E125" s="14">
        <v>5.4435418019343762E-3</v>
      </c>
      <c r="F125" s="13">
        <v>2.0616815580053821E-2</v>
      </c>
      <c r="G125" s="14">
        <v>9.3745052854918055E-3</v>
      </c>
      <c r="H125" s="13">
        <v>-1.0841587523494072E-2</v>
      </c>
      <c r="I125" s="15">
        <f t="shared" si="1"/>
        <v>4.8497727942861295E-3</v>
      </c>
    </row>
    <row r="126" spans="1:9">
      <c r="A126" s="12">
        <v>45931</v>
      </c>
      <c r="B126" s="13">
        <v>-9.3745360135619876E-3</v>
      </c>
      <c r="C126" s="14">
        <v>-2.4155989182326386E-2</v>
      </c>
      <c r="D126" s="13">
        <v>-1.0664542118421274E-2</v>
      </c>
      <c r="E126" s="14">
        <v>-1.2520598987887219E-2</v>
      </c>
      <c r="F126" s="13">
        <v>9.0936558160966165E-3</v>
      </c>
      <c r="G126" s="14">
        <v>-8.2883357362735083E-3</v>
      </c>
      <c r="H126" s="13">
        <v>-1.8196338606779234E-2</v>
      </c>
      <c r="I126" s="15">
        <f t="shared" si="1"/>
        <v>-1.2040366082106919E-2</v>
      </c>
    </row>
    <row r="127" spans="1:9">
      <c r="A127" s="12">
        <v>45930</v>
      </c>
      <c r="B127" s="13">
        <v>6.0608832937394559E-3</v>
      </c>
      <c r="C127" s="14">
        <v>-2.7661236252361072E-2</v>
      </c>
      <c r="D127" s="13">
        <v>-1.9202397252117864E-2</v>
      </c>
      <c r="E127" s="14">
        <v>-7.4104245678579123E-3</v>
      </c>
      <c r="F127" s="13">
        <v>1.3313287844159858E-2</v>
      </c>
      <c r="G127" s="14">
        <v>-2.022428508294676E-3</v>
      </c>
      <c r="H127" s="13">
        <v>-1.1267724846342269E-2</v>
      </c>
      <c r="I127" s="15">
        <f t="shared" si="1"/>
        <v>-1.1242898416884328E-3</v>
      </c>
    </row>
    <row r="128" spans="1:9">
      <c r="A128" s="12">
        <v>45929</v>
      </c>
      <c r="B128" s="13">
        <v>-3.1539045024304387E-3</v>
      </c>
      <c r="C128" s="14">
        <v>2.907260502994966E-3</v>
      </c>
      <c r="D128" s="13">
        <v>1.630803922575344E-2</v>
      </c>
      <c r="E128" s="14">
        <v>-9.1777293946370755E-3</v>
      </c>
      <c r="F128" s="13">
        <v>-3.3261705216996659E-2</v>
      </c>
      <c r="G128" s="14">
        <v>-5.5752651763377242E-3</v>
      </c>
      <c r="H128" s="13">
        <v>7.2134545183018305E-3</v>
      </c>
      <c r="I128" s="15">
        <f t="shared" si="1"/>
        <v>-2.2490104669897399E-3</v>
      </c>
    </row>
    <row r="129" spans="1:9">
      <c r="A129" s="12">
        <v>45926</v>
      </c>
      <c r="B129" s="13">
        <v>8.5371579853090097E-5</v>
      </c>
      <c r="C129" s="14">
        <v>9.1509572740829052E-3</v>
      </c>
      <c r="D129" s="13">
        <v>1.9536753969500824E-2</v>
      </c>
      <c r="E129" s="14">
        <v>5.9385978881803126E-3</v>
      </c>
      <c r="F129" s="13">
        <v>-9.0309511402192649E-2</v>
      </c>
      <c r="G129" s="14">
        <v>1.911068287801479E-2</v>
      </c>
      <c r="H129" s="13">
        <v>7.782140442054949E-3</v>
      </c>
      <c r="I129" s="15">
        <f t="shared" si="1"/>
        <v>2.9918675773571868E-3</v>
      </c>
    </row>
    <row r="130" spans="1:9">
      <c r="A130" s="12">
        <v>45925</v>
      </c>
      <c r="B130" s="13">
        <v>2.5787221439470816E-2</v>
      </c>
      <c r="C130" s="14">
        <v>1.8525205595002297E-2</v>
      </c>
      <c r="D130" s="13">
        <v>7.0355263023391644E-3</v>
      </c>
      <c r="E130" s="14">
        <v>-5.4491615459194998E-3</v>
      </c>
      <c r="F130" s="13">
        <v>2.6426408276909934E-2</v>
      </c>
      <c r="G130" s="14">
        <v>1.2766193845894985E-2</v>
      </c>
      <c r="H130" s="13">
        <v>3.1538727951932986E-2</v>
      </c>
      <c r="I130" s="15">
        <f t="shared" si="1"/>
        <v>2.2220768382622099E-2</v>
      </c>
    </row>
    <row r="131" spans="1:9">
      <c r="A131" s="12">
        <v>45924</v>
      </c>
      <c r="B131" s="13">
        <v>2.1888473634673996E-2</v>
      </c>
      <c r="C131" s="14">
        <v>8.6223589482839896E-3</v>
      </c>
      <c r="D131" s="13">
        <v>1.2738855225885536E-3</v>
      </c>
      <c r="E131" s="14">
        <v>1.6309222901682253E-4</v>
      </c>
      <c r="F131" s="13">
        <v>1.8493243948974909E-2</v>
      </c>
      <c r="G131" s="14">
        <v>-2.2393126420527788E-3</v>
      </c>
      <c r="H131" s="13">
        <v>1.6488255934515479E-2</v>
      </c>
      <c r="I131" s="15">
        <f t="shared" si="1"/>
        <v>1.7141176195228251E-2</v>
      </c>
    </row>
    <row r="132" spans="1:9">
      <c r="A132" s="12">
        <v>45923</v>
      </c>
      <c r="B132" s="13">
        <v>-4.2005730491332539E-3</v>
      </c>
      <c r="C132" s="14">
        <v>-5.9902837306763579E-3</v>
      </c>
      <c r="D132" s="13">
        <v>-1.0918024922239339E-3</v>
      </c>
      <c r="E132" s="14">
        <v>3.7844151862260937E-3</v>
      </c>
      <c r="F132" s="13">
        <v>1.618359732767214E-2</v>
      </c>
      <c r="G132" s="14">
        <v>7.6664508089410461E-4</v>
      </c>
      <c r="H132" s="13">
        <v>-1.209132669622277E-2</v>
      </c>
      <c r="I132" s="15">
        <f t="shared" si="1"/>
        <v>-3.8769259700780711E-3</v>
      </c>
    </row>
    <row r="133" spans="1:9">
      <c r="A133" s="12">
        <v>45922</v>
      </c>
      <c r="B133" s="13">
        <v>1.4524760381221491E-2</v>
      </c>
      <c r="C133" s="14">
        <v>-1.9734066452178128E-3</v>
      </c>
      <c r="D133" s="13">
        <v>1.7281372257546912E-3</v>
      </c>
      <c r="E133" s="14">
        <v>2.7204658417790302E-2</v>
      </c>
      <c r="F133" s="13">
        <v>1.7625915306656238E-2</v>
      </c>
      <c r="G133" s="14">
        <v>-4.8456292183447682E-3</v>
      </c>
      <c r="H133" s="13">
        <v>-2.5039167797715391E-2</v>
      </c>
      <c r="I133" s="15">
        <f t="shared" si="1"/>
        <v>1.0981879813734944E-2</v>
      </c>
    </row>
    <row r="134" spans="1:9">
      <c r="A134" s="12">
        <v>45919</v>
      </c>
      <c r="B134" s="13">
        <v>-4.0286842862192112E-4</v>
      </c>
      <c r="C134" s="14">
        <v>9.4060104476219753E-5</v>
      </c>
      <c r="D134" s="13">
        <v>2.0329925688023665E-2</v>
      </c>
      <c r="E134" s="14">
        <v>-4.5558165358606907E-3</v>
      </c>
      <c r="F134" s="13">
        <v>4.0889936885743244E-2</v>
      </c>
      <c r="G134" s="14">
        <v>-4.4437203557449155E-4</v>
      </c>
      <c r="H134" s="13">
        <v>1.3282249717696956E-3</v>
      </c>
      <c r="I134" s="15">
        <f t="shared" ref="I134:I197" si="2">SUMPRODUCT($B$2:$H$2,B134:H134)</f>
        <v>-2.0263166983155209E-4</v>
      </c>
    </row>
    <row r="135" spans="1:9">
      <c r="A135" s="12">
        <v>45918</v>
      </c>
      <c r="B135" s="13">
        <v>-1.2095800200673393E-3</v>
      </c>
      <c r="C135" s="14">
        <v>7.0294117651887042E-3</v>
      </c>
      <c r="D135" s="13">
        <v>1.690467060337179E-3</v>
      </c>
      <c r="E135" s="14">
        <v>5.5434709371333111E-3</v>
      </c>
      <c r="F135" s="13">
        <v>-1.7150661194503012E-2</v>
      </c>
      <c r="G135" s="14">
        <v>6.8803885833057885E-3</v>
      </c>
      <c r="H135" s="13">
        <v>-2.862987640657076E-3</v>
      </c>
      <c r="I135" s="15">
        <f t="shared" si="2"/>
        <v>8.9623526494341335E-4</v>
      </c>
    </row>
    <row r="136" spans="1:9">
      <c r="A136" s="12">
        <v>45917</v>
      </c>
      <c r="B136" s="13">
        <v>5.9932202799559547E-3</v>
      </c>
      <c r="C136" s="14">
        <v>-2.0568444050220462E-3</v>
      </c>
      <c r="D136" s="13">
        <v>2.3973374411770812E-3</v>
      </c>
      <c r="E136" s="14">
        <v>-1.4958308900771057E-2</v>
      </c>
      <c r="F136" s="13">
        <v>-0.13855414125498661</v>
      </c>
      <c r="G136" s="14">
        <v>-5.6070500437958729E-3</v>
      </c>
      <c r="H136" s="13">
        <v>-2.9739036428492959E-3</v>
      </c>
      <c r="I136" s="15">
        <f t="shared" si="2"/>
        <v>2.7640375798272205E-3</v>
      </c>
    </row>
    <row r="137" spans="1:9">
      <c r="A137" s="12">
        <v>45916</v>
      </c>
      <c r="B137" s="13">
        <v>-5.1060519017415776E-3</v>
      </c>
      <c r="C137" s="14">
        <v>4.6685425596333287E-3</v>
      </c>
      <c r="D137" s="13">
        <v>6.8054529305305277E-3</v>
      </c>
      <c r="E137" s="14">
        <v>-1.7874950206134117E-2</v>
      </c>
      <c r="F137" s="13">
        <v>-4.3644368242600198E-3</v>
      </c>
      <c r="G137" s="14">
        <v>4.1422569975096577E-4</v>
      </c>
      <c r="H137" s="13">
        <v>-5.871160708133559E-3</v>
      </c>
      <c r="I137" s="15">
        <f t="shared" si="2"/>
        <v>-3.6869396941039407E-3</v>
      </c>
    </row>
    <row r="138" spans="1:9">
      <c r="A138" s="12">
        <v>45915</v>
      </c>
      <c r="B138" s="13">
        <v>8.7087938795689258E-3</v>
      </c>
      <c r="C138" s="14">
        <v>1.3876263355766421E-2</v>
      </c>
      <c r="D138" s="13">
        <v>-2.5576589327432841E-3</v>
      </c>
      <c r="E138" s="14">
        <v>4.3972221823219311E-3</v>
      </c>
      <c r="F138" s="13">
        <v>1.0875582996259037E-2</v>
      </c>
      <c r="G138" s="14">
        <v>1.4484402242642559E-3</v>
      </c>
      <c r="H138" s="13">
        <v>-3.9333453050551057E-3</v>
      </c>
      <c r="I138" s="15">
        <f t="shared" si="2"/>
        <v>8.7856796895925352E-3</v>
      </c>
    </row>
    <row r="139" spans="1:9">
      <c r="A139" s="12">
        <v>45912</v>
      </c>
      <c r="B139" s="13">
        <v>1.7311133637930857E-2</v>
      </c>
      <c r="C139" s="14">
        <v>-9.043989293218712E-3</v>
      </c>
      <c r="D139" s="13">
        <v>1.2374549060214539E-2</v>
      </c>
      <c r="E139" s="14">
        <v>5.6310789076666782E-3</v>
      </c>
      <c r="F139" s="13">
        <v>-1.4298602700585174E-2</v>
      </c>
      <c r="G139" s="14">
        <v>-5.6875560629310613E-3</v>
      </c>
      <c r="H139" s="13">
        <v>-3.418054258882567E-2</v>
      </c>
      <c r="I139" s="15">
        <f t="shared" si="2"/>
        <v>1.0688764568013511E-2</v>
      </c>
    </row>
    <row r="140" spans="1:9">
      <c r="A140" s="12">
        <v>45911</v>
      </c>
      <c r="B140" s="13">
        <v>3.7630870325179792E-3</v>
      </c>
      <c r="C140" s="14">
        <v>2.2005105383249391E-2</v>
      </c>
      <c r="D140" s="13">
        <v>-2.6200888351233156E-3</v>
      </c>
      <c r="E140" s="14">
        <v>-3.7640437034165758E-3</v>
      </c>
      <c r="F140" s="13">
        <v>1.1183968183220464E-2</v>
      </c>
      <c r="G140" s="14">
        <v>-8.0241322640532871E-4</v>
      </c>
      <c r="H140" s="13">
        <v>-1.2961944276872944E-2</v>
      </c>
      <c r="I140" s="15">
        <f t="shared" si="2"/>
        <v>6.0468076550979867E-3</v>
      </c>
    </row>
    <row r="141" spans="1:9">
      <c r="A141" s="12">
        <v>45910</v>
      </c>
      <c r="B141" s="13">
        <v>-4.9419617367918982E-3</v>
      </c>
      <c r="C141" s="14">
        <v>-2.8888853496120397E-2</v>
      </c>
      <c r="D141" s="13">
        <v>-1.0461174035423817E-2</v>
      </c>
      <c r="E141" s="14">
        <v>-9.4111631447647472E-3</v>
      </c>
      <c r="F141" s="13">
        <v>-1.3563919993679168E-4</v>
      </c>
      <c r="G141" s="14">
        <v>8.2017425727668718E-3</v>
      </c>
      <c r="H141" s="13">
        <v>5.5293684543908398E-3</v>
      </c>
      <c r="I141" s="15">
        <f t="shared" si="2"/>
        <v>-8.5677043541455729E-3</v>
      </c>
    </row>
    <row r="142" spans="1:9">
      <c r="A142" s="12">
        <v>45909</v>
      </c>
      <c r="B142" s="13">
        <v>-2.3619268548395744E-3</v>
      </c>
      <c r="C142" s="14">
        <v>-1.1831123919178314E-2</v>
      </c>
      <c r="D142" s="13">
        <v>-3.4524001891699787E-3</v>
      </c>
      <c r="E142" s="14">
        <v>1.7729738007849667E-2</v>
      </c>
      <c r="F142" s="13">
        <v>-4.0777547329342665E-3</v>
      </c>
      <c r="G142" s="14">
        <v>1.2671845154188291E-3</v>
      </c>
      <c r="H142" s="13">
        <v>3.9328827105492244E-2</v>
      </c>
      <c r="I142" s="15">
        <f t="shared" si="2"/>
        <v>-2.4686973660766956E-3</v>
      </c>
    </row>
    <row r="143" spans="1:9">
      <c r="A143" s="12">
        <v>45908</v>
      </c>
      <c r="B143" s="13">
        <v>-2.5650652370425857E-3</v>
      </c>
      <c r="C143" s="14">
        <v>1.9363590835208461E-2</v>
      </c>
      <c r="D143" s="13">
        <v>1.2250626924384453E-2</v>
      </c>
      <c r="E143" s="14">
        <v>-2.1790365805955635E-2</v>
      </c>
      <c r="F143" s="13">
        <v>-8.4804228660480454E-3</v>
      </c>
      <c r="G143" s="14">
        <v>6.3412125707394762E-3</v>
      </c>
      <c r="H143" s="13">
        <v>-3.3292374583401056E-2</v>
      </c>
      <c r="I143" s="15">
        <f t="shared" si="2"/>
        <v>5.2541434367109731E-4</v>
      </c>
    </row>
    <row r="144" spans="1:9">
      <c r="A144" s="12">
        <v>45905</v>
      </c>
      <c r="B144" s="13">
        <v>1.9215180201835113E-2</v>
      </c>
      <c r="C144" s="14">
        <v>-1.8545999381090336E-3</v>
      </c>
      <c r="D144" s="13">
        <v>3.3231337971304526E-3</v>
      </c>
      <c r="E144" s="14">
        <v>-1.7688562583237258E-3</v>
      </c>
      <c r="F144" s="13">
        <v>-3.0265534177160002E-3</v>
      </c>
      <c r="G144" s="14">
        <v>-1.008846921651833E-2</v>
      </c>
      <c r="H144" s="13">
        <v>5.3590696318387603E-3</v>
      </c>
      <c r="I144" s="15">
        <f t="shared" si="2"/>
        <v>1.2913227743126728E-2</v>
      </c>
    </row>
    <row r="145" spans="1:9">
      <c r="A145" s="12">
        <v>45904</v>
      </c>
      <c r="B145" s="13">
        <v>-4.3896350956090287E-3</v>
      </c>
      <c r="C145" s="14">
        <v>4.4452749622014469E-3</v>
      </c>
      <c r="D145" s="13">
        <v>6.4398447255553659E-3</v>
      </c>
      <c r="E145" s="14">
        <v>1.4811160446440306E-3</v>
      </c>
      <c r="F145" s="13">
        <v>8.2327578061366195E-3</v>
      </c>
      <c r="G145" s="14">
        <v>1.0117733369396283E-2</v>
      </c>
      <c r="H145" s="13">
        <v>-8.1571773550106821E-3</v>
      </c>
      <c r="I145" s="15">
        <f t="shared" si="2"/>
        <v>-1.8109949607567752E-3</v>
      </c>
    </row>
    <row r="146" spans="1:9">
      <c r="A146" s="12">
        <v>45903</v>
      </c>
      <c r="B146" s="13">
        <v>-5.7394008208342716E-3</v>
      </c>
      <c r="C146" s="14">
        <v>3.2289340291715941E-3</v>
      </c>
      <c r="D146" s="13">
        <v>-8.6248737817599119E-3</v>
      </c>
      <c r="E146" s="14">
        <v>5.4529562559103191E-3</v>
      </c>
      <c r="F146" s="13">
        <v>1.0872626813247063E-2</v>
      </c>
      <c r="G146" s="14">
        <v>-1.2841078845113461E-2</v>
      </c>
      <c r="H146" s="13">
        <v>-3.9954699229674965E-3</v>
      </c>
      <c r="I146" s="15">
        <f t="shared" si="2"/>
        <v>-4.0055783051423472E-3</v>
      </c>
    </row>
    <row r="147" spans="1:9">
      <c r="A147" s="12">
        <v>45902</v>
      </c>
      <c r="B147" s="13">
        <v>-5.4575215455387911E-3</v>
      </c>
      <c r="C147" s="14">
        <v>1.7484935205091857E-3</v>
      </c>
      <c r="D147" s="13">
        <v>-1.9615401845569976E-2</v>
      </c>
      <c r="E147" s="14">
        <v>-1.0605163518972774E-2</v>
      </c>
      <c r="F147" s="13">
        <v>3.7776623446261113E-3</v>
      </c>
      <c r="G147" s="14">
        <v>1.4186304958198058E-2</v>
      </c>
      <c r="H147" s="13">
        <v>5.3955024600880761E-3</v>
      </c>
      <c r="I147" s="15">
        <f t="shared" si="2"/>
        <v>-3.6565590137033182E-3</v>
      </c>
    </row>
    <row r="148" spans="1:9">
      <c r="A148" s="12">
        <v>45901</v>
      </c>
      <c r="B148" s="13">
        <v>1.181963586045841E-2</v>
      </c>
      <c r="C148" s="14">
        <v>5.8672702236109882E-3</v>
      </c>
      <c r="D148" s="13">
        <v>-2.046314698850641E-2</v>
      </c>
      <c r="E148" s="14">
        <v>-1.4887724514838999E-3</v>
      </c>
      <c r="F148" s="13">
        <v>-4.1939190754900789E-2</v>
      </c>
      <c r="G148" s="14">
        <v>-4.1584972218628542E-3</v>
      </c>
      <c r="H148" s="13">
        <v>7.8255209878890283E-3</v>
      </c>
      <c r="I148" s="15">
        <f t="shared" si="2"/>
        <v>8.9082836783010346E-3</v>
      </c>
    </row>
    <row r="149" spans="1:9">
      <c r="A149" s="12">
        <v>45898</v>
      </c>
      <c r="B149" s="13">
        <v>-2.0280525301294771E-2</v>
      </c>
      <c r="C149" s="14">
        <v>-2.5927378256136668E-2</v>
      </c>
      <c r="D149" s="13">
        <v>1.5470722474128426E-3</v>
      </c>
      <c r="E149" s="14">
        <v>-6.8103747301175863E-3</v>
      </c>
      <c r="F149" s="13">
        <v>7.2758121443098804E-3</v>
      </c>
      <c r="G149" s="14">
        <v>8.7999771012836983E-4</v>
      </c>
      <c r="H149" s="13">
        <v>-1.1815389870591017E-2</v>
      </c>
      <c r="I149" s="15">
        <f t="shared" si="2"/>
        <v>-1.9202304986420955E-2</v>
      </c>
    </row>
    <row r="150" spans="1:9">
      <c r="A150" s="12">
        <v>45897</v>
      </c>
      <c r="B150" s="13">
        <v>-1.1822168204153939E-2</v>
      </c>
      <c r="C150" s="14">
        <v>-8.4786188555522318E-3</v>
      </c>
      <c r="D150" s="13">
        <v>-2.1847983201354428E-3</v>
      </c>
      <c r="E150" s="14">
        <v>-8.158529030593737E-3</v>
      </c>
      <c r="F150" s="13">
        <v>1.4394712220652021E-2</v>
      </c>
      <c r="G150" s="14">
        <v>1.5593496857365895E-2</v>
      </c>
      <c r="H150" s="13">
        <v>-2.4500842756799108E-2</v>
      </c>
      <c r="I150" s="15">
        <f t="shared" si="2"/>
        <v>-9.7487248271749764E-3</v>
      </c>
    </row>
    <row r="151" spans="1:9">
      <c r="A151" s="12">
        <v>45895</v>
      </c>
      <c r="B151" s="13">
        <v>-3.0581063588207735E-3</v>
      </c>
      <c r="C151" s="14">
        <v>-6.4540846664787139E-3</v>
      </c>
      <c r="D151" s="13">
        <v>5.906155008647376E-3</v>
      </c>
      <c r="E151" s="14">
        <v>-1.6818510854838268E-2</v>
      </c>
      <c r="F151" s="13">
        <v>1.8111749943046103E-2</v>
      </c>
      <c r="G151" s="14">
        <v>-1.1263472537911223E-2</v>
      </c>
      <c r="H151" s="13">
        <v>1.1559549644992714E-2</v>
      </c>
      <c r="I151" s="15">
        <f t="shared" si="2"/>
        <v>-4.4371648666115728E-3</v>
      </c>
    </row>
    <row r="152" spans="1:9">
      <c r="A152" s="12">
        <v>45894</v>
      </c>
      <c r="B152" s="13">
        <v>4.6237743957857113E-3</v>
      </c>
      <c r="C152" s="14">
        <v>1.7836550815695074E-2</v>
      </c>
      <c r="D152" s="13">
        <v>2.0267934398377194E-2</v>
      </c>
      <c r="E152" s="14">
        <v>2.0059331111054392E-3</v>
      </c>
      <c r="F152" s="13">
        <v>-2.1415262926720063E-2</v>
      </c>
      <c r="G152" s="14">
        <v>-8.7619387012727486E-4</v>
      </c>
      <c r="H152" s="13">
        <v>-6.5695830677733674E-4</v>
      </c>
      <c r="I152" s="15">
        <f t="shared" si="2"/>
        <v>6.5885524293078238E-3</v>
      </c>
    </row>
    <row r="153" spans="1:9">
      <c r="A153" s="12">
        <v>45891</v>
      </c>
      <c r="B153" s="13">
        <v>4.6424223931145377E-3</v>
      </c>
      <c r="C153" s="14">
        <v>-1.4224722918146524E-2</v>
      </c>
      <c r="D153" s="13">
        <v>6.2834845438055498E-3</v>
      </c>
      <c r="E153" s="14">
        <v>-8.2199281220256253E-3</v>
      </c>
      <c r="F153" s="13">
        <v>6.4591717730702013E-3</v>
      </c>
      <c r="G153" s="14">
        <v>-6.6842817036700808E-3</v>
      </c>
      <c r="H153" s="13">
        <v>5.134659229999043E-3</v>
      </c>
      <c r="I153" s="15">
        <f t="shared" si="2"/>
        <v>3.202009818131627E-4</v>
      </c>
    </row>
    <row r="154" spans="1:9">
      <c r="A154" s="12">
        <v>45890</v>
      </c>
      <c r="B154" s="13">
        <v>2.4492952012689216E-2</v>
      </c>
      <c r="C154" s="14">
        <v>6.2423356017218389E-3</v>
      </c>
      <c r="D154" s="13">
        <v>4.9282859582826339E-3</v>
      </c>
      <c r="E154" s="14">
        <v>2.3410522124958907E-2</v>
      </c>
      <c r="F154" s="13">
        <v>4.783063440599547E-3</v>
      </c>
      <c r="G154" s="14">
        <v>-3.530450169060869E-4</v>
      </c>
      <c r="H154" s="13">
        <v>-1.0295819316799659E-2</v>
      </c>
      <c r="I154" s="15">
        <f t="shared" si="2"/>
        <v>1.9644592790807568E-2</v>
      </c>
    </row>
    <row r="155" spans="1:9">
      <c r="A155" s="12">
        <v>45889</v>
      </c>
      <c r="B155" s="13">
        <v>1.3627428277473087E-3</v>
      </c>
      <c r="C155" s="14">
        <v>2.4586822418179857E-2</v>
      </c>
      <c r="D155" s="13">
        <v>1.9215476244608676E-2</v>
      </c>
      <c r="E155" s="14">
        <v>2.5211767843272753E-2</v>
      </c>
      <c r="F155" s="13">
        <v>-1.0912564171181678E-3</v>
      </c>
      <c r="G155" s="14">
        <v>-1.0590248362737193E-2</v>
      </c>
      <c r="H155" s="13">
        <v>-1.0959317083934418E-2</v>
      </c>
      <c r="I155" s="15">
        <f t="shared" si="2"/>
        <v>6.0236195380429618E-3</v>
      </c>
    </row>
    <row r="156" spans="1:9">
      <c r="A156" s="12">
        <v>45888</v>
      </c>
      <c r="B156" s="13">
        <v>3.6120050921829598E-3</v>
      </c>
      <c r="C156" s="14">
        <v>6.6018945085161186E-3</v>
      </c>
      <c r="D156" s="13">
        <v>8.7456615052070707E-3</v>
      </c>
      <c r="E156" s="14">
        <v>-5.5021901149941736E-3</v>
      </c>
      <c r="F156" s="13">
        <v>-2.124217803352928E-2</v>
      </c>
      <c r="G156" s="14">
        <v>1.1766580694595933E-2</v>
      </c>
      <c r="H156" s="13">
        <v>3.3708597472020652E-2</v>
      </c>
      <c r="I156" s="15">
        <f t="shared" si="2"/>
        <v>4.3282712000444427E-3</v>
      </c>
    </row>
    <row r="157" spans="1:9">
      <c r="A157" s="12">
        <v>45887</v>
      </c>
      <c r="B157" s="13">
        <v>3.0966967535106366E-3</v>
      </c>
      <c r="C157" s="14">
        <v>7.7382151349073601E-3</v>
      </c>
      <c r="D157" s="13">
        <v>-2.7083636816008016E-2</v>
      </c>
      <c r="E157" s="14">
        <v>-2.5057071470781064E-2</v>
      </c>
      <c r="F157" s="13">
        <v>1.9466342582892059E-2</v>
      </c>
      <c r="G157" s="14">
        <v>1.334228974378629E-2</v>
      </c>
      <c r="H157" s="13">
        <v>1.0171938446692163E-2</v>
      </c>
      <c r="I157" s="15">
        <f t="shared" si="2"/>
        <v>2.6639853517091755E-3</v>
      </c>
    </row>
    <row r="158" spans="1:9">
      <c r="A158" s="12">
        <v>45883</v>
      </c>
      <c r="B158" s="13">
        <v>-2.2948173812255505E-2</v>
      </c>
      <c r="C158" s="14">
        <v>-3.3004470567217219E-2</v>
      </c>
      <c r="D158" s="13">
        <v>-2.9281671976268898E-2</v>
      </c>
      <c r="E158" s="14">
        <v>-5.9706726037854667E-3</v>
      </c>
      <c r="F158" s="13">
        <v>-4.0457463394373998E-2</v>
      </c>
      <c r="G158" s="14">
        <v>-7.8904487056054469E-3</v>
      </c>
      <c r="H158" s="13">
        <v>-1.0387200529107635E-2</v>
      </c>
      <c r="I158" s="15">
        <f t="shared" si="2"/>
        <v>-2.309896275689427E-2</v>
      </c>
    </row>
    <row r="159" spans="1:9">
      <c r="A159" s="12">
        <v>45882</v>
      </c>
      <c r="B159" s="13">
        <v>-1.1334608015083382E-2</v>
      </c>
      <c r="C159" s="14">
        <v>7.3773505439205132E-3</v>
      </c>
      <c r="D159" s="13">
        <v>-7.251663395320236E-3</v>
      </c>
      <c r="E159" s="14">
        <v>4.3650610702732984E-3</v>
      </c>
      <c r="F159" s="13">
        <v>1.8198992793431429E-2</v>
      </c>
      <c r="G159" s="14">
        <v>3.0062921230644287E-3</v>
      </c>
      <c r="H159" s="13">
        <v>3.2287574945495993E-4</v>
      </c>
      <c r="I159" s="15">
        <f t="shared" si="2"/>
        <v>-6.548063713592068E-3</v>
      </c>
    </row>
    <row r="160" spans="1:9">
      <c r="A160" s="12">
        <v>45881</v>
      </c>
      <c r="B160" s="13">
        <v>-8.7978874198932997E-3</v>
      </c>
      <c r="C160" s="14">
        <v>0</v>
      </c>
      <c r="D160" s="13">
        <v>-9.097939323027443E-5</v>
      </c>
      <c r="E160" s="14">
        <v>7.9184981189413424E-3</v>
      </c>
      <c r="F160" s="13">
        <v>2.5261885827916997E-2</v>
      </c>
      <c r="G160" s="14">
        <v>-1.7793339486322961E-3</v>
      </c>
      <c r="H160" s="13">
        <v>-4.745991003079212E-3</v>
      </c>
      <c r="I160" s="15">
        <f t="shared" si="2"/>
        <v>-5.9748880760874101E-3</v>
      </c>
    </row>
    <row r="161" spans="1:9">
      <c r="A161" s="12">
        <v>45880</v>
      </c>
      <c r="B161" s="13">
        <v>4.3483581017799249E-3</v>
      </c>
      <c r="C161" s="14">
        <v>1.6059412976717178E-2</v>
      </c>
      <c r="D161" s="13">
        <v>-1.8642350809279718E-2</v>
      </c>
      <c r="E161" s="14">
        <v>-1.4111518972983229E-2</v>
      </c>
      <c r="F161" s="13">
        <v>8.6862652559604528E-3</v>
      </c>
      <c r="G161" s="14">
        <v>8.0256319117786041E-3</v>
      </c>
      <c r="H161" s="13">
        <v>-7.8150837352467944E-3</v>
      </c>
      <c r="I161" s="15">
        <f t="shared" si="2"/>
        <v>5.1992204438754989E-3</v>
      </c>
    </row>
    <row r="162" spans="1:9">
      <c r="A162" s="12">
        <v>45877</v>
      </c>
      <c r="B162" s="13">
        <v>-5.4384084731428084E-3</v>
      </c>
      <c r="C162" s="14">
        <v>9.0234399794428769E-3</v>
      </c>
      <c r="D162" s="13">
        <v>6.5997411944798551E-2</v>
      </c>
      <c r="E162" s="14">
        <v>-9.1043778200963713E-3</v>
      </c>
      <c r="F162" s="13">
        <v>1.5287946941653039E-2</v>
      </c>
      <c r="G162" s="14">
        <v>1.0315013520218786E-2</v>
      </c>
      <c r="H162" s="13">
        <v>-1.2610507591929696E-2</v>
      </c>
      <c r="I162" s="15">
        <f t="shared" si="2"/>
        <v>-1.5820996514114497E-3</v>
      </c>
    </row>
    <row r="163" spans="1:9">
      <c r="A163" s="12">
        <v>45876</v>
      </c>
      <c r="B163" s="13">
        <v>1.2404566838351772E-2</v>
      </c>
      <c r="C163" s="14">
        <v>-9.298152677475505E-3</v>
      </c>
      <c r="D163" s="13">
        <v>4.8856276593633223E-2</v>
      </c>
      <c r="E163" s="14">
        <v>2.0589378010937832E-3</v>
      </c>
      <c r="F163" s="13">
        <v>9.6683092041605859E-3</v>
      </c>
      <c r="G163" s="14">
        <v>-5.4208464042595052E-3</v>
      </c>
      <c r="H163" s="13">
        <v>-2.0400908194756769E-2</v>
      </c>
      <c r="I163" s="15">
        <f t="shared" si="2"/>
        <v>7.5823715822295953E-3</v>
      </c>
    </row>
    <row r="164" spans="1:9">
      <c r="A164" s="12">
        <v>45875</v>
      </c>
      <c r="B164" s="13">
        <v>-6.1228356238242927E-3</v>
      </c>
      <c r="C164" s="14">
        <v>3.4829167221169799E-2</v>
      </c>
      <c r="D164" s="13">
        <v>6.671358598377447E-3</v>
      </c>
      <c r="E164" s="14">
        <v>6.5347147780747943E-3</v>
      </c>
      <c r="F164" s="13">
        <v>1.0619568827460351E-2</v>
      </c>
      <c r="G164" s="14">
        <v>1.9425401829632243E-2</v>
      </c>
      <c r="H164" s="13">
        <v>-5.194230287194612E-3</v>
      </c>
      <c r="I164" s="15">
        <f t="shared" si="2"/>
        <v>2.794814306587633E-3</v>
      </c>
    </row>
    <row r="165" spans="1:9">
      <c r="A165" s="12">
        <v>45874</v>
      </c>
      <c r="B165" s="13">
        <v>-2.2078818938836346E-2</v>
      </c>
      <c r="C165" s="14">
        <v>1.1257814588680696E-2</v>
      </c>
      <c r="D165" s="13">
        <v>-1.0894792477628958E-2</v>
      </c>
      <c r="E165" s="14">
        <v>3.0480067207543014E-2</v>
      </c>
      <c r="F165" s="13">
        <v>2.0651224350431742E-2</v>
      </c>
      <c r="G165" s="14">
        <v>-1.2190139376889275E-3</v>
      </c>
      <c r="H165" s="13">
        <v>1.6059641017345399E-2</v>
      </c>
      <c r="I165" s="15">
        <f t="shared" si="2"/>
        <v>-1.2373095941327836E-2</v>
      </c>
    </row>
    <row r="166" spans="1:9">
      <c r="A166" s="12">
        <v>45873</v>
      </c>
      <c r="B166" s="13">
        <v>5.3206854126876917E-3</v>
      </c>
      <c r="C166" s="14">
        <v>-2.9780174413298896E-3</v>
      </c>
      <c r="D166" s="13">
        <v>-9.1705519722079416E-3</v>
      </c>
      <c r="E166" s="14">
        <v>7.4053080420479053E-3</v>
      </c>
      <c r="F166" s="13">
        <v>1.7868543363101796E-3</v>
      </c>
      <c r="G166" s="14">
        <v>8.2298264163493898E-3</v>
      </c>
      <c r="H166" s="13">
        <v>-1.7079066829139185E-2</v>
      </c>
      <c r="I166" s="15">
        <f t="shared" si="2"/>
        <v>3.7890491989729133E-3</v>
      </c>
    </row>
    <row r="167" spans="1:9">
      <c r="A167" s="12">
        <v>45870</v>
      </c>
      <c r="B167" s="13">
        <v>-7.7036932374617839E-3</v>
      </c>
      <c r="C167" s="14">
        <v>-5.4534394983378849E-3</v>
      </c>
      <c r="D167" s="13">
        <v>8.8385466570732058E-3</v>
      </c>
      <c r="E167" s="14">
        <v>2.4615630950454586E-2</v>
      </c>
      <c r="F167" s="13">
        <v>-2.2979711376237568E-3</v>
      </c>
      <c r="G167" s="14">
        <v>2.0340795680819309E-2</v>
      </c>
      <c r="H167" s="13">
        <v>-1.5187274495878299E-2</v>
      </c>
      <c r="I167" s="15">
        <f t="shared" si="2"/>
        <v>-4.2626890295909626E-3</v>
      </c>
    </row>
    <row r="168" spans="1:9">
      <c r="A168" s="12">
        <v>45869</v>
      </c>
      <c r="B168" s="13">
        <v>-1.4460279724670419E-2</v>
      </c>
      <c r="C168" s="14">
        <v>-3.5341969990415854E-3</v>
      </c>
      <c r="D168" s="13">
        <v>-3.8260048335288918E-3</v>
      </c>
      <c r="E168" s="14">
        <v>-2.0810933906790643E-2</v>
      </c>
      <c r="F168" s="13">
        <v>4.3395367670054259E-2</v>
      </c>
      <c r="G168" s="14">
        <v>3.6589612123935439E-2</v>
      </c>
      <c r="H168" s="13">
        <v>9.2006907008052507E-4</v>
      </c>
      <c r="I168" s="15">
        <f t="shared" si="2"/>
        <v>-1.0218391488276121E-2</v>
      </c>
    </row>
    <row r="169" spans="1:9">
      <c r="A169" s="12">
        <v>45868</v>
      </c>
      <c r="B169" s="13">
        <v>8.1880795797252392E-3</v>
      </c>
      <c r="C169" s="14">
        <v>1.7634356163457463E-2</v>
      </c>
      <c r="D169" s="13">
        <v>2.3306153382822896E-3</v>
      </c>
      <c r="E169" s="14">
        <v>2.8542323148652354E-3</v>
      </c>
      <c r="F169" s="13">
        <v>-5.7686566844320983E-3</v>
      </c>
      <c r="G169" s="14">
        <v>1.2228055173979126E-2</v>
      </c>
      <c r="H169" s="13">
        <v>-1.1213342163859096E-2</v>
      </c>
      <c r="I169" s="15">
        <f t="shared" si="2"/>
        <v>9.456827892683449E-3</v>
      </c>
    </row>
    <row r="170" spans="1:9">
      <c r="A170" s="12">
        <v>45867</v>
      </c>
      <c r="B170" s="13">
        <v>-5.936953066299073E-3</v>
      </c>
      <c r="C170" s="14">
        <v>-6.0185972598084947E-3</v>
      </c>
      <c r="D170" s="13">
        <v>5.4721967247387416E-3</v>
      </c>
      <c r="E170" s="14">
        <v>-1.4766470116301007E-2</v>
      </c>
      <c r="F170" s="13">
        <v>1.1017371816228584E-2</v>
      </c>
      <c r="G170" s="14">
        <v>-8.760562717579426E-3</v>
      </c>
      <c r="H170" s="13">
        <v>-2.8057952795157496E-2</v>
      </c>
      <c r="I170" s="15">
        <f t="shared" si="2"/>
        <v>-6.5380637113860041E-3</v>
      </c>
    </row>
    <row r="171" spans="1:9">
      <c r="A171" s="12">
        <v>45866</v>
      </c>
      <c r="B171" s="13">
        <v>-1.7601428975958861E-2</v>
      </c>
      <c r="C171" s="14">
        <v>-2.0149144019078698E-2</v>
      </c>
      <c r="D171" s="13">
        <v>-5.6993056253792605E-2</v>
      </c>
      <c r="E171" s="14">
        <v>-5.3863813676601913E-3</v>
      </c>
      <c r="F171" s="13">
        <v>1.3302892997021133E-2</v>
      </c>
      <c r="G171" s="14">
        <v>-6.2554873055959961E-3</v>
      </c>
      <c r="H171" s="13">
        <v>-1.0577021683090524E-2</v>
      </c>
      <c r="I171" s="15">
        <f t="shared" si="2"/>
        <v>-1.7296391321124441E-2</v>
      </c>
    </row>
    <row r="172" spans="1:9">
      <c r="A172" s="12">
        <v>45863</v>
      </c>
      <c r="B172" s="13">
        <v>-9.9664354073244945E-3</v>
      </c>
      <c r="C172" s="14">
        <v>-3.7563768344757685E-3</v>
      </c>
      <c r="D172" s="13">
        <v>-1.7522345468030062E-3</v>
      </c>
      <c r="E172" s="14">
        <v>1.7502763295557618E-2</v>
      </c>
      <c r="F172" s="13">
        <v>1.5260191222422319E-2</v>
      </c>
      <c r="G172" s="14">
        <v>1.5675441922821636E-3</v>
      </c>
      <c r="H172" s="13">
        <v>8.542432985303005E-3</v>
      </c>
      <c r="I172" s="15">
        <f t="shared" si="2"/>
        <v>-6.7349571088846346E-3</v>
      </c>
    </row>
    <row r="173" spans="1:9">
      <c r="A173" s="12">
        <v>45862</v>
      </c>
      <c r="B173" s="13">
        <v>6.7828683999021323E-3</v>
      </c>
      <c r="C173" s="14">
        <v>3.35699554851027E-2</v>
      </c>
      <c r="D173" s="13">
        <v>3.4220102593186009E-2</v>
      </c>
      <c r="E173" s="14">
        <v>1.8204386222462531E-2</v>
      </c>
      <c r="F173" s="13">
        <v>8.7947600529629494E-2</v>
      </c>
      <c r="G173" s="14">
        <v>2.7674458655115558E-2</v>
      </c>
      <c r="H173" s="13">
        <v>7.2814407060502314E-3</v>
      </c>
      <c r="I173" s="15">
        <f t="shared" si="2"/>
        <v>1.328920252420644E-2</v>
      </c>
    </row>
    <row r="174" spans="1:9">
      <c r="A174" s="12">
        <v>45861</v>
      </c>
      <c r="B174" s="13">
        <v>9.8572982186419852E-3</v>
      </c>
      <c r="C174" s="14">
        <v>-1.4740952159855202E-3</v>
      </c>
      <c r="D174" s="13">
        <v>1.7055653934509283E-2</v>
      </c>
      <c r="E174" s="14">
        <v>-9.6677490152872417E-3</v>
      </c>
      <c r="F174" s="13">
        <v>1.0669929324696776E-2</v>
      </c>
      <c r="G174" s="14">
        <v>-2.783375773948267E-2</v>
      </c>
      <c r="H174" s="13">
        <v>-4.6492305239129224E-3</v>
      </c>
      <c r="I174" s="15">
        <f t="shared" si="2"/>
        <v>5.1912360792443985E-3</v>
      </c>
    </row>
    <row r="175" spans="1:9">
      <c r="A175" s="12">
        <v>45860</v>
      </c>
      <c r="B175" s="13">
        <v>-4.303259393465265E-3</v>
      </c>
      <c r="C175" s="14">
        <v>-9.9416533482978471E-3</v>
      </c>
      <c r="D175" s="13">
        <v>-2.4994792881648638E-4</v>
      </c>
      <c r="E175" s="14">
        <v>-2.8374563017870163E-3</v>
      </c>
      <c r="F175" s="13">
        <v>2.6239338647535426E-2</v>
      </c>
      <c r="G175" s="14">
        <v>1.5779472064751027E-2</v>
      </c>
      <c r="H175" s="13">
        <v>-1.1949572816996063E-4</v>
      </c>
      <c r="I175" s="15">
        <f t="shared" si="2"/>
        <v>-4.1226906641421961E-3</v>
      </c>
    </row>
    <row r="176" spans="1:9">
      <c r="A176" s="12">
        <v>45859</v>
      </c>
      <c r="B176" s="13">
        <v>4.3032593934651878E-3</v>
      </c>
      <c r="C176" s="14">
        <v>-6.7713401231729604E-3</v>
      </c>
      <c r="D176" s="13">
        <v>8.3322918016980629E-5</v>
      </c>
      <c r="E176" s="14">
        <v>5.2631700442746909E-3</v>
      </c>
      <c r="F176" s="13">
        <v>4.6882411234553181E-3</v>
      </c>
      <c r="G176" s="14">
        <v>-3.5975676882058966E-2</v>
      </c>
      <c r="H176" s="13">
        <v>-1.4350636282476094E-3</v>
      </c>
      <c r="I176" s="15">
        <f t="shared" si="2"/>
        <v>5.0198180777264172E-4</v>
      </c>
    </row>
    <row r="177" spans="1:9">
      <c r="A177" s="12">
        <v>45856</v>
      </c>
      <c r="B177" s="13">
        <v>2.9425385896046136E-3</v>
      </c>
      <c r="C177" s="14">
        <v>1.7753756791781816E-2</v>
      </c>
      <c r="D177" s="13">
        <v>7.4959400503195957E-4</v>
      </c>
      <c r="E177" s="14">
        <v>1.8154316635085263E-3</v>
      </c>
      <c r="F177" s="13">
        <v>4.252456753087411E-3</v>
      </c>
      <c r="G177" s="14">
        <v>-1.5921685418889945E-2</v>
      </c>
      <c r="H177" s="13">
        <v>1.0120941307263624E-2</v>
      </c>
      <c r="I177" s="15">
        <f t="shared" si="2"/>
        <v>4.5384617353963017E-3</v>
      </c>
    </row>
    <row r="178" spans="1:9">
      <c r="A178" s="12">
        <v>45855</v>
      </c>
      <c r="B178" s="13">
        <v>6.9019160061318035E-3</v>
      </c>
      <c r="C178" s="14">
        <v>4.238577341746293E-3</v>
      </c>
      <c r="D178" s="13">
        <v>9.1540804461714748E-4</v>
      </c>
      <c r="E178" s="14">
        <v>6.6285268309075199E-3</v>
      </c>
      <c r="F178" s="13">
        <v>8.0404515222288701E-3</v>
      </c>
      <c r="G178" s="14">
        <v>-3.9996191621903829E-3</v>
      </c>
      <c r="H178" s="13">
        <v>7.1056374377673475E-4</v>
      </c>
      <c r="I178" s="15">
        <f t="shared" si="2"/>
        <v>5.8053806564534903E-3</v>
      </c>
    </row>
    <row r="179" spans="1:9">
      <c r="A179" s="12">
        <v>45854</v>
      </c>
      <c r="B179" s="13">
        <v>4.8238959098005308E-3</v>
      </c>
      <c r="C179" s="14">
        <v>-2.5085438981269251E-2</v>
      </c>
      <c r="D179" s="13">
        <v>-1.5816860737626938E-3</v>
      </c>
      <c r="E179" s="14">
        <v>-1.00604470258414E-2</v>
      </c>
      <c r="F179" s="13">
        <v>5.0181886248493908E-3</v>
      </c>
      <c r="G179" s="14">
        <v>-3.1530286364706263E-2</v>
      </c>
      <c r="H179" s="13">
        <v>-1.1669577533496284E-2</v>
      </c>
      <c r="I179" s="15">
        <f t="shared" si="2"/>
        <v>-2.8726634565415573E-3</v>
      </c>
    </row>
    <row r="180" spans="1:9">
      <c r="A180" s="12">
        <v>45853</v>
      </c>
      <c r="B180" s="13">
        <v>-7.0774650131132308E-3</v>
      </c>
      <c r="C180" s="14">
        <v>-6.5713761029104114E-3</v>
      </c>
      <c r="D180" s="13">
        <v>2.4990628644367546E-4</v>
      </c>
      <c r="E180" s="14">
        <v>1.0260627188655742E-2</v>
      </c>
      <c r="F180" s="13">
        <v>-5.3262442826740941E-3</v>
      </c>
      <c r="G180" s="14">
        <v>2.7348091959646822E-2</v>
      </c>
      <c r="H180" s="13">
        <v>-8.6611873086045732E-3</v>
      </c>
      <c r="I180" s="15">
        <f t="shared" si="2"/>
        <v>-4.4458178250595089E-3</v>
      </c>
    </row>
    <row r="181" spans="1:9">
      <c r="A181" s="12">
        <v>45852</v>
      </c>
      <c r="B181" s="13">
        <v>3.3784520466338319E-3</v>
      </c>
      <c r="C181" s="14">
        <v>-7.7814443891967532E-3</v>
      </c>
      <c r="D181" s="13">
        <v>-8.3295156434777263E-5</v>
      </c>
      <c r="E181" s="14">
        <v>-1.5532334450128556E-2</v>
      </c>
      <c r="F181" s="13">
        <v>-1.167308332424148E-2</v>
      </c>
      <c r="G181" s="14">
        <v>9.1723485370792356E-3</v>
      </c>
      <c r="H181" s="13">
        <v>1.069528911674795E-2</v>
      </c>
      <c r="I181" s="15">
        <f t="shared" si="2"/>
        <v>8.2853529762239822E-4</v>
      </c>
    </row>
    <row r="182" spans="1:9">
      <c r="A182" s="12">
        <v>45849</v>
      </c>
      <c r="B182" s="13">
        <v>1.5534934794847428E-2</v>
      </c>
      <c r="C182" s="14">
        <v>2.780416402023923E-2</v>
      </c>
      <c r="D182" s="13">
        <v>-2.4992710589537975E-4</v>
      </c>
      <c r="E182" s="14">
        <v>1.2190168108495614E-3</v>
      </c>
      <c r="F182" s="13">
        <v>4.5614841688588915E-3</v>
      </c>
      <c r="G182" s="14">
        <v>1.7585320792709047E-3</v>
      </c>
      <c r="H182" s="13">
        <v>1.4948670821003041E-2</v>
      </c>
      <c r="I182" s="15">
        <f t="shared" si="2"/>
        <v>1.6037547848070793E-2</v>
      </c>
    </row>
    <row r="183" spans="1:9">
      <c r="A183" s="12">
        <v>45848</v>
      </c>
      <c r="B183" s="13">
        <v>4.9075838722271057E-3</v>
      </c>
      <c r="C183" s="14">
        <v>9.8197617228973303E-3</v>
      </c>
      <c r="D183" s="13">
        <v>0</v>
      </c>
      <c r="E183" s="14">
        <v>1.1507142215936557E-2</v>
      </c>
      <c r="F183" s="13">
        <v>1.8853017417054849E-2</v>
      </c>
      <c r="G183" s="14">
        <v>-1.1458358037278047E-2</v>
      </c>
      <c r="H183" s="13">
        <v>-1.8859034349570224E-3</v>
      </c>
      <c r="I183" s="15">
        <f t="shared" si="2"/>
        <v>5.1983629107713947E-3</v>
      </c>
    </row>
    <row r="184" spans="1:9">
      <c r="A184" s="12">
        <v>45847</v>
      </c>
      <c r="B184" s="13">
        <v>1.9272934481615944E-2</v>
      </c>
      <c r="C184" s="14">
        <v>1.1692017649610772E-2</v>
      </c>
      <c r="D184" s="13">
        <v>8.3315975886566921E-5</v>
      </c>
      <c r="E184" s="14">
        <v>5.0055165078191372E-3</v>
      </c>
      <c r="F184" s="13">
        <v>-2.6849321512477386E-2</v>
      </c>
      <c r="G184" s="14">
        <v>1.3158992070325561E-2</v>
      </c>
      <c r="H184" s="13">
        <v>-1.473760926576969E-2</v>
      </c>
      <c r="I184" s="15">
        <f t="shared" si="2"/>
        <v>1.6426305363721708E-2</v>
      </c>
    </row>
    <row r="185" spans="1:9">
      <c r="A185" s="12">
        <v>45846</v>
      </c>
      <c r="B185" s="13">
        <v>-5.7389542483116266E-3</v>
      </c>
      <c r="C185" s="14">
        <v>-4.1968285659064394E-3</v>
      </c>
      <c r="D185" s="13">
        <v>0</v>
      </c>
      <c r="E185" s="14">
        <v>-1.5990409163744179E-3</v>
      </c>
      <c r="F185" s="13">
        <v>-1.9829886996871222E-3</v>
      </c>
      <c r="G185" s="14">
        <v>9.7636251659177584E-3</v>
      </c>
      <c r="H185" s="13">
        <v>-1.435056282399404E-2</v>
      </c>
      <c r="I185" s="15">
        <f t="shared" si="2"/>
        <v>-4.5444533832251274E-3</v>
      </c>
    </row>
    <row r="186" spans="1:9">
      <c r="A186" s="12">
        <v>45845</v>
      </c>
      <c r="B186" s="13">
        <v>-1.6966758430596824E-2</v>
      </c>
      <c r="C186" s="14">
        <v>5.7341078847928887E-3</v>
      </c>
      <c r="D186" s="13">
        <v>4.1647578795306339E-4</v>
      </c>
      <c r="E186" s="14">
        <v>-8.0048033091640171E-4</v>
      </c>
      <c r="F186" s="13">
        <v>5.2222049335543354E-4</v>
      </c>
      <c r="G186" s="14">
        <v>-2.0731245920619912E-2</v>
      </c>
      <c r="H186" s="13">
        <v>-1.3943474435979564E-2</v>
      </c>
      <c r="I186" s="15">
        <f t="shared" si="2"/>
        <v>-1.2247882522105775E-2</v>
      </c>
    </row>
    <row r="187" spans="1:9">
      <c r="A187" s="12">
        <v>45842</v>
      </c>
      <c r="B187" s="13">
        <v>-7.6433493125682359E-3</v>
      </c>
      <c r="C187" s="14">
        <v>1.7091540514606911E-2</v>
      </c>
      <c r="D187" s="13">
        <v>-1.0831980395028583E-3</v>
      </c>
      <c r="E187" s="14">
        <v>1.2004803362498618E-3</v>
      </c>
      <c r="F187" s="13">
        <v>1.6692752963282781E-3</v>
      </c>
      <c r="G187" s="14">
        <v>-4.7523302804369685E-2</v>
      </c>
      <c r="H187" s="13">
        <v>-6.0809390701880218E-2</v>
      </c>
      <c r="I187" s="15">
        <f t="shared" si="2"/>
        <v>-5.237489389001434E-3</v>
      </c>
    </row>
    <row r="188" spans="1:9">
      <c r="A188" s="12">
        <v>45841</v>
      </c>
      <c r="B188" s="13">
        <v>2.7599860983776648E-3</v>
      </c>
      <c r="C188" s="14">
        <v>6.9389569060039936E-3</v>
      </c>
      <c r="D188" s="13">
        <v>1.4995004475801331E-3</v>
      </c>
      <c r="E188" s="14">
        <v>7.9952033041718023E-4</v>
      </c>
      <c r="F188" s="13">
        <v>5.3022944831139091E-3</v>
      </c>
      <c r="G188" s="14">
        <v>-7.1444497231270086E-3</v>
      </c>
      <c r="H188" s="13">
        <v>-2.4780967278872447E-2</v>
      </c>
      <c r="I188" s="15">
        <f t="shared" si="2"/>
        <v>2.6664174047308421E-3</v>
      </c>
    </row>
    <row r="189" spans="1:9">
      <c r="A189" s="12">
        <v>45840</v>
      </c>
      <c r="B189" s="13">
        <v>-4.7419836090414049E-3</v>
      </c>
      <c r="C189" s="14">
        <v>-8.8703510488186733E-3</v>
      </c>
      <c r="D189" s="13">
        <v>-6.3465766263366601E-3</v>
      </c>
      <c r="E189" s="14">
        <v>-7.2188001470004284E-3</v>
      </c>
      <c r="F189" s="13">
        <v>9.3916785052384332E-3</v>
      </c>
      <c r="G189" s="14">
        <v>5.2539525411579501E-3</v>
      </c>
      <c r="H189" s="13">
        <v>-6.5962411883057201E-3</v>
      </c>
      <c r="I189" s="15">
        <f t="shared" si="2"/>
        <v>-5.1129736909477806E-3</v>
      </c>
    </row>
    <row r="190" spans="1:9">
      <c r="A190" s="12">
        <v>45839</v>
      </c>
      <c r="B190" s="13">
        <v>-2.0840613118104957E-2</v>
      </c>
      <c r="C190" s="14">
        <v>-1.3457820182387135E-3</v>
      </c>
      <c r="D190" s="13">
        <v>-1.1119649575425059E-2</v>
      </c>
      <c r="E190" s="14">
        <v>6.8191198858845439E-3</v>
      </c>
      <c r="F190" s="13">
        <v>-5.9757029253574741E-3</v>
      </c>
      <c r="G190" s="14">
        <v>-4.6688150171484231E-3</v>
      </c>
      <c r="H190" s="13">
        <v>1.4348217992623796E-2</v>
      </c>
      <c r="I190" s="15">
        <f t="shared" si="2"/>
        <v>-1.4997831251580636E-2</v>
      </c>
    </row>
    <row r="191" spans="1:9">
      <c r="A191" s="12">
        <v>45838</v>
      </c>
      <c r="B191" s="13">
        <v>-1.2058058041370718E-2</v>
      </c>
      <c r="C191" s="14">
        <v>-2.3594853787868991E-3</v>
      </c>
      <c r="D191" s="13">
        <v>-1.5623316884562375E-2</v>
      </c>
      <c r="E191" s="14">
        <v>7.9634105885202644E-3</v>
      </c>
      <c r="F191" s="13">
        <v>2.0646234236037899E-3</v>
      </c>
      <c r="G191" s="14">
        <v>-1.0827737621963741E-3</v>
      </c>
      <c r="H191" s="13">
        <v>1.3882684785189529E-2</v>
      </c>
      <c r="I191" s="15">
        <f t="shared" si="2"/>
        <v>-8.7325876557412894E-3</v>
      </c>
    </row>
    <row r="192" spans="1:9">
      <c r="A192" s="12">
        <v>45835</v>
      </c>
      <c r="B192" s="13">
        <v>7.4897154235573958E-3</v>
      </c>
      <c r="C192" s="14">
        <v>-1.4788642800934889E-2</v>
      </c>
      <c r="D192" s="13">
        <v>-9.4692900804490242E-4</v>
      </c>
      <c r="E192" s="14">
        <v>-1.6192257824979052E-2</v>
      </c>
      <c r="F192" s="13">
        <v>-9.9492996069223873E-3</v>
      </c>
      <c r="G192" s="14">
        <v>9.6577364506291916E-4</v>
      </c>
      <c r="H192" s="13">
        <v>3.6697288889624017E-3</v>
      </c>
      <c r="I192" s="15">
        <f t="shared" si="2"/>
        <v>2.0955865540215721E-3</v>
      </c>
    </row>
    <row r="193" spans="1:9">
      <c r="A193" s="12">
        <v>45834</v>
      </c>
      <c r="B193" s="13">
        <v>-2.9646142300117594E-2</v>
      </c>
      <c r="C193" s="14">
        <v>-2.4179001895978634E-2</v>
      </c>
      <c r="D193" s="13">
        <v>4.125489306285421E-3</v>
      </c>
      <c r="E193" s="14">
        <v>-1.6253913298840923E-2</v>
      </c>
      <c r="F193" s="13">
        <v>1.07739569054868E-2</v>
      </c>
      <c r="G193" s="14">
        <v>-6.94296535594984E-2</v>
      </c>
      <c r="H193" s="13">
        <v>-2.2264431959249909E-3</v>
      </c>
      <c r="I193" s="15">
        <f t="shared" si="2"/>
        <v>-2.9220304528830916E-2</v>
      </c>
    </row>
    <row r="194" spans="1:9">
      <c r="A194" s="12">
        <v>45833</v>
      </c>
      <c r="B194" s="13">
        <v>-4.3328951522108895E-3</v>
      </c>
      <c r="C194" s="14">
        <v>-2.9869125255201261E-3</v>
      </c>
      <c r="D194" s="13">
        <v>7.8599294006493521E-3</v>
      </c>
      <c r="E194" s="14">
        <v>-1.4348675209577486E-3</v>
      </c>
      <c r="F194" s="13">
        <v>9.6391230327077682E-3</v>
      </c>
      <c r="G194" s="14">
        <v>1.632727411540582E-2</v>
      </c>
      <c r="H194" s="13">
        <v>4.1868437453549141E-3</v>
      </c>
      <c r="I194" s="15">
        <f t="shared" si="2"/>
        <v>-2.7580363117153651E-3</v>
      </c>
    </row>
    <row r="195" spans="1:9">
      <c r="A195" s="12">
        <v>45832</v>
      </c>
      <c r="B195" s="13">
        <v>-2.0196705144199805E-3</v>
      </c>
      <c r="C195" s="14">
        <v>-2.6749098399011705E-2</v>
      </c>
      <c r="D195" s="13">
        <v>-1.0522360655174383E-2</v>
      </c>
      <c r="E195" s="14">
        <v>-7.8254106089643716E-3</v>
      </c>
      <c r="F195" s="13">
        <v>-4.3978593000074733E-3</v>
      </c>
      <c r="G195" s="14">
        <v>-3.4298990751302611E-3</v>
      </c>
      <c r="H195" s="13">
        <v>-9.0498355199179273E-3</v>
      </c>
      <c r="I195" s="15">
        <f t="shared" si="2"/>
        <v>-6.7130605494631944E-3</v>
      </c>
    </row>
    <row r="196" spans="1:9">
      <c r="A196" s="12">
        <v>45831</v>
      </c>
      <c r="B196" s="13">
        <v>-4.9345828641488114E-3</v>
      </c>
      <c r="C196" s="14">
        <v>9.0362806730359815E-5</v>
      </c>
      <c r="D196" s="13">
        <v>-1.376936534245985E-3</v>
      </c>
      <c r="E196" s="14">
        <v>-1.2272644937228287E-2</v>
      </c>
      <c r="F196" s="13">
        <v>-1.3414709472756154E-2</v>
      </c>
      <c r="G196" s="14">
        <v>9.5190405020988481E-3</v>
      </c>
      <c r="H196" s="13">
        <v>-7.6709806126324985E-3</v>
      </c>
      <c r="I196" s="15">
        <f t="shared" si="2"/>
        <v>-3.7631676252508576E-3</v>
      </c>
    </row>
    <row r="197" spans="1:9">
      <c r="A197" s="12">
        <v>45828</v>
      </c>
      <c r="B197" s="13">
        <v>9.4949941881412973E-3</v>
      </c>
      <c r="C197" s="14">
        <v>-3.2323078357107932E-2</v>
      </c>
      <c r="D197" s="13">
        <v>-3.5232809078314997E-2</v>
      </c>
      <c r="E197" s="14">
        <v>-1.4661223696477612E-3</v>
      </c>
      <c r="F197" s="13">
        <v>-9.7083073694766431E-3</v>
      </c>
      <c r="G197" s="14">
        <v>-5.0977064363069494E-2</v>
      </c>
      <c r="H197" s="13">
        <v>4.2395400013050342E-3</v>
      </c>
      <c r="I197" s="15">
        <f t="shared" si="2"/>
        <v>-1.5543620329842825E-3</v>
      </c>
    </row>
    <row r="198" spans="1:9">
      <c r="A198" s="12">
        <v>45827</v>
      </c>
      <c r="B198" s="13">
        <v>-7.7739372994309252E-3</v>
      </c>
      <c r="C198" s="14">
        <v>1.6200308019328754E-2</v>
      </c>
      <c r="D198" s="13">
        <v>-3.5688794097584348E-4</v>
      </c>
      <c r="E198" s="14">
        <v>3.7656948265021735E-3</v>
      </c>
      <c r="F198" s="13">
        <v>8.4609059603278046E-3</v>
      </c>
      <c r="G198" s="14">
        <v>2.8874148102214371E-2</v>
      </c>
      <c r="H198" s="13">
        <v>-4.5051089844088494E-3</v>
      </c>
      <c r="I198" s="15">
        <f t="shared" ref="I198:I261" si="3">SUMPRODUCT($B$2:$H$2,B198:H198)</f>
        <v>-1.3070818003380854E-3</v>
      </c>
    </row>
    <row r="199" spans="1:9">
      <c r="A199" s="12">
        <v>45826</v>
      </c>
      <c r="B199" s="13">
        <v>5.8909037461549107E-3</v>
      </c>
      <c r="C199" s="14">
        <v>2.3863583067530621E-2</v>
      </c>
      <c r="D199" s="13">
        <v>-1.7463761862731811E-2</v>
      </c>
      <c r="E199" s="14">
        <v>1.2986926092116127E-2</v>
      </c>
      <c r="F199" s="13">
        <v>1.7666931069583549E-3</v>
      </c>
      <c r="G199" s="14">
        <v>1.3975793581963604E-2</v>
      </c>
      <c r="H199" s="13">
        <v>1.6725220319184209E-2</v>
      </c>
      <c r="I199" s="15">
        <f t="shared" si="3"/>
        <v>9.4434609874702365E-3</v>
      </c>
    </row>
    <row r="200" spans="1:9">
      <c r="A200" s="12">
        <v>45825</v>
      </c>
      <c r="B200" s="13">
        <v>-7.3028347961076445E-3</v>
      </c>
      <c r="C200" s="14">
        <v>6.4349136159181624E-3</v>
      </c>
      <c r="D200" s="13">
        <v>-4.0209214636572836E-2</v>
      </c>
      <c r="E200" s="14">
        <v>-1.85678087634389E-3</v>
      </c>
      <c r="F200" s="13">
        <v>2.4107440232819147E-2</v>
      </c>
      <c r="G200" s="14">
        <v>-2.5378367741904343E-3</v>
      </c>
      <c r="H200" s="13">
        <v>7.6758329124962171E-3</v>
      </c>
      <c r="I200" s="15">
        <f t="shared" si="3"/>
        <v>-4.74463532900018E-3</v>
      </c>
    </row>
    <row r="201" spans="1:9">
      <c r="A201" s="12">
        <v>45824</v>
      </c>
      <c r="B201" s="13">
        <v>-8.8700244494933043E-3</v>
      </c>
      <c r="C201" s="14">
        <v>1.4767921041301894E-2</v>
      </c>
      <c r="D201" s="13">
        <v>1.640841276460115E-2</v>
      </c>
      <c r="E201" s="14">
        <v>-6.1727312429156874E-3</v>
      </c>
      <c r="F201" s="13">
        <v>1.9239538110336662E-3</v>
      </c>
      <c r="G201" s="14">
        <v>6.0553818247826973E-3</v>
      </c>
      <c r="H201" s="13">
        <v>6.4779428319608002E-4</v>
      </c>
      <c r="I201" s="15">
        <f t="shared" si="3"/>
        <v>-3.6427108542107269E-3</v>
      </c>
    </row>
    <row r="202" spans="1:9">
      <c r="A202" s="12">
        <v>45821</v>
      </c>
      <c r="B202" s="13">
        <v>-1.3725265922830208E-2</v>
      </c>
      <c r="C202" s="14">
        <v>9.6512400560137563E-4</v>
      </c>
      <c r="D202" s="13">
        <v>1.7789307313337221E-2</v>
      </c>
      <c r="E202" s="14">
        <v>7.4934627898862573E-3</v>
      </c>
      <c r="F202" s="13">
        <v>1.2666031814766488E-2</v>
      </c>
      <c r="G202" s="14">
        <v>-2.5597941470730441E-3</v>
      </c>
      <c r="H202" s="13">
        <v>-7.93190557417877E-3</v>
      </c>
      <c r="I202" s="15">
        <f t="shared" si="3"/>
        <v>-9.2002807592880664E-3</v>
      </c>
    </row>
    <row r="203" spans="1:9">
      <c r="A203" s="12">
        <v>45820</v>
      </c>
      <c r="B203" s="13">
        <v>2.3457246410968887E-3</v>
      </c>
      <c r="C203" s="14">
        <v>-2.8102240326356525E-3</v>
      </c>
      <c r="D203" s="13">
        <v>1.8644761296441738E-2</v>
      </c>
      <c r="E203" s="14">
        <v>3.0065234238852771E-2</v>
      </c>
      <c r="F203" s="13">
        <v>2.3593217147070588E-2</v>
      </c>
      <c r="G203" s="14">
        <v>-2.9069787913092726E-3</v>
      </c>
      <c r="H203" s="13">
        <v>-5.1043890685195485E-3</v>
      </c>
      <c r="I203" s="15">
        <f t="shared" si="3"/>
        <v>2.7711277885414248E-3</v>
      </c>
    </row>
    <row r="204" spans="1:9">
      <c r="A204" s="12">
        <v>45819</v>
      </c>
      <c r="B204" s="13">
        <v>-4.7875074505185347E-3</v>
      </c>
      <c r="C204" s="14">
        <v>-2.3772848528139032E-3</v>
      </c>
      <c r="D204" s="13">
        <v>1.2032766955321286E-2</v>
      </c>
      <c r="E204" s="14">
        <v>3.7950709685517555E-3</v>
      </c>
      <c r="F204" s="13">
        <v>-1.0198166439918947E-2</v>
      </c>
      <c r="G204" s="14">
        <v>-1.2085717084894595E-3</v>
      </c>
      <c r="H204" s="13">
        <v>1.2388500359502263E-2</v>
      </c>
      <c r="I204" s="15">
        <f t="shared" si="3"/>
        <v>-3.4431246293156435E-3</v>
      </c>
    </row>
    <row r="205" spans="1:9">
      <c r="A205" s="12">
        <v>45818</v>
      </c>
      <c r="B205" s="13">
        <v>4.5621959564260857E-3</v>
      </c>
      <c r="C205" s="14">
        <v>9.999206196614225E-3</v>
      </c>
      <c r="D205" s="13">
        <v>-6.7561818020328455E-3</v>
      </c>
      <c r="E205" s="14">
        <v>1.2087732634637608E-2</v>
      </c>
      <c r="F205" s="13">
        <v>-3.9502322747813432E-3</v>
      </c>
      <c r="G205" s="14">
        <v>5.8897380769217737E-4</v>
      </c>
      <c r="H205" s="13">
        <v>-5.5884218479545006E-3</v>
      </c>
      <c r="I205" s="15">
        <f t="shared" si="3"/>
        <v>5.4309239183273194E-3</v>
      </c>
    </row>
    <row r="206" spans="1:9">
      <c r="A206" s="12">
        <v>45817</v>
      </c>
      <c r="B206" s="13">
        <v>1.2984869466003794E-2</v>
      </c>
      <c r="C206" s="14">
        <v>-2.4466981796667279E-3</v>
      </c>
      <c r="D206" s="13">
        <v>-3.3099090752587643E-2</v>
      </c>
      <c r="E206" s="14">
        <v>-1.4882703509829993E-2</v>
      </c>
      <c r="F206" s="13">
        <v>-1.455223527321005E-2</v>
      </c>
      <c r="G206" s="14">
        <v>1.1339597057581665E-2</v>
      </c>
      <c r="H206" s="13">
        <v>-2.7616209650485477E-2</v>
      </c>
      <c r="I206" s="15">
        <f t="shared" si="3"/>
        <v>7.9796927389825332E-3</v>
      </c>
    </row>
    <row r="207" spans="1:9">
      <c r="A207" s="12">
        <v>45814</v>
      </c>
      <c r="B207" s="13">
        <v>-1.2018429703305831E-3</v>
      </c>
      <c r="C207" s="14">
        <v>1.7346488723853786E-2</v>
      </c>
      <c r="D207" s="13">
        <v>-8.9836214279422778E-3</v>
      </c>
      <c r="E207" s="14">
        <v>-3.8057131561597939E-3</v>
      </c>
      <c r="F207" s="13">
        <v>-6.345390681952748E-3</v>
      </c>
      <c r="G207" s="14">
        <v>-7.3807881883229554E-3</v>
      </c>
      <c r="H207" s="13">
        <v>-1.5935516147567066E-2</v>
      </c>
      <c r="I207" s="15">
        <f t="shared" si="3"/>
        <v>1.285680194958097E-3</v>
      </c>
    </row>
    <row r="208" spans="1:9">
      <c r="A208" s="12">
        <v>45813</v>
      </c>
      <c r="B208" s="13">
        <v>-7.5745765200612531E-4</v>
      </c>
      <c r="C208" s="14">
        <v>8.594757727187018E-4</v>
      </c>
      <c r="D208" s="13">
        <v>0</v>
      </c>
      <c r="E208" s="14">
        <v>-3.4174322132925826E-3</v>
      </c>
      <c r="F208" s="13">
        <v>5.642332349372379E-3</v>
      </c>
      <c r="G208" s="14">
        <v>1.6986131215047159E-2</v>
      </c>
      <c r="H208" s="13">
        <v>-1.1087650375229323E-2</v>
      </c>
      <c r="I208" s="15">
        <f t="shared" si="3"/>
        <v>1.4426998869509737E-4</v>
      </c>
    </row>
    <row r="209" spans="1:9">
      <c r="A209" s="12">
        <v>45812</v>
      </c>
      <c r="B209" s="13">
        <v>2.448526543277593E-3</v>
      </c>
      <c r="C209" s="14">
        <v>-2.215074278758886E-2</v>
      </c>
      <c r="D209" s="13">
        <v>3.7205841746268815E-4</v>
      </c>
      <c r="E209" s="14">
        <v>1.6096582952380247E-3</v>
      </c>
      <c r="F209" s="13">
        <v>-2.5026738533837377E-2</v>
      </c>
      <c r="G209" s="14">
        <v>3.9373706862497479E-3</v>
      </c>
      <c r="H209" s="13">
        <v>-1.0377125289290872E-2</v>
      </c>
      <c r="I209" s="15">
        <f t="shared" si="3"/>
        <v>-1.8388942277544659E-3</v>
      </c>
    </row>
    <row r="210" spans="1:9">
      <c r="A210" s="12">
        <v>45811</v>
      </c>
      <c r="B210" s="13">
        <v>2.9746730927750591E-3</v>
      </c>
      <c r="C210" s="14">
        <v>-1.9960742562538058E-2</v>
      </c>
      <c r="D210" s="13">
        <v>-1.7354218188365089E-2</v>
      </c>
      <c r="E210" s="14">
        <v>6.61258796659477E-3</v>
      </c>
      <c r="F210" s="13">
        <v>1.8575753557764661E-2</v>
      </c>
      <c r="G210" s="14">
        <v>7.8285357058098977E-3</v>
      </c>
      <c r="H210" s="13">
        <v>-1.2737242675706553E-2</v>
      </c>
      <c r="I210" s="15">
        <f t="shared" si="3"/>
        <v>-8.5436332509694103E-4</v>
      </c>
    </row>
    <row r="211" spans="1:9">
      <c r="A211" s="12">
        <v>45810</v>
      </c>
      <c r="B211" s="13">
        <v>4.8646832182198821E-3</v>
      </c>
      <c r="C211" s="14">
        <v>-1.973271785688074E-3</v>
      </c>
      <c r="D211" s="13">
        <v>1.3253942198713802E-2</v>
      </c>
      <c r="E211" s="14">
        <v>6.5691487354694912E-3</v>
      </c>
      <c r="F211" s="13">
        <v>9.0598566143217877E-3</v>
      </c>
      <c r="G211" s="14">
        <v>-7.3450059290875395E-3</v>
      </c>
      <c r="H211" s="13">
        <v>-1.9740559146050594E-3</v>
      </c>
      <c r="I211" s="15">
        <f t="shared" si="3"/>
        <v>3.2792299729031112E-3</v>
      </c>
    </row>
    <row r="212" spans="1:9">
      <c r="A212" s="12">
        <v>45807</v>
      </c>
      <c r="B212" s="13">
        <v>-3.3585254071342159E-3</v>
      </c>
      <c r="C212" s="14">
        <v>2.0263757707452781E-2</v>
      </c>
      <c r="D212" s="13">
        <v>7.9522357356388157E-3</v>
      </c>
      <c r="E212" s="14">
        <v>6.7233790938128592E-3</v>
      </c>
      <c r="F212" s="13">
        <v>1.4019629774767906E-3</v>
      </c>
      <c r="G212" s="14">
        <v>1.0818063312337381E-2</v>
      </c>
      <c r="H212" s="13">
        <v>-1.4787700154379389E-2</v>
      </c>
      <c r="I212" s="15">
        <f t="shared" si="3"/>
        <v>1.8419077527895942E-3</v>
      </c>
    </row>
    <row r="213" spans="1:9">
      <c r="A213" s="12">
        <v>45806</v>
      </c>
      <c r="B213" s="13">
        <v>1.5461282212939676E-2</v>
      </c>
      <c r="C213" s="14">
        <v>-1.2572100074769726E-2</v>
      </c>
      <c r="D213" s="13">
        <v>-2.1064250080773086E-2</v>
      </c>
      <c r="E213" s="14">
        <v>-7.8864357399823567E-4</v>
      </c>
      <c r="F213" s="13">
        <v>3.8951360109125382E-3</v>
      </c>
      <c r="G213" s="14">
        <v>1.1649616730845815E-3</v>
      </c>
      <c r="H213" s="13">
        <v>-1.6319229953035339E-2</v>
      </c>
      <c r="I213" s="15">
        <f t="shared" si="3"/>
        <v>8.5257104813058048E-3</v>
      </c>
    </row>
    <row r="214" spans="1:9">
      <c r="A214" s="12">
        <v>45805</v>
      </c>
      <c r="B214" s="13">
        <v>3.8716742218498231E-3</v>
      </c>
      <c r="C214" s="14">
        <v>-1.4990631239895151E-2</v>
      </c>
      <c r="D214" s="13">
        <v>5.3783862430050828E-3</v>
      </c>
      <c r="E214" s="14">
        <v>3.5440084347293315E-3</v>
      </c>
      <c r="F214" s="13">
        <v>9.0300787260498092E-3</v>
      </c>
      <c r="G214" s="14">
        <v>7.2281945356486672E-3</v>
      </c>
      <c r="H214" s="13">
        <v>-1.319086985036951E-2</v>
      </c>
      <c r="I214" s="15">
        <f t="shared" si="3"/>
        <v>7.1404925741721669E-4</v>
      </c>
    </row>
    <row r="215" spans="1:9">
      <c r="A215" s="12">
        <v>45804</v>
      </c>
      <c r="B215" s="13">
        <v>1.053823348454885E-2</v>
      </c>
      <c r="C215" s="14">
        <v>-2.7169007837232442E-3</v>
      </c>
      <c r="D215" s="13">
        <v>-1.601055154591396E-3</v>
      </c>
      <c r="E215" s="14">
        <v>1.0362787035546658E-2</v>
      </c>
      <c r="F215" s="13">
        <v>1.0318994812325441E-2</v>
      </c>
      <c r="G215" s="14">
        <v>1.4506014002830019E-2</v>
      </c>
      <c r="H215" s="13">
        <v>-1.4764508809373999E-3</v>
      </c>
      <c r="I215" s="15">
        <f t="shared" si="3"/>
        <v>8.2267191451372446E-3</v>
      </c>
    </row>
    <row r="216" spans="1:9">
      <c r="A216" s="12">
        <v>45803</v>
      </c>
      <c r="B216" s="13">
        <v>-1.7186560152303605E-4</v>
      </c>
      <c r="C216" s="14">
        <v>-6.2770276603175273E-3</v>
      </c>
      <c r="D216" s="13">
        <v>-1.471731843267648E-2</v>
      </c>
      <c r="E216" s="14">
        <v>-9.1842365161024613E-3</v>
      </c>
      <c r="F216" s="13">
        <v>1.2726649647024725E-2</v>
      </c>
      <c r="G216" s="14">
        <v>1.2944225312513257E-2</v>
      </c>
      <c r="H216" s="13">
        <v>-2.8778964550043289E-2</v>
      </c>
      <c r="I216" s="15">
        <f t="shared" si="3"/>
        <v>-1.4381330236765369E-3</v>
      </c>
    </row>
    <row r="217" spans="1:9">
      <c r="A217" s="12">
        <v>45800</v>
      </c>
      <c r="B217" s="13">
        <v>-5.0401812601851021E-3</v>
      </c>
      <c r="C217" s="14">
        <v>1.2695128787485526E-2</v>
      </c>
      <c r="D217" s="13">
        <v>-1.3142564906882651E-2</v>
      </c>
      <c r="E217" s="14">
        <v>2.1364184092993656E-2</v>
      </c>
      <c r="F217" s="13">
        <v>-7.850018505927172E-3</v>
      </c>
      <c r="G217" s="14">
        <v>3.6272893170253957E-2</v>
      </c>
      <c r="H217" s="13">
        <v>-4.2877024356391881E-2</v>
      </c>
      <c r="I217" s="15">
        <f t="shared" si="3"/>
        <v>7.7173247580628523E-4</v>
      </c>
    </row>
    <row r="218" spans="1:9">
      <c r="A218" s="12">
        <v>45799</v>
      </c>
      <c r="B218" s="13">
        <v>-7.064410596046255E-3</v>
      </c>
      <c r="C218" s="14">
        <v>2.0512625047654418E-2</v>
      </c>
      <c r="D218" s="13">
        <v>-1.9475098074835218E-2</v>
      </c>
      <c r="E218" s="14">
        <v>7.2755442509558959E-3</v>
      </c>
      <c r="F218" s="13">
        <v>-2.06436112969684E-2</v>
      </c>
      <c r="G218" s="14">
        <v>2.7215435165889876E-3</v>
      </c>
      <c r="H218" s="13">
        <v>-3.9665256392431403E-2</v>
      </c>
      <c r="I218" s="15">
        <f t="shared" si="3"/>
        <v>-1.6846222792847379E-3</v>
      </c>
    </row>
    <row r="219" spans="1:9">
      <c r="A219" s="12">
        <v>45798</v>
      </c>
      <c r="B219" s="13">
        <v>5.7247098835607121E-3</v>
      </c>
      <c r="C219" s="14">
        <v>-3.1930963876007044E-2</v>
      </c>
      <c r="D219" s="13">
        <v>7.6787146344657253E-3</v>
      </c>
      <c r="E219" s="14">
        <v>9.8709989036948713E-3</v>
      </c>
      <c r="F219" s="13">
        <v>2.876272749114376E-3</v>
      </c>
      <c r="G219" s="14">
        <v>-1.1932347786823318E-3</v>
      </c>
      <c r="H219" s="13">
        <v>-1.4807690912498816E-2</v>
      </c>
      <c r="I219" s="15">
        <f t="shared" si="3"/>
        <v>-8.9486807548580147E-4</v>
      </c>
    </row>
    <row r="220" spans="1:9">
      <c r="A220" s="12">
        <v>45797</v>
      </c>
      <c r="B220" s="13">
        <v>-7.2916989741136432E-3</v>
      </c>
      <c r="C220" s="14">
        <v>1.5375178523267004E-2</v>
      </c>
      <c r="D220" s="13">
        <v>-6.5428839980198952E-3</v>
      </c>
      <c r="E220" s="14">
        <v>-3.7850158738145304E-3</v>
      </c>
      <c r="F220" s="13">
        <v>1.7811205975248169E-3</v>
      </c>
      <c r="G220" s="14">
        <v>-9.1670492689853943E-4</v>
      </c>
      <c r="H220" s="13">
        <v>-7.9091703839688342E-3</v>
      </c>
      <c r="I220" s="15">
        <f t="shared" si="3"/>
        <v>-2.9805129574337385E-3</v>
      </c>
    </row>
    <row r="221" spans="1:9">
      <c r="A221" s="12">
        <v>45796</v>
      </c>
      <c r="B221" s="13">
        <v>1.547469825152456E-2</v>
      </c>
      <c r="C221" s="14">
        <v>1.1156347583405142E-2</v>
      </c>
      <c r="D221" s="13">
        <v>2.3414561702727273E-2</v>
      </c>
      <c r="E221" s="14">
        <v>1.8942987289839184E-3</v>
      </c>
      <c r="F221" s="13">
        <v>1.69586968755547E-2</v>
      </c>
      <c r="G221" s="14">
        <v>4.6028086252817716E-3</v>
      </c>
      <c r="H221" s="13">
        <v>-1.7898713571903813E-2</v>
      </c>
      <c r="I221" s="15">
        <f t="shared" si="3"/>
        <v>1.3393171609423967E-2</v>
      </c>
    </row>
    <row r="222" spans="1:9">
      <c r="A222" s="12">
        <v>45793</v>
      </c>
      <c r="B222" s="13">
        <v>9.4771253614411143E-3</v>
      </c>
      <c r="C222" s="14">
        <v>2.2380152128162516E-2</v>
      </c>
      <c r="D222" s="13">
        <v>-8.5704434534831352E-3</v>
      </c>
      <c r="E222" s="14">
        <v>-2.2735894598726329E-3</v>
      </c>
      <c r="F222" s="13">
        <v>-8.2963728020953899E-3</v>
      </c>
      <c r="G222" s="14">
        <v>-4.5472268227495696E-3</v>
      </c>
      <c r="H222" s="13">
        <v>-6.1538782223821843E-2</v>
      </c>
      <c r="I222" s="15">
        <f t="shared" si="3"/>
        <v>9.5861605097967463E-3</v>
      </c>
    </row>
    <row r="223" spans="1:9">
      <c r="A223" s="12">
        <v>45792</v>
      </c>
      <c r="B223" s="13">
        <v>-1.0120722663385618E-2</v>
      </c>
      <c r="C223" s="14">
        <v>-6.705297905661425E-3</v>
      </c>
      <c r="D223" s="13">
        <v>-2.3917285923923459E-2</v>
      </c>
      <c r="E223" s="14">
        <v>1.0378430734656011E-2</v>
      </c>
      <c r="F223" s="13">
        <v>-1.1731785367494689E-2</v>
      </c>
      <c r="G223" s="14">
        <v>-3.4290689185108671E-2</v>
      </c>
      <c r="H223" s="13">
        <v>-2.1446560583694645E-2</v>
      </c>
      <c r="I223" s="15">
        <f t="shared" si="3"/>
        <v>-9.9263340177099813E-3</v>
      </c>
    </row>
    <row r="224" spans="1:9">
      <c r="A224" s="12">
        <v>45791</v>
      </c>
      <c r="B224" s="13">
        <v>-2.0641641773955749E-2</v>
      </c>
      <c r="C224" s="14">
        <v>-3.4308377311307016E-2</v>
      </c>
      <c r="D224" s="13">
        <v>-1.8853779855504051E-2</v>
      </c>
      <c r="E224" s="14">
        <v>-2.3360667284603322E-2</v>
      </c>
      <c r="F224" s="13">
        <v>1.1892964731839602E-3</v>
      </c>
      <c r="G224" s="14">
        <v>1.0442539855214122E-2</v>
      </c>
      <c r="H224" s="13">
        <v>2.4265060902644753E-3</v>
      </c>
      <c r="I224" s="15">
        <f t="shared" si="3"/>
        <v>-2.1392838371063202E-2</v>
      </c>
    </row>
    <row r="225" spans="1:9">
      <c r="A225" s="12">
        <v>45790</v>
      </c>
      <c r="B225" s="13">
        <v>1.8364274799775964E-2</v>
      </c>
      <c r="C225" s="14">
        <v>-1.8342440609963664E-2</v>
      </c>
      <c r="D225" s="13">
        <v>5.365471466713229E-3</v>
      </c>
      <c r="E225" s="14">
        <v>3.8424592211484527E-4</v>
      </c>
      <c r="F225" s="13">
        <v>3.8187783180609502E-2</v>
      </c>
      <c r="G225" s="14">
        <v>-8.1157215180250319E-3</v>
      </c>
      <c r="H225" s="13">
        <v>-2.2396425935046868E-3</v>
      </c>
      <c r="I225" s="15">
        <f t="shared" si="3"/>
        <v>9.7354913877007315E-3</v>
      </c>
    </row>
    <row r="226" spans="1:9">
      <c r="A226" s="12">
        <v>45789</v>
      </c>
      <c r="B226" s="13">
        <v>1.3587049437924697E-2</v>
      </c>
      <c r="C226" s="14">
        <v>-3.5982877778228776E-3</v>
      </c>
      <c r="D226" s="13">
        <v>-6.431867403750278E-3</v>
      </c>
      <c r="E226" s="14">
        <v>-5.7642426420732743E-4</v>
      </c>
      <c r="F226" s="13">
        <v>-3.2262425137034777E-2</v>
      </c>
      <c r="G226" s="14">
        <v>4.8088024886654762E-3</v>
      </c>
      <c r="H226" s="13">
        <v>-2.0385756924474089E-2</v>
      </c>
      <c r="I226" s="15">
        <f t="shared" si="3"/>
        <v>8.9907659011621479E-3</v>
      </c>
    </row>
    <row r="227" spans="1:9">
      <c r="A227" s="12">
        <v>45786</v>
      </c>
      <c r="B227" s="13">
        <v>-2.4399835898396557E-2</v>
      </c>
      <c r="C227" s="14">
        <v>-8.0739151420586644E-3</v>
      </c>
      <c r="D227" s="13">
        <v>-3.4897180108093243E-2</v>
      </c>
      <c r="E227" s="14">
        <v>-9.2682648392431333E-3</v>
      </c>
      <c r="F227" s="13">
        <v>-4.9139772341021591E-2</v>
      </c>
      <c r="G227" s="14">
        <v>-2.0890597562029874E-2</v>
      </c>
      <c r="H227" s="13">
        <v>-7.2727593290796968E-3</v>
      </c>
      <c r="I227" s="15">
        <f t="shared" si="3"/>
        <v>-2.0752718444158495E-2</v>
      </c>
    </row>
    <row r="228" spans="1:9">
      <c r="A228" s="12">
        <v>45785</v>
      </c>
      <c r="B228" s="13">
        <v>1.3037244904283269E-3</v>
      </c>
      <c r="C228" s="14">
        <v>2.8843937187833417E-3</v>
      </c>
      <c r="D228" s="13">
        <v>1.6954421614137096E-2</v>
      </c>
      <c r="E228" s="14">
        <v>-2.1173110110797932E-2</v>
      </c>
      <c r="F228" s="13">
        <v>1.4477382075861241E-2</v>
      </c>
      <c r="G228" s="14">
        <v>3.0278350836767907E-3</v>
      </c>
      <c r="H228" s="13">
        <v>4.0256931584111257E-3</v>
      </c>
      <c r="I228" s="15">
        <f t="shared" si="3"/>
        <v>7.7299029053488574E-4</v>
      </c>
    </row>
    <row r="229" spans="1:9">
      <c r="A229" s="12">
        <v>45784</v>
      </c>
      <c r="B229" s="13">
        <v>1.3587458590577398E-2</v>
      </c>
      <c r="C229" s="14">
        <v>5.9286880466001652E-3</v>
      </c>
      <c r="D229" s="13">
        <v>1.4073887856696684E-2</v>
      </c>
      <c r="E229" s="14">
        <v>9.8581239997794241E-3</v>
      </c>
      <c r="F229" s="13">
        <v>1.8982799414106917E-2</v>
      </c>
      <c r="G229" s="14">
        <v>1.0353196963189482E-2</v>
      </c>
      <c r="H229" s="13">
        <v>1.8199554459835416E-2</v>
      </c>
      <c r="I229" s="15">
        <f t="shared" si="3"/>
        <v>1.2010060893070305E-2</v>
      </c>
    </row>
    <row r="230" spans="1:9">
      <c r="A230" s="12">
        <v>45783</v>
      </c>
      <c r="B230" s="13">
        <v>3.5314374344596562E-2</v>
      </c>
      <c r="C230" s="14">
        <v>3.5035993796316495E-3</v>
      </c>
      <c r="D230" s="13">
        <v>-9.2232668593955642E-3</v>
      </c>
      <c r="E230" s="14">
        <v>-5.9032048641319817E-3</v>
      </c>
      <c r="F230" s="13">
        <v>1.4991757342871198E-3</v>
      </c>
      <c r="G230" s="14">
        <v>6.2523506515859278E-3</v>
      </c>
      <c r="H230" s="13">
        <v>-4.8964316282304968E-3</v>
      </c>
      <c r="I230" s="15">
        <f t="shared" si="3"/>
        <v>2.5619772532589458E-2</v>
      </c>
    </row>
    <row r="231" spans="1:9">
      <c r="A231" s="12">
        <v>45782</v>
      </c>
      <c r="B231" s="13">
        <v>7.7859875502798584E-3</v>
      </c>
      <c r="C231" s="14">
        <v>1.9775556736764951E-2</v>
      </c>
      <c r="D231" s="13">
        <v>2.6215685426462472E-2</v>
      </c>
      <c r="E231" s="14">
        <v>8.0590116765202544E-3</v>
      </c>
      <c r="F231" s="13">
        <v>3.184544286068202E-2</v>
      </c>
      <c r="G231" s="14">
        <v>4.4787477339818544E-3</v>
      </c>
      <c r="H231" s="13">
        <v>5.079288602500958E-2</v>
      </c>
      <c r="I231" s="15">
        <f t="shared" si="3"/>
        <v>1.0282078083477508E-2</v>
      </c>
    </row>
    <row r="232" spans="1:9">
      <c r="A232" s="12">
        <v>45779</v>
      </c>
      <c r="B232" s="13">
        <v>-1.1182983235841782E-2</v>
      </c>
      <c r="C232" s="14">
        <v>-1.9131493596315344E-2</v>
      </c>
      <c r="D232" s="13">
        <v>-8.763591720292294E-3</v>
      </c>
      <c r="E232" s="14">
        <v>-2.5482714956047057E-3</v>
      </c>
      <c r="F232" s="13">
        <v>-7.7692922610738385E-3</v>
      </c>
      <c r="G232" s="14">
        <v>-1.818153569079594E-2</v>
      </c>
      <c r="H232" s="13">
        <v>2.1128171640206885E-2</v>
      </c>
      <c r="I232" s="15">
        <f t="shared" si="3"/>
        <v>-1.2123321455080749E-2</v>
      </c>
    </row>
    <row r="233" spans="1:9">
      <c r="A233" s="12">
        <v>45777</v>
      </c>
      <c r="B233" s="13">
        <v>6.5763860219993087E-3</v>
      </c>
      <c r="C233" s="14">
        <v>1.1031440721573898E-3</v>
      </c>
      <c r="D233" s="13">
        <v>-1.3906446251748307E-2</v>
      </c>
      <c r="E233" s="14">
        <v>9.4546727110684931E-3</v>
      </c>
      <c r="F233" s="13">
        <v>2.3319615207530224E-2</v>
      </c>
      <c r="G233" s="14">
        <v>1.2456007288101133E-3</v>
      </c>
      <c r="H233" s="13">
        <v>1.6932432553706269E-2</v>
      </c>
      <c r="I233" s="15">
        <f t="shared" si="3"/>
        <v>5.3947474227716164E-3</v>
      </c>
    </row>
    <row r="234" spans="1:9">
      <c r="A234" s="12">
        <v>45776</v>
      </c>
      <c r="B234" s="13">
        <v>1.04167608582558E-2</v>
      </c>
      <c r="C234" s="14">
        <v>3.2105701109294039E-3</v>
      </c>
      <c r="D234" s="13">
        <v>2.0109345688362906E-2</v>
      </c>
      <c r="E234" s="14">
        <v>3.7174178110883117E-2</v>
      </c>
      <c r="F234" s="13">
        <v>2.511300560596131E-2</v>
      </c>
      <c r="G234" s="14">
        <v>2.6115769932089049E-2</v>
      </c>
      <c r="H234" s="13">
        <v>3.5176088966218867E-3</v>
      </c>
      <c r="I234" s="15">
        <f t="shared" si="3"/>
        <v>1.1340488089291398E-2</v>
      </c>
    </row>
    <row r="235" spans="1:9">
      <c r="A235" s="12">
        <v>45775</v>
      </c>
      <c r="B235" s="13">
        <v>4.4867742885547893E-4</v>
      </c>
      <c r="C235" s="14">
        <v>1.382468584540042E-2</v>
      </c>
      <c r="D235" s="13">
        <v>3.5630981414710191E-3</v>
      </c>
      <c r="E235" s="14">
        <v>-1.967450242595584E-2</v>
      </c>
      <c r="F235" s="13">
        <v>3.6159698200836908E-3</v>
      </c>
      <c r="G235" s="14">
        <v>5.4845515702577003E-3</v>
      </c>
      <c r="H235" s="13">
        <v>-1.2610158091706403E-2</v>
      </c>
      <c r="I235" s="15">
        <f t="shared" si="3"/>
        <v>1.8803035126418867E-3</v>
      </c>
    </row>
    <row r="236" spans="1:9">
      <c r="A236" s="12">
        <v>45772</v>
      </c>
      <c r="B236" s="13">
        <v>-8.4361039237191553E-3</v>
      </c>
      <c r="C236" s="14">
        <v>-1.8986489135678893E-3</v>
      </c>
      <c r="D236" s="13">
        <v>7.4364627880709536E-3</v>
      </c>
      <c r="E236" s="14">
        <v>1.9086889288270207E-3</v>
      </c>
      <c r="F236" s="13">
        <v>1.3969531464406836E-2</v>
      </c>
      <c r="G236" s="14">
        <v>8.411136840407393E-4</v>
      </c>
      <c r="H236" s="13">
        <v>-1.277120719480938E-2</v>
      </c>
      <c r="I236" s="15">
        <f t="shared" si="3"/>
        <v>-6.1975272606220426E-3</v>
      </c>
    </row>
    <row r="237" spans="1:9">
      <c r="A237" s="12">
        <v>45771</v>
      </c>
      <c r="B237" s="13">
        <v>1.3398893265848213E-2</v>
      </c>
      <c r="C237" s="14">
        <v>5.7072940101702774E-2</v>
      </c>
      <c r="D237" s="13">
        <v>2.9446313396770573E-2</v>
      </c>
      <c r="E237" s="14">
        <v>1.3974588821317089E-2</v>
      </c>
      <c r="F237" s="13">
        <v>4.1737884173972284E-2</v>
      </c>
      <c r="G237" s="14">
        <v>-1.7442877963637846E-2</v>
      </c>
      <c r="H237" s="13">
        <v>3.5928685857297395E-2</v>
      </c>
      <c r="I237" s="15">
        <f t="shared" si="3"/>
        <v>1.977779695777962E-2</v>
      </c>
    </row>
    <row r="238" spans="1:9">
      <c r="A238" s="12">
        <v>45770</v>
      </c>
      <c r="B238" s="13">
        <v>-4.5958393043744111E-3</v>
      </c>
      <c r="C238" s="14">
        <v>7.0695750340311727E-3</v>
      </c>
      <c r="D238" s="13">
        <v>1.4094868751347144E-2</v>
      </c>
      <c r="E238" s="14">
        <v>7.680097691885217E-3</v>
      </c>
      <c r="F238" s="13">
        <v>1.2439810716035971E-2</v>
      </c>
      <c r="G238" s="14">
        <v>-2.6616606869530907E-2</v>
      </c>
      <c r="H238" s="13">
        <v>2.2899707554821101E-2</v>
      </c>
      <c r="I238" s="15">
        <f t="shared" si="3"/>
        <v>-2.5667397145837747E-3</v>
      </c>
    </row>
    <row r="239" spans="1:9">
      <c r="A239" s="12">
        <v>45769</v>
      </c>
      <c r="B239" s="13">
        <v>-8.6385667499836172E-3</v>
      </c>
      <c r="C239" s="14">
        <v>-1.6948107456134957E-2</v>
      </c>
      <c r="D239" s="13">
        <v>-7.9338943154174061E-3</v>
      </c>
      <c r="E239" s="14">
        <v>7.436360723436692E-3</v>
      </c>
      <c r="F239" s="13">
        <v>-2.0878679361900482E-2</v>
      </c>
      <c r="G239" s="14">
        <v>1.9116714842036472E-2</v>
      </c>
      <c r="H239" s="13">
        <v>2.7927406940553511E-3</v>
      </c>
      <c r="I239" s="15">
        <f t="shared" si="3"/>
        <v>-7.8611874917224097E-3</v>
      </c>
    </row>
    <row r="240" spans="1:9">
      <c r="A240" s="12">
        <v>45768</v>
      </c>
      <c r="B240" s="13">
        <v>5.3311588229147042E-3</v>
      </c>
      <c r="C240" s="14">
        <v>-4.5657128360712292E-2</v>
      </c>
      <c r="D240" s="13">
        <v>-1.5620406101097566E-2</v>
      </c>
      <c r="E240" s="14">
        <v>-1.5944179595804828E-2</v>
      </c>
      <c r="F240" s="13">
        <v>4.7556232295682226E-3</v>
      </c>
      <c r="G240" s="14">
        <v>1.3208524288700857E-3</v>
      </c>
      <c r="H240" s="13">
        <v>2.1058250930245888E-2</v>
      </c>
      <c r="I240" s="15">
        <f t="shared" si="3"/>
        <v>-4.6470032402390789E-3</v>
      </c>
    </row>
    <row r="241" spans="1:9">
      <c r="A241" s="12">
        <v>45764</v>
      </c>
      <c r="B241" s="13">
        <v>9.322463656830083E-3</v>
      </c>
      <c r="C241" s="14">
        <v>-1.7777030433805723E-2</v>
      </c>
      <c r="D241" s="13">
        <v>-8.2220401520164202E-3</v>
      </c>
      <c r="E241" s="14">
        <v>-2.8867984000852127E-2</v>
      </c>
      <c r="F241" s="13">
        <v>-1.4335260086381862E-2</v>
      </c>
      <c r="G241" s="14">
        <v>2.7509545388427915E-3</v>
      </c>
      <c r="H241" s="13">
        <v>-5.4994148572855422E-2</v>
      </c>
      <c r="I241" s="15">
        <f t="shared" si="3"/>
        <v>1.7751283730334535E-3</v>
      </c>
    </row>
    <row r="242" spans="1:9">
      <c r="A242" s="12">
        <v>45763</v>
      </c>
      <c r="B242" s="13">
        <v>-3.2468878721481826E-3</v>
      </c>
      <c r="C242" s="14">
        <v>-2.8554341696880063E-3</v>
      </c>
      <c r="D242" s="13">
        <v>6.0263282254355574E-3</v>
      </c>
      <c r="E242" s="14">
        <v>6.7569129062065234E-3</v>
      </c>
      <c r="F242" s="13">
        <v>1.3360055427421298E-3</v>
      </c>
      <c r="G242" s="14">
        <v>5.9345661920061797E-3</v>
      </c>
      <c r="H242" s="13">
        <v>-2.9416961022076513E-2</v>
      </c>
      <c r="I242" s="15">
        <f t="shared" si="3"/>
        <v>-2.3505267361828741E-3</v>
      </c>
    </row>
    <row r="243" spans="1:9">
      <c r="A243" s="12">
        <v>45762</v>
      </c>
      <c r="B243" s="13">
        <v>-1.8131598534383349E-2</v>
      </c>
      <c r="C243" s="14">
        <v>-2.929686809619329E-2</v>
      </c>
      <c r="D243" s="13">
        <v>-2.1627268667915221E-2</v>
      </c>
      <c r="E243" s="14">
        <v>-1.5746524551777559E-2</v>
      </c>
      <c r="F243" s="13">
        <v>1.5280958034647666E-2</v>
      </c>
      <c r="G243" s="14">
        <v>-9.460592176691842E-3</v>
      </c>
      <c r="H243" s="13">
        <v>-3.1184047815376016E-2</v>
      </c>
      <c r="I243" s="15">
        <f t="shared" si="3"/>
        <v>-1.9603928549092056E-2</v>
      </c>
    </row>
    <row r="244" spans="1:9">
      <c r="A244" s="12">
        <v>45758</v>
      </c>
      <c r="B244" s="13">
        <v>-9.1905913791128675E-3</v>
      </c>
      <c r="C244" s="14">
        <v>7.7585780429304278E-3</v>
      </c>
      <c r="D244" s="13">
        <v>-1.6101786946325223E-2</v>
      </c>
      <c r="E244" s="14">
        <v>-2.4655476342359636E-2</v>
      </c>
      <c r="F244" s="13">
        <v>-6.0991756172552793E-2</v>
      </c>
      <c r="G244" s="14">
        <v>8.0799564380434983E-3</v>
      </c>
      <c r="H244" s="13">
        <v>-5.2440580471056791E-2</v>
      </c>
      <c r="I244" s="15">
        <f t="shared" si="3"/>
        <v>-6.7943816935148857E-3</v>
      </c>
    </row>
    <row r="245" spans="1:9">
      <c r="A245" s="12">
        <v>45756</v>
      </c>
      <c r="B245" s="13">
        <v>7.3053033143600449E-3</v>
      </c>
      <c r="C245" s="14">
        <v>1.3294831154902058E-2</v>
      </c>
      <c r="D245" s="13">
        <v>-3.2517049279770383E-3</v>
      </c>
      <c r="E245" s="14">
        <v>-1.9174569096839268E-2</v>
      </c>
      <c r="F245" s="13">
        <v>1.7686762814062922E-3</v>
      </c>
      <c r="G245" s="14">
        <v>-5.0477267851754971E-2</v>
      </c>
      <c r="H245" s="13">
        <v>-2.0514336871785308E-2</v>
      </c>
      <c r="I245" s="15">
        <f t="shared" si="3"/>
        <v>3.939931840887697E-3</v>
      </c>
    </row>
    <row r="246" spans="1:9">
      <c r="A246" s="12">
        <v>45755</v>
      </c>
      <c r="B246" s="13">
        <v>-7.0546662772487823E-3</v>
      </c>
      <c r="C246" s="14">
        <v>-3.8205329983012591E-3</v>
      </c>
      <c r="D246" s="13">
        <v>-1.2237422626316023E-2</v>
      </c>
      <c r="E246" s="14">
        <v>-2.3307650959583639E-3</v>
      </c>
      <c r="F246" s="13">
        <v>-4.0039500649246509E-2</v>
      </c>
      <c r="G246" s="14">
        <v>4.2397311413711641E-2</v>
      </c>
      <c r="H246" s="13">
        <v>-1.0020598287519009E-2</v>
      </c>
      <c r="I246" s="15">
        <f t="shared" si="3"/>
        <v>-4.0955107213314999E-3</v>
      </c>
    </row>
    <row r="247" spans="1:9">
      <c r="A247" s="12">
        <v>45754</v>
      </c>
      <c r="B247" s="13">
        <v>-2.2321459744737593E-2</v>
      </c>
      <c r="C247" s="14">
        <v>-4.5067292189812903E-2</v>
      </c>
      <c r="D247" s="13">
        <v>-4.2678334969798656E-2</v>
      </c>
      <c r="E247" s="14">
        <v>-3.8816324466396906E-2</v>
      </c>
      <c r="F247" s="13">
        <v>-9.5300499309070696E-2</v>
      </c>
      <c r="G247" s="14">
        <v>-2.2977497027320472E-2</v>
      </c>
      <c r="H247" s="13">
        <v>-3.9837849738526818E-2</v>
      </c>
      <c r="I247" s="15">
        <f t="shared" si="3"/>
        <v>-2.7493650211907878E-2</v>
      </c>
    </row>
    <row r="248" spans="1:9">
      <c r="A248" s="12">
        <v>45751</v>
      </c>
      <c r="B248" s="13">
        <v>6.2588018846192273E-3</v>
      </c>
      <c r="C248" s="14">
        <v>1.9531250062084903E-4</v>
      </c>
      <c r="D248" s="13">
        <v>3.507648840725492E-2</v>
      </c>
      <c r="E248" s="14">
        <v>1.926257109884684E-2</v>
      </c>
      <c r="F248" s="13">
        <v>8.2047528095373384E-2</v>
      </c>
      <c r="G248" s="14">
        <v>2.9132772047451842E-2</v>
      </c>
      <c r="H248" s="13">
        <v>6.4548836317906214E-2</v>
      </c>
      <c r="I248" s="15">
        <f t="shared" si="3"/>
        <v>7.8790493162678513E-3</v>
      </c>
    </row>
    <row r="249" spans="1:9">
      <c r="A249" s="12">
        <v>45750</v>
      </c>
      <c r="B249" s="13">
        <v>-2.8265115673654756E-3</v>
      </c>
      <c r="C249" s="14">
        <v>-1.4657744354929494E-3</v>
      </c>
      <c r="D249" s="13">
        <v>1.7852564172291575E-2</v>
      </c>
      <c r="E249" s="14">
        <v>1.3600010596468532E-2</v>
      </c>
      <c r="F249" s="13">
        <v>7.0381522202614469E-3</v>
      </c>
      <c r="G249" s="14">
        <v>1.4226039056032534E-2</v>
      </c>
      <c r="H249" s="13">
        <v>-7.9613616884425236E-3</v>
      </c>
      <c r="I249" s="15">
        <f t="shared" si="3"/>
        <v>-7.5878845586330656E-4</v>
      </c>
    </row>
    <row r="250" spans="1:9">
      <c r="A250" s="12">
        <v>45749</v>
      </c>
      <c r="B250" s="13">
        <v>-1.8363720905809622E-2</v>
      </c>
      <c r="C250" s="14">
        <v>-1.2200072611946612E-2</v>
      </c>
      <c r="D250" s="13">
        <v>6.9109477764704762E-3</v>
      </c>
      <c r="E250" s="14">
        <v>-1.0515518133868532E-2</v>
      </c>
      <c r="F250" s="13">
        <v>-1.6599114115927446E-2</v>
      </c>
      <c r="G250" s="14">
        <v>-1.8559414924287348E-2</v>
      </c>
      <c r="H250" s="13">
        <v>5.9866451541504525E-3</v>
      </c>
      <c r="I250" s="15">
        <f t="shared" si="3"/>
        <v>-1.6424859280104231E-2</v>
      </c>
    </row>
    <row r="251" spans="1:9">
      <c r="A251" s="12">
        <v>45748</v>
      </c>
      <c r="B251" s="13">
        <v>4.0453042089097667E-3</v>
      </c>
      <c r="C251" s="14">
        <v>-2.323357060047071E-2</v>
      </c>
      <c r="D251" s="13">
        <v>-1.6543650225176766E-2</v>
      </c>
      <c r="E251" s="14">
        <v>-1.024877724835474E-2</v>
      </c>
      <c r="F251" s="13">
        <v>2.5424269584557659E-2</v>
      </c>
      <c r="G251" s="14">
        <v>1.1981651070807878E-2</v>
      </c>
      <c r="H251" s="13">
        <v>-4.0174619393819638E-2</v>
      </c>
      <c r="I251" s="15">
        <f t="shared" si="3"/>
        <v>-1.4911250998939306E-3</v>
      </c>
    </row>
    <row r="252" spans="1:9">
      <c r="A252" s="12">
        <v>45744</v>
      </c>
      <c r="B252" s="13">
        <v>1.0587108863535125E-2</v>
      </c>
      <c r="C252" s="14">
        <v>1.3485159569982409E-2</v>
      </c>
      <c r="D252" s="13">
        <v>-2.9732837876037182E-2</v>
      </c>
      <c r="E252" s="14">
        <v>-2.0946955843310609E-2</v>
      </c>
      <c r="F252" s="13">
        <v>-4.8061454170990899E-2</v>
      </c>
      <c r="G252" s="14">
        <v>1.8910307355295804E-2</v>
      </c>
      <c r="H252" s="13">
        <v>-2.5126436757145629E-2</v>
      </c>
      <c r="I252" s="15">
        <f t="shared" si="3"/>
        <v>9.0339660829036762E-3</v>
      </c>
    </row>
    <row r="253" spans="1:9">
      <c r="A253" s="12">
        <v>45743</v>
      </c>
      <c r="B253" s="13">
        <v>-1.0900348394282499E-3</v>
      </c>
      <c r="C253" s="14">
        <v>3.0939692329288765E-3</v>
      </c>
      <c r="D253" s="13">
        <v>1.8546490757239728E-3</v>
      </c>
      <c r="E253" s="14">
        <v>-1.3319299913180311E-3</v>
      </c>
      <c r="F253" s="13">
        <v>1.1482801432027623E-2</v>
      </c>
      <c r="G253" s="14">
        <v>3.2659813834255154E-2</v>
      </c>
      <c r="H253" s="13">
        <v>-2.0708228564069639E-3</v>
      </c>
      <c r="I253" s="15">
        <f t="shared" si="3"/>
        <v>1.2235303294085573E-3</v>
      </c>
    </row>
    <row r="254" spans="1:9">
      <c r="A254" s="12">
        <v>45742</v>
      </c>
      <c r="B254" s="13">
        <v>-6.4146103566856344E-3</v>
      </c>
      <c r="C254" s="14">
        <v>-5.9808614223020174E-4</v>
      </c>
      <c r="D254" s="13">
        <v>2.4009312911054029E-2</v>
      </c>
      <c r="E254" s="14">
        <v>2.3287501175440071E-2</v>
      </c>
      <c r="F254" s="13">
        <v>-5.825649260193729E-3</v>
      </c>
      <c r="G254" s="14">
        <v>-0.11165850488925999</v>
      </c>
      <c r="H254" s="13">
        <v>1.3384324171624275E-2</v>
      </c>
      <c r="I254" s="15">
        <f t="shared" si="3"/>
        <v>-8.3309796026855773E-3</v>
      </c>
    </row>
    <row r="255" spans="1:9">
      <c r="A255" s="12">
        <v>45741</v>
      </c>
      <c r="B255" s="13">
        <v>3.2660808164958082E-3</v>
      </c>
      <c r="C255" s="14">
        <v>-8.9780044935251443E-4</v>
      </c>
      <c r="D255" s="13">
        <v>2.0209943181355064E-2</v>
      </c>
      <c r="E255" s="14">
        <v>-9.6656938457515451E-4</v>
      </c>
      <c r="F255" s="13">
        <v>5.1152254926490462E-2</v>
      </c>
      <c r="G255" s="14">
        <v>7.7599898039583393E-3</v>
      </c>
      <c r="H255" s="13">
        <v>4.8312788363319245E-2</v>
      </c>
      <c r="I255" s="15">
        <f t="shared" si="3"/>
        <v>3.2043378588071064E-3</v>
      </c>
    </row>
    <row r="256" spans="1:9">
      <c r="A256" s="12">
        <v>45740</v>
      </c>
      <c r="B256" s="13">
        <v>-3.5459124888094534E-3</v>
      </c>
      <c r="C256" s="14">
        <v>2.093696861982294E-2</v>
      </c>
      <c r="D256" s="13">
        <v>1.4182494812331191E-2</v>
      </c>
      <c r="E256" s="14">
        <v>2.4052502272587022E-2</v>
      </c>
      <c r="F256" s="13">
        <v>3.9136041174317682E-2</v>
      </c>
      <c r="G256" s="14">
        <v>9.2477968495774236E-4</v>
      </c>
      <c r="H256" s="13">
        <v>4.9801244395262012E-2</v>
      </c>
      <c r="I256" s="15">
        <f t="shared" si="3"/>
        <v>2.8724662757673679E-3</v>
      </c>
    </row>
    <row r="257" spans="1:9">
      <c r="A257" s="12">
        <v>45737</v>
      </c>
      <c r="B257" s="13">
        <v>-9.561170848394366E-3</v>
      </c>
      <c r="C257" s="14">
        <v>-2.2335151210528304E-2</v>
      </c>
      <c r="D257" s="13">
        <v>-6.8146778733134804E-3</v>
      </c>
      <c r="E257" s="14">
        <v>5.3217744724809012E-3</v>
      </c>
      <c r="F257" s="13">
        <v>-1.2130339953755891E-2</v>
      </c>
      <c r="G257" s="14">
        <v>6.4348086890867436E-3</v>
      </c>
      <c r="H257" s="13">
        <v>7.4142728141604781E-4</v>
      </c>
      <c r="I257" s="15">
        <f t="shared" si="3"/>
        <v>-1.0117156764008617E-2</v>
      </c>
    </row>
    <row r="258" spans="1:9">
      <c r="A258" s="12">
        <v>45736</v>
      </c>
      <c r="B258" s="13">
        <v>-5.7546588314972315E-3</v>
      </c>
      <c r="C258" s="14">
        <v>1.497820989135081E-2</v>
      </c>
      <c r="D258" s="13">
        <v>8.7603493694006513E-3</v>
      </c>
      <c r="E258" s="14">
        <v>-3.164729199319205E-2</v>
      </c>
      <c r="F258" s="13">
        <v>-5.9802084409751131E-3</v>
      </c>
      <c r="G258" s="14">
        <v>-2.2622009757448699E-2</v>
      </c>
      <c r="H258" s="13">
        <v>1.4812074546658521E-3</v>
      </c>
      <c r="I258" s="15">
        <f t="shared" si="3"/>
        <v>-4.0838164955992453E-3</v>
      </c>
    </row>
    <row r="259" spans="1:9">
      <c r="A259" s="12">
        <v>45735</v>
      </c>
      <c r="B259" s="13">
        <v>-2.8459486359978504E-3</v>
      </c>
      <c r="C259" s="14">
        <v>-1.2781942661317226E-2</v>
      </c>
      <c r="D259" s="13">
        <v>-5.0466042599936131E-3</v>
      </c>
      <c r="E259" s="14">
        <v>-5.4509864324571045E-3</v>
      </c>
      <c r="F259" s="13">
        <v>-3.3796502315152775E-3</v>
      </c>
      <c r="G259" s="14">
        <v>-2.3843691997518891E-2</v>
      </c>
      <c r="H259" s="13">
        <v>-0.10484672023985438</v>
      </c>
      <c r="I259" s="15">
        <f t="shared" si="3"/>
        <v>-6.4990696067699916E-3</v>
      </c>
    </row>
    <row r="260" spans="1:9">
      <c r="A260" s="12">
        <v>45734</v>
      </c>
      <c r="B260" s="13">
        <v>-2.9640059902509047E-3</v>
      </c>
      <c r="C260" s="14">
        <v>8.3416571084546764E-3</v>
      </c>
      <c r="D260" s="13">
        <v>1.7017021123492621E-3</v>
      </c>
      <c r="E260" s="14">
        <v>-2.6447254757023801E-2</v>
      </c>
      <c r="F260" s="13">
        <v>-3.4148026439210763E-2</v>
      </c>
      <c r="G260" s="14">
        <v>4.9225343590713951E-3</v>
      </c>
      <c r="H260" s="13">
        <v>-1.4904022515915709E-2</v>
      </c>
      <c r="I260" s="15">
        <f t="shared" si="3"/>
        <v>-1.9275007407166119E-3</v>
      </c>
    </row>
    <row r="261" spans="1:9">
      <c r="A261" s="12">
        <v>45733</v>
      </c>
      <c r="B261" s="13">
        <v>-2.421393476520016E-2</v>
      </c>
      <c r="C261" s="14">
        <v>-5.8517399812186141E-3</v>
      </c>
      <c r="D261" s="13">
        <v>-2.0563030346416555E-2</v>
      </c>
      <c r="E261" s="14">
        <v>-2.1104322513295259E-2</v>
      </c>
      <c r="F261" s="13">
        <v>1.1320327943314033E-2</v>
      </c>
      <c r="G261" s="14">
        <v>-3.3779091069241866E-2</v>
      </c>
      <c r="H261" s="13">
        <v>2.2681384681924835E-2</v>
      </c>
      <c r="I261" s="15">
        <f t="shared" si="3"/>
        <v>-2.093392006060479E-2</v>
      </c>
    </row>
    <row r="262" spans="1:9">
      <c r="A262" s="12">
        <v>45729</v>
      </c>
      <c r="B262" s="13">
        <v>5.2799026238046732E-3</v>
      </c>
      <c r="C262" s="14">
        <v>-2.9168944892569392E-2</v>
      </c>
      <c r="D262" s="13">
        <v>1.091519911743051E-2</v>
      </c>
      <c r="E262" s="14">
        <v>-1.7789642227728181E-3</v>
      </c>
      <c r="F262" s="13">
        <v>1.7925727895689834E-2</v>
      </c>
      <c r="G262" s="14">
        <v>-1.9024937992021865E-3</v>
      </c>
      <c r="H262" s="13">
        <v>3.5056168573064081E-2</v>
      </c>
      <c r="I262" s="15">
        <f t="shared" ref="I262:I325" si="4">SUMPRODUCT($B$2:$H$2,B262:H262)</f>
        <v>-8.8687296312583118E-4</v>
      </c>
    </row>
    <row r="263" spans="1:9">
      <c r="A263" s="12">
        <v>45728</v>
      </c>
      <c r="B263" s="13">
        <v>8.9234518864705539E-3</v>
      </c>
      <c r="C263" s="14">
        <v>-1.1537004767928263E-2</v>
      </c>
      <c r="D263" s="13">
        <v>1.3839663306442609E-2</v>
      </c>
      <c r="E263" s="14">
        <v>1.5108963861889519E-2</v>
      </c>
      <c r="F263" s="13">
        <v>-1.6195457349620954E-2</v>
      </c>
      <c r="G263" s="14">
        <v>1.6977797727524988E-2</v>
      </c>
      <c r="H263" s="13">
        <v>-3.4444734741725526E-2</v>
      </c>
      <c r="I263" s="15">
        <f t="shared" si="4"/>
        <v>5.827886401778018E-3</v>
      </c>
    </row>
    <row r="264" spans="1:9">
      <c r="A264" s="12">
        <v>45727</v>
      </c>
      <c r="B264" s="13">
        <v>1.5907974220188238E-2</v>
      </c>
      <c r="C264" s="14">
        <v>3.1512320400243231E-2</v>
      </c>
      <c r="D264" s="13">
        <v>3.1325323010959728E-2</v>
      </c>
      <c r="E264" s="14">
        <v>2.0226383978514936E-2</v>
      </c>
      <c r="F264" s="13">
        <v>8.0352450694142225E-3</v>
      </c>
      <c r="G264" s="14">
        <v>1.0236913789738717E-2</v>
      </c>
      <c r="H264" s="13">
        <v>1.6569382914762343E-2</v>
      </c>
      <c r="I264" s="15">
        <f t="shared" si="4"/>
        <v>1.8679454523633145E-2</v>
      </c>
    </row>
    <row r="265" spans="1:9">
      <c r="A265" s="12">
        <v>45726</v>
      </c>
      <c r="B265" s="13">
        <v>-3.8545820831010959E-3</v>
      </c>
      <c r="C265" s="14">
        <v>1.276825326321367E-2</v>
      </c>
      <c r="D265" s="13">
        <v>-7.6547052707555867E-3</v>
      </c>
      <c r="E265" s="14">
        <v>-8.8475146093616609E-3</v>
      </c>
      <c r="F265" s="13">
        <v>2.5955942747619313E-2</v>
      </c>
      <c r="G265" s="14">
        <v>2.5401119678691689E-2</v>
      </c>
      <c r="H265" s="13">
        <v>4.4103178689308568E-2</v>
      </c>
      <c r="I265" s="15">
        <f t="shared" si="4"/>
        <v>4.5160730882079259E-4</v>
      </c>
    </row>
    <row r="266" spans="1:9">
      <c r="A266" s="12">
        <v>45723</v>
      </c>
      <c r="B266" s="13">
        <v>-3.7813877885670122E-3</v>
      </c>
      <c r="C266" s="14">
        <v>9.6666761816872095E-3</v>
      </c>
      <c r="D266" s="13">
        <v>3.3852917091619229E-2</v>
      </c>
      <c r="E266" s="14">
        <v>2.1316184622527996E-2</v>
      </c>
      <c r="F266" s="13">
        <v>2.9814736954356984E-2</v>
      </c>
      <c r="G266" s="14">
        <v>-1.1545240390390605E-3</v>
      </c>
      <c r="H266" s="13">
        <v>1.2008149628396561E-2</v>
      </c>
      <c r="I266" s="15">
        <f t="shared" si="4"/>
        <v>4.9497933555506311E-4</v>
      </c>
    </row>
    <row r="267" spans="1:9">
      <c r="A267" s="12">
        <v>45722</v>
      </c>
      <c r="B267" s="13">
        <v>-1.0137295092077243E-3</v>
      </c>
      <c r="C267" s="14">
        <v>-1.7328024038401547E-2</v>
      </c>
      <c r="D267" s="13">
        <v>-3.0599776401274752E-2</v>
      </c>
      <c r="E267" s="14">
        <v>-5.4039235392836556E-3</v>
      </c>
      <c r="F267" s="13">
        <v>-1.7085112058730152E-2</v>
      </c>
      <c r="G267" s="14">
        <v>-8.0119462571534173E-3</v>
      </c>
      <c r="H267" s="13">
        <v>-3.7900322606404031E-4</v>
      </c>
      <c r="I267" s="15">
        <f t="shared" si="4"/>
        <v>-4.6958183044477656E-3</v>
      </c>
    </row>
    <row r="268" spans="1:9">
      <c r="A268" s="12">
        <v>45721</v>
      </c>
      <c r="B268" s="13">
        <v>-4.6738427320786133E-2</v>
      </c>
      <c r="C268" s="14">
        <v>-3.3722472281042137E-2</v>
      </c>
      <c r="D268" s="13">
        <v>-1.072187277983754E-2</v>
      </c>
      <c r="E268" s="14">
        <v>-2.2741492262053749E-2</v>
      </c>
      <c r="F268" s="13">
        <v>-2.1681568302701629E-2</v>
      </c>
      <c r="G268" s="14">
        <v>-2.752624123903824E-2</v>
      </c>
      <c r="H268" s="13">
        <v>-1.6627234469465721E-2</v>
      </c>
      <c r="I268" s="15">
        <f t="shared" si="4"/>
        <v>-4.1727909629586585E-2</v>
      </c>
    </row>
    <row r="269" spans="1:9">
      <c r="A269" s="12">
        <v>45720</v>
      </c>
      <c r="B269" s="13">
        <v>-1.4920265144495423E-2</v>
      </c>
      <c r="C269" s="14">
        <v>-4.9710127220203857E-3</v>
      </c>
      <c r="D269" s="13">
        <v>-3.2113879047529874E-2</v>
      </c>
      <c r="E269" s="14">
        <v>-2.3717574149618031E-2</v>
      </c>
      <c r="F269" s="13">
        <v>-1.567104665341805E-2</v>
      </c>
      <c r="G269" s="14">
        <v>-9.9878160028320159E-3</v>
      </c>
      <c r="H269" s="13">
        <v>4.6145054003663361E-3</v>
      </c>
      <c r="I269" s="15">
        <f t="shared" si="4"/>
        <v>-1.3502474018776927E-2</v>
      </c>
    </row>
    <row r="270" spans="1:9">
      <c r="A270" s="12">
        <v>45719</v>
      </c>
      <c r="B270" s="13">
        <v>1.5959394216996711E-2</v>
      </c>
      <c r="C270" s="14">
        <v>1.4532592790233478E-2</v>
      </c>
      <c r="D270" s="13">
        <v>-1.0989121575595317E-2</v>
      </c>
      <c r="E270" s="14">
        <v>-7.8523276061085324E-3</v>
      </c>
      <c r="F270" s="13">
        <v>-1.1290905520561258E-2</v>
      </c>
      <c r="G270" s="14">
        <v>-1.0458238760908975E-2</v>
      </c>
      <c r="H270" s="13">
        <v>2.1820427452119179E-2</v>
      </c>
      <c r="I270" s="15">
        <f t="shared" si="4"/>
        <v>1.2984266362775602E-2</v>
      </c>
    </row>
    <row r="271" spans="1:9">
      <c r="A271" s="12">
        <v>45716</v>
      </c>
      <c r="B271" s="13">
        <v>6.1433875899684692E-3</v>
      </c>
      <c r="C271" s="14">
        <v>-2.0466639449253824E-4</v>
      </c>
      <c r="D271" s="13">
        <v>4.2514851804524023E-2</v>
      </c>
      <c r="E271" s="14">
        <v>2.0818761492126484E-2</v>
      </c>
      <c r="F271" s="13">
        <v>3.6934540531636771E-2</v>
      </c>
      <c r="G271" s="14">
        <v>-4.8226471519597397E-5</v>
      </c>
      <c r="H271" s="13">
        <v>1.2867310398417792E-2</v>
      </c>
      <c r="I271" s="15">
        <f t="shared" si="4"/>
        <v>6.0580466997193329E-3</v>
      </c>
    </row>
    <row r="272" spans="1:9">
      <c r="A272" s="12">
        <v>45715</v>
      </c>
      <c r="B272" s="13">
        <v>1.5432545549738209E-2</v>
      </c>
      <c r="C272" s="14">
        <v>3.3611535893378182E-2</v>
      </c>
      <c r="D272" s="13">
        <v>4.2943584098078504E-2</v>
      </c>
      <c r="E272" s="14">
        <v>1.7883776078159139E-2</v>
      </c>
      <c r="F272" s="13">
        <v>-2.6976587698202083E-2</v>
      </c>
      <c r="G272" s="14">
        <v>3.9248536401461864E-2</v>
      </c>
      <c r="H272" s="13">
        <v>1.8723013889171844E-2</v>
      </c>
      <c r="I272" s="15">
        <f t="shared" si="4"/>
        <v>2.0054535566235404E-2</v>
      </c>
    </row>
    <row r="273" spans="1:9">
      <c r="A273" s="12">
        <v>45713</v>
      </c>
      <c r="B273" s="13">
        <v>5.0018128793090219E-3</v>
      </c>
      <c r="C273" s="14">
        <v>-8.5470605784584083E-3</v>
      </c>
      <c r="D273" s="13">
        <v>9.0236019164474743E-3</v>
      </c>
      <c r="E273" s="14">
        <v>1.645449405636144E-3</v>
      </c>
      <c r="F273" s="13">
        <v>4.1979860519993265E-2</v>
      </c>
      <c r="G273" s="14">
        <v>2.595289493605683E-2</v>
      </c>
      <c r="H273" s="13">
        <v>1.9983656391455622E-3</v>
      </c>
      <c r="I273" s="15">
        <f t="shared" si="4"/>
        <v>3.5976332731426195E-3</v>
      </c>
    </row>
    <row r="274" spans="1:9">
      <c r="A274" s="12">
        <v>45712</v>
      </c>
      <c r="B274" s="13">
        <v>9.5953497919639974E-3</v>
      </c>
      <c r="C274" s="14">
        <v>3.7856191852174534E-3</v>
      </c>
      <c r="D274" s="13">
        <v>6.0489032391345689E-4</v>
      </c>
      <c r="E274" s="14">
        <v>1.8305872037578618E-2</v>
      </c>
      <c r="F274" s="13">
        <v>2.9968496936053496E-2</v>
      </c>
      <c r="G274" s="14">
        <v>-1.3968423310197434E-2</v>
      </c>
      <c r="H274" s="13">
        <v>1.7807827361376715E-2</v>
      </c>
      <c r="I274" s="15">
        <f t="shared" si="4"/>
        <v>7.9253027647799706E-3</v>
      </c>
    </row>
    <row r="275" spans="1:9">
      <c r="A275" s="12">
        <v>45709</v>
      </c>
      <c r="B275" s="13">
        <v>5.0624025696138471E-3</v>
      </c>
      <c r="C275" s="14">
        <v>-2.3338751707018483E-2</v>
      </c>
      <c r="D275" s="13">
        <v>3.0189753776569419E-3</v>
      </c>
      <c r="E275" s="14">
        <v>2.6121435711186344E-2</v>
      </c>
      <c r="F275" s="13">
        <v>-4.3211287487080426E-2</v>
      </c>
      <c r="G275" s="14">
        <v>-5.1142391130153059E-3</v>
      </c>
      <c r="H275" s="13">
        <v>-4.1089830032147627E-3</v>
      </c>
      <c r="I275" s="15">
        <f t="shared" si="4"/>
        <v>6.7820957352505312E-4</v>
      </c>
    </row>
    <row r="276" spans="1:9">
      <c r="A276" s="12">
        <v>45708</v>
      </c>
      <c r="B276" s="13">
        <v>-3.7943972832063253E-3</v>
      </c>
      <c r="C276" s="14">
        <v>1.6271741615234534E-3</v>
      </c>
      <c r="D276" s="13">
        <v>1.1587218278677688E-3</v>
      </c>
      <c r="E276" s="14">
        <v>-2.578164637730207E-2</v>
      </c>
      <c r="F276" s="13">
        <v>2.1974881691153594E-2</v>
      </c>
      <c r="G276" s="14">
        <v>9.8984998232258588E-3</v>
      </c>
      <c r="H276" s="13">
        <v>-1.8611071101073726E-2</v>
      </c>
      <c r="I276" s="15">
        <f t="shared" si="4"/>
        <v>-3.3574033146730395E-3</v>
      </c>
    </row>
    <row r="277" spans="1:9">
      <c r="A277" s="12">
        <v>45707</v>
      </c>
      <c r="B277" s="13">
        <v>-4.4339054180503983E-3</v>
      </c>
      <c r="C277" s="14">
        <v>-6.2178478701224796E-3</v>
      </c>
      <c r="D277" s="13">
        <v>-8.980354887616282E-3</v>
      </c>
      <c r="E277" s="14">
        <v>-2.2634048329255457E-2</v>
      </c>
      <c r="F277" s="13">
        <v>-1.3593730853114839E-3</v>
      </c>
      <c r="G277" s="14">
        <v>1.2152700154320478E-3</v>
      </c>
      <c r="H277" s="13">
        <v>9.6198218934571769E-3</v>
      </c>
      <c r="I277" s="15">
        <f t="shared" si="4"/>
        <v>-5.3097469068038279E-3</v>
      </c>
    </row>
    <row r="278" spans="1:9">
      <c r="A278" s="12">
        <v>45706</v>
      </c>
      <c r="B278" s="13">
        <v>-6.7013650954294191E-4</v>
      </c>
      <c r="C278" s="14">
        <v>6.0145958369023783E-3</v>
      </c>
      <c r="D278" s="13">
        <v>-8.6373348317009616E-3</v>
      </c>
      <c r="E278" s="14">
        <v>-7.8058962083441645E-3</v>
      </c>
      <c r="F278" s="13">
        <v>-8.3781566478102597E-3</v>
      </c>
      <c r="G278" s="14">
        <v>9.4738743573440087E-3</v>
      </c>
      <c r="H278" s="13">
        <v>-3.3801895489441028E-2</v>
      </c>
      <c r="I278" s="15">
        <f t="shared" si="4"/>
        <v>1.9648373694400366E-4</v>
      </c>
    </row>
    <row r="279" spans="1:9">
      <c r="A279" s="12">
        <v>45705</v>
      </c>
      <c r="B279" s="13">
        <v>5.9040597484355407E-3</v>
      </c>
      <c r="C279" s="14">
        <v>-1.6912205482836951E-2</v>
      </c>
      <c r="D279" s="13">
        <v>1.5531022759210904E-2</v>
      </c>
      <c r="E279" s="14">
        <v>5.7186666816186754E-3</v>
      </c>
      <c r="F279" s="13">
        <v>9.925135771586123E-2</v>
      </c>
      <c r="G279" s="14">
        <v>5.3992572223728651E-3</v>
      </c>
      <c r="H279" s="13">
        <v>1.077877003246273E-2</v>
      </c>
      <c r="I279" s="15">
        <f t="shared" si="4"/>
        <v>2.2941482487417899E-3</v>
      </c>
    </row>
    <row r="280" spans="1:9">
      <c r="A280" s="12">
        <v>45702</v>
      </c>
      <c r="B280" s="13">
        <v>-8.7235473957277716E-3</v>
      </c>
      <c r="C280" s="14">
        <v>-1.1226729142686208E-2</v>
      </c>
      <c r="D280" s="13">
        <v>7.9523281904950154E-3</v>
      </c>
      <c r="E280" s="14">
        <v>7.2431084554967573E-3</v>
      </c>
      <c r="F280" s="13">
        <v>-1.2750704020597426E-2</v>
      </c>
      <c r="G280" s="14">
        <v>-2.8338415231631203E-2</v>
      </c>
      <c r="H280" s="13">
        <v>5.4845204388383764E-2</v>
      </c>
      <c r="I280" s="15">
        <f t="shared" si="4"/>
        <v>-8.5440732662585266E-3</v>
      </c>
    </row>
    <row r="281" spans="1:9">
      <c r="A281" s="12">
        <v>45701</v>
      </c>
      <c r="B281" s="13">
        <v>2.2830549120327129E-3</v>
      </c>
      <c r="C281" s="14">
        <v>1.4426071362868456E-2</v>
      </c>
      <c r="D281" s="13">
        <v>1.7574342536921896E-2</v>
      </c>
      <c r="E281" s="14">
        <v>1.4202894773874182E-2</v>
      </c>
      <c r="F281" s="13">
        <v>3.4700807236864646E-2</v>
      </c>
      <c r="G281" s="14">
        <v>1.0134963281301323E-2</v>
      </c>
      <c r="H281" s="13">
        <v>5.3984333458881095E-2</v>
      </c>
      <c r="I281" s="15">
        <f t="shared" si="4"/>
        <v>5.9446198614835945E-3</v>
      </c>
    </row>
    <row r="282" spans="1:9">
      <c r="A282" s="12">
        <v>45700</v>
      </c>
      <c r="B282" s="13">
        <v>-3.6509061416635175E-3</v>
      </c>
      <c r="C282" s="14">
        <v>-1.1340791977893976E-3</v>
      </c>
      <c r="D282" s="13">
        <v>2.7623970276088261E-2</v>
      </c>
      <c r="E282" s="14">
        <v>-3.542546225980798E-3</v>
      </c>
      <c r="F282" s="13">
        <v>-3.8734765140154781E-2</v>
      </c>
      <c r="G282" s="14">
        <v>4.1663681329700962E-2</v>
      </c>
      <c r="H282" s="13">
        <v>-2.9099690143003461E-2</v>
      </c>
      <c r="I282" s="15">
        <f t="shared" si="4"/>
        <v>-9.6448830301519117E-4</v>
      </c>
    </row>
    <row r="283" spans="1:9">
      <c r="A283" s="12">
        <v>45699</v>
      </c>
      <c r="B283" s="13">
        <v>5.6387341456093001E-3</v>
      </c>
      <c r="C283" s="14">
        <v>-1.8322394724265525E-2</v>
      </c>
      <c r="D283" s="13">
        <v>2.2845455413063848E-2</v>
      </c>
      <c r="E283" s="14">
        <v>1.981268770895863E-2</v>
      </c>
      <c r="F283" s="13">
        <v>6.0213391762109457E-2</v>
      </c>
      <c r="G283" s="14">
        <v>1.4922511617375072E-2</v>
      </c>
      <c r="H283" s="13">
        <v>-5.923882705468874E-2</v>
      </c>
      <c r="I283" s="15">
        <f t="shared" si="4"/>
        <v>2.4780902637934303E-3</v>
      </c>
    </row>
    <row r="284" spans="1:9">
      <c r="A284" s="12">
        <v>45698</v>
      </c>
      <c r="B284" s="13">
        <v>1.2990650431026207E-2</v>
      </c>
      <c r="C284" s="14">
        <v>1.8528686628039984E-2</v>
      </c>
      <c r="D284" s="13">
        <v>6.592501433854725E-2</v>
      </c>
      <c r="E284" s="14">
        <v>1.6215897302008977E-2</v>
      </c>
      <c r="F284" s="13">
        <v>6.2097389860721178E-2</v>
      </c>
      <c r="G284" s="14">
        <v>4.2966170409493479E-2</v>
      </c>
      <c r="H284" s="13">
        <v>8.2018855386508716E-2</v>
      </c>
      <c r="I284" s="15">
        <f t="shared" si="4"/>
        <v>1.6774957171378502E-2</v>
      </c>
    </row>
    <row r="285" spans="1:9">
      <c r="A285" s="12">
        <v>45695</v>
      </c>
      <c r="B285" s="13">
        <v>3.7435451809630037E-4</v>
      </c>
      <c r="C285" s="14">
        <v>-1.1305415232099105E-2</v>
      </c>
      <c r="D285" s="13">
        <v>1.105514743927054E-2</v>
      </c>
      <c r="E285" s="14">
        <v>2.6535823635202602E-2</v>
      </c>
      <c r="F285" s="13">
        <v>1.0525632718114672E-2</v>
      </c>
      <c r="G285" s="14">
        <v>-1.6422291080823454E-3</v>
      </c>
      <c r="H285" s="13">
        <v>1.408123987211404E-2</v>
      </c>
      <c r="I285" s="15">
        <f t="shared" si="4"/>
        <v>-1.3686448937074753E-4</v>
      </c>
    </row>
    <row r="286" spans="1:9">
      <c r="A286" s="12">
        <v>45694</v>
      </c>
      <c r="B286" s="13">
        <v>-3.3521555737171648E-3</v>
      </c>
      <c r="C286" s="14">
        <v>-7.0131652915856411E-3</v>
      </c>
      <c r="D286" s="13">
        <v>1.5455158516442255E-2</v>
      </c>
      <c r="E286" s="14">
        <v>2.0827461912883018E-2</v>
      </c>
      <c r="F286" s="13">
        <v>-3.6195792057014502E-3</v>
      </c>
      <c r="G286" s="14">
        <v>3.6121030808412935E-3</v>
      </c>
      <c r="H286" s="13">
        <v>-1.8111472802996684E-3</v>
      </c>
      <c r="I286" s="15">
        <f t="shared" si="4"/>
        <v>-2.1997478199076753E-3</v>
      </c>
    </row>
    <row r="287" spans="1:9">
      <c r="A287" s="12">
        <v>45693</v>
      </c>
      <c r="B287" s="13">
        <v>5.1998530770804062E-3</v>
      </c>
      <c r="C287" s="14">
        <v>6.3871218654623198E-3</v>
      </c>
      <c r="D287" s="13">
        <v>-4.4420931191465011E-3</v>
      </c>
      <c r="E287" s="14">
        <v>-3.6288975248991891E-2</v>
      </c>
      <c r="F287" s="13">
        <v>2.8380529622345264E-2</v>
      </c>
      <c r="G287" s="14">
        <v>2.8316129687573313E-2</v>
      </c>
      <c r="H287" s="13">
        <v>8.2365542915241116E-4</v>
      </c>
      <c r="I287" s="15">
        <f t="shared" si="4"/>
        <v>4.2967342706231515E-3</v>
      </c>
    </row>
    <row r="288" spans="1:9">
      <c r="A288" s="12">
        <v>45692</v>
      </c>
      <c r="B288" s="13">
        <v>3.4196720251673154E-2</v>
      </c>
      <c r="C288" s="14">
        <v>2.1375174911688836E-2</v>
      </c>
      <c r="D288" s="13">
        <v>9.8793339196597621E-3</v>
      </c>
      <c r="E288" s="14">
        <v>1.0145779169421467E-2</v>
      </c>
      <c r="F288" s="13">
        <v>-1.8806145097557063E-2</v>
      </c>
      <c r="G288" s="14">
        <v>1.2245457985428145E-2</v>
      </c>
      <c r="H288" s="13">
        <v>1.4061709789468021E-2</v>
      </c>
      <c r="I288" s="15">
        <f t="shared" si="4"/>
        <v>2.9283770396186983E-2</v>
      </c>
    </row>
    <row r="289" spans="1:9">
      <c r="A289" s="12">
        <v>45691</v>
      </c>
      <c r="B289" s="13">
        <v>-2.6730812930584595E-2</v>
      </c>
      <c r="C289" s="14">
        <v>-8.0008632771916451E-3</v>
      </c>
      <c r="D289" s="13">
        <v>-1.4024703956998365E-2</v>
      </c>
      <c r="E289" s="14">
        <v>-1.006420312010433E-2</v>
      </c>
      <c r="F289" s="13">
        <v>1.2166397840463552E-2</v>
      </c>
      <c r="G289" s="14">
        <v>9.2732708382574566E-3</v>
      </c>
      <c r="H289" s="13">
        <v>-6.0255861816852921E-3</v>
      </c>
      <c r="I289" s="15">
        <f t="shared" si="4"/>
        <v>-2.0688215450406191E-2</v>
      </c>
    </row>
    <row r="290" spans="1:9">
      <c r="A290" s="12">
        <v>45689</v>
      </c>
      <c r="B290" s="13">
        <v>2.5370702211933445E-2</v>
      </c>
      <c r="C290" s="14">
        <v>1.3604260343840768E-2</v>
      </c>
      <c r="D290" s="13">
        <v>1.1172861024063768E-2</v>
      </c>
      <c r="E290" s="14">
        <v>-2.12287191367059E-2</v>
      </c>
      <c r="F290" s="13">
        <v>-1.5176126667753713E-2</v>
      </c>
      <c r="G290" s="14">
        <v>-5.7774787140618929E-3</v>
      </c>
      <c r="H290" s="13">
        <v>3.2304938553255155E-2</v>
      </c>
      <c r="I290" s="15">
        <f t="shared" si="4"/>
        <v>1.9454989707087061E-2</v>
      </c>
    </row>
    <row r="291" spans="1:9">
      <c r="A291" s="12">
        <v>45688</v>
      </c>
      <c r="B291" s="13">
        <v>-2.1647681615215943E-2</v>
      </c>
      <c r="C291" s="14">
        <v>-4.0216840536653441E-2</v>
      </c>
      <c r="D291" s="13">
        <v>-8.525736742682314E-3</v>
      </c>
      <c r="E291" s="14">
        <v>-2.9296369488430823E-2</v>
      </c>
      <c r="F291" s="13">
        <v>2.3181650652983162E-2</v>
      </c>
      <c r="G291" s="14">
        <v>-2.3203701907324467E-3</v>
      </c>
      <c r="H291" s="13">
        <v>-3.6441456789890305E-3</v>
      </c>
      <c r="I291" s="15">
        <f t="shared" si="4"/>
        <v>-2.3890847662228244E-2</v>
      </c>
    </row>
    <row r="292" spans="1:9">
      <c r="A292" s="12">
        <v>45687</v>
      </c>
      <c r="B292" s="13">
        <v>-2.2393341217249479E-2</v>
      </c>
      <c r="C292" s="14">
        <v>6.5359709797856696E-3</v>
      </c>
      <c r="D292" s="13">
        <v>-8.8776740320174533E-3</v>
      </c>
      <c r="E292" s="14">
        <v>9.6062218054399334E-3</v>
      </c>
      <c r="F292" s="13">
        <v>-2.9376360728267815E-2</v>
      </c>
      <c r="G292" s="14">
        <v>-9.4023170529410581E-3</v>
      </c>
      <c r="H292" s="13">
        <v>-5.8903298542112474E-3</v>
      </c>
      <c r="I292" s="15">
        <f t="shared" si="4"/>
        <v>-1.5024594033133148E-2</v>
      </c>
    </row>
    <row r="293" spans="1:9">
      <c r="A293" s="12">
        <v>45686</v>
      </c>
      <c r="B293" s="13">
        <v>-1.1938438238444329E-2</v>
      </c>
      <c r="C293" s="14">
        <v>-3.6488293263136795E-2</v>
      </c>
      <c r="D293" s="13">
        <v>-3.6485603475051753E-2</v>
      </c>
      <c r="E293" s="14">
        <v>8.8833071479794776E-3</v>
      </c>
      <c r="F293" s="13">
        <v>2.0691701145495473E-3</v>
      </c>
      <c r="G293" s="14">
        <v>-3.1275596262457885E-2</v>
      </c>
      <c r="H293" s="13">
        <v>-1.1562679006180581E-2</v>
      </c>
      <c r="I293" s="15">
        <f t="shared" si="4"/>
        <v>-1.6241209760150303E-2</v>
      </c>
    </row>
    <row r="294" spans="1:9">
      <c r="A294" s="12">
        <v>45685</v>
      </c>
      <c r="B294" s="13">
        <v>8.3540055159613356E-3</v>
      </c>
      <c r="C294" s="14">
        <v>2.9952322283351325E-2</v>
      </c>
      <c r="D294" s="13">
        <v>-1.3091096046879453E-2</v>
      </c>
      <c r="E294" s="14">
        <v>-2.5161242068369789E-2</v>
      </c>
      <c r="F294" s="13">
        <v>-8.5897947983133549E-2</v>
      </c>
      <c r="G294" s="14">
        <v>5.4987352922766743E-5</v>
      </c>
      <c r="H294" s="13">
        <v>-4.7805348016347338E-2</v>
      </c>
      <c r="I294" s="15">
        <f t="shared" si="4"/>
        <v>9.108187617205759E-3</v>
      </c>
    </row>
    <row r="295" spans="1:9">
      <c r="A295" s="12">
        <v>45684</v>
      </c>
      <c r="B295" s="13">
        <v>4.317546154631334E-3</v>
      </c>
      <c r="C295" s="14">
        <v>1.5219396363369846E-2</v>
      </c>
      <c r="D295" s="13">
        <v>8.3629526095128459E-4</v>
      </c>
      <c r="E295" s="14">
        <v>2.7264734640358508E-2</v>
      </c>
      <c r="F295" s="13">
        <v>2.4867219798169089E-2</v>
      </c>
      <c r="G295" s="14">
        <v>4.0649324072373171E-2</v>
      </c>
      <c r="H295" s="13">
        <v>1.2125443273170363E-2</v>
      </c>
      <c r="I295" s="15">
        <f t="shared" si="4"/>
        <v>9.0342017273429137E-3</v>
      </c>
    </row>
    <row r="296" spans="1:9">
      <c r="A296" s="12">
        <v>45681</v>
      </c>
      <c r="B296" s="13">
        <v>4.8295359606273704E-3</v>
      </c>
      <c r="C296" s="14">
        <v>2.0831163495808793E-4</v>
      </c>
      <c r="D296" s="13">
        <v>2.5502743860652873E-2</v>
      </c>
      <c r="E296" s="14">
        <v>1.7290296376893378E-2</v>
      </c>
      <c r="F296" s="13">
        <v>3.5004730353482359E-2</v>
      </c>
      <c r="G296" s="14">
        <v>1.6818337302072779E-2</v>
      </c>
      <c r="H296" s="13">
        <v>3.551836690258673E-2</v>
      </c>
      <c r="I296" s="15">
        <f t="shared" si="4"/>
        <v>5.7741681263204772E-3</v>
      </c>
    </row>
    <row r="297" spans="1:9">
      <c r="A297" s="12">
        <v>45680</v>
      </c>
      <c r="B297" s="13">
        <v>6.1470862801324818E-3</v>
      </c>
      <c r="C297" s="14">
        <v>5.2058931885284995E-4</v>
      </c>
      <c r="D297" s="13">
        <v>2.6060106669864871E-2</v>
      </c>
      <c r="E297" s="14">
        <v>-3.9317174290318677E-3</v>
      </c>
      <c r="F297" s="13">
        <v>1.5898856360328261E-3</v>
      </c>
      <c r="G297" s="14">
        <v>-1.9580715230844467E-2</v>
      </c>
      <c r="H297" s="13">
        <v>5.798985322911788E-3</v>
      </c>
      <c r="I297" s="15">
        <f t="shared" si="4"/>
        <v>3.7392308030460061E-3</v>
      </c>
    </row>
    <row r="298" spans="1:9">
      <c r="A298" s="12">
        <v>45679</v>
      </c>
      <c r="B298" s="13">
        <v>-6.2796976185963546E-3</v>
      </c>
      <c r="C298" s="14">
        <v>-8.9921141240471413E-3</v>
      </c>
      <c r="D298" s="13">
        <v>-8.1310982482227286E-3</v>
      </c>
      <c r="E298" s="14">
        <v>4.9638157764039957E-3</v>
      </c>
      <c r="F298" s="13">
        <v>7.9117317341707658E-3</v>
      </c>
      <c r="G298" s="14">
        <v>-1.3847000438261377E-2</v>
      </c>
      <c r="H298" s="13">
        <v>7.3612110286903698E-3</v>
      </c>
      <c r="I298" s="15">
        <f t="shared" si="4"/>
        <v>-6.428158769653255E-3</v>
      </c>
    </row>
    <row r="299" spans="1:9">
      <c r="A299" s="12">
        <v>45678</v>
      </c>
      <c r="B299" s="13">
        <v>-7.7391683151670861E-4</v>
      </c>
      <c r="C299" s="14">
        <v>-1.7871226832652078E-3</v>
      </c>
      <c r="D299" s="13">
        <v>-1.1212110252377594E-3</v>
      </c>
      <c r="E299" s="14">
        <v>1.494857364097779E-2</v>
      </c>
      <c r="F299" s="13">
        <v>-3.1719646141717753E-2</v>
      </c>
      <c r="G299" s="14">
        <v>2.296420302375788E-2</v>
      </c>
      <c r="H299" s="13">
        <v>9.5617537165486853E-4</v>
      </c>
      <c r="I299" s="15">
        <f t="shared" si="4"/>
        <v>9.1422695614431701E-4</v>
      </c>
    </row>
    <row r="300" spans="1:9">
      <c r="A300" s="12">
        <v>45677</v>
      </c>
      <c r="B300" s="13">
        <v>8.8969733955761611E-3</v>
      </c>
      <c r="C300" s="14">
        <v>-1.4199666369958249E-2</v>
      </c>
      <c r="D300" s="13">
        <v>3.2001307361188085E-3</v>
      </c>
      <c r="E300" s="14">
        <v>-6.3207469077082856E-3</v>
      </c>
      <c r="F300" s="13">
        <v>-6.5288588824635556E-3</v>
      </c>
      <c r="G300" s="14">
        <v>1.280991212995229E-2</v>
      </c>
      <c r="H300" s="13">
        <v>-1.5929908436694863E-4</v>
      </c>
      <c r="I300" s="15">
        <f t="shared" si="4"/>
        <v>4.2646451328262917E-3</v>
      </c>
    </row>
    <row r="301" spans="1:9">
      <c r="A301" s="12">
        <v>45674</v>
      </c>
      <c r="B301" s="13">
        <v>-8.6094486498794701E-3</v>
      </c>
      <c r="C301" s="14">
        <v>6.4013658432604591E-4</v>
      </c>
      <c r="D301" s="13">
        <v>-1.9071236215291443E-2</v>
      </c>
      <c r="E301" s="14">
        <v>-1.0232273480503052E-3</v>
      </c>
      <c r="F301" s="13">
        <v>3.2754605975247174E-2</v>
      </c>
      <c r="G301" s="14">
        <v>-5.4140859189036787E-3</v>
      </c>
      <c r="H301" s="13">
        <v>2.4082378914133167E-2</v>
      </c>
      <c r="I301" s="15">
        <f t="shared" si="4"/>
        <v>-6.3367130205486807E-3</v>
      </c>
    </row>
    <row r="302" spans="1:9">
      <c r="A302" s="12">
        <v>45673</v>
      </c>
      <c r="B302" s="13">
        <v>-2.0283946119021106E-2</v>
      </c>
      <c r="C302" s="14">
        <v>-8.5690327251014033E-3</v>
      </c>
      <c r="D302" s="13">
        <v>1.7592448551468711E-2</v>
      </c>
      <c r="E302" s="14">
        <v>-3.8978406104898523E-3</v>
      </c>
      <c r="F302" s="13">
        <v>1.2300462595088378E-2</v>
      </c>
      <c r="G302" s="14">
        <v>-2.543364711624696E-2</v>
      </c>
      <c r="H302" s="13">
        <v>1.864512659479087E-3</v>
      </c>
      <c r="I302" s="15">
        <f t="shared" si="4"/>
        <v>-1.7040106972642449E-2</v>
      </c>
    </row>
    <row r="303" spans="1:9">
      <c r="A303" s="12">
        <v>45672</v>
      </c>
      <c r="B303" s="13">
        <v>6.3438000973759416E-3</v>
      </c>
      <c r="C303" s="14">
        <v>-8.6095571396508275E-4</v>
      </c>
      <c r="D303" s="13">
        <v>-1.8529140468700377E-2</v>
      </c>
      <c r="E303" s="14">
        <v>-1.0282777255659324E-3</v>
      </c>
      <c r="F303" s="13">
        <v>-5.0606945832824678E-2</v>
      </c>
      <c r="G303" s="14">
        <v>-2.7702452504543597E-2</v>
      </c>
      <c r="H303" s="13">
        <v>-6.2286093613357326E-3</v>
      </c>
      <c r="I303" s="15">
        <f t="shared" si="4"/>
        <v>2.6900060989455696E-3</v>
      </c>
    </row>
    <row r="304" spans="1:9">
      <c r="A304" s="12">
        <v>45671</v>
      </c>
      <c r="B304" s="13">
        <v>4.5864969150623556E-3</v>
      </c>
      <c r="C304" s="14">
        <v>-4.2078068234673097E-3</v>
      </c>
      <c r="D304" s="13">
        <v>2.2321635882403611E-2</v>
      </c>
      <c r="E304" s="14">
        <v>2.2608169120031611E-3</v>
      </c>
      <c r="F304" s="13">
        <v>1.0297306059565546E-2</v>
      </c>
      <c r="G304" s="14">
        <v>1.6624275787340423E-2</v>
      </c>
      <c r="H304" s="13">
        <v>-2.739463527566292E-2</v>
      </c>
      <c r="I304" s="15">
        <f t="shared" si="4"/>
        <v>3.5156582878532439E-3</v>
      </c>
    </row>
    <row r="305" spans="1:9">
      <c r="A305" s="12">
        <v>45670</v>
      </c>
      <c r="B305" s="13">
        <v>5.6537567687178795E-3</v>
      </c>
      <c r="C305" s="14">
        <v>-2.4184578616833707E-2</v>
      </c>
      <c r="D305" s="13">
        <v>-2.5533626479759225E-3</v>
      </c>
      <c r="E305" s="14">
        <v>8.178332232701882E-3</v>
      </c>
      <c r="F305" s="13">
        <v>3.6410157588581587E-3</v>
      </c>
      <c r="G305" s="14">
        <v>-6.7536539833719378E-4</v>
      </c>
      <c r="H305" s="13">
        <v>-3.8623684795960345E-2</v>
      </c>
      <c r="I305" s="15">
        <f t="shared" si="4"/>
        <v>-2.129859176144773E-5</v>
      </c>
    </row>
    <row r="306" spans="1:9">
      <c r="A306" s="12">
        <v>45667</v>
      </c>
      <c r="B306" s="13">
        <v>2.9783108339936956E-2</v>
      </c>
      <c r="C306" s="14">
        <v>2.0718746056238014E-2</v>
      </c>
      <c r="D306" s="13">
        <v>2.8472655241838455E-2</v>
      </c>
      <c r="E306" s="14">
        <v>3.3045962795033759E-2</v>
      </c>
      <c r="F306" s="13">
        <v>7.0889493969980453E-3</v>
      </c>
      <c r="G306" s="14">
        <v>9.3870884839514432E-3</v>
      </c>
      <c r="H306" s="13">
        <v>1.7696649703217368E-2</v>
      </c>
      <c r="I306" s="15">
        <f t="shared" si="4"/>
        <v>2.7319823191588644E-2</v>
      </c>
    </row>
    <row r="307" spans="1:9">
      <c r="A307" s="12">
        <v>45666</v>
      </c>
      <c r="B307" s="13">
        <v>1.2610021619798647E-2</v>
      </c>
      <c r="C307" s="14">
        <v>1.6996966844947354E-2</v>
      </c>
      <c r="D307" s="13">
        <v>2.987237591357397E-2</v>
      </c>
      <c r="E307" s="14">
        <v>1.2918558991556474E-2</v>
      </c>
      <c r="F307" s="13">
        <v>-3.5480786658028521E-2</v>
      </c>
      <c r="G307" s="14">
        <v>-2.275815454576655E-4</v>
      </c>
      <c r="H307" s="13">
        <v>3.7169430382724016E-2</v>
      </c>
      <c r="I307" s="15">
        <f t="shared" si="4"/>
        <v>1.3127133711728252E-2</v>
      </c>
    </row>
    <row r="308" spans="1:9">
      <c r="A308" s="12">
        <v>45665</v>
      </c>
      <c r="B308" s="13">
        <v>-6.7669511406910198E-3</v>
      </c>
      <c r="C308" s="14">
        <v>-1.4612917167866425E-2</v>
      </c>
      <c r="D308" s="13">
        <v>3.7676136381161916E-4</v>
      </c>
      <c r="E308" s="14">
        <v>5.8326044231503133E-4</v>
      </c>
      <c r="F308" s="13">
        <v>1.1076062599206637E-2</v>
      </c>
      <c r="G308" s="14">
        <v>-2.5355571621687941E-2</v>
      </c>
      <c r="H308" s="13">
        <v>-1.0639242873487591E-2</v>
      </c>
      <c r="I308" s="15">
        <f t="shared" si="4"/>
        <v>-8.5157063105065593E-3</v>
      </c>
    </row>
    <row r="309" spans="1:9">
      <c r="A309" s="12">
        <v>45664</v>
      </c>
      <c r="B309" s="13">
        <v>-1.8046935078240341E-2</v>
      </c>
      <c r="C309" s="14">
        <v>-2.3435150469663407E-2</v>
      </c>
      <c r="D309" s="13">
        <v>2.190766056204534E-2</v>
      </c>
      <c r="E309" s="14">
        <v>1.2938289976585795E-2</v>
      </c>
      <c r="F309" s="13">
        <v>2.2098627256976647E-2</v>
      </c>
      <c r="G309" s="14">
        <v>-2.8053595229611678E-3</v>
      </c>
      <c r="H309" s="13">
        <v>1.8349138668196617E-2</v>
      </c>
      <c r="I309" s="15">
        <f t="shared" si="4"/>
        <v>-1.5862220737239301E-2</v>
      </c>
    </row>
    <row r="310" spans="1:9">
      <c r="A310" s="12">
        <v>45663</v>
      </c>
      <c r="B310" s="13">
        <v>-1.1163008622117112E-2</v>
      </c>
      <c r="C310" s="14">
        <v>-8.1215332093205073E-3</v>
      </c>
      <c r="D310" s="13">
        <v>-1.1639244749171286E-2</v>
      </c>
      <c r="E310" s="14">
        <v>-1.1578670460546137E-2</v>
      </c>
      <c r="F310" s="13">
        <v>-4.1242148443890091E-2</v>
      </c>
      <c r="G310" s="14">
        <v>-5.9827078585733898E-2</v>
      </c>
      <c r="H310" s="13">
        <v>-5.0282946925359435E-3</v>
      </c>
      <c r="I310" s="15">
        <f t="shared" si="4"/>
        <v>-1.293377936765625E-2</v>
      </c>
    </row>
    <row r="311" spans="1:9">
      <c r="A311" s="12">
        <v>45660</v>
      </c>
      <c r="B311" s="13">
        <v>2.9895124550665272E-2</v>
      </c>
      <c r="C311" s="14">
        <v>2.2641643115971041E-2</v>
      </c>
      <c r="D311" s="13">
        <v>3.9979015996126938E-2</v>
      </c>
      <c r="E311" s="14">
        <v>1.655475728346751E-2</v>
      </c>
      <c r="F311" s="13">
        <v>3.3128670408193367E-2</v>
      </c>
      <c r="G311" s="14">
        <v>2.315132302301268E-2</v>
      </c>
      <c r="H311" s="13">
        <v>4.5574389086885943E-2</v>
      </c>
      <c r="I311" s="15">
        <f t="shared" si="4"/>
        <v>2.7955431825566708E-2</v>
      </c>
    </row>
    <row r="312" spans="1:9">
      <c r="A312" s="12">
        <v>45659</v>
      </c>
      <c r="B312" s="13">
        <v>3.1201940171377732E-3</v>
      </c>
      <c r="C312" s="14">
        <v>-9.8333796506045942E-4</v>
      </c>
      <c r="D312" s="13">
        <v>1.1079360229491433E-2</v>
      </c>
      <c r="E312" s="14">
        <v>2.4787885702022222E-3</v>
      </c>
      <c r="F312" s="13">
        <v>-3.3128670408193291E-2</v>
      </c>
      <c r="G312" s="14">
        <v>1.3282631531126583E-2</v>
      </c>
      <c r="H312" s="13">
        <v>7.0491480496315123E-3</v>
      </c>
      <c r="I312" s="15">
        <f t="shared" si="4"/>
        <v>2.9591196735884763E-3</v>
      </c>
    </row>
    <row r="313" spans="1:9">
      <c r="A313" s="12">
        <v>45658</v>
      </c>
      <c r="B313" s="13">
        <v>-1.6610033543073333E-2</v>
      </c>
      <c r="C313" s="14">
        <v>1.6383598225414692E-3</v>
      </c>
      <c r="D313" s="13">
        <v>-1.9461156517305119E-2</v>
      </c>
      <c r="E313" s="14">
        <v>4.9392197678085241E-3</v>
      </c>
      <c r="F313" s="13">
        <v>-8.8257718249528684E-4</v>
      </c>
      <c r="G313" s="14">
        <v>4.6692910734592464E-3</v>
      </c>
      <c r="H313" s="13">
        <v>2.5672699419254361E-2</v>
      </c>
      <c r="I313" s="15">
        <f t="shared" si="4"/>
        <v>-1.1139897867921234E-2</v>
      </c>
    </row>
    <row r="314" spans="1:9">
      <c r="A314" s="12">
        <v>45657</v>
      </c>
      <c r="B314" s="13">
        <v>-1.0161448097034469E-2</v>
      </c>
      <c r="C314" s="14">
        <v>-2.117648340592963E-2</v>
      </c>
      <c r="D314" s="13">
        <v>1.2885342394045988E-2</v>
      </c>
      <c r="E314" s="14">
        <v>4.3490661345451636E-3</v>
      </c>
      <c r="F314" s="13">
        <v>1.0698704843093735E-2</v>
      </c>
      <c r="G314" s="14">
        <v>7.0747757409369959E-3</v>
      </c>
      <c r="H314" s="13">
        <v>-4.3709478367636649E-4</v>
      </c>
      <c r="I314" s="15">
        <f t="shared" si="4"/>
        <v>-1.0103145575702055E-2</v>
      </c>
    </row>
    <row r="315" spans="1:9">
      <c r="A315" s="12">
        <v>45656</v>
      </c>
      <c r="B315" s="13">
        <v>3.0199602784012798E-3</v>
      </c>
      <c r="C315" s="14">
        <v>-6.6904552005035082E-4</v>
      </c>
      <c r="D315" s="13">
        <v>1.3214256581329346E-2</v>
      </c>
      <c r="E315" s="14">
        <v>-2.6382719261653975E-2</v>
      </c>
      <c r="F315" s="13">
        <v>-3.898950632509726E-3</v>
      </c>
      <c r="G315" s="14">
        <v>-5.0681188228501081E-2</v>
      </c>
      <c r="H315" s="13">
        <v>-3.4544981177003567E-2</v>
      </c>
      <c r="I315" s="15">
        <f t="shared" si="4"/>
        <v>-1.7541972006844295E-3</v>
      </c>
    </row>
    <row r="316" spans="1:9">
      <c r="A316" s="12">
        <v>45653</v>
      </c>
      <c r="B316" s="13">
        <v>-7.3909518073426985E-3</v>
      </c>
      <c r="C316" s="14">
        <v>-1.3362727610961106E-2</v>
      </c>
      <c r="D316" s="13">
        <v>-6.3042725731033061E-2</v>
      </c>
      <c r="E316" s="14">
        <v>1.2322065801998629E-2</v>
      </c>
      <c r="F316" s="13">
        <v>2.3714035184729806E-2</v>
      </c>
      <c r="G316" s="14">
        <v>-6.8910411864154272E-4</v>
      </c>
      <c r="H316" s="13">
        <v>2.1637791136325409E-2</v>
      </c>
      <c r="I316" s="15">
        <f t="shared" si="4"/>
        <v>-7.5321176927302331E-3</v>
      </c>
    </row>
    <row r="317" spans="1:9">
      <c r="A317" s="12">
        <v>45652</v>
      </c>
      <c r="B317" s="13">
        <v>-3.9701847552922739E-3</v>
      </c>
      <c r="C317" s="14">
        <v>-2.9435094274350808E-3</v>
      </c>
      <c r="D317" s="13">
        <v>1.1849451162307706E-2</v>
      </c>
      <c r="E317" s="14">
        <v>-1.9136924754613207E-4</v>
      </c>
      <c r="F317" s="13">
        <v>-2.806800532853869E-3</v>
      </c>
      <c r="G317" s="14">
        <v>1.3012460026967768E-2</v>
      </c>
      <c r="H317" s="13">
        <v>-1.4773233592461181E-3</v>
      </c>
      <c r="I317" s="15">
        <f t="shared" si="4"/>
        <v>-2.5967387791365724E-3</v>
      </c>
    </row>
    <row r="318" spans="1:9">
      <c r="A318" s="12">
        <v>45650</v>
      </c>
      <c r="B318" s="13">
        <v>9.5020950736471304E-3</v>
      </c>
      <c r="C318" s="14">
        <v>6.4417920674823955E-3</v>
      </c>
      <c r="D318" s="13">
        <v>7.6017931294016386E-3</v>
      </c>
      <c r="E318" s="14">
        <v>7.0563847672264262E-3</v>
      </c>
      <c r="F318" s="13">
        <v>1.6570259120256607E-2</v>
      </c>
      <c r="G318" s="14">
        <v>8.84974282963805E-3</v>
      </c>
      <c r="H318" s="13">
        <v>-2.0009626838562746E-2</v>
      </c>
      <c r="I318" s="15">
        <f t="shared" si="4"/>
        <v>8.5760652821457173E-3</v>
      </c>
    </row>
    <row r="319" spans="1:9">
      <c r="A319" s="12">
        <v>45649</v>
      </c>
      <c r="B319" s="13">
        <v>-2.1037875922023841E-3</v>
      </c>
      <c r="C319" s="14">
        <v>-5.6341203811636684E-4</v>
      </c>
      <c r="D319" s="13">
        <v>6.9239922730271533E-3</v>
      </c>
      <c r="E319" s="14">
        <v>7.7615155368918661E-3</v>
      </c>
      <c r="F319" s="13">
        <v>-1.5009952983761839E-2</v>
      </c>
      <c r="G319" s="14">
        <v>5.5807708915201109E-3</v>
      </c>
      <c r="H319" s="13">
        <v>-2.5201791973950362E-2</v>
      </c>
      <c r="I319" s="15">
        <f t="shared" si="4"/>
        <v>-1.0890809661061539E-3</v>
      </c>
    </row>
    <row r="320" spans="1:9">
      <c r="A320" s="12">
        <v>45646</v>
      </c>
      <c r="B320" s="13">
        <v>1.3811097108260271E-3</v>
      </c>
      <c r="C320" s="14">
        <v>2.701487460160518E-3</v>
      </c>
      <c r="D320" s="13">
        <v>2.8362527396899276E-2</v>
      </c>
      <c r="E320" s="14">
        <v>-1.11881322535395E-2</v>
      </c>
      <c r="F320" s="13">
        <v>-2.7262563161994536E-2</v>
      </c>
      <c r="G320" s="14">
        <v>2.5166536518794566E-2</v>
      </c>
      <c r="H320" s="13">
        <v>5.8605966631939373E-3</v>
      </c>
      <c r="I320" s="15">
        <f t="shared" si="4"/>
        <v>2.4331656754191856E-3</v>
      </c>
    </row>
    <row r="321" spans="1:9">
      <c r="A321" s="12">
        <v>45645</v>
      </c>
      <c r="B321" s="13">
        <v>4.1537377723085177E-3</v>
      </c>
      <c r="C321" s="14">
        <v>5.6189246856778281E-4</v>
      </c>
      <c r="D321" s="13">
        <v>2.8615356678981817E-2</v>
      </c>
      <c r="E321" s="14">
        <v>-1.9836952828085768E-2</v>
      </c>
      <c r="F321" s="13">
        <v>4.242609059127072E-2</v>
      </c>
      <c r="G321" s="14">
        <v>3.9995609365016003E-3</v>
      </c>
      <c r="H321" s="13">
        <v>6.7433205719397721E-3</v>
      </c>
      <c r="I321" s="15">
        <f t="shared" si="4"/>
        <v>2.727132261863397E-3</v>
      </c>
    </row>
    <row r="322" spans="1:9">
      <c r="A322" s="12">
        <v>45644</v>
      </c>
      <c r="B322" s="13">
        <v>2.3117929458131226E-2</v>
      </c>
      <c r="C322" s="14">
        <v>1.7374309416016951E-2</v>
      </c>
      <c r="D322" s="13">
        <v>-1.0434636129488523E-2</v>
      </c>
      <c r="E322" s="14">
        <v>1.4866573641168867E-2</v>
      </c>
      <c r="F322" s="13">
        <v>-4.7807845819321661E-2</v>
      </c>
      <c r="G322" s="14">
        <v>3.3070552686713738E-2</v>
      </c>
      <c r="H322" s="13">
        <v>1.9836734970433956E-3</v>
      </c>
      <c r="I322" s="15">
        <f t="shared" si="4"/>
        <v>2.1525120923422274E-2</v>
      </c>
    </row>
    <row r="323" spans="1:9">
      <c r="A323" s="12">
        <v>45643</v>
      </c>
      <c r="B323" s="13">
        <v>4.4879846465132453E-3</v>
      </c>
      <c r="C323" s="14">
        <v>2.2274094795320495E-2</v>
      </c>
      <c r="D323" s="13">
        <v>1.8403626881332593E-2</v>
      </c>
      <c r="E323" s="14">
        <v>3.0616173934175372E-3</v>
      </c>
      <c r="F323" s="13">
        <v>-5.2243284280533715E-2</v>
      </c>
      <c r="G323" s="14">
        <v>-7.2578478608410546E-2</v>
      </c>
      <c r="H323" s="13">
        <v>1.7078930965471702E-2</v>
      </c>
      <c r="I323" s="15">
        <f t="shared" si="4"/>
        <v>4.0309557093392593E-3</v>
      </c>
    </row>
    <row r="324" spans="1:9">
      <c r="A324" s="12">
        <v>45642</v>
      </c>
      <c r="B324" s="13">
        <v>1.944053238589985E-2</v>
      </c>
      <c r="C324" s="14">
        <v>3.0729120304506911E-2</v>
      </c>
      <c r="D324" s="13">
        <v>1.6255002695736202E-2</v>
      </c>
      <c r="E324" s="14">
        <v>-1.9107671788340603E-4</v>
      </c>
      <c r="F324" s="13">
        <v>-2.0923418080375657E-2</v>
      </c>
      <c r="G324" s="14">
        <v>1.9051187413552176E-2</v>
      </c>
      <c r="H324" s="13">
        <v>1.5612539263390011E-2</v>
      </c>
      <c r="I324" s="15">
        <f t="shared" si="4"/>
        <v>2.0235666111445012E-2</v>
      </c>
    </row>
    <row r="325" spans="1:9">
      <c r="A325" s="12">
        <v>45639</v>
      </c>
      <c r="B325" s="13">
        <v>2.2453698699591781E-3</v>
      </c>
      <c r="C325" s="14">
        <v>-5.2493558861436782E-3</v>
      </c>
      <c r="D325" s="13">
        <v>-3.7695016169596474E-2</v>
      </c>
      <c r="E325" s="14">
        <v>4.0049638732774897E-3</v>
      </c>
      <c r="F325" s="13">
        <v>1.1030790925521478E-2</v>
      </c>
      <c r="G325" s="14">
        <v>3.8403480917463119E-3</v>
      </c>
      <c r="H325" s="13">
        <v>2.1455978888542636E-2</v>
      </c>
      <c r="I325" s="15">
        <f t="shared" si="4"/>
        <v>8.0977548409795095E-4</v>
      </c>
    </row>
    <row r="326" spans="1:9">
      <c r="A326" s="12">
        <v>45638</v>
      </c>
      <c r="B326" s="13">
        <v>-7.5461043483638244E-3</v>
      </c>
      <c r="C326" s="14">
        <v>-6.2298918561156155E-3</v>
      </c>
      <c r="D326" s="13">
        <v>1.8081545615247521E-2</v>
      </c>
      <c r="E326" s="14">
        <v>0</v>
      </c>
      <c r="F326" s="13">
        <v>1.2181248624235164E-2</v>
      </c>
      <c r="G326" s="14">
        <v>3.6712258243613493E-3</v>
      </c>
      <c r="H326" s="13">
        <v>0</v>
      </c>
      <c r="I326" s="15">
        <f t="shared" ref="I326:I389" si="5">SUMPRODUCT($B$2:$H$2,B326:H326)</f>
        <v>-6.0196078699419897E-3</v>
      </c>
    </row>
    <row r="327" spans="1:9">
      <c r="A327" s="12">
        <v>45637</v>
      </c>
      <c r="B327" s="13">
        <v>1.1546151133082504E-2</v>
      </c>
      <c r="C327" s="14">
        <v>8.6480184615294626E-3</v>
      </c>
      <c r="D327" s="13">
        <v>1.1943088795698362E-2</v>
      </c>
      <c r="E327" s="14">
        <v>4.1785435917201024E-3</v>
      </c>
      <c r="F327" s="13">
        <v>1.3873346487617058E-2</v>
      </c>
      <c r="G327" s="14">
        <v>7.7760454480912226E-3</v>
      </c>
      <c r="H327" s="13">
        <v>-4.3533247875631106E-2</v>
      </c>
      <c r="I327" s="15">
        <f t="shared" si="5"/>
        <v>1.0071136870360785E-2</v>
      </c>
    </row>
    <row r="328" spans="1:9">
      <c r="A328" s="12">
        <v>45636</v>
      </c>
      <c r="B328" s="13">
        <v>-1.1818205880546334E-2</v>
      </c>
      <c r="C328" s="14">
        <v>2.6217832646746467E-3</v>
      </c>
      <c r="D328" s="13">
        <v>-8.9952564012275964E-3</v>
      </c>
      <c r="E328" s="14">
        <v>-1.8971737809504907E-3</v>
      </c>
      <c r="F328" s="13">
        <v>-2.1733687398075708E-3</v>
      </c>
      <c r="G328" s="14">
        <v>-2.3153001402453203E-3</v>
      </c>
      <c r="H328" s="13">
        <v>2.410365734631389E-3</v>
      </c>
      <c r="I328" s="15">
        <f t="shared" si="5"/>
        <v>-8.2828975505025142E-3</v>
      </c>
    </row>
    <row r="329" spans="1:9">
      <c r="A329" s="12">
        <v>45635</v>
      </c>
      <c r="B329" s="13">
        <v>1.2341161426196981E-3</v>
      </c>
      <c r="C329" s="14">
        <v>3.5546299843467809E-3</v>
      </c>
      <c r="D329" s="13">
        <v>-3.1535632523363624E-2</v>
      </c>
      <c r="E329" s="14">
        <v>3.7276026431758695E-2</v>
      </c>
      <c r="F329" s="13">
        <v>-7.2226735418887281E-3</v>
      </c>
      <c r="G329" s="14">
        <v>1.6184845591272318E-3</v>
      </c>
      <c r="H329" s="13">
        <v>1.2708551096173451E-2</v>
      </c>
      <c r="I329" s="15">
        <f t="shared" si="5"/>
        <v>3.1006479891241574E-3</v>
      </c>
    </row>
    <row r="330" spans="1:9">
      <c r="A330" s="12">
        <v>45632</v>
      </c>
      <c r="B330" s="13">
        <v>1.5700667848925199E-2</v>
      </c>
      <c r="C330" s="14">
        <v>2.8138208342003085E-3</v>
      </c>
      <c r="D330" s="13">
        <v>1.2915179169039219E-2</v>
      </c>
      <c r="E330" s="14">
        <v>1.6511306791908046E-2</v>
      </c>
      <c r="F330" s="13">
        <v>-3.8580324853872125E-2</v>
      </c>
      <c r="G330" s="14">
        <v>2.4253879603367733E-2</v>
      </c>
      <c r="H330" s="13">
        <v>1.1521545472253408E-2</v>
      </c>
      <c r="I330" s="15">
        <f t="shared" si="5"/>
        <v>1.3831114334542673E-2</v>
      </c>
    </row>
    <row r="331" spans="1:9">
      <c r="A331" s="12">
        <v>45631</v>
      </c>
      <c r="B331" s="13">
        <v>9.2177878752326779E-3</v>
      </c>
      <c r="C331" s="14">
        <v>5.0864281562192377E-3</v>
      </c>
      <c r="D331" s="13">
        <v>-1.2561062363367348E-3</v>
      </c>
      <c r="E331" s="14">
        <v>1.7993702252762332E-4</v>
      </c>
      <c r="F331" s="13">
        <v>2.1664625491634511E-2</v>
      </c>
      <c r="G331" s="14">
        <v>-7.0323297723662139E-3</v>
      </c>
      <c r="H331" s="13">
        <v>2.4935839836857827E-3</v>
      </c>
      <c r="I331" s="15">
        <f t="shared" si="5"/>
        <v>7.1429424381711341E-3</v>
      </c>
    </row>
    <row r="332" spans="1:9">
      <c r="A332" s="12">
        <v>45630</v>
      </c>
      <c r="B332" s="13">
        <v>2.9521668952334681E-3</v>
      </c>
      <c r="C332" s="14">
        <v>-9.5714421932449733E-3</v>
      </c>
      <c r="D332" s="13">
        <v>7.2358208975977119E-3</v>
      </c>
      <c r="E332" s="14">
        <v>1.6179778810588364E-3</v>
      </c>
      <c r="F332" s="13">
        <v>-6.9482857409659801E-2</v>
      </c>
      <c r="G332" s="14">
        <v>1.7509157512151444E-2</v>
      </c>
      <c r="H332" s="13">
        <v>5.2600939517426799E-3</v>
      </c>
      <c r="I332" s="15">
        <f t="shared" si="5"/>
        <v>1.4382960725754046E-3</v>
      </c>
    </row>
    <row r="333" spans="1:9">
      <c r="A333" s="12">
        <v>45629</v>
      </c>
      <c r="B333" s="13">
        <v>4.0374584401234159E-3</v>
      </c>
      <c r="C333" s="14">
        <v>8.0171182701420599E-3</v>
      </c>
      <c r="D333" s="13">
        <v>-8.1439909973919471E-3</v>
      </c>
      <c r="E333" s="14">
        <v>1.3913888400254624E-2</v>
      </c>
      <c r="F333" s="13">
        <v>-2.0799264189143067E-2</v>
      </c>
      <c r="G333" s="14">
        <v>3.9041728025031915E-4</v>
      </c>
      <c r="H333" s="13">
        <v>1.216700988562424E-2</v>
      </c>
      <c r="I333" s="15">
        <f t="shared" si="5"/>
        <v>4.9118219947636675E-3</v>
      </c>
    </row>
    <row r="334" spans="1:9">
      <c r="A334" s="12">
        <v>45628</v>
      </c>
      <c r="B334" s="13">
        <v>3.9002161213016052E-3</v>
      </c>
      <c r="C334" s="14">
        <v>1.533346224172292E-2</v>
      </c>
      <c r="D334" s="13">
        <v>-1.9799132753781316E-2</v>
      </c>
      <c r="E334" s="14">
        <v>-2.0220783799113469E-2</v>
      </c>
      <c r="F334" s="13">
        <v>4.503902391084387E-2</v>
      </c>
      <c r="G334" s="14">
        <v>-2.1578775010894127E-2</v>
      </c>
      <c r="H334" s="13">
        <v>8.6343364120858399E-4</v>
      </c>
      <c r="I334" s="15">
        <f t="shared" si="5"/>
        <v>3.1732179938923667E-3</v>
      </c>
    </row>
    <row r="335" spans="1:9">
      <c r="A335" s="12">
        <v>45625</v>
      </c>
      <c r="B335" s="13">
        <v>2.2183457281929034E-4</v>
      </c>
      <c r="C335" s="14">
        <v>8.3393140667007374E-3</v>
      </c>
      <c r="D335" s="13">
        <v>2.1719289749217031E-2</v>
      </c>
      <c r="E335" s="14">
        <v>1.560429832754932E-2</v>
      </c>
      <c r="F335" s="13">
        <v>-3.9611856103072073E-2</v>
      </c>
      <c r="G335" s="14">
        <v>1.9557728499113393E-2</v>
      </c>
      <c r="H335" s="13">
        <v>-2.7119317604574193E-2</v>
      </c>
      <c r="I335" s="15">
        <f t="shared" si="5"/>
        <v>3.2525845175031647E-3</v>
      </c>
    </row>
    <row r="336" spans="1:9">
      <c r="A336" s="12">
        <v>45624</v>
      </c>
      <c r="B336" s="13">
        <v>-8.7289041674214144E-3</v>
      </c>
      <c r="C336" s="14">
        <v>-8.6457335573778635E-3</v>
      </c>
      <c r="D336" s="13">
        <v>-1.9551030910867294E-3</v>
      </c>
      <c r="E336" s="14">
        <v>-2.3225456608621884E-2</v>
      </c>
      <c r="F336" s="13">
        <v>1.5372096381371167E-2</v>
      </c>
      <c r="G336" s="14">
        <v>7.5378760530825277E-3</v>
      </c>
      <c r="H336" s="13">
        <v>-2.8179322591651641E-2</v>
      </c>
      <c r="I336" s="15">
        <f t="shared" si="5"/>
        <v>-8.7190865962197585E-3</v>
      </c>
    </row>
    <row r="337" spans="1:9">
      <c r="A337" s="12">
        <v>45623</v>
      </c>
      <c r="B337" s="13">
        <v>1.367711903091986E-2</v>
      </c>
      <c r="C337" s="14">
        <v>1.8371101308901291E-3</v>
      </c>
      <c r="D337" s="13">
        <v>1.9655292092907572E-2</v>
      </c>
      <c r="E337" s="14">
        <v>3.2733253449691085E-3</v>
      </c>
      <c r="F337" s="13">
        <v>1.8663202726481146E-2</v>
      </c>
      <c r="G337" s="14">
        <v>-7.6329237132727009E-4</v>
      </c>
      <c r="H337" s="13">
        <v>-1.4855928321286176E-2</v>
      </c>
      <c r="I337" s="15">
        <f t="shared" si="5"/>
        <v>1.0336427023320301E-2</v>
      </c>
    </row>
    <row r="338" spans="1:9">
      <c r="A338" s="12">
        <v>45622</v>
      </c>
      <c r="B338" s="13">
        <v>5.2432628277025396E-3</v>
      </c>
      <c r="C338" s="14">
        <v>-6.9579734311211432E-3</v>
      </c>
      <c r="D338" s="13">
        <v>1.7695368920805858E-2</v>
      </c>
      <c r="E338" s="14">
        <v>-3.631741459926795E-4</v>
      </c>
      <c r="F338" s="13">
        <v>-1.5085709574623284E-2</v>
      </c>
      <c r="G338" s="14">
        <v>-3.4563265983428494E-2</v>
      </c>
      <c r="H338" s="13">
        <v>1.485592832128616E-2</v>
      </c>
      <c r="I338" s="15">
        <f t="shared" si="5"/>
        <v>1.2595138364939406E-3</v>
      </c>
    </row>
    <row r="339" spans="1:9">
      <c r="A339" s="12">
        <v>45621</v>
      </c>
      <c r="B339" s="13">
        <v>-1.8249343248723519E-2</v>
      </c>
      <c r="C339" s="14">
        <v>-2.2953700280143513E-2</v>
      </c>
      <c r="D339" s="13">
        <v>-8.4180419011283605E-3</v>
      </c>
      <c r="E339" s="14">
        <v>-3.8320283209790668E-2</v>
      </c>
      <c r="F339" s="13">
        <v>-6.4874322102338483E-2</v>
      </c>
      <c r="G339" s="14">
        <v>1.0154612644133766E-2</v>
      </c>
      <c r="H339" s="13">
        <v>-1.0391291546387337E-2</v>
      </c>
      <c r="I339" s="15">
        <f t="shared" si="5"/>
        <v>-1.8578511529837007E-2</v>
      </c>
    </row>
    <row r="340" spans="1:9">
      <c r="A340" s="12">
        <v>45618</v>
      </c>
      <c r="B340" s="13">
        <v>5.0690511834811545E-3</v>
      </c>
      <c r="C340" s="14">
        <v>7.3517831384588565E-4</v>
      </c>
      <c r="D340" s="13">
        <v>2.019863329801698E-2</v>
      </c>
      <c r="E340" s="14">
        <v>8.6434209663835675E-3</v>
      </c>
      <c r="F340" s="13">
        <v>-1.9036921500739021E-2</v>
      </c>
      <c r="G340" s="14">
        <v>-9.3388640841254292E-4</v>
      </c>
      <c r="H340" s="13">
        <v>-3.1679328538963658E-2</v>
      </c>
      <c r="I340" s="15">
        <f t="shared" si="5"/>
        <v>4.0930045581417567E-3</v>
      </c>
    </row>
    <row r="341" spans="1:9">
      <c r="A341" s="12">
        <v>45617</v>
      </c>
      <c r="B341" s="13">
        <v>-1.7978791940417894E-2</v>
      </c>
      <c r="C341" s="14">
        <v>-2.2830829723789001E-2</v>
      </c>
      <c r="D341" s="13">
        <v>-5.538331975821242E-3</v>
      </c>
      <c r="E341" s="14">
        <v>-4.5157854128347698E-2</v>
      </c>
      <c r="F341" s="13">
        <v>-1.7276444167123484E-2</v>
      </c>
      <c r="G341" s="14">
        <v>-2.1044386647883825E-3</v>
      </c>
      <c r="H341" s="13">
        <v>1.931441056801373E-2</v>
      </c>
      <c r="I341" s="15">
        <f t="shared" si="5"/>
        <v>-1.8937973415117736E-2</v>
      </c>
    </row>
    <row r="342" spans="1:9">
      <c r="A342" s="12">
        <v>45615</v>
      </c>
      <c r="B342" s="13">
        <v>2.2619733299565042E-2</v>
      </c>
      <c r="C342" s="14">
        <v>2.2830829723789046E-2</v>
      </c>
      <c r="D342" s="13">
        <v>4.2065965279675949E-3</v>
      </c>
      <c r="E342" s="14">
        <v>2.1876779928276274E-2</v>
      </c>
      <c r="F342" s="13">
        <v>4.613309359485572E-2</v>
      </c>
      <c r="G342" s="14">
        <v>3.9439109530662432E-3</v>
      </c>
      <c r="H342" s="13">
        <v>3.8442805685036809E-2</v>
      </c>
      <c r="I342" s="15">
        <f t="shared" si="5"/>
        <v>2.1674102791144345E-2</v>
      </c>
    </row>
    <row r="343" spans="1:9">
      <c r="A343" s="12">
        <v>45614</v>
      </c>
      <c r="B343" s="13">
        <v>0</v>
      </c>
      <c r="C343" s="14">
        <v>6.4880930820949987E-3</v>
      </c>
      <c r="D343" s="13">
        <v>1.0988097334656572E-3</v>
      </c>
      <c r="E343" s="14">
        <v>2.1042571131333907E-3</v>
      </c>
      <c r="F343" s="13">
        <v>-7.6725477149721701E-3</v>
      </c>
      <c r="G343" s="14">
        <v>1.5837927661011209E-2</v>
      </c>
      <c r="H343" s="13">
        <v>-2.8846694282220021E-2</v>
      </c>
      <c r="I343" s="15">
        <f t="shared" si="5"/>
        <v>1.7056077310542298E-3</v>
      </c>
    </row>
    <row r="344" spans="1:9">
      <c r="A344" s="12">
        <v>45610</v>
      </c>
      <c r="B344" s="13">
        <v>-2.2146833596653663E-4</v>
      </c>
      <c r="C344" s="14">
        <v>2.584442427828848E-2</v>
      </c>
      <c r="D344" s="13">
        <v>-1.5320058947910047E-3</v>
      </c>
      <c r="E344" s="14">
        <v>-9.2148857085800739E-3</v>
      </c>
      <c r="F344" s="13">
        <v>2.0553625557171759E-2</v>
      </c>
      <c r="G344" s="14">
        <v>-1.5673363754989837E-2</v>
      </c>
      <c r="H344" s="13">
        <v>4.5174799356701337E-2</v>
      </c>
      <c r="I344" s="15">
        <f t="shared" si="5"/>
        <v>3.3923444790869054E-3</v>
      </c>
    </row>
    <row r="345" spans="1:9">
      <c r="A345" s="12">
        <v>45609</v>
      </c>
      <c r="B345" s="13">
        <v>-5.107356191098535E-3</v>
      </c>
      <c r="C345" s="14">
        <v>-4.3803869766439046E-3</v>
      </c>
      <c r="D345" s="13">
        <v>1.6663611709762818E-4</v>
      </c>
      <c r="E345" s="14">
        <v>1.1696039763191236E-2</v>
      </c>
      <c r="F345" s="13">
        <v>-3.3703962265830792E-2</v>
      </c>
      <c r="G345" s="14">
        <v>4.3101450759105561E-3</v>
      </c>
      <c r="H345" s="13">
        <v>2.4998174917831985E-3</v>
      </c>
      <c r="I345" s="15">
        <f t="shared" si="5"/>
        <v>-3.6189335147490329E-3</v>
      </c>
    </row>
    <row r="346" spans="1:9">
      <c r="A346" s="12">
        <v>45608</v>
      </c>
      <c r="B346" s="13">
        <v>1.7592288197583574E-3</v>
      </c>
      <c r="C346" s="14">
        <v>1.2983243535600431E-2</v>
      </c>
      <c r="D346" s="13">
        <v>-8.668111894634214E-4</v>
      </c>
      <c r="E346" s="14">
        <v>1.8508554789662481E-2</v>
      </c>
      <c r="F346" s="13">
        <v>1.3150336708659135E-2</v>
      </c>
      <c r="G346" s="14">
        <v>2.8534526364909059E-2</v>
      </c>
      <c r="H346" s="13">
        <v>3.3504939036166533E-2</v>
      </c>
      <c r="I346" s="15">
        <f t="shared" si="5"/>
        <v>5.9740132237961173E-3</v>
      </c>
    </row>
    <row r="347" spans="1:9">
      <c r="A347" s="12">
        <v>45607</v>
      </c>
      <c r="B347" s="13">
        <v>2.7204021176906439E-2</v>
      </c>
      <c r="C347" s="14">
        <v>-1.0841587523494072E-2</v>
      </c>
      <c r="D347" s="13">
        <v>-8.6760447083639222E-3</v>
      </c>
      <c r="E347" s="14">
        <v>3.9219398483172603E-3</v>
      </c>
      <c r="F347" s="13">
        <v>5.7033829909489533E-2</v>
      </c>
      <c r="G347" s="14">
        <v>2.504176505786225E-2</v>
      </c>
      <c r="H347" s="13">
        <v>-5.8400564816828513E-3</v>
      </c>
      <c r="I347" s="15">
        <f t="shared" si="5"/>
        <v>1.8844758474211576E-2</v>
      </c>
    </row>
    <row r="348" spans="1:9">
      <c r="A348" s="12">
        <v>45604</v>
      </c>
      <c r="B348" s="13">
        <v>8.5264935227392161E-2</v>
      </c>
      <c r="C348" s="14">
        <v>2.7035463997564655E-2</v>
      </c>
      <c r="D348" s="13">
        <v>3.198312731546734E-2</v>
      </c>
      <c r="E348" s="14">
        <v>1.0752791776261697E-2</v>
      </c>
      <c r="F348" s="13">
        <v>5.6743925151858221E-2</v>
      </c>
      <c r="G348" s="14">
        <v>5.7422237727892227E-2</v>
      </c>
      <c r="H348" s="13">
        <v>3.5367143837291344E-2</v>
      </c>
      <c r="I348" s="15">
        <f t="shared" si="5"/>
        <v>6.9338428869749502E-2</v>
      </c>
    </row>
    <row r="349" spans="1:9">
      <c r="A349" s="12">
        <v>45603</v>
      </c>
      <c r="B349" s="13">
        <v>2.6158325581438061E-2</v>
      </c>
      <c r="C349" s="14">
        <v>2.3518967440921454E-2</v>
      </c>
      <c r="D349" s="13">
        <v>5.9272390284843719E-2</v>
      </c>
      <c r="E349" s="14">
        <v>3.1045426920844374E-2</v>
      </c>
      <c r="F349" s="13">
        <v>2.8900523603673806E-2</v>
      </c>
      <c r="G349" s="14">
        <v>2.082300146040867E-2</v>
      </c>
      <c r="H349" s="13">
        <v>2.2497369861816437E-2</v>
      </c>
      <c r="I349" s="15">
        <f t="shared" si="5"/>
        <v>2.6094359788636452E-2</v>
      </c>
    </row>
    <row r="350" spans="1:9">
      <c r="A350" s="12">
        <v>45602</v>
      </c>
      <c r="B350" s="13">
        <v>1.8972198718700178E-2</v>
      </c>
      <c r="C350" s="14">
        <v>1.7092791793541749E-2</v>
      </c>
      <c r="D350" s="13">
        <v>6.8554208805761642E-3</v>
      </c>
      <c r="E350" s="14">
        <v>2.1049684962557443E-2</v>
      </c>
      <c r="F350" s="13">
        <v>2.3805676278193813E-2</v>
      </c>
      <c r="G350" s="14">
        <v>1.1766171279293653E-2</v>
      </c>
      <c r="H350" s="13">
        <v>2.0418404694936259E-2</v>
      </c>
      <c r="I350" s="15">
        <f t="shared" si="5"/>
        <v>1.8287176642649752E-2</v>
      </c>
    </row>
    <row r="351" spans="1:9">
      <c r="A351" s="12">
        <v>45601</v>
      </c>
      <c r="B351" s="13">
        <v>-3.4574594480815792E-3</v>
      </c>
      <c r="C351" s="14">
        <v>-2.262866763174429E-2</v>
      </c>
      <c r="D351" s="13">
        <v>-1.0516569154547763E-2</v>
      </c>
      <c r="E351" s="14">
        <v>-6.1452216915460905E-3</v>
      </c>
      <c r="F351" s="13">
        <v>-4.1716602844723935E-2</v>
      </c>
      <c r="G351" s="14">
        <v>7.3531475993259864E-3</v>
      </c>
      <c r="H351" s="13">
        <v>-3.0717994320713062E-2</v>
      </c>
      <c r="I351" s="15">
        <f t="shared" si="5"/>
        <v>-6.6794704955553006E-3</v>
      </c>
    </row>
    <row r="352" spans="1:9">
      <c r="A352" s="12">
        <v>45600</v>
      </c>
      <c r="B352" s="13">
        <v>9.6509210791634655E-3</v>
      </c>
      <c r="C352" s="14">
        <v>2.1390159399311919E-2</v>
      </c>
      <c r="D352" s="13">
        <v>1.7204133975979717E-2</v>
      </c>
      <c r="E352" s="14">
        <v>6.6702020168415482E-3</v>
      </c>
      <c r="F352" s="13">
        <v>-1.3603294290892624E-2</v>
      </c>
      <c r="G352" s="14">
        <v>5.5613263348211379E-3</v>
      </c>
      <c r="H352" s="13">
        <v>-2.8182553139713896E-2</v>
      </c>
      <c r="I352" s="15">
        <f t="shared" si="5"/>
        <v>1.1048988892430164E-2</v>
      </c>
    </row>
    <row r="353" spans="1:9">
      <c r="A353" s="12">
        <v>45597</v>
      </c>
      <c r="B353" s="13">
        <v>8.3858291818966688E-3</v>
      </c>
      <c r="C353" s="14">
        <v>1.3728026243994653E-2</v>
      </c>
      <c r="D353" s="13">
        <v>1.5631424176666409E-2</v>
      </c>
      <c r="E353" s="14">
        <v>4.189950263854143E-3</v>
      </c>
      <c r="F353" s="13">
        <v>1.7639886708847294E-2</v>
      </c>
      <c r="G353" s="14">
        <v>5.3654804635127978E-2</v>
      </c>
      <c r="H353" s="13">
        <v>-4.4846709799552402E-2</v>
      </c>
      <c r="I353" s="15">
        <f t="shared" si="5"/>
        <v>1.0857023765352957E-2</v>
      </c>
    </row>
    <row r="354" spans="1:9">
      <c r="A354" s="12">
        <v>45596</v>
      </c>
      <c r="B354" s="13">
        <v>-1.4296658038907941E-3</v>
      </c>
      <c r="C354" s="14">
        <v>9.4521315771253622E-3</v>
      </c>
      <c r="D354" s="13">
        <v>-1.8635295054060499E-2</v>
      </c>
      <c r="E354" s="14">
        <v>-6.6422198409946788E-3</v>
      </c>
      <c r="F354" s="13">
        <v>-2.4555483054168634E-2</v>
      </c>
      <c r="G354" s="14">
        <v>-2.6052948737239522E-2</v>
      </c>
      <c r="H354" s="13">
        <v>3.9488168313840579E-3</v>
      </c>
      <c r="I354" s="15">
        <f t="shared" si="5"/>
        <v>-1.200311183664995E-3</v>
      </c>
    </row>
    <row r="355" spans="1:9">
      <c r="A355" s="12">
        <v>45595</v>
      </c>
      <c r="B355" s="13">
        <v>2.0566104227740623E-2</v>
      </c>
      <c r="C355" s="14">
        <v>1.8640384695255075E-2</v>
      </c>
      <c r="D355" s="13">
        <v>-1.7287256968214183E-2</v>
      </c>
      <c r="E355" s="14">
        <v>1.7522345468030877E-3</v>
      </c>
      <c r="F355" s="13">
        <v>-4.1704469755622073E-2</v>
      </c>
      <c r="G355" s="14">
        <v>-0.14641579087882173</v>
      </c>
      <c r="H355" s="13">
        <v>-1.1893540096578418E-2</v>
      </c>
      <c r="I355" s="15">
        <f t="shared" si="5"/>
        <v>1.0698032209306632E-2</v>
      </c>
    </row>
    <row r="356" spans="1:9">
      <c r="A356" s="12">
        <v>45594</v>
      </c>
      <c r="B356" s="13">
        <v>-1.2688873895507799E-3</v>
      </c>
      <c r="C356" s="14">
        <v>-2.5631650796014475E-3</v>
      </c>
      <c r="D356" s="13">
        <v>3.9881656424190247E-2</v>
      </c>
      <c r="E356" s="14">
        <v>3.3208105323171361E-3</v>
      </c>
      <c r="F356" s="13">
        <v>-2.24124958357639E-2</v>
      </c>
      <c r="G356" s="14">
        <v>-1.6612360422778579E-2</v>
      </c>
      <c r="H356" s="13">
        <v>-5.6984651893377598E-2</v>
      </c>
      <c r="I356" s="15">
        <f t="shared" si="5"/>
        <v>-1.9438737230865158E-3</v>
      </c>
    </row>
    <row r="357" spans="1:9">
      <c r="A357" s="12">
        <v>45593</v>
      </c>
      <c r="B357" s="13">
        <v>3.0026545988790102E-3</v>
      </c>
      <c r="C357" s="14">
        <v>-1.1616245675028117E-2</v>
      </c>
      <c r="D357" s="13">
        <v>-2.4084508752940759E-2</v>
      </c>
      <c r="E357" s="14">
        <v>-1.1053713741166501E-2</v>
      </c>
      <c r="F357" s="13">
        <v>-3.847421815391861E-3</v>
      </c>
      <c r="G357" s="14">
        <v>-1.123610653399778E-3</v>
      </c>
      <c r="H357" s="13">
        <v>-2.597960146872106E-2</v>
      </c>
      <c r="I357" s="15">
        <f t="shared" si="5"/>
        <v>-9.3892590232283208E-4</v>
      </c>
    </row>
    <row r="358" spans="1:9">
      <c r="A358" s="12">
        <v>45590</v>
      </c>
      <c r="B358" s="13">
        <v>-1.4715400985411466E-2</v>
      </c>
      <c r="C358" s="14">
        <v>-4.1815792938718257E-3</v>
      </c>
      <c r="D358" s="13">
        <v>-2.5583937606594713E-2</v>
      </c>
      <c r="E358" s="14">
        <v>-1.511005550021065E-2</v>
      </c>
      <c r="F358" s="13">
        <v>5.3631663948006912E-2</v>
      </c>
      <c r="G358" s="14">
        <v>-6.2159949359910233E-3</v>
      </c>
      <c r="H358" s="13">
        <v>-3.2789822822990956E-2</v>
      </c>
      <c r="I358" s="15">
        <f t="shared" si="5"/>
        <v>-1.2763705501754645E-2</v>
      </c>
    </row>
    <row r="359" spans="1:9">
      <c r="A359" s="12">
        <v>45589</v>
      </c>
      <c r="B359" s="13">
        <v>4.721762566904689E-3</v>
      </c>
      <c r="C359" s="14">
        <v>1.3044266551717058E-2</v>
      </c>
      <c r="D359" s="13">
        <v>3.699188339961039E-2</v>
      </c>
      <c r="E359" s="14">
        <v>-3.055338587526937E-2</v>
      </c>
      <c r="F359" s="13">
        <v>6.0844753372133957E-2</v>
      </c>
      <c r="G359" s="14">
        <v>-1.5634269182740494E-3</v>
      </c>
      <c r="H359" s="13">
        <v>2.3437932672664752E-2</v>
      </c>
      <c r="I359" s="15">
        <f t="shared" si="5"/>
        <v>4.712884911934825E-3</v>
      </c>
    </row>
    <row r="360" spans="1:9">
      <c r="A360" s="12">
        <v>45588</v>
      </c>
      <c r="B360" s="13">
        <v>5.9379210650841651E-3</v>
      </c>
      <c r="C360" s="14">
        <v>-1.743044315112394E-2</v>
      </c>
      <c r="D360" s="13">
        <v>-9.1280670069276981E-3</v>
      </c>
      <c r="E360" s="14">
        <v>1.9023804004410162E-2</v>
      </c>
      <c r="F360" s="13">
        <v>4.1837564164130345E-3</v>
      </c>
      <c r="G360" s="14">
        <v>-6.0204063301397635E-3</v>
      </c>
      <c r="H360" s="13">
        <v>6.6198675590969161E-3</v>
      </c>
      <c r="I360" s="15">
        <f t="shared" si="5"/>
        <v>1.8986557960936755E-3</v>
      </c>
    </row>
    <row r="361" spans="1:9">
      <c r="A361" s="12">
        <v>45587</v>
      </c>
      <c r="B361" s="13">
        <v>5.7199712366447306E-3</v>
      </c>
      <c r="C361" s="14">
        <v>7.1758380700714117E-3</v>
      </c>
      <c r="D361" s="13">
        <v>-2.5233729282133103E-3</v>
      </c>
      <c r="E361" s="14">
        <v>-2.1766741770196133E-3</v>
      </c>
      <c r="F361" s="13">
        <v>-4.2908198300321276E-2</v>
      </c>
      <c r="G361" s="14">
        <v>9.4674783885397504E-3</v>
      </c>
      <c r="H361" s="13">
        <v>-9.5400513344388194E-3</v>
      </c>
      <c r="I361" s="15">
        <f t="shared" si="5"/>
        <v>5.4624605552160196E-3</v>
      </c>
    </row>
    <row r="362" spans="1:9">
      <c r="A362" s="12">
        <v>45586</v>
      </c>
      <c r="B362" s="13">
        <v>1.398624197473987E-2</v>
      </c>
      <c r="C362" s="14">
        <v>3.3242034399826155E-2</v>
      </c>
      <c r="D362" s="13">
        <v>7.0373694140868663E-3</v>
      </c>
      <c r="E362" s="14">
        <v>1.2630987127072274E-2</v>
      </c>
      <c r="F362" s="13">
        <v>8.0599043379501301E-2</v>
      </c>
      <c r="G362" s="14">
        <v>3.0161289627169588E-2</v>
      </c>
      <c r="H362" s="13">
        <v>4.4797833434062004E-2</v>
      </c>
      <c r="I362" s="15">
        <f t="shared" si="5"/>
        <v>1.8169708492425628E-2</v>
      </c>
    </row>
    <row r="363" spans="1:9">
      <c r="A363" s="12">
        <v>45583</v>
      </c>
      <c r="B363" s="13">
        <v>-1.8887068586562618E-2</v>
      </c>
      <c r="C363" s="14">
        <v>-5.3908357100665471E-4</v>
      </c>
      <c r="D363" s="13">
        <v>-5.4188136599463956E-2</v>
      </c>
      <c r="E363" s="14">
        <v>2.8982413778083131E-2</v>
      </c>
      <c r="F363" s="13">
        <v>2.9474483497906368E-2</v>
      </c>
      <c r="G363" s="14">
        <v>1.9950432176618162E-2</v>
      </c>
      <c r="H363" s="13">
        <v>1.5109754005706303E-2</v>
      </c>
      <c r="I363" s="15">
        <f t="shared" si="5"/>
        <v>-1.171383672167961E-2</v>
      </c>
    </row>
    <row r="364" spans="1:9">
      <c r="A364" s="12">
        <v>45582</v>
      </c>
      <c r="B364" s="13">
        <v>2.1065593784573896E-2</v>
      </c>
      <c r="C364" s="14">
        <v>3.2301508570316932E-3</v>
      </c>
      <c r="D364" s="13">
        <v>-3.45224738722951E-3</v>
      </c>
      <c r="E364" s="14">
        <v>-1.7420085402470651E-4</v>
      </c>
      <c r="F364" s="13">
        <v>6.1490756118405612E-3</v>
      </c>
      <c r="G364" s="14">
        <v>2.0775564413779486E-2</v>
      </c>
      <c r="H364" s="13">
        <v>7.470116298583465E-3</v>
      </c>
      <c r="I364" s="15">
        <f t="shared" si="5"/>
        <v>1.6553933404282135E-2</v>
      </c>
    </row>
    <row r="365" spans="1:9">
      <c r="A365" s="12">
        <v>45581</v>
      </c>
      <c r="B365" s="13">
        <v>8.5533965048913922E-3</v>
      </c>
      <c r="C365" s="14">
        <v>2.0482163025608877E-2</v>
      </c>
      <c r="D365" s="13">
        <v>7.4012971053258056E-3</v>
      </c>
      <c r="E365" s="14">
        <v>2.9186621086531868E-2</v>
      </c>
      <c r="F365" s="13">
        <v>1.5782305332679863E-2</v>
      </c>
      <c r="G365" s="14">
        <v>2.8126005208608272E-2</v>
      </c>
      <c r="H365" s="13">
        <v>-6.0771803754279042E-4</v>
      </c>
      <c r="I365" s="15">
        <f t="shared" si="5"/>
        <v>1.242007218168285E-2</v>
      </c>
    </row>
    <row r="366" spans="1:9">
      <c r="A366" s="12">
        <v>45580</v>
      </c>
      <c r="B366" s="13">
        <v>-4.8786930826923399E-3</v>
      </c>
      <c r="C366" s="14">
        <v>2.0071050415216056E-2</v>
      </c>
      <c r="D366" s="13">
        <v>-4.4487881830855093E-2</v>
      </c>
      <c r="E366" s="14">
        <v>-3.1628624742083514E-2</v>
      </c>
      <c r="F366" s="13">
        <v>-5.3482065682481446E-4</v>
      </c>
      <c r="G366" s="14">
        <v>2.2309159285600393E-2</v>
      </c>
      <c r="H366" s="13">
        <v>1.4783796184236912E-2</v>
      </c>
      <c r="I366" s="15">
        <f t="shared" si="5"/>
        <v>-1.0533422437275515E-3</v>
      </c>
    </row>
    <row r="367" spans="1:9">
      <c r="A367" s="12">
        <v>45579</v>
      </c>
      <c r="B367" s="13">
        <v>-9.1546186940590947E-3</v>
      </c>
      <c r="C367" s="14">
        <v>-2.2267598326450349E-2</v>
      </c>
      <c r="D367" s="13">
        <v>-1.8648871834068801E-2</v>
      </c>
      <c r="E367" s="14">
        <v>5.2255823491981551E-3</v>
      </c>
      <c r="F367" s="13">
        <v>-7.0557850815097687E-3</v>
      </c>
      <c r="G367" s="14">
        <v>-3.1371612385592919E-2</v>
      </c>
      <c r="H367" s="13">
        <v>-6.6106009966021067E-3</v>
      </c>
      <c r="I367" s="15">
        <f t="shared" si="5"/>
        <v>-1.1788401283847692E-2</v>
      </c>
    </row>
    <row r="368" spans="1:9">
      <c r="A368" s="12">
        <v>45576</v>
      </c>
      <c r="B368" s="13">
        <v>-6.4183270119131622E-4</v>
      </c>
      <c r="C368" s="14">
        <v>5.4386098966717521E-3</v>
      </c>
      <c r="D368" s="13">
        <v>3.4136070325977343E-3</v>
      </c>
      <c r="E368" s="14">
        <v>3.2954673827357245E-3</v>
      </c>
      <c r="F368" s="13">
        <v>2.9971203991446781E-3</v>
      </c>
      <c r="G368" s="14">
        <v>1.2962941048826775E-2</v>
      </c>
      <c r="H368" s="13">
        <v>1.5062512261877596E-3</v>
      </c>
      <c r="I368" s="15">
        <f t="shared" si="5"/>
        <v>1.2870919439378938E-3</v>
      </c>
    </row>
    <row r="369" spans="1:9">
      <c r="A369" s="12">
        <v>45575</v>
      </c>
      <c r="B369" s="13">
        <v>7.1847166992110873E-3</v>
      </c>
      <c r="C369" s="14">
        <v>3.0571714425495786E-3</v>
      </c>
      <c r="D369" s="13">
        <v>-9.0495287884348932E-3</v>
      </c>
      <c r="E369" s="14">
        <v>9.4787439545437387E-3</v>
      </c>
      <c r="F369" s="13">
        <v>1.9931014646979201E-3</v>
      </c>
      <c r="G369" s="14">
        <v>2.1428277278466936E-2</v>
      </c>
      <c r="H369" s="13">
        <v>-7.5284201402615089E-4</v>
      </c>
      <c r="I369" s="15">
        <f t="shared" si="5"/>
        <v>6.9915357255774576E-3</v>
      </c>
    </row>
    <row r="370" spans="1:9">
      <c r="A370" s="12">
        <v>45574</v>
      </c>
      <c r="B370" s="13">
        <v>6.4353955835465904E-3</v>
      </c>
      <c r="C370" s="14">
        <v>4.3512382637384689E-3</v>
      </c>
      <c r="D370" s="13">
        <v>-2.5226712771481965E-3</v>
      </c>
      <c r="E370" s="14">
        <v>-3.4311202944266105E-4</v>
      </c>
      <c r="F370" s="13">
        <v>-3.0679576142461653E-3</v>
      </c>
      <c r="G370" s="14">
        <v>2.9624259515945373E-2</v>
      </c>
      <c r="H370" s="13">
        <v>3.3082736940201135E-3</v>
      </c>
      <c r="I370" s="15">
        <f t="shared" si="5"/>
        <v>6.6812561529015812E-3</v>
      </c>
    </row>
    <row r="371" spans="1:9">
      <c r="A371" s="12">
        <v>45573</v>
      </c>
      <c r="B371" s="13">
        <v>2.9836731015908022E-3</v>
      </c>
      <c r="C371" s="14">
        <v>-4.7001566203835948E-3</v>
      </c>
      <c r="D371" s="13">
        <v>3.305450182089097E-3</v>
      </c>
      <c r="E371" s="14">
        <v>-1.5040477147458471E-2</v>
      </c>
      <c r="F371" s="13">
        <v>2.9891370769757598E-2</v>
      </c>
      <c r="G371" s="14">
        <v>-0.10168351231439758</v>
      </c>
      <c r="H371" s="13">
        <v>-1.9097276354857112E-2</v>
      </c>
      <c r="I371" s="15">
        <f t="shared" si="5"/>
        <v>-4.2365826398721813E-3</v>
      </c>
    </row>
    <row r="372" spans="1:9">
      <c r="A372" s="12">
        <v>45572</v>
      </c>
      <c r="B372" s="13">
        <v>-8.3898838556322151E-3</v>
      </c>
      <c r="C372" s="14">
        <v>-9.2029222200364896E-3</v>
      </c>
      <c r="D372" s="13">
        <v>-2.5462623880792019E-2</v>
      </c>
      <c r="E372" s="14">
        <v>-2.2904454416664808E-2</v>
      </c>
      <c r="F372" s="13">
        <v>-3.6442201486845842E-2</v>
      </c>
      <c r="G372" s="14">
        <v>-3.0766874721673405E-2</v>
      </c>
      <c r="H372" s="13">
        <v>-2.1812296438535567E-2</v>
      </c>
      <c r="I372" s="15">
        <f t="shared" si="5"/>
        <v>-1.0648355914032874E-2</v>
      </c>
    </row>
    <row r="373" spans="1:9">
      <c r="A373" s="12">
        <v>45569</v>
      </c>
      <c r="B373" s="13">
        <v>3.3416225723949923E-3</v>
      </c>
      <c r="C373" s="14">
        <v>1.5898308303021559E-2</v>
      </c>
      <c r="D373" s="13">
        <v>1.9148932958844539E-2</v>
      </c>
      <c r="E373" s="14">
        <v>4.0344247196714353E-2</v>
      </c>
      <c r="F373" s="13">
        <v>3.3829382263109026E-2</v>
      </c>
      <c r="G373" s="14">
        <v>5.2747028991512197E-3</v>
      </c>
      <c r="H373" s="13">
        <v>4.3308734238082063E-2</v>
      </c>
      <c r="I373" s="15">
        <f t="shared" si="5"/>
        <v>7.9457652700749976E-3</v>
      </c>
    </row>
    <row r="374" spans="1:9">
      <c r="A374" s="12">
        <v>45568</v>
      </c>
      <c r="B374" s="13">
        <v>2.4688643462250037E-2</v>
      </c>
      <c r="C374" s="14">
        <v>3.4245254338716676E-2</v>
      </c>
      <c r="D374" s="13">
        <v>2.0434116056902093E-2</v>
      </c>
      <c r="E374" s="14">
        <v>3.2336936771320018E-2</v>
      </c>
      <c r="F374" s="13">
        <v>1.5060190425714834E-2</v>
      </c>
      <c r="G374" s="14">
        <v>-3.4030968509465972E-4</v>
      </c>
      <c r="H374" s="13">
        <v>7.3118284423460004E-3</v>
      </c>
      <c r="I374" s="15">
        <f t="shared" si="5"/>
        <v>2.5303461224205334E-2</v>
      </c>
    </row>
    <row r="375" spans="1:9">
      <c r="A375" s="12">
        <v>45566</v>
      </c>
      <c r="B375" s="13">
        <v>3.9854963097703623E-2</v>
      </c>
      <c r="C375" s="14">
        <v>3.7153940531489571E-2</v>
      </c>
      <c r="D375" s="13">
        <v>1.0311605892328553E-2</v>
      </c>
      <c r="E375" s="14">
        <v>3.1966192062492502E-2</v>
      </c>
      <c r="F375" s="13">
        <v>1.6793618973860461E-2</v>
      </c>
      <c r="G375" s="14">
        <v>2.9728590332181979E-2</v>
      </c>
      <c r="H375" s="13">
        <v>2.2347298691996403E-2</v>
      </c>
      <c r="I375" s="15">
        <f t="shared" si="5"/>
        <v>3.799369508009167E-2</v>
      </c>
    </row>
    <row r="376" spans="1:9">
      <c r="A376" s="12">
        <v>45565</v>
      </c>
      <c r="B376" s="13">
        <v>1.5666828174484209E-2</v>
      </c>
      <c r="C376" s="14">
        <v>4.2674890642889598E-3</v>
      </c>
      <c r="D376" s="13">
        <v>-3.1601989019854893E-2</v>
      </c>
      <c r="E376" s="14">
        <v>-6.4412461028569932E-3</v>
      </c>
      <c r="F376" s="13">
        <v>-1.3265500650415762E-2</v>
      </c>
      <c r="G376" s="14">
        <v>-4.1805729598225212E-2</v>
      </c>
      <c r="H376" s="13">
        <v>-1.9229950364785996E-2</v>
      </c>
      <c r="I376" s="15">
        <f t="shared" si="5"/>
        <v>9.051271196461019E-3</v>
      </c>
    </row>
    <row r="377" spans="1:9">
      <c r="A377" s="12">
        <v>45562</v>
      </c>
      <c r="B377" s="13">
        <v>-5.5272473675539568E-3</v>
      </c>
      <c r="C377" s="14">
        <v>-7.6622546911488554E-3</v>
      </c>
      <c r="D377" s="13">
        <v>8.3939483534604294E-3</v>
      </c>
      <c r="E377" s="14">
        <v>-4.8477014765294172E-4</v>
      </c>
      <c r="F377" s="13">
        <v>1.8104977031981238E-2</v>
      </c>
      <c r="G377" s="14">
        <v>2.4614908410554564E-3</v>
      </c>
      <c r="H377" s="13">
        <v>1.5296665375473608E-2</v>
      </c>
      <c r="I377" s="15">
        <f t="shared" si="5"/>
        <v>-4.890696140893905E-3</v>
      </c>
    </row>
    <row r="378" spans="1:9">
      <c r="A378" s="12">
        <v>45561</v>
      </c>
      <c r="B378" s="13">
        <v>-1.0231122366862272E-2</v>
      </c>
      <c r="C378" s="14">
        <v>-5.9279884505726421E-3</v>
      </c>
      <c r="D378" s="13">
        <v>5.9287037383581017E-3</v>
      </c>
      <c r="E378" s="14">
        <v>-1.728116041087913E-2</v>
      </c>
      <c r="F378" s="13">
        <v>-4.3327624107539686E-3</v>
      </c>
      <c r="G378" s="14">
        <v>-3.8178127976263299E-2</v>
      </c>
      <c r="H378" s="13">
        <v>9.2983380959595317E-3</v>
      </c>
      <c r="I378" s="15">
        <f t="shared" si="5"/>
        <v>-1.0788165686197971E-2</v>
      </c>
    </row>
    <row r="379" spans="1:9">
      <c r="A379" s="12">
        <v>45560</v>
      </c>
      <c r="B379" s="13">
        <v>-9.9053218723431317E-3</v>
      </c>
      <c r="C379" s="14">
        <v>3.3337429745324671E-3</v>
      </c>
      <c r="D379" s="13">
        <v>-3.9937777311375173E-3</v>
      </c>
      <c r="E379" s="14">
        <v>1.3881173325985837E-2</v>
      </c>
      <c r="F379" s="13">
        <v>1.518603177189838E-3</v>
      </c>
      <c r="G379" s="14">
        <v>1.0436540327139209E-2</v>
      </c>
      <c r="H379" s="13">
        <v>7.3482068270879159E-3</v>
      </c>
      <c r="I379" s="15">
        <f t="shared" si="5"/>
        <v>-5.3146263781347711E-3</v>
      </c>
    </row>
    <row r="380" spans="1:9">
      <c r="A380" s="12">
        <v>45559</v>
      </c>
      <c r="B380" s="13">
        <v>1.1242618403875604E-3</v>
      </c>
      <c r="C380" s="14">
        <v>-6.4335088956570417E-3</v>
      </c>
      <c r="D380" s="13">
        <v>-3.9416952730500368E-3</v>
      </c>
      <c r="E380" s="14">
        <v>-7.8150837352470182E-3</v>
      </c>
      <c r="F380" s="13">
        <v>2.5979663887050726E-3</v>
      </c>
      <c r="G380" s="14">
        <v>-6.0109358879913534E-3</v>
      </c>
      <c r="H380" s="13">
        <v>1.2695413360967911E-2</v>
      </c>
      <c r="I380" s="15">
        <f t="shared" si="5"/>
        <v>-8.9318268164170257E-4</v>
      </c>
    </row>
    <row r="381" spans="1:9">
      <c r="A381" s="12">
        <v>45558</v>
      </c>
      <c r="B381" s="13">
        <v>8.9031135831025131E-3</v>
      </c>
      <c r="C381" s="14">
        <v>4.64605310613016E-3</v>
      </c>
      <c r="D381" s="13">
        <v>9.1507450708471667E-3</v>
      </c>
      <c r="E381" s="14">
        <v>-6.8886609951851561E-3</v>
      </c>
      <c r="F381" s="13">
        <v>3.5958293989254091E-2</v>
      </c>
      <c r="G381" s="14">
        <v>6.5407804114015642E-3</v>
      </c>
      <c r="H381" s="13">
        <v>-5.1158275564929046E-3</v>
      </c>
      <c r="I381" s="15">
        <f t="shared" si="5"/>
        <v>7.2131286496385175E-3</v>
      </c>
    </row>
    <row r="382" spans="1:9">
      <c r="A382" s="12">
        <v>45555</v>
      </c>
      <c r="B382" s="13">
        <v>8.960633432530004E-3</v>
      </c>
      <c r="C382" s="14">
        <v>1.2927383713645388E-2</v>
      </c>
      <c r="D382" s="13">
        <v>-5.0618389053864999E-4</v>
      </c>
      <c r="E382" s="14">
        <v>-5.4460073541050683E-3</v>
      </c>
      <c r="F382" s="13">
        <v>-1.7888309760148047E-2</v>
      </c>
      <c r="G382" s="14">
        <v>6.9704614048420677E-3</v>
      </c>
      <c r="H382" s="13">
        <v>-8.153968359037209E-3</v>
      </c>
      <c r="I382" s="15">
        <f t="shared" si="5"/>
        <v>8.5322678954042469E-3</v>
      </c>
    </row>
    <row r="383" spans="1:9">
      <c r="A383" s="12">
        <v>45554</v>
      </c>
      <c r="B383" s="13">
        <v>-3.9692210637781991E-3</v>
      </c>
      <c r="C383" s="14">
        <v>-3.7801146874398795E-3</v>
      </c>
      <c r="D383" s="13">
        <v>-3.2103724166587015E-2</v>
      </c>
      <c r="E383" s="14">
        <v>7.9116944749261404E-3</v>
      </c>
      <c r="F383" s="13">
        <v>-8.6728346282781595E-3</v>
      </c>
      <c r="G383" s="14">
        <v>5.4476988790213825E-3</v>
      </c>
      <c r="H383" s="13">
        <v>-1.3011604707292936E-2</v>
      </c>
      <c r="I383" s="15">
        <f t="shared" si="5"/>
        <v>-3.3426287413834575E-3</v>
      </c>
    </row>
    <row r="384" spans="1:9">
      <c r="A384" s="12">
        <v>45553</v>
      </c>
      <c r="B384" s="13">
        <v>-5.8461002307952023E-3</v>
      </c>
      <c r="C384" s="14">
        <v>-4.8359797831324443E-4</v>
      </c>
      <c r="D384" s="13">
        <v>2.6925960014311075E-2</v>
      </c>
      <c r="E384" s="14">
        <v>4.9132100145851529E-3</v>
      </c>
      <c r="F384" s="13">
        <v>2.1402900691272046E-2</v>
      </c>
      <c r="G384" s="14">
        <v>3.6554789140346559E-3</v>
      </c>
      <c r="H384" s="13">
        <v>2.3442505884398019E-2</v>
      </c>
      <c r="I384" s="15">
        <f t="shared" si="5"/>
        <v>-3.2803847919542829E-3</v>
      </c>
    </row>
    <row r="385" spans="1:9">
      <c r="A385" s="12">
        <v>45552</v>
      </c>
      <c r="B385" s="13">
        <v>1.1582760102042608E-2</v>
      </c>
      <c r="C385" s="14">
        <v>3.781939732072844E-3</v>
      </c>
      <c r="D385" s="13">
        <v>1.7422746645568813E-2</v>
      </c>
      <c r="E385" s="14">
        <v>9.7545888082035508E-3</v>
      </c>
      <c r="F385" s="13">
        <v>1.305302154416252E-2</v>
      </c>
      <c r="G385" s="14">
        <v>-1.3252533298675342E-2</v>
      </c>
      <c r="H385" s="13">
        <v>1.9880722253861152E-3</v>
      </c>
      <c r="I385" s="15">
        <f t="shared" si="5"/>
        <v>9.0126549261579352E-3</v>
      </c>
    </row>
    <row r="386" spans="1:9">
      <c r="A386" s="12">
        <v>45551</v>
      </c>
      <c r="B386" s="13">
        <v>6.9187774117152965E-3</v>
      </c>
      <c r="C386" s="14">
        <v>4.1676745425872066E-3</v>
      </c>
      <c r="D386" s="13">
        <v>3.6942780770175868E-3</v>
      </c>
      <c r="E386" s="14">
        <v>1.20609325658737E-2</v>
      </c>
      <c r="F386" s="13">
        <v>3.2373632339733192E-2</v>
      </c>
      <c r="G386" s="14">
        <v>-1.0305650357614065E-2</v>
      </c>
      <c r="H386" s="13">
        <v>-2.9805676236325469E-2</v>
      </c>
      <c r="I386" s="15">
        <f t="shared" si="5"/>
        <v>5.5929438654089393E-3</v>
      </c>
    </row>
    <row r="387" spans="1:9">
      <c r="A387" s="12">
        <v>45548</v>
      </c>
      <c r="B387" s="13">
        <v>6.647917698927322E-3</v>
      </c>
      <c r="C387" s="14">
        <v>-4.0070577738511928E-3</v>
      </c>
      <c r="D387" s="13">
        <v>-1.9619259763904227E-3</v>
      </c>
      <c r="E387" s="14">
        <v>-4.485749271258165E-3</v>
      </c>
      <c r="F387" s="13">
        <v>-3.3201732587179851E-2</v>
      </c>
      <c r="G387" s="14">
        <v>9.9940922257972485E-3</v>
      </c>
      <c r="H387" s="13">
        <v>2.5398190605610403E-2</v>
      </c>
      <c r="I387" s="15">
        <f t="shared" si="5"/>
        <v>4.4535785489901933E-3</v>
      </c>
    </row>
    <row r="388" spans="1:9">
      <c r="A388" s="12">
        <v>45547</v>
      </c>
      <c r="B388" s="13">
        <v>7.4763376146148091E-3</v>
      </c>
      <c r="C388" s="14">
        <v>-2.8950563043063024E-3</v>
      </c>
      <c r="D388" s="13">
        <v>-2.6664016064386281E-3</v>
      </c>
      <c r="E388" s="14">
        <v>1.5296665375473827E-2</v>
      </c>
      <c r="F388" s="13">
        <v>0</v>
      </c>
      <c r="G388" s="14">
        <v>2.6616905534644322E-2</v>
      </c>
      <c r="H388" s="13">
        <v>5.2583081437540162E-3</v>
      </c>
      <c r="I388" s="15">
        <f t="shared" si="5"/>
        <v>6.8524264950428574E-3</v>
      </c>
    </row>
    <row r="389" spans="1:9">
      <c r="A389" s="12">
        <v>45546</v>
      </c>
      <c r="B389" s="13">
        <v>-4.6810045922738843E-3</v>
      </c>
      <c r="C389" s="14">
        <v>-4.6010494051603205E-3</v>
      </c>
      <c r="D389" s="13">
        <v>-1.0012849832315759E-4</v>
      </c>
      <c r="E389" s="14">
        <v>-3.1630555379953381E-4</v>
      </c>
      <c r="F389" s="13">
        <v>-5.2802344427110313E-2</v>
      </c>
      <c r="G389" s="14">
        <v>-1.7428968180862113E-3</v>
      </c>
      <c r="H389" s="13">
        <v>-1.6578913387365519E-2</v>
      </c>
      <c r="I389" s="15">
        <f t="shared" si="5"/>
        <v>-4.4124594943645316E-3</v>
      </c>
    </row>
    <row r="390" spans="1:9">
      <c r="A390" s="12">
        <v>45545</v>
      </c>
      <c r="B390" s="13">
        <v>-2.1734439036036647E-2</v>
      </c>
      <c r="C390" s="14">
        <v>-2.6646380794509445E-2</v>
      </c>
      <c r="D390" s="13">
        <v>3.3654919222157313E-3</v>
      </c>
      <c r="E390" s="14">
        <v>-2.5796511760992347E-2</v>
      </c>
      <c r="F390" s="13">
        <v>-8.1114113488274225E-3</v>
      </c>
      <c r="G390" s="14">
        <v>1.6839054725487076E-2</v>
      </c>
      <c r="H390" s="13">
        <v>-3.0879749246764933E-2</v>
      </c>
      <c r="I390" s="15">
        <f t="shared" ref="I390:I453" si="6">SUMPRODUCT($B$2:$H$2,B390:H390)</f>
        <v>-2.0707584452982812E-2</v>
      </c>
    </row>
    <row r="391" spans="1:9">
      <c r="A391" s="12">
        <v>45544</v>
      </c>
      <c r="B391" s="13">
        <v>-4.3492875519085279E-3</v>
      </c>
      <c r="C391" s="14">
        <v>9.9659504968036016E-4</v>
      </c>
      <c r="D391" s="13">
        <v>-1.6096387233913226E-2</v>
      </c>
      <c r="E391" s="14">
        <v>-1.0442255106754592E-2</v>
      </c>
      <c r="F391" s="13">
        <v>1.759402257238618E-3</v>
      </c>
      <c r="G391" s="14">
        <v>-1.8584994537287541E-2</v>
      </c>
      <c r="H391" s="13">
        <v>-3.2631293970407628E-2</v>
      </c>
      <c r="I391" s="15">
        <f t="shared" si="6"/>
        <v>-4.7860592364464948E-3</v>
      </c>
    </row>
    <row r="392" spans="1:9">
      <c r="A392" s="12">
        <v>45541</v>
      </c>
      <c r="B392" s="13">
        <v>-2.1512110760717198E-3</v>
      </c>
      <c r="C392" s="14">
        <v>-1.0094775583801672E-2</v>
      </c>
      <c r="D392" s="13">
        <v>2.0281233168491008E-4</v>
      </c>
      <c r="E392" s="14">
        <v>3.9286349432535997E-3</v>
      </c>
      <c r="F392" s="13">
        <v>1.4638076243298358E-3</v>
      </c>
      <c r="G392" s="14">
        <v>-1.7357319936315817E-3</v>
      </c>
      <c r="H392" s="13">
        <v>2.4572751628943054E-2</v>
      </c>
      <c r="I392" s="15">
        <f t="shared" si="6"/>
        <v>-2.9175911493676517E-3</v>
      </c>
    </row>
    <row r="393" spans="1:9">
      <c r="A393" s="12">
        <v>45540</v>
      </c>
      <c r="B393" s="13">
        <v>-1.0887783289959008E-2</v>
      </c>
      <c r="C393" s="14">
        <v>-1.342507333705374E-3</v>
      </c>
      <c r="D393" s="13">
        <v>4.0536693407335879E-2</v>
      </c>
      <c r="E393" s="14">
        <v>1.3629936787637801E-2</v>
      </c>
      <c r="F393" s="13">
        <v>3.9437287261146425E-2</v>
      </c>
      <c r="G393" s="14">
        <v>-2.230047292284577E-2</v>
      </c>
      <c r="H393" s="13">
        <v>1.9291294204433162E-2</v>
      </c>
      <c r="I393" s="15">
        <f t="shared" si="6"/>
        <v>-7.642655180829707E-3</v>
      </c>
    </row>
    <row r="394" spans="1:9">
      <c r="A394" s="12">
        <v>45539</v>
      </c>
      <c r="B394" s="13">
        <v>-2.0402177125977672E-3</v>
      </c>
      <c r="C394" s="14">
        <v>3.6875670348537138E-3</v>
      </c>
      <c r="D394" s="13">
        <v>-5.1942993733538831E-4</v>
      </c>
      <c r="E394" s="14">
        <v>-1.723059534225126E-2</v>
      </c>
      <c r="F394" s="13">
        <v>-2.9539819084876812E-2</v>
      </c>
      <c r="G394" s="14">
        <v>-3.4741715678700394E-2</v>
      </c>
      <c r="H394" s="13">
        <v>-5.9027573262652122E-2</v>
      </c>
      <c r="I394" s="15">
        <f t="shared" si="6"/>
        <v>-3.8348810980183175E-3</v>
      </c>
    </row>
    <row r="395" spans="1:9">
      <c r="A395" s="12">
        <v>45538</v>
      </c>
      <c r="B395" s="13">
        <v>-2.405189143430243E-2</v>
      </c>
      <c r="C395" s="14">
        <v>-3.5593369859469343E-2</v>
      </c>
      <c r="D395" s="13">
        <v>-6.0435891453725396E-2</v>
      </c>
      <c r="E395" s="14">
        <v>-2.0708103520401182E-2</v>
      </c>
      <c r="F395" s="13">
        <v>-3.2830859704290311E-2</v>
      </c>
      <c r="G395" s="14">
        <v>-1.4680564050562863E-2</v>
      </c>
      <c r="H395" s="13">
        <v>-2.2866248979131764E-2</v>
      </c>
      <c r="I395" s="15">
        <f t="shared" si="6"/>
        <v>-2.5853631771923246E-2</v>
      </c>
    </row>
    <row r="396" spans="1:9">
      <c r="A396" s="12">
        <v>45537</v>
      </c>
      <c r="B396" s="13">
        <v>-1.236956610507793E-3</v>
      </c>
      <c r="C396" s="14">
        <v>-1.2143292324017199E-3</v>
      </c>
      <c r="D396" s="13">
        <v>-1.7249409250501358E-4</v>
      </c>
      <c r="E396" s="14">
        <v>-2.3462387166595742E-3</v>
      </c>
      <c r="F396" s="13">
        <v>1.6476549079387136E-2</v>
      </c>
      <c r="G396" s="14">
        <v>-2.2578745913986661E-2</v>
      </c>
      <c r="H396" s="13">
        <v>5.8847088310376014E-3</v>
      </c>
      <c r="I396" s="15">
        <f t="shared" si="6"/>
        <v>-2.1911694682112703E-3</v>
      </c>
    </row>
    <row r="397" spans="1:9">
      <c r="A397" s="12">
        <v>45534</v>
      </c>
      <c r="B397" s="13">
        <v>-7.6938773067819011E-3</v>
      </c>
      <c r="C397" s="14">
        <v>-8.80448524172147E-3</v>
      </c>
      <c r="D397" s="13">
        <v>8.9664454053646361E-4</v>
      </c>
      <c r="E397" s="14">
        <v>-5.0462680676242721E-3</v>
      </c>
      <c r="F397" s="13">
        <v>9.0863085754522357E-3</v>
      </c>
      <c r="G397" s="14">
        <v>9.8895849672582595E-3</v>
      </c>
      <c r="H397" s="13">
        <v>1.9939431305994106E-2</v>
      </c>
      <c r="I397" s="15">
        <f t="shared" si="6"/>
        <v>-6.5741606979064331E-3</v>
      </c>
    </row>
    <row r="398" spans="1:9">
      <c r="A398" s="12">
        <v>45533</v>
      </c>
      <c r="B398" s="13">
        <v>-3.5081291535191761E-3</v>
      </c>
      <c r="C398" s="14">
        <v>1.7496286503368189E-3</v>
      </c>
      <c r="D398" s="13">
        <v>-9.3159233765518264E-3</v>
      </c>
      <c r="E398" s="14">
        <v>5.0462680676242192E-3</v>
      </c>
      <c r="F398" s="13">
        <v>-1.3586666608123594E-2</v>
      </c>
      <c r="G398" s="14">
        <v>5.7700908947678716E-4</v>
      </c>
      <c r="H398" s="13">
        <v>2.5780160277770508E-2</v>
      </c>
      <c r="I398" s="15">
        <f t="shared" si="6"/>
        <v>-1.8508459483900224E-3</v>
      </c>
    </row>
    <row r="399" spans="1:9">
      <c r="A399" s="12">
        <v>45532</v>
      </c>
      <c r="B399" s="13">
        <v>3.0922821792107292E-3</v>
      </c>
      <c r="C399" s="14">
        <v>3.1416379797246817E-3</v>
      </c>
      <c r="D399" s="13">
        <v>1.4301749917358409E-2</v>
      </c>
      <c r="E399" s="14">
        <v>-1.5112084145433788E-3</v>
      </c>
      <c r="F399" s="13">
        <v>1.5772619096171347E-2</v>
      </c>
      <c r="G399" s="14">
        <v>1.7171424223944205E-2</v>
      </c>
      <c r="H399" s="13">
        <v>2.1728583932824862E-2</v>
      </c>
      <c r="I399" s="15">
        <f t="shared" si="6"/>
        <v>3.8391722926160179E-3</v>
      </c>
    </row>
    <row r="400" spans="1:9">
      <c r="A400" s="12">
        <v>45531</v>
      </c>
      <c r="B400" s="13">
        <v>1.2937860267810004E-2</v>
      </c>
      <c r="C400" s="14">
        <v>1.7789761036479987E-2</v>
      </c>
      <c r="D400" s="13">
        <v>-3.0573184701406715E-3</v>
      </c>
      <c r="E400" s="14">
        <v>1.3434091021268125E-3</v>
      </c>
      <c r="F400" s="13">
        <v>4.1401911327835226E-3</v>
      </c>
      <c r="G400" s="14">
        <v>-2.3653022169715286E-2</v>
      </c>
      <c r="H400" s="13">
        <v>8.7078994639709032E-3</v>
      </c>
      <c r="I400" s="15">
        <f t="shared" si="6"/>
        <v>1.12284992974679E-2</v>
      </c>
    </row>
    <row r="401" spans="1:9">
      <c r="A401" s="12">
        <v>45530</v>
      </c>
      <c r="B401" s="13">
        <v>1.6252340837058393E-3</v>
      </c>
      <c r="C401" s="14">
        <v>-2.0407106798671967E-2</v>
      </c>
      <c r="D401" s="13">
        <v>1.0320805031952431E-4</v>
      </c>
      <c r="E401" s="14">
        <v>-9.6114052440940106E-3</v>
      </c>
      <c r="F401" s="13">
        <v>3.9065375587530706E-3</v>
      </c>
      <c r="G401" s="14">
        <v>-6.1988131712505661E-2</v>
      </c>
      <c r="H401" s="13">
        <v>-9.4493542321275204E-3</v>
      </c>
      <c r="I401" s="15">
        <f t="shared" si="6"/>
        <v>-5.7258350737961899E-3</v>
      </c>
    </row>
    <row r="402" spans="1:9">
      <c r="A402" s="12">
        <v>45527</v>
      </c>
      <c r="B402" s="13">
        <v>-5.2798099255859463E-3</v>
      </c>
      <c r="C402" s="14">
        <v>-1.1686790015375297E-2</v>
      </c>
      <c r="D402" s="13">
        <v>-2.790363007263276E-3</v>
      </c>
      <c r="E402" s="14">
        <v>-2.7146267094667175E-3</v>
      </c>
      <c r="F402" s="13">
        <v>-3.9790249640981566E-3</v>
      </c>
      <c r="G402" s="14">
        <v>1.0415960699312181E-2</v>
      </c>
      <c r="H402" s="13">
        <v>-2.9673590722191739E-4</v>
      </c>
      <c r="I402" s="15">
        <f t="shared" si="6"/>
        <v>-5.4274430366975145E-3</v>
      </c>
    </row>
    <row r="403" spans="1:9">
      <c r="A403" s="12">
        <v>45526</v>
      </c>
      <c r="B403" s="13">
        <v>1.0076962858611508E-2</v>
      </c>
      <c r="C403" s="14">
        <v>2.8492452345139828E-2</v>
      </c>
      <c r="D403" s="13">
        <v>1.4146736124593422E-2</v>
      </c>
      <c r="E403" s="14">
        <v>2.2842780248261002E-2</v>
      </c>
      <c r="F403" s="13">
        <v>1.18182538613719E-2</v>
      </c>
      <c r="G403" s="14">
        <v>-1.0369632588178121E-2</v>
      </c>
      <c r="H403" s="13">
        <v>7.6866601675745277E-3</v>
      </c>
      <c r="I403" s="15">
        <f t="shared" si="6"/>
        <v>1.2895192219670717E-2</v>
      </c>
    </row>
    <row r="404" spans="1:9">
      <c r="A404" s="12">
        <v>45525</v>
      </c>
      <c r="B404" s="13">
        <v>-1.1060122368207094E-2</v>
      </c>
      <c r="C404" s="14">
        <v>-1.0361892210187452E-2</v>
      </c>
      <c r="D404" s="13">
        <v>-4.0823269830418088E-4</v>
      </c>
      <c r="E404" s="14">
        <v>-1.4720908190912142E-2</v>
      </c>
      <c r="F404" s="13">
        <v>3.1471308430188632E-3</v>
      </c>
      <c r="G404" s="14">
        <v>-9.4488891979323964E-3</v>
      </c>
      <c r="H404" s="13">
        <v>-1.4736224299492623E-3</v>
      </c>
      <c r="I404" s="15">
        <f t="shared" si="6"/>
        <v>-1.0818740452710331E-2</v>
      </c>
    </row>
    <row r="405" spans="1:9">
      <c r="A405" s="12">
        <v>45524</v>
      </c>
      <c r="B405" s="13">
        <v>-1.546055816244404E-2</v>
      </c>
      <c r="C405" s="14">
        <v>-1.4073043762911176E-2</v>
      </c>
      <c r="D405" s="13">
        <v>-1.0363495917805903E-2</v>
      </c>
      <c r="E405" s="14">
        <v>-4.3911571994966836E-3</v>
      </c>
      <c r="F405" s="13">
        <v>-4.1333920623593562E-2</v>
      </c>
      <c r="G405" s="14">
        <v>1.8066852249488297E-3</v>
      </c>
      <c r="H405" s="13">
        <v>-2.1163233964682802E-2</v>
      </c>
      <c r="I405" s="15">
        <f t="shared" si="6"/>
        <v>-1.3886462231822432E-2</v>
      </c>
    </row>
    <row r="406" spans="1:9">
      <c r="A406" s="12">
        <v>45523</v>
      </c>
      <c r="B406" s="13">
        <v>-8.706260997114015E-3</v>
      </c>
      <c r="C406" s="14">
        <v>-9.2859389343097273E-3</v>
      </c>
      <c r="D406" s="13">
        <v>-5.3778397674746695E-3</v>
      </c>
      <c r="E406" s="14">
        <v>-3.3858134740234177E-4</v>
      </c>
      <c r="F406" s="13">
        <v>5.7885133799364143E-3</v>
      </c>
      <c r="G406" s="14">
        <v>8.3214364664096294E-3</v>
      </c>
      <c r="H406" s="13">
        <v>-2.023652168586253E-2</v>
      </c>
      <c r="I406" s="15">
        <f t="shared" si="6"/>
        <v>-7.6307115341274333E-3</v>
      </c>
    </row>
    <row r="407" spans="1:9">
      <c r="A407" s="12">
        <v>45520</v>
      </c>
      <c r="B407" s="13">
        <v>-9.1927269345813724E-3</v>
      </c>
      <c r="C407" s="14">
        <v>-2.3099036273072655E-2</v>
      </c>
      <c r="D407" s="13">
        <v>-7.7381235228082797E-3</v>
      </c>
      <c r="E407" s="14">
        <v>-1.7766097622518601E-2</v>
      </c>
      <c r="F407" s="13">
        <v>-8.3968540918915348E-3</v>
      </c>
      <c r="G407" s="14">
        <v>-1.5818660137726662E-2</v>
      </c>
      <c r="H407" s="13">
        <v>3.0736130563164068E-4</v>
      </c>
      <c r="I407" s="15">
        <f t="shared" si="6"/>
        <v>-1.2175587863239594E-2</v>
      </c>
    </row>
    <row r="408" spans="1:9">
      <c r="A408" s="12">
        <v>45518</v>
      </c>
      <c r="B408" s="13">
        <v>-7.342805464366841E-3</v>
      </c>
      <c r="C408" s="14">
        <v>-4.92207720542822E-3</v>
      </c>
      <c r="D408" s="13">
        <v>1.0444956036288378E-3</v>
      </c>
      <c r="E408" s="14">
        <v>2.5819792294121732E-3</v>
      </c>
      <c r="F408" s="13">
        <v>-5.224855502328487E-4</v>
      </c>
      <c r="G408" s="14">
        <v>1.7700367243786493E-3</v>
      </c>
      <c r="H408" s="13">
        <v>3.3747539315484199E-3</v>
      </c>
      <c r="I408" s="15">
        <f t="shared" si="6"/>
        <v>-5.8161215562076681E-3</v>
      </c>
    </row>
    <row r="409" spans="1:9">
      <c r="A409" s="12">
        <v>45517</v>
      </c>
      <c r="B409" s="13">
        <v>-7.6040602731670764E-4</v>
      </c>
      <c r="C409" s="14">
        <v>-2.2828032556200945E-2</v>
      </c>
      <c r="D409" s="13">
        <v>-3.2764058588192779E-3</v>
      </c>
      <c r="E409" s="14">
        <v>-4.9978561593871729E-3</v>
      </c>
      <c r="F409" s="13">
        <v>1.8859413386200157E-2</v>
      </c>
      <c r="G409" s="14">
        <v>2.4540656781668097E-3</v>
      </c>
      <c r="H409" s="13">
        <v>-4.9125060414311802E-3</v>
      </c>
      <c r="I409" s="15">
        <f t="shared" si="6"/>
        <v>-4.5859539002141405E-3</v>
      </c>
    </row>
    <row r="410" spans="1:9">
      <c r="A410" s="12">
        <v>45516</v>
      </c>
      <c r="B410" s="13">
        <v>9.7585832219368052E-3</v>
      </c>
      <c r="C410" s="14">
        <v>-1.6590068497843152E-2</v>
      </c>
      <c r="D410" s="13">
        <v>3.4906451066520517E-4</v>
      </c>
      <c r="E410" s="14">
        <v>2.1028213072995208E-2</v>
      </c>
      <c r="F410" s="13">
        <v>1.8294521120897123E-2</v>
      </c>
      <c r="G410" s="14">
        <v>3.3693892810048351E-2</v>
      </c>
      <c r="H410" s="13">
        <v>1.9506866630795594E-2</v>
      </c>
      <c r="I410" s="15">
        <f t="shared" si="6"/>
        <v>6.9600669149521904E-3</v>
      </c>
    </row>
    <row r="411" spans="1:9">
      <c r="A411" s="12">
        <v>45513</v>
      </c>
      <c r="B411" s="13">
        <v>-4.1353565775797312E-3</v>
      </c>
      <c r="C411" s="14">
        <v>1.0589112842798424E-2</v>
      </c>
      <c r="D411" s="13">
        <v>-7.1451391510102373E-3</v>
      </c>
      <c r="E411" s="14">
        <v>-6.2791890658041903E-3</v>
      </c>
      <c r="F411" s="13">
        <v>8.5954257440390945E-3</v>
      </c>
      <c r="G411" s="14">
        <v>9.6739574651348425E-3</v>
      </c>
      <c r="H411" s="13">
        <v>3.5726025760835327E-2</v>
      </c>
      <c r="I411" s="15">
        <f t="shared" si="6"/>
        <v>-8.0675732169957709E-4</v>
      </c>
    </row>
    <row r="412" spans="1:9">
      <c r="A412" s="12">
        <v>45512</v>
      </c>
      <c r="B412" s="13">
        <v>-1.1644193755109399E-2</v>
      </c>
      <c r="C412" s="14">
        <v>-2.5720602466868744E-2</v>
      </c>
      <c r="D412" s="13">
        <v>1.0176870081178723E-2</v>
      </c>
      <c r="E412" s="14">
        <v>5.0942545217430935E-3</v>
      </c>
      <c r="F412" s="13">
        <v>3.4695283611829414E-2</v>
      </c>
      <c r="G412" s="14">
        <v>-1.6444094871796176E-2</v>
      </c>
      <c r="H412" s="13">
        <v>-9.8047174564783388E-3</v>
      </c>
      <c r="I412" s="15">
        <f t="shared" si="6"/>
        <v>-1.3070601320269564E-2</v>
      </c>
    </row>
    <row r="413" spans="1:9">
      <c r="A413" s="12">
        <v>45511</v>
      </c>
      <c r="B413" s="13">
        <v>3.1459073459935517E-2</v>
      </c>
      <c r="C413" s="14">
        <v>2.9662788912607929E-2</v>
      </c>
      <c r="D413" s="13">
        <v>2.8267524271761518E-2</v>
      </c>
      <c r="E413" s="14">
        <v>1.2455976563574743E-2</v>
      </c>
      <c r="F413" s="13">
        <v>2.2142131562857287E-2</v>
      </c>
      <c r="G413" s="14">
        <v>-2.4444550597153981E-2</v>
      </c>
      <c r="H413" s="13">
        <v>1.6481084781066923E-2</v>
      </c>
      <c r="I413" s="15">
        <f t="shared" si="6"/>
        <v>2.7431199116737828E-2</v>
      </c>
    </row>
    <row r="414" spans="1:9">
      <c r="A414" s="12">
        <v>45510</v>
      </c>
      <c r="B414" s="13">
        <v>9.6724271419360272E-5</v>
      </c>
      <c r="C414" s="14">
        <v>1.2937031845125029E-2</v>
      </c>
      <c r="D414" s="13">
        <v>-2.8453376015044759E-3</v>
      </c>
      <c r="E414" s="14">
        <v>-6.2085944881416283E-3</v>
      </c>
      <c r="F414" s="13">
        <v>-2.117814333148962E-2</v>
      </c>
      <c r="G414" s="14">
        <v>-3.4055684241270631E-2</v>
      </c>
      <c r="H414" s="13">
        <v>-2.4621636017359001E-3</v>
      </c>
      <c r="I414" s="15">
        <f t="shared" si="6"/>
        <v>2.7347921233157883E-4</v>
      </c>
    </row>
    <row r="415" spans="1:9">
      <c r="A415" s="12">
        <v>45509</v>
      </c>
      <c r="B415" s="13">
        <v>-2.6956587189414963E-3</v>
      </c>
      <c r="C415" s="14">
        <v>6.7278259392299202E-3</v>
      </c>
      <c r="D415" s="13">
        <v>-1.1085642647016499E-2</v>
      </c>
      <c r="E415" s="14">
        <v>1.5137501839339858E-3</v>
      </c>
      <c r="F415" s="13">
        <v>-9.0567178560581277E-3</v>
      </c>
      <c r="G415" s="14">
        <v>-6.8065417788268426E-3</v>
      </c>
      <c r="H415" s="13">
        <v>2.0524581264602444E-2</v>
      </c>
      <c r="I415" s="15">
        <f t="shared" si="6"/>
        <v>-1.0109743964413335E-3</v>
      </c>
    </row>
    <row r="416" spans="1:9">
      <c r="A416" s="12">
        <v>45506</v>
      </c>
      <c r="B416" s="13">
        <v>4.2902599636597512E-3</v>
      </c>
      <c r="C416" s="14">
        <v>1.0780298079381915E-2</v>
      </c>
      <c r="D416" s="13">
        <v>1.582338416553342E-2</v>
      </c>
      <c r="E416" s="14">
        <v>1.6997576368571077E-2</v>
      </c>
      <c r="F416" s="13">
        <v>4.2090721951558795E-2</v>
      </c>
      <c r="G416" s="14">
        <v>1.1420215737170076E-2</v>
      </c>
      <c r="H416" s="13">
        <v>2.4557467855352719E-2</v>
      </c>
      <c r="I416" s="15">
        <f t="shared" si="6"/>
        <v>6.7039392033300766E-3</v>
      </c>
    </row>
    <row r="417" spans="1:9">
      <c r="A417" s="12">
        <v>45505</v>
      </c>
      <c r="B417" s="13">
        <v>-2.3686574991997433E-3</v>
      </c>
      <c r="C417" s="14">
        <v>4.9852811157637374E-3</v>
      </c>
      <c r="D417" s="13">
        <v>1.4545954763882095E-2</v>
      </c>
      <c r="E417" s="14">
        <v>8.2277903683684161E-3</v>
      </c>
      <c r="F417" s="13">
        <v>-1.1519012982336966E-2</v>
      </c>
      <c r="G417" s="14">
        <v>-1.8461296731045768E-3</v>
      </c>
      <c r="H417" s="13">
        <v>-1.0310806129854251E-2</v>
      </c>
      <c r="I417" s="15">
        <f t="shared" si="6"/>
        <v>-4.4301008201392238E-4</v>
      </c>
    </row>
    <row r="418" spans="1:9">
      <c r="A418" s="12">
        <v>45504</v>
      </c>
      <c r="B418" s="13">
        <v>-4.8190526328623189E-3</v>
      </c>
      <c r="C418" s="14">
        <v>3.4299158095206822E-3</v>
      </c>
      <c r="D418" s="13">
        <v>-2.4986270557727538E-3</v>
      </c>
      <c r="E418" s="14">
        <v>6.8594095508929817E-3</v>
      </c>
      <c r="F418" s="13">
        <v>1.9477670191620441E-2</v>
      </c>
      <c r="G418" s="14">
        <v>-4.4655556424196295E-2</v>
      </c>
      <c r="H418" s="13">
        <v>1.680478404661662E-2</v>
      </c>
      <c r="I418" s="15">
        <f t="shared" si="6"/>
        <v>-4.4726795485591853E-3</v>
      </c>
    </row>
    <row r="419" spans="1:9">
      <c r="A419" s="12">
        <v>45503</v>
      </c>
      <c r="B419" s="13">
        <v>-2.6079152669646392E-2</v>
      </c>
      <c r="C419" s="14">
        <v>-7.3253775457815468E-3</v>
      </c>
      <c r="D419" s="13">
        <v>-2.906250479718429E-3</v>
      </c>
      <c r="E419" s="14">
        <v>-8.6637239910233969E-3</v>
      </c>
      <c r="F419" s="13">
        <v>1.9138761822841976E-3</v>
      </c>
      <c r="G419" s="14">
        <v>-7.5895932009395796E-3</v>
      </c>
      <c r="H419" s="13">
        <v>7.2727593290796569E-3</v>
      </c>
      <c r="I419" s="15">
        <f t="shared" si="6"/>
        <v>-2.0590858204038082E-2</v>
      </c>
    </row>
    <row r="420" spans="1:9">
      <c r="A420" s="12">
        <v>45502</v>
      </c>
      <c r="B420" s="13">
        <v>-1.6897083922224269E-2</v>
      </c>
      <c r="C420" s="14">
        <v>-2.2118095249865129E-2</v>
      </c>
      <c r="D420" s="13">
        <v>-6.3428352595562409E-3</v>
      </c>
      <c r="E420" s="14">
        <v>-7.7992602400166811E-2</v>
      </c>
      <c r="F420" s="13">
        <v>-5.2588494169983263E-2</v>
      </c>
      <c r="G420" s="14">
        <v>-3.7995126702987689E-3</v>
      </c>
      <c r="H420" s="13">
        <v>-1.7655631035862433E-2</v>
      </c>
      <c r="I420" s="15">
        <f t="shared" si="6"/>
        <v>-2.0107177189007841E-2</v>
      </c>
    </row>
    <row r="421" spans="1:9">
      <c r="A421" s="12">
        <v>45499</v>
      </c>
      <c r="B421" s="13">
        <v>-1.541106344961816E-3</v>
      </c>
      <c r="C421" s="14">
        <v>6.659292089976997E-3</v>
      </c>
      <c r="D421" s="13">
        <v>4.5682119011879073E-3</v>
      </c>
      <c r="E421" s="14">
        <v>-2.2981262733765221E-2</v>
      </c>
      <c r="F421" s="13">
        <v>-7.6471205367257958E-4</v>
      </c>
      <c r="G421" s="14">
        <v>-2.3992689349489761E-2</v>
      </c>
      <c r="H421" s="13">
        <v>-2.0668574065332467E-2</v>
      </c>
      <c r="I421" s="15">
        <f t="shared" si="6"/>
        <v>-2.3464358516284288E-3</v>
      </c>
    </row>
    <row r="422" spans="1:9">
      <c r="A422" s="12">
        <v>45498</v>
      </c>
      <c r="B422" s="13">
        <v>-1.6662637394002699E-2</v>
      </c>
      <c r="C422" s="14">
        <v>-2.2560852483101506E-2</v>
      </c>
      <c r="D422" s="13">
        <v>-9.5971642282329829E-3</v>
      </c>
      <c r="E422" s="14">
        <v>-1.0903144819904289E-3</v>
      </c>
      <c r="F422" s="13">
        <v>-1.6266221368806628E-2</v>
      </c>
      <c r="G422" s="14">
        <v>-2.4796625101560034E-2</v>
      </c>
      <c r="H422" s="13">
        <v>3.1205699082153685E-3</v>
      </c>
      <c r="I422" s="15">
        <f t="shared" si="6"/>
        <v>-1.7015033704689757E-2</v>
      </c>
    </row>
    <row r="423" spans="1:9">
      <c r="A423" s="12">
        <v>45497</v>
      </c>
      <c r="B423" s="13">
        <v>3.921438756421829E-3</v>
      </c>
      <c r="C423" s="14">
        <v>-6.60221669820194E-4</v>
      </c>
      <c r="D423" s="13">
        <v>2.2417212277711547E-2</v>
      </c>
      <c r="E423" s="14">
        <v>-5.1039119181758401E-3</v>
      </c>
      <c r="F423" s="13">
        <v>1.7308865608815182E-2</v>
      </c>
      <c r="G423" s="14">
        <v>9.0239532333594701E-3</v>
      </c>
      <c r="H423" s="13">
        <v>2.1436897947137299E-2</v>
      </c>
      <c r="I423" s="15">
        <f t="shared" si="6"/>
        <v>3.3320035317252763E-3</v>
      </c>
    </row>
    <row r="424" spans="1:9">
      <c r="A424" s="12">
        <v>45496</v>
      </c>
      <c r="B424" s="13">
        <v>-5.4045812202418693E-3</v>
      </c>
      <c r="C424" s="14">
        <v>-8.147070451424156E-3</v>
      </c>
      <c r="D424" s="13">
        <v>-9.6079463818383986E-3</v>
      </c>
      <c r="E424" s="14">
        <v>-2.0122571502327507E-3</v>
      </c>
      <c r="F424" s="13">
        <v>-2.3548692987842103E-2</v>
      </c>
      <c r="G424" s="14">
        <v>-8.4709397417921037E-3</v>
      </c>
      <c r="H424" s="13">
        <v>-7.9326837248866744E-3</v>
      </c>
      <c r="I424" s="15">
        <f t="shared" si="6"/>
        <v>-5.9378925825895549E-3</v>
      </c>
    </row>
    <row r="425" spans="1:9">
      <c r="A425" s="12">
        <v>45495</v>
      </c>
      <c r="B425" s="13">
        <v>1.2758687323575216E-2</v>
      </c>
      <c r="C425" s="14">
        <v>2.1853778472860955E-3</v>
      </c>
      <c r="D425" s="13">
        <v>-1.8509993923560869E-2</v>
      </c>
      <c r="E425" s="14">
        <v>-7.7206265860395168E-3</v>
      </c>
      <c r="F425" s="13">
        <v>2.3757091446447786E-2</v>
      </c>
      <c r="G425" s="14">
        <v>3.8625549753234659E-3</v>
      </c>
      <c r="H425" s="13">
        <v>-2.8630073381054329E-2</v>
      </c>
      <c r="I425" s="15">
        <f t="shared" si="6"/>
        <v>8.8260820157145033E-3</v>
      </c>
    </row>
    <row r="426" spans="1:9">
      <c r="A426" s="12">
        <v>45492</v>
      </c>
      <c r="B426" s="13">
        <v>3.9963660796414136E-3</v>
      </c>
      <c r="C426" s="14">
        <v>-5.806498632778349E-3</v>
      </c>
      <c r="D426" s="13">
        <v>-1.1293368034871814E-2</v>
      </c>
      <c r="E426" s="14">
        <v>2.0278373618668969E-3</v>
      </c>
      <c r="F426" s="13">
        <v>-1.8075644521082788E-3</v>
      </c>
      <c r="G426" s="14">
        <v>9.5828173208306368E-3</v>
      </c>
      <c r="H426" s="13">
        <v>2.8630073381054371E-2</v>
      </c>
      <c r="I426" s="15">
        <f t="shared" si="6"/>
        <v>2.5094628282483324E-3</v>
      </c>
    </row>
    <row r="427" spans="1:9">
      <c r="A427" s="12">
        <v>45491</v>
      </c>
      <c r="B427" s="13">
        <v>-4.9339966707653091E-3</v>
      </c>
      <c r="C427" s="14">
        <v>-4.7846981233362704E-3</v>
      </c>
      <c r="D427" s="13">
        <v>2.6926336021041834E-2</v>
      </c>
      <c r="E427" s="14">
        <v>1.1353353959880672E-2</v>
      </c>
      <c r="F427" s="13">
        <v>2.6573021544065115E-2</v>
      </c>
      <c r="G427" s="14">
        <v>3.2238517803081422E-2</v>
      </c>
      <c r="H427" s="13">
        <v>4.2670222618469152E-2</v>
      </c>
      <c r="I427" s="15">
        <f t="shared" si="6"/>
        <v>-1.5382285197743256E-3</v>
      </c>
    </row>
    <row r="428" spans="1:9">
      <c r="A428" s="12">
        <v>45489</v>
      </c>
      <c r="B428" s="13">
        <v>1.4527854565422056E-2</v>
      </c>
      <c r="C428" s="14">
        <v>-1.4398850579876432E-3</v>
      </c>
      <c r="D428" s="13">
        <v>6.6981482125175022E-4</v>
      </c>
      <c r="E428" s="14">
        <v>1.9116903187537053E-2</v>
      </c>
      <c r="F428" s="13">
        <v>2.9769981390996413E-3</v>
      </c>
      <c r="G428" s="14">
        <v>2.7973029527252342E-2</v>
      </c>
      <c r="H428" s="13">
        <v>-1.607932813271764E-3</v>
      </c>
      <c r="I428" s="15">
        <f t="shared" si="6"/>
        <v>1.2367814148973961E-2</v>
      </c>
    </row>
    <row r="429" spans="1:9">
      <c r="A429" s="12">
        <v>45488</v>
      </c>
      <c r="B429" s="13">
        <v>-6.0530116779705413E-3</v>
      </c>
      <c r="C429" s="14">
        <v>2.8814292088128347E-4</v>
      </c>
      <c r="D429" s="13">
        <v>-8.7084678601093764E-4</v>
      </c>
      <c r="E429" s="14">
        <v>1.7861927349439703E-4</v>
      </c>
      <c r="F429" s="13">
        <v>-4.4009685441487797E-3</v>
      </c>
      <c r="G429" s="14">
        <v>-3.7250423103145733E-2</v>
      </c>
      <c r="H429" s="13">
        <v>-5.3009863226315429E-2</v>
      </c>
      <c r="I429" s="15">
        <f t="shared" si="6"/>
        <v>-6.4502711702923076E-3</v>
      </c>
    </row>
    <row r="430" spans="1:9">
      <c r="A430" s="12">
        <v>45485</v>
      </c>
      <c r="B430" s="13">
        <v>1.4322778909556516E-2</v>
      </c>
      <c r="C430" s="14">
        <v>1.0223181761804888E-2</v>
      </c>
      <c r="D430" s="13">
        <v>1.9051356163386979E-2</v>
      </c>
      <c r="E430" s="14">
        <v>-6.6302545549829801E-3</v>
      </c>
      <c r="F430" s="13">
        <v>-4.7510775658691373E-4</v>
      </c>
      <c r="G430" s="14">
        <v>-7.7859022073116868E-3</v>
      </c>
      <c r="H430" s="13">
        <v>-4.2756367985589121E-2</v>
      </c>
      <c r="I430" s="15">
        <f t="shared" si="6"/>
        <v>1.1133857477659383E-2</v>
      </c>
    </row>
    <row r="431" spans="1:9">
      <c r="A431" s="12">
        <v>45484</v>
      </c>
      <c r="B431" s="13">
        <v>7.6064938595870896E-3</v>
      </c>
      <c r="C431" s="14">
        <v>-4.9552226416644312E-3</v>
      </c>
      <c r="D431" s="13">
        <v>2.3491503767299901E-2</v>
      </c>
      <c r="E431" s="14">
        <v>4.4847146652386089E-3</v>
      </c>
      <c r="F431" s="13">
        <v>6.4287144092501471E-3</v>
      </c>
      <c r="G431" s="14">
        <v>4.2198533789710698E-3</v>
      </c>
      <c r="H431" s="13">
        <v>1.7844557164895733E-2</v>
      </c>
      <c r="I431" s="15">
        <f t="shared" si="6"/>
        <v>5.4562982370279017E-3</v>
      </c>
    </row>
    <row r="432" spans="1:9">
      <c r="A432" s="12">
        <v>45483</v>
      </c>
      <c r="B432" s="13">
        <v>-8.5071544048261321E-3</v>
      </c>
      <c r="C432" s="14">
        <v>5.5254022636877865E-3</v>
      </c>
      <c r="D432" s="13">
        <v>-1.2147991211044864E-2</v>
      </c>
      <c r="E432" s="14">
        <v>1.068196021368791E-2</v>
      </c>
      <c r="F432" s="13">
        <v>2.0893194003186427E-2</v>
      </c>
      <c r="G432" s="14">
        <v>8.1127980202562403E-3</v>
      </c>
      <c r="H432" s="13">
        <v>2.2363317299211039E-2</v>
      </c>
      <c r="I432" s="15">
        <f t="shared" si="6"/>
        <v>-4.1701154220201752E-3</v>
      </c>
    </row>
    <row r="433" spans="1:9">
      <c r="A433" s="12">
        <v>45482</v>
      </c>
      <c r="B433" s="13">
        <v>-3.0994864339190457E-2</v>
      </c>
      <c r="C433" s="14">
        <v>-2.3939998288651086E-2</v>
      </c>
      <c r="D433" s="13">
        <v>-0.10123721463990656</v>
      </c>
      <c r="E433" s="14">
        <v>-3.2760309062197894E-2</v>
      </c>
      <c r="F433" s="13">
        <v>-1.6316834983245095E-2</v>
      </c>
      <c r="G433" s="14">
        <v>-3.4811274211443907E-3</v>
      </c>
      <c r="H433" s="13">
        <v>-5.2831492013180235E-2</v>
      </c>
      <c r="I433" s="15">
        <f t="shared" si="6"/>
        <v>-2.965057116884599E-2</v>
      </c>
    </row>
    <row r="434" spans="1:9">
      <c r="A434" s="12">
        <v>45481</v>
      </c>
      <c r="B434" s="13">
        <v>-2.360787910509316E-3</v>
      </c>
      <c r="C434" s="14">
        <v>-8.5015414083026639E-3</v>
      </c>
      <c r="D434" s="13">
        <v>-1.1876699673943471E-3</v>
      </c>
      <c r="E434" s="14">
        <v>-1.0299888739212001E-2</v>
      </c>
      <c r="F434" s="13">
        <v>6.6921216090354745E-3</v>
      </c>
      <c r="G434" s="14">
        <v>-1.2375924962981389E-2</v>
      </c>
      <c r="H434" s="13">
        <v>9.5196316114822405E-3</v>
      </c>
      <c r="I434" s="15">
        <f t="shared" si="6"/>
        <v>-4.1341587432808047E-3</v>
      </c>
    </row>
    <row r="435" spans="1:9">
      <c r="A435" s="12">
        <v>45478</v>
      </c>
      <c r="B435" s="13">
        <v>1.2941447833346874E-2</v>
      </c>
      <c r="C435" s="14">
        <v>9.5713202606300361E-3</v>
      </c>
      <c r="D435" s="13">
        <v>8.2127884651270484E-3</v>
      </c>
      <c r="E435" s="14">
        <v>-1.3025863371240762E-2</v>
      </c>
      <c r="F435" s="13">
        <v>2.0138675386908077E-2</v>
      </c>
      <c r="G435" s="14">
        <v>2.3751718051588606E-2</v>
      </c>
      <c r="H435" s="13">
        <v>2.0223432491352583E-2</v>
      </c>
      <c r="I435" s="15">
        <f t="shared" si="6"/>
        <v>1.1601415016581261E-2</v>
      </c>
    </row>
    <row r="436" spans="1:9">
      <c r="A436" s="12">
        <v>45477</v>
      </c>
      <c r="B436" s="13">
        <v>-3.4066907735611981E-4</v>
      </c>
      <c r="C436" s="14">
        <v>-2.7253277526400384E-3</v>
      </c>
      <c r="D436" s="13">
        <v>-1.3810188558672904E-2</v>
      </c>
      <c r="E436" s="14">
        <v>8.5789410903026869E-3</v>
      </c>
      <c r="F436" s="13">
        <v>4.3700946827738788E-3</v>
      </c>
      <c r="G436" s="14">
        <v>-2.0730043065611336E-2</v>
      </c>
      <c r="H436" s="13">
        <v>1.497508186024514E-2</v>
      </c>
      <c r="I436" s="15">
        <f t="shared" si="6"/>
        <v>-1.290772663366749E-3</v>
      </c>
    </row>
    <row r="437" spans="1:9">
      <c r="A437" s="12">
        <v>45476</v>
      </c>
      <c r="B437" s="13">
        <v>-3.1908839537139059E-3</v>
      </c>
      <c r="C437" s="14">
        <v>-4.4935115171713469E-3</v>
      </c>
      <c r="D437" s="13">
        <v>4.9850191734877617E-3</v>
      </c>
      <c r="E437" s="14">
        <v>-4.6533355256412707E-3</v>
      </c>
      <c r="F437" s="13">
        <v>-9.2249460193353547E-2</v>
      </c>
      <c r="G437" s="14">
        <v>-7.3617401888240435E-3</v>
      </c>
      <c r="H437" s="13">
        <v>-1.599112084742764E-2</v>
      </c>
      <c r="I437" s="15">
        <f t="shared" si="6"/>
        <v>-3.787355187143451E-3</v>
      </c>
    </row>
    <row r="438" spans="1:9">
      <c r="A438" s="12">
        <v>45475</v>
      </c>
      <c r="B438" s="13">
        <v>1.7090657392362739E-5</v>
      </c>
      <c r="C438" s="14">
        <v>-5.0056540698228263E-3</v>
      </c>
      <c r="D438" s="13">
        <v>2.4832215448773011E-3</v>
      </c>
      <c r="E438" s="14">
        <v>6.6939632627988147E-3</v>
      </c>
      <c r="F438" s="13">
        <v>-1.5536527719845131E-2</v>
      </c>
      <c r="G438" s="14">
        <v>2.0765177814409037E-3</v>
      </c>
      <c r="H438" s="13">
        <v>-5.1706116337193193E-2</v>
      </c>
      <c r="I438" s="15">
        <f t="shared" si="6"/>
        <v>-8.1704716348180036E-4</v>
      </c>
    </row>
    <row r="439" spans="1:9">
      <c r="A439" s="12">
        <v>45474</v>
      </c>
      <c r="B439" s="13">
        <v>7.5169990214009081E-4</v>
      </c>
      <c r="C439" s="14">
        <v>-1.7727008778512803E-3</v>
      </c>
      <c r="D439" s="13">
        <v>6.4848049834075024E-3</v>
      </c>
      <c r="E439" s="14">
        <v>7.4101522471920378E-4</v>
      </c>
      <c r="F439" s="13">
        <v>1.2391196654384895E-2</v>
      </c>
      <c r="G439" s="14">
        <v>-2.1114541099857328E-3</v>
      </c>
      <c r="H439" s="13">
        <v>-1.8521906249497826E-2</v>
      </c>
      <c r="I439" s="15">
        <f t="shared" si="6"/>
        <v>1.1887604236530727E-4</v>
      </c>
    </row>
    <row r="440" spans="1:9">
      <c r="A440" s="12">
        <v>45471</v>
      </c>
      <c r="B440" s="13">
        <v>-3.6784561183104384E-3</v>
      </c>
      <c r="C440" s="14">
        <v>-6.0309639521046593E-3</v>
      </c>
      <c r="D440" s="13">
        <v>-1.9545535855908534E-2</v>
      </c>
      <c r="E440" s="14">
        <v>3.703018001951151E-4</v>
      </c>
      <c r="F440" s="13">
        <v>-1.1956351017731374E-2</v>
      </c>
      <c r="G440" s="14">
        <v>-9.4424767423787938E-3</v>
      </c>
      <c r="H440" s="13">
        <v>-9.3516216291525183E-4</v>
      </c>
      <c r="I440" s="15">
        <f t="shared" si="6"/>
        <v>-4.3305305888356764E-3</v>
      </c>
    </row>
    <row r="441" spans="1:9">
      <c r="A441" s="12">
        <v>45470</v>
      </c>
      <c r="B441" s="13">
        <v>-1.2487442145034744E-2</v>
      </c>
      <c r="C441" s="14">
        <v>-4.7713808214974616E-3</v>
      </c>
      <c r="D441" s="13">
        <v>-7.7502764194924368E-3</v>
      </c>
      <c r="E441" s="14">
        <v>1.2874924949825457E-2</v>
      </c>
      <c r="F441" s="13">
        <v>2.6773777707163942E-3</v>
      </c>
      <c r="G441" s="14">
        <v>-2.1163274743018917E-4</v>
      </c>
      <c r="H441" s="13">
        <v>9.9302600340542349E-3</v>
      </c>
      <c r="I441" s="15">
        <f t="shared" si="6"/>
        <v>-9.0950205424342057E-3</v>
      </c>
    </row>
    <row r="442" spans="1:9">
      <c r="A442" s="12">
        <v>45469</v>
      </c>
      <c r="B442" s="13">
        <v>-6.093121458945713E-3</v>
      </c>
      <c r="C442" s="14">
        <v>-1.202901433123181E-2</v>
      </c>
      <c r="D442" s="13">
        <v>8.0415668380974786E-3</v>
      </c>
      <c r="E442" s="14">
        <v>-1.3430429084099568E-2</v>
      </c>
      <c r="F442" s="13">
        <v>1.0781388124510155E-2</v>
      </c>
      <c r="G442" s="14">
        <v>1.989046723940989E-2</v>
      </c>
      <c r="H442" s="13">
        <v>-9.462569636566635E-3</v>
      </c>
      <c r="I442" s="15">
        <f t="shared" si="6"/>
        <v>-6.0750439550662462E-3</v>
      </c>
    </row>
    <row r="443" spans="1:9">
      <c r="A443" s="12">
        <v>45468</v>
      </c>
      <c r="B443" s="13">
        <v>-1.7127481554225206E-3</v>
      </c>
      <c r="C443" s="14">
        <v>8.535473821434816E-3</v>
      </c>
      <c r="D443" s="13">
        <v>1.7459629053376276E-3</v>
      </c>
      <c r="E443" s="14">
        <v>1.7988737642373517E-2</v>
      </c>
      <c r="F443" s="13">
        <v>4.9206731484995134E-3</v>
      </c>
      <c r="G443" s="14">
        <v>6.3427710533103506E-3</v>
      </c>
      <c r="H443" s="13">
        <v>3.1123585659233494E-3</v>
      </c>
      <c r="I443" s="15">
        <f t="shared" si="6"/>
        <v>1.4587563194147994E-3</v>
      </c>
    </row>
    <row r="444" spans="1:9">
      <c r="A444" s="12">
        <v>45467</v>
      </c>
      <c r="B444" s="13">
        <v>1.3068219690337484E-2</v>
      </c>
      <c r="C444" s="14">
        <v>5.4843832935673317E-3</v>
      </c>
      <c r="D444" s="13">
        <v>-4.1151572121368614E-3</v>
      </c>
      <c r="E444" s="14">
        <v>8.6941319238070559E-3</v>
      </c>
      <c r="F444" s="13">
        <v>3.0752256950994684E-2</v>
      </c>
      <c r="G444" s="14">
        <v>7.6847753141576396E-3</v>
      </c>
      <c r="H444" s="13">
        <v>-3.10800313302214E-4</v>
      </c>
      <c r="I444" s="15">
        <f t="shared" si="6"/>
        <v>1.1016298524970476E-2</v>
      </c>
    </row>
    <row r="445" spans="1:9">
      <c r="A445" s="12">
        <v>45464</v>
      </c>
      <c r="B445" s="13">
        <v>-1.7971630405149114E-3</v>
      </c>
      <c r="C445" s="14">
        <v>-1.1940299926078007E-3</v>
      </c>
      <c r="D445" s="13">
        <v>-5.1587053029795681E-3</v>
      </c>
      <c r="E445" s="14">
        <v>-1.1244224380419035E-2</v>
      </c>
      <c r="F445" s="13">
        <v>-4.0783936529460735E-3</v>
      </c>
      <c r="G445" s="14">
        <v>-4.8367481342905753E-3</v>
      </c>
      <c r="H445" s="13">
        <v>6.1977266872180505E-3</v>
      </c>
      <c r="I445" s="15">
        <f t="shared" si="6"/>
        <v>-2.2840059362317423E-3</v>
      </c>
    </row>
    <row r="446" spans="1:9">
      <c r="A446" s="12">
        <v>45463</v>
      </c>
      <c r="B446" s="13">
        <v>8.490755152790172E-3</v>
      </c>
      <c r="C446" s="14">
        <v>1.5706353397829602E-2</v>
      </c>
      <c r="D446" s="13">
        <v>2.0886396629403322E-3</v>
      </c>
      <c r="E446" s="14">
        <v>2.7344751069828213E-2</v>
      </c>
      <c r="F446" s="13">
        <v>4.1551247135216557E-4</v>
      </c>
      <c r="G446" s="14">
        <v>-1.4478376105340012E-2</v>
      </c>
      <c r="H446" s="13">
        <v>-4.0241502997254907E-3</v>
      </c>
      <c r="I446" s="15">
        <f t="shared" si="6"/>
        <v>9.3762467866965859E-3</v>
      </c>
    </row>
    <row r="447" spans="1:9">
      <c r="A447" s="12">
        <v>45462</v>
      </c>
      <c r="B447" s="13">
        <v>-8.196767204178626E-3</v>
      </c>
      <c r="C447" s="14">
        <v>-2.4807781429241647E-2</v>
      </c>
      <c r="D447" s="13">
        <v>-1.5019143069081441E-3</v>
      </c>
      <c r="E447" s="14">
        <v>-1.0848338200193127E-2</v>
      </c>
      <c r="F447" s="13">
        <v>1.3146516337304329E-3</v>
      </c>
      <c r="G447" s="14">
        <v>-3.6320005105029272E-2</v>
      </c>
      <c r="H447" s="13">
        <v>9.2621841524642579E-3</v>
      </c>
      <c r="I447" s="15">
        <f t="shared" si="6"/>
        <v>-1.220483498220319E-2</v>
      </c>
    </row>
    <row r="448" spans="1:9">
      <c r="A448" s="12">
        <v>45461</v>
      </c>
      <c r="B448" s="13">
        <v>9.2252211858135699E-3</v>
      </c>
      <c r="C448" s="14">
        <v>1.2679249379296162E-2</v>
      </c>
      <c r="D448" s="13">
        <v>-2.6062233711431366E-3</v>
      </c>
      <c r="E448" s="14">
        <v>5.9026769124313604E-3</v>
      </c>
      <c r="F448" s="13">
        <v>3.1067718040048418E-3</v>
      </c>
      <c r="G448" s="14">
        <v>1.0418161776688405E-2</v>
      </c>
      <c r="H448" s="13">
        <v>1.5853990601986511E-2</v>
      </c>
      <c r="I448" s="15">
        <f t="shared" si="6"/>
        <v>9.5980630769599076E-3</v>
      </c>
    </row>
    <row r="449" spans="1:9">
      <c r="A449" s="12">
        <v>45457</v>
      </c>
      <c r="B449" s="13">
        <v>1.0616257568036465E-3</v>
      </c>
      <c r="C449" s="14">
        <v>-2.5826973728390475E-3</v>
      </c>
      <c r="D449" s="13">
        <v>1.0638981621501663E-2</v>
      </c>
      <c r="E449" s="14">
        <v>4.5906737085988289E-3</v>
      </c>
      <c r="F449" s="13">
        <v>3.1216485990244833E-2</v>
      </c>
      <c r="G449" s="14">
        <v>1.6014781810320126E-2</v>
      </c>
      <c r="H449" s="13">
        <v>-5.9158306773386985E-3</v>
      </c>
      <c r="I449" s="15">
        <f t="shared" si="6"/>
        <v>1.4183449969238336E-3</v>
      </c>
    </row>
    <row r="450" spans="1:9">
      <c r="A450" s="12">
        <v>45456</v>
      </c>
      <c r="B450" s="13">
        <v>-3.9783302351110612E-3</v>
      </c>
      <c r="C450" s="14">
        <v>-2.6891107285951879E-3</v>
      </c>
      <c r="D450" s="13">
        <v>-4.6657517024543838E-3</v>
      </c>
      <c r="E450" s="14">
        <v>1.064584912468273E-3</v>
      </c>
      <c r="F450" s="13">
        <v>-3.0781608887252713E-3</v>
      </c>
      <c r="G450" s="14">
        <v>-1.1511833051350796E-2</v>
      </c>
      <c r="H450" s="13">
        <v>-1.147591203453059E-2</v>
      </c>
      <c r="I450" s="15">
        <f t="shared" si="6"/>
        <v>-3.9321037978812803E-3</v>
      </c>
    </row>
    <row r="451" spans="1:9">
      <c r="A451" s="12">
        <v>45455</v>
      </c>
      <c r="B451" s="13">
        <v>-1.4443415282997189E-3</v>
      </c>
      <c r="C451" s="14">
        <v>-4.698364218415697E-3</v>
      </c>
      <c r="D451" s="13">
        <v>-4.0198067379709009E-4</v>
      </c>
      <c r="E451" s="14">
        <v>2.479632868108721E-3</v>
      </c>
      <c r="F451" s="13">
        <v>2.7498593010358119E-2</v>
      </c>
      <c r="G451" s="14">
        <v>-5.9846288622347832E-3</v>
      </c>
      <c r="H451" s="13">
        <v>1.9959526012346074E-2</v>
      </c>
      <c r="I451" s="15">
        <f t="shared" si="6"/>
        <v>-1.7872985474082282E-3</v>
      </c>
    </row>
    <row r="452" spans="1:9">
      <c r="A452" s="12">
        <v>45454</v>
      </c>
      <c r="B452" s="13">
        <v>-1.1535317424247894E-3</v>
      </c>
      <c r="C452" s="14">
        <v>-1.189410252143824E-2</v>
      </c>
      <c r="D452" s="13">
        <v>-1.4621486300136726E-4</v>
      </c>
      <c r="E452" s="14">
        <v>-5.1432231847899834E-3</v>
      </c>
      <c r="F452" s="13">
        <v>7.3407936751116341E-3</v>
      </c>
      <c r="G452" s="14">
        <v>-2.4211718520011718E-2</v>
      </c>
      <c r="H452" s="13">
        <v>-1.7653783694990054E-2</v>
      </c>
      <c r="I452" s="15">
        <f t="shared" si="6"/>
        <v>-4.3527185763601742E-3</v>
      </c>
    </row>
    <row r="453" spans="1:9">
      <c r="A453" s="12">
        <v>45453</v>
      </c>
      <c r="B453" s="13">
        <v>1.2020692689336282E-2</v>
      </c>
      <c r="C453" s="14">
        <v>-2.3349079183059974E-3</v>
      </c>
      <c r="D453" s="13">
        <v>3.2895338296235746E-4</v>
      </c>
      <c r="E453" s="14">
        <v>7.9343006207067066E-3</v>
      </c>
      <c r="F453" s="13">
        <v>-2.6762714939543217E-2</v>
      </c>
      <c r="G453" s="14">
        <v>-1.657231402250926E-2</v>
      </c>
      <c r="H453" s="13">
        <v>9.7785347549496898E-3</v>
      </c>
      <c r="I453" s="15">
        <f t="shared" si="6"/>
        <v>7.8495954883952678E-3</v>
      </c>
    </row>
    <row r="454" spans="1:9">
      <c r="A454" s="12">
        <v>45450</v>
      </c>
      <c r="B454" s="13">
        <v>-3.3587687686248463E-3</v>
      </c>
      <c r="C454" s="14">
        <v>-1.9292542958629356E-2</v>
      </c>
      <c r="D454" s="13">
        <v>-1.8655015743514461E-3</v>
      </c>
      <c r="E454" s="14">
        <v>-2.3813624190291732E-2</v>
      </c>
      <c r="F454" s="13">
        <v>-1.3296988251744937E-4</v>
      </c>
      <c r="G454" s="14">
        <v>-1.1039704965562844E-2</v>
      </c>
      <c r="H454" s="13">
        <v>-1.7639846916907457E-2</v>
      </c>
      <c r="I454" s="15">
        <f t="shared" ref="I454:I517" si="7">SUMPRODUCT($B$2:$H$2,B454:H454)</f>
        <v>-7.5132927332513663E-3</v>
      </c>
    </row>
    <row r="455" spans="1:9">
      <c r="A455" s="12">
        <v>45449</v>
      </c>
      <c r="B455" s="13">
        <v>-7.8525907153989879E-3</v>
      </c>
      <c r="C455" s="14">
        <v>-1.1253635489882256E-2</v>
      </c>
      <c r="D455" s="13">
        <v>-5.4933989039636713E-4</v>
      </c>
      <c r="E455" s="14">
        <v>-1.6319161562809447E-2</v>
      </c>
      <c r="F455" s="13">
        <v>-2.9965063207214237E-3</v>
      </c>
      <c r="G455" s="14">
        <v>-2.5432603217117257E-3</v>
      </c>
      <c r="H455" s="13">
        <v>-2.5865537895700907E-2</v>
      </c>
      <c r="I455" s="15">
        <f t="shared" si="7"/>
        <v>-8.6484062526653999E-3</v>
      </c>
    </row>
    <row r="456" spans="1:9">
      <c r="A456" s="12">
        <v>45448</v>
      </c>
      <c r="B456" s="13">
        <v>1.9415768734742291E-2</v>
      </c>
      <c r="C456" s="14">
        <v>-4.4108452105042816E-3</v>
      </c>
      <c r="D456" s="13">
        <v>-9.7181063723678004E-3</v>
      </c>
      <c r="E456" s="14">
        <v>-2.1691583718133345E-3</v>
      </c>
      <c r="F456" s="13">
        <v>-7.2954406868594487E-2</v>
      </c>
      <c r="G456" s="14">
        <v>-1.3750881413760897E-2</v>
      </c>
      <c r="H456" s="13">
        <v>-1.101807553485388E-2</v>
      </c>
      <c r="I456" s="15">
        <f t="shared" si="7"/>
        <v>1.2051926069563245E-2</v>
      </c>
    </row>
    <row r="457" spans="1:9">
      <c r="A457" s="12">
        <v>45447</v>
      </c>
      <c r="B457" s="13">
        <v>-3.5780701105314859E-2</v>
      </c>
      <c r="C457" s="14">
        <v>-4.1585363382921653E-2</v>
      </c>
      <c r="D457" s="13">
        <v>-3.408779683352664E-2</v>
      </c>
      <c r="E457" s="14">
        <v>-3.9641854452409496E-2</v>
      </c>
      <c r="F457" s="13">
        <v>-7.5607920934886302E-3</v>
      </c>
      <c r="G457" s="14">
        <v>-3.1471128712220818E-2</v>
      </c>
      <c r="H457" s="13">
        <v>-2.1094405405688899E-2</v>
      </c>
      <c r="I457" s="15">
        <f t="shared" si="7"/>
        <v>-3.6574195860402094E-2</v>
      </c>
    </row>
    <row r="458" spans="1:9">
      <c r="A458" s="12">
        <v>45446</v>
      </c>
      <c r="B458" s="13">
        <v>3.0747215921693221E-3</v>
      </c>
      <c r="C458" s="14">
        <v>3.4720468703737822E-2</v>
      </c>
      <c r="D458" s="13">
        <v>3.4235747714104231E-2</v>
      </c>
      <c r="E458" s="14">
        <v>3.0769337837660712E-2</v>
      </c>
      <c r="F458" s="13">
        <v>7.4830515537757769E-2</v>
      </c>
      <c r="G458" s="14">
        <v>2.7907701756281926E-2</v>
      </c>
      <c r="H458" s="13">
        <v>1.9809058185025159E-2</v>
      </c>
      <c r="I458" s="15">
        <f t="shared" si="7"/>
        <v>1.1559320975314886E-2</v>
      </c>
    </row>
    <row r="459" spans="1:9">
      <c r="A459" s="12">
        <v>45443</v>
      </c>
      <c r="B459" s="13">
        <v>5.1325436934848223E-3</v>
      </c>
      <c r="C459" s="14">
        <v>-2.5328677490433944E-2</v>
      </c>
      <c r="D459" s="13">
        <v>-8.617540885908756E-3</v>
      </c>
      <c r="E459" s="14">
        <v>-3.3103375899388222E-3</v>
      </c>
      <c r="F459" s="13">
        <v>-1.4184634991956413E-2</v>
      </c>
      <c r="G459" s="14">
        <v>-1.5336567101853488E-2</v>
      </c>
      <c r="H459" s="13">
        <v>7.3682857789119944E-3</v>
      </c>
      <c r="I459" s="15">
        <f t="shared" si="7"/>
        <v>-1.558222218237288E-3</v>
      </c>
    </row>
    <row r="460" spans="1:9">
      <c r="A460" s="12">
        <v>45442</v>
      </c>
      <c r="B460" s="13">
        <v>8.6731778754766927E-4</v>
      </c>
      <c r="C460" s="14">
        <v>3.74423769976059E-2</v>
      </c>
      <c r="D460" s="13">
        <v>1.289862212178457E-2</v>
      </c>
      <c r="E460" s="14">
        <v>-7.4540646737195017E-4</v>
      </c>
      <c r="F460" s="13">
        <v>-2.0429016298002933E-3</v>
      </c>
      <c r="G460" s="14">
        <v>-8.848056158321245E-3</v>
      </c>
      <c r="H460" s="13">
        <v>6.9974840231217753E-3</v>
      </c>
      <c r="I460" s="15">
        <f t="shared" si="7"/>
        <v>6.7035043498784534E-3</v>
      </c>
    </row>
    <row r="461" spans="1:9">
      <c r="A461" s="12">
        <v>45441</v>
      </c>
      <c r="B461" s="13">
        <v>5.6882679720940419E-3</v>
      </c>
      <c r="C461" s="14">
        <v>3.1130116287736959E-2</v>
      </c>
      <c r="D461" s="13">
        <v>8.4345360497946834E-3</v>
      </c>
      <c r="E461" s="14">
        <v>1.127064909442679E-2</v>
      </c>
      <c r="F461" s="13">
        <v>1.9241099927021249E-2</v>
      </c>
      <c r="G461" s="14">
        <v>4.9817700018594778E-3</v>
      </c>
      <c r="H461" s="13">
        <v>3.7962715633263334E-3</v>
      </c>
      <c r="I461" s="15">
        <f t="shared" si="7"/>
        <v>1.0259796042697495E-2</v>
      </c>
    </row>
    <row r="462" spans="1:9">
      <c r="A462" s="12">
        <v>45440</v>
      </c>
      <c r="B462" s="13">
        <v>3.8029075231005467E-3</v>
      </c>
      <c r="C462" s="14">
        <v>6.8777453274280753E-3</v>
      </c>
      <c r="D462" s="13">
        <v>1.1473511965408596E-2</v>
      </c>
      <c r="E462" s="14">
        <v>4.9279299491297342E-3</v>
      </c>
      <c r="F462" s="13">
        <v>-6.7091831673403678E-3</v>
      </c>
      <c r="G462" s="14">
        <v>-7.2454836541891538E-3</v>
      </c>
      <c r="H462" s="13">
        <v>1.5353583760217233E-2</v>
      </c>
      <c r="I462" s="15">
        <f t="shared" si="7"/>
        <v>4.0402933143276016E-3</v>
      </c>
    </row>
    <row r="463" spans="1:9">
      <c r="A463" s="12">
        <v>45439</v>
      </c>
      <c r="B463" s="13">
        <v>-1.3452264760556824E-2</v>
      </c>
      <c r="C463" s="14">
        <v>-1.9748198780462099E-2</v>
      </c>
      <c r="D463" s="13">
        <v>-1.8428522442480166E-3</v>
      </c>
      <c r="E463" s="14">
        <v>-1.4708321325777764E-2</v>
      </c>
      <c r="F463" s="13">
        <v>3.0822655397874089E-2</v>
      </c>
      <c r="G463" s="14">
        <v>1.1033810778082874E-2</v>
      </c>
      <c r="H463" s="13">
        <v>6.0451241984637695E-3</v>
      </c>
      <c r="I463" s="15">
        <f t="shared" si="7"/>
        <v>-1.3074563078975553E-2</v>
      </c>
    </row>
    <row r="464" spans="1:9">
      <c r="A464" s="12">
        <v>45436</v>
      </c>
      <c r="B464" s="13">
        <v>8.5261139138087148E-4</v>
      </c>
      <c r="C464" s="14">
        <v>2.7719334005575332E-3</v>
      </c>
      <c r="D464" s="13">
        <v>-1.9023156125707229E-2</v>
      </c>
      <c r="E464" s="14">
        <v>1.2688600829416821E-2</v>
      </c>
      <c r="F464" s="13">
        <v>7.8023802841850204E-3</v>
      </c>
      <c r="G464" s="14">
        <v>2.7055187641830169E-3</v>
      </c>
      <c r="H464" s="13">
        <v>1.0912273041063176E-2</v>
      </c>
      <c r="I464" s="15">
        <f t="shared" si="7"/>
        <v>1.6905438896627836E-3</v>
      </c>
    </row>
    <row r="465" spans="1:9">
      <c r="A465" s="12">
        <v>45435</v>
      </c>
      <c r="B465" s="13">
        <v>1.0037291155844728E-2</v>
      </c>
      <c r="C465" s="14">
        <v>1.2295083516075985E-3</v>
      </c>
      <c r="D465" s="13">
        <v>2.223690941080592E-2</v>
      </c>
      <c r="E465" s="14">
        <v>3.6752545527436416E-4</v>
      </c>
      <c r="F465" s="13">
        <v>2.1781770821098147E-2</v>
      </c>
      <c r="G465" s="14">
        <v>-2.9004429392962897E-3</v>
      </c>
      <c r="H465" s="13">
        <v>1.6073128436954666E-2</v>
      </c>
      <c r="I465" s="15">
        <f t="shared" si="7"/>
        <v>7.6852660577333646E-3</v>
      </c>
    </row>
    <row r="466" spans="1:9">
      <c r="A466" s="12">
        <v>45434</v>
      </c>
      <c r="B466" s="13">
        <v>-6.218173589597295E-3</v>
      </c>
      <c r="C466" s="14">
        <v>-6.1456521446738935E-4</v>
      </c>
      <c r="D466" s="13">
        <v>3.1547014195168713E-2</v>
      </c>
      <c r="E466" s="14">
        <v>-1.1029818390905326E-3</v>
      </c>
      <c r="F466" s="13">
        <v>-1.0831580890387563E-2</v>
      </c>
      <c r="G466" s="14">
        <v>5.0672384635226696E-4</v>
      </c>
      <c r="H466" s="13">
        <v>3.3038023743852557E-3</v>
      </c>
      <c r="I466" s="15">
        <f t="shared" si="7"/>
        <v>-4.1589422294837702E-3</v>
      </c>
    </row>
    <row r="467" spans="1:9">
      <c r="A467" s="12">
        <v>45433</v>
      </c>
      <c r="B467" s="13">
        <v>-1.1834457647002796E-2</v>
      </c>
      <c r="C467" s="14">
        <v>8.0616794586272529E-3</v>
      </c>
      <c r="D467" s="13">
        <v>-5.0780196320762902E-3</v>
      </c>
      <c r="E467" s="14">
        <v>-3.8331168855018126E-3</v>
      </c>
      <c r="F467" s="13">
        <v>-3.2082157770950978E-3</v>
      </c>
      <c r="G467" s="14">
        <v>-1.6770674757536626E-3</v>
      </c>
      <c r="H467" s="13">
        <v>-9.0362060639374454E-3</v>
      </c>
      <c r="I467" s="15">
        <f t="shared" si="7"/>
        <v>-7.4888418936965061E-3</v>
      </c>
    </row>
    <row r="468" spans="1:9">
      <c r="A468" s="12">
        <v>45430</v>
      </c>
      <c r="B468" s="13">
        <v>-1.2508653520692364E-2</v>
      </c>
      <c r="C468" s="14">
        <v>4.5632082427352009E-3</v>
      </c>
      <c r="D468" s="13">
        <v>-3.8729295403211322E-2</v>
      </c>
      <c r="E468" s="14">
        <v>2.5700858687810295E-2</v>
      </c>
      <c r="F468" s="13">
        <v>4.1541529937021239E-2</v>
      </c>
      <c r="G468" s="14">
        <v>2.0974117649476962E-2</v>
      </c>
      <c r="H468" s="13">
        <v>-3.5885886530460237E-2</v>
      </c>
      <c r="I468" s="15">
        <f t="shared" si="7"/>
        <v>-6.630082449779728E-3</v>
      </c>
    </row>
    <row r="469" spans="1:9">
      <c r="A469" s="12">
        <v>45429</v>
      </c>
      <c r="B469" s="13">
        <v>-2.2928248213860266E-3</v>
      </c>
      <c r="C469" s="14">
        <v>-4.7665015957427167E-3</v>
      </c>
      <c r="D469" s="13">
        <v>2.4786773644055863E-3</v>
      </c>
      <c r="E469" s="14">
        <v>-8.203432160173366E-3</v>
      </c>
      <c r="F469" s="13">
        <v>-1.5846222520521383E-2</v>
      </c>
      <c r="G469" s="14">
        <v>-1.0517158277414077E-3</v>
      </c>
      <c r="H469" s="13">
        <v>1.4014555131321247E-2</v>
      </c>
      <c r="I469" s="15">
        <f t="shared" si="7"/>
        <v>-2.7670892683043882E-3</v>
      </c>
    </row>
    <row r="470" spans="1:9">
      <c r="A470" s="12">
        <v>45428</v>
      </c>
      <c r="B470" s="13">
        <v>1.4758313118900816E-3</v>
      </c>
      <c r="C470" s="14">
        <v>-3.768400854094757E-3</v>
      </c>
      <c r="D470" s="13">
        <v>-1.2971491101232411E-2</v>
      </c>
      <c r="E470" s="14">
        <v>-1.5652747900870959E-2</v>
      </c>
      <c r="F470" s="13">
        <v>-6.9139181764346341E-3</v>
      </c>
      <c r="G470" s="14">
        <v>-2.1133197579546469E-2</v>
      </c>
      <c r="H470" s="13">
        <v>-4.6365396384488285E-2</v>
      </c>
      <c r="I470" s="15">
        <f t="shared" si="7"/>
        <v>-1.8971858798470869E-3</v>
      </c>
    </row>
    <row r="471" spans="1:9">
      <c r="A471" s="12">
        <v>45427</v>
      </c>
      <c r="B471" s="13">
        <v>-1.243836348280126E-4</v>
      </c>
      <c r="C471" s="14">
        <v>-1.0050335853501451E-2</v>
      </c>
      <c r="D471" s="13">
        <v>-7.0099063912018047E-4</v>
      </c>
      <c r="E471" s="14">
        <v>4.5601726567886247E-3</v>
      </c>
      <c r="F471" s="13">
        <v>3.777152743745394E-3</v>
      </c>
      <c r="G471" s="14">
        <v>-1.8776777085569164E-3</v>
      </c>
      <c r="H471" s="13">
        <v>1.3034217838906906E-2</v>
      </c>
      <c r="I471" s="15">
        <f t="shared" si="7"/>
        <v>-1.5435908345701943E-3</v>
      </c>
    </row>
    <row r="472" spans="1:9">
      <c r="A472" s="12">
        <v>45426</v>
      </c>
      <c r="B472" s="13">
        <v>1.8469322588508211E-2</v>
      </c>
      <c r="C472" s="14">
        <v>1.9293202934678851E-2</v>
      </c>
      <c r="D472" s="13">
        <v>5.2638481286882621E-3</v>
      </c>
      <c r="E472" s="14">
        <v>2.9310492149795956E-3</v>
      </c>
      <c r="F472" s="13">
        <v>4.7014661118068013E-3</v>
      </c>
      <c r="G472" s="14">
        <v>-1.2093427147973498E-2</v>
      </c>
      <c r="H472" s="13">
        <v>-2.1655662049941637E-2</v>
      </c>
      <c r="I472" s="15">
        <f t="shared" si="7"/>
        <v>1.5900244820197258E-2</v>
      </c>
    </row>
    <row r="473" spans="1:9">
      <c r="A473" s="12">
        <v>45425</v>
      </c>
      <c r="B473" s="13">
        <v>4.56017777750617E-3</v>
      </c>
      <c r="C473" s="14">
        <v>2.4235092140554794E-3</v>
      </c>
      <c r="D473" s="13">
        <v>6.0394393048651338E-3</v>
      </c>
      <c r="E473" s="14">
        <v>-1.5782038479257476E-2</v>
      </c>
      <c r="F473" s="13">
        <v>-5.0156844961674685E-3</v>
      </c>
      <c r="G473" s="14">
        <v>-3.135794257740702E-3</v>
      </c>
      <c r="H473" s="13">
        <v>1.0401523975518395E-2</v>
      </c>
      <c r="I473" s="15">
        <f t="shared" si="7"/>
        <v>2.8886536679026413E-3</v>
      </c>
    </row>
    <row r="474" spans="1:9">
      <c r="A474" s="12">
        <v>45422</v>
      </c>
      <c r="B474" s="13">
        <v>-3.8231361618495524E-2</v>
      </c>
      <c r="C474" s="14">
        <v>-1.1156302323449696E-2</v>
      </c>
      <c r="D474" s="13">
        <v>-1.1450927045529323E-2</v>
      </c>
      <c r="E474" s="14">
        <v>2.7710320139165062E-2</v>
      </c>
      <c r="F474" s="13">
        <v>4.7029401621092072E-3</v>
      </c>
      <c r="G474" s="14">
        <v>-8.2033932092606173E-3</v>
      </c>
      <c r="H474" s="13">
        <v>2.5540095321899818E-2</v>
      </c>
      <c r="I474" s="15">
        <f t="shared" si="7"/>
        <v>-2.8085075838798105E-2</v>
      </c>
    </row>
    <row r="475" spans="1:9">
      <c r="A475" s="12">
        <v>45421</v>
      </c>
      <c r="B475" s="13">
        <v>-2.2312947368572856E-2</v>
      </c>
      <c r="C475" s="14">
        <v>-1.8528579474461678E-2</v>
      </c>
      <c r="D475" s="13">
        <v>1.4802600553676595E-2</v>
      </c>
      <c r="E475" s="14">
        <v>-3.5853365704207789E-3</v>
      </c>
      <c r="F475" s="13">
        <v>-8.4812821885150626E-3</v>
      </c>
      <c r="G475" s="14">
        <v>-1.2097897369509409E-2</v>
      </c>
      <c r="H475" s="13">
        <v>-2.829246490532266E-2</v>
      </c>
      <c r="I475" s="15">
        <f t="shared" si="7"/>
        <v>-1.9837563449258688E-2</v>
      </c>
    </row>
    <row r="476" spans="1:9">
      <c r="A476" s="12">
        <v>45420</v>
      </c>
      <c r="B476" s="13">
        <v>4.7979814857522438E-2</v>
      </c>
      <c r="C476" s="14">
        <v>4.0817838667463809E-2</v>
      </c>
      <c r="D476" s="13">
        <v>1.0204170174241668E-2</v>
      </c>
      <c r="E476" s="14">
        <v>6.2929683262441891E-3</v>
      </c>
      <c r="F476" s="13">
        <v>5.2538575485430256E-2</v>
      </c>
      <c r="G476" s="14">
        <v>1.5918551527553476E-2</v>
      </c>
      <c r="H476" s="13">
        <v>-4.864996447206325E-4</v>
      </c>
      <c r="I476" s="15">
        <f t="shared" si="7"/>
        <v>4.2344171305067096E-2</v>
      </c>
    </row>
    <row r="477" spans="1:9">
      <c r="A477" s="12">
        <v>45419</v>
      </c>
      <c r="B477" s="13">
        <v>2.4218128539963839E-2</v>
      </c>
      <c r="C477" s="14">
        <v>2.2876170125764969E-2</v>
      </c>
      <c r="D477" s="13">
        <v>-5.2338187296969612E-3</v>
      </c>
      <c r="E477" s="14">
        <v>1.7795081166460495E-2</v>
      </c>
      <c r="F477" s="13">
        <v>-1.9036683052981583E-2</v>
      </c>
      <c r="G477" s="14">
        <v>-2.1385679750592994E-3</v>
      </c>
      <c r="H477" s="13">
        <v>3.2388692281435237E-3</v>
      </c>
      <c r="I477" s="15">
        <f t="shared" si="7"/>
        <v>2.1849404780745769E-2</v>
      </c>
    </row>
    <row r="478" spans="1:9">
      <c r="A478" s="12">
        <v>45418</v>
      </c>
      <c r="B478" s="13">
        <v>6.5524643565071537E-3</v>
      </c>
      <c r="C478" s="14">
        <v>-3.0266071432008303E-3</v>
      </c>
      <c r="D478" s="13">
        <v>1.1212588207912474E-3</v>
      </c>
      <c r="E478" s="14">
        <v>1.4521289571331515E-2</v>
      </c>
      <c r="F478" s="13">
        <v>1.9036683052981528E-2</v>
      </c>
      <c r="G478" s="14">
        <v>-1.3617711746864398E-2</v>
      </c>
      <c r="H478" s="13">
        <v>6.4464365063200491E-3</v>
      </c>
      <c r="I478" s="15">
        <f t="shared" si="7"/>
        <v>4.334850457916292E-3</v>
      </c>
    </row>
    <row r="479" spans="1:9">
      <c r="A479" s="12">
        <v>45415</v>
      </c>
      <c r="B479" s="13">
        <v>-8.1884717722994767E-4</v>
      </c>
      <c r="C479" s="14">
        <v>2.3005074074087258E-2</v>
      </c>
      <c r="D479" s="13">
        <v>-2.1350904667584844E-3</v>
      </c>
      <c r="E479" s="14">
        <v>-6.9837281978072459E-4</v>
      </c>
      <c r="F479" s="13">
        <v>3.6731027918794942E-2</v>
      </c>
      <c r="G479" s="14">
        <v>1.9820920995154468E-2</v>
      </c>
      <c r="H479" s="13">
        <v>1.5936592262812597E-2</v>
      </c>
      <c r="I479" s="15">
        <f t="shared" si="7"/>
        <v>4.3370842569836771E-3</v>
      </c>
    </row>
    <row r="480" spans="1:9">
      <c r="A480" s="12">
        <v>45414</v>
      </c>
      <c r="B480" s="13">
        <v>1.5461388584431522E-2</v>
      </c>
      <c r="C480" s="14">
        <v>-1.5300758459890853E-3</v>
      </c>
      <c r="D480" s="13">
        <v>2.535542891425637E-4</v>
      </c>
      <c r="E480" s="14">
        <v>-5.2182863085797398E-3</v>
      </c>
      <c r="F480" s="13">
        <v>-3.1787340737811426E-3</v>
      </c>
      <c r="G480" s="14">
        <v>3.2755347062538255E-3</v>
      </c>
      <c r="H480" s="13">
        <v>6.7754139284979635E-3</v>
      </c>
      <c r="I480" s="15">
        <f t="shared" si="7"/>
        <v>1.0717235423126151E-2</v>
      </c>
    </row>
    <row r="481" spans="1:9">
      <c r="A481" s="12">
        <v>45412</v>
      </c>
      <c r="B481" s="13">
        <v>-3.4012815001317816E-2</v>
      </c>
      <c r="C481" s="14">
        <v>-2.6965746408514686E-2</v>
      </c>
      <c r="D481" s="13">
        <v>-4.7921674573773538E-3</v>
      </c>
      <c r="E481" s="14">
        <v>-2.2298101196377391E-2</v>
      </c>
      <c r="F481" s="13">
        <v>-1.0181906145119412E-2</v>
      </c>
      <c r="G481" s="14">
        <v>-2.9342597614815114E-2</v>
      </c>
      <c r="H481" s="13">
        <v>-5.9852123859969646E-3</v>
      </c>
      <c r="I481" s="15">
        <f t="shared" si="7"/>
        <v>-3.1400130684750664E-2</v>
      </c>
    </row>
    <row r="482" spans="1:9">
      <c r="A482" s="12">
        <v>45411</v>
      </c>
      <c r="B482" s="13">
        <v>-2.6810134267134804E-3</v>
      </c>
      <c r="C482" s="14">
        <v>-8.2930675707608339E-3</v>
      </c>
      <c r="D482" s="13">
        <v>-1.7847716406086313E-3</v>
      </c>
      <c r="E482" s="14">
        <v>2.1520039867870253E-3</v>
      </c>
      <c r="F482" s="13">
        <v>-1.4630580517604398E-3</v>
      </c>
      <c r="G482" s="14">
        <v>-4.4910791593060374E-4</v>
      </c>
      <c r="H482" s="13">
        <v>2.2092481764620277E-3</v>
      </c>
      <c r="I482" s="15">
        <f t="shared" si="7"/>
        <v>-3.2316593353257945E-3</v>
      </c>
    </row>
    <row r="483" spans="1:9">
      <c r="A483" s="12">
        <v>45408</v>
      </c>
      <c r="B483" s="13">
        <v>-8.4204021467894543E-3</v>
      </c>
      <c r="C483" s="14">
        <v>-2.4815140035715499E-3</v>
      </c>
      <c r="D483" s="13">
        <v>-3.449257195733535E-2</v>
      </c>
      <c r="E483" s="14">
        <v>-1.6135686667807082E-3</v>
      </c>
      <c r="F483" s="13">
        <v>-1.2968056770829645E-2</v>
      </c>
      <c r="G483" s="14">
        <v>-2.7603145881005108E-3</v>
      </c>
      <c r="H483" s="13">
        <v>4.2469588018042587E-3</v>
      </c>
      <c r="I483" s="15">
        <f t="shared" si="7"/>
        <v>-7.0454634083390692E-3</v>
      </c>
    </row>
    <row r="484" spans="1:9">
      <c r="A484" s="12">
        <v>45407</v>
      </c>
      <c r="B484" s="13">
        <v>6.0642361950372647E-3</v>
      </c>
      <c r="C484" s="14">
        <v>5.1546505886644221E-3</v>
      </c>
      <c r="D484" s="13">
        <v>-3.3641429546898407E-3</v>
      </c>
      <c r="E484" s="14">
        <v>-5.0006399963072245E-3</v>
      </c>
      <c r="F484" s="13">
        <v>-5.6522536320871807E-3</v>
      </c>
      <c r="G484" s="14">
        <v>8.3912367670763318E-4</v>
      </c>
      <c r="H484" s="13">
        <v>1.4116542223473459E-3</v>
      </c>
      <c r="I484" s="15">
        <f t="shared" si="7"/>
        <v>4.9485666835844804E-3</v>
      </c>
    </row>
    <row r="485" spans="1:9">
      <c r="A485" s="12">
        <v>45406</v>
      </c>
      <c r="B485" s="13">
        <v>2.1992608180175098E-3</v>
      </c>
      <c r="C485" s="14">
        <v>1.9755043959266529E-3</v>
      </c>
      <c r="D485" s="13">
        <v>-4.4398137630741047E-3</v>
      </c>
      <c r="E485" s="14">
        <v>1.4415975394581988E-3</v>
      </c>
      <c r="F485" s="13">
        <v>2.6813661231320451E-3</v>
      </c>
      <c r="G485" s="14">
        <v>2.1049412564416495E-3</v>
      </c>
      <c r="H485" s="13">
        <v>3.2861308031679488E-3</v>
      </c>
      <c r="I485" s="15">
        <f t="shared" si="7"/>
        <v>2.045832859230066E-3</v>
      </c>
    </row>
    <row r="486" spans="1:9">
      <c r="A486" s="12">
        <v>45405</v>
      </c>
      <c r="B486" s="13">
        <v>2.4901408564491291E-3</v>
      </c>
      <c r="C486" s="14">
        <v>-6.9098270356996176E-4</v>
      </c>
      <c r="D486" s="13">
        <v>1.0140846703646336E-2</v>
      </c>
      <c r="E486" s="14">
        <v>-6.6486243106528417E-3</v>
      </c>
      <c r="F486" s="13">
        <v>6.2287017334197881E-3</v>
      </c>
      <c r="G486" s="14">
        <v>-5.8146840871092188E-3</v>
      </c>
      <c r="H486" s="13">
        <v>2.8081141697747945E-3</v>
      </c>
      <c r="I486" s="15">
        <f t="shared" si="7"/>
        <v>1.2164168395021064E-3</v>
      </c>
    </row>
    <row r="487" spans="1:9">
      <c r="A487" s="12">
        <v>45404</v>
      </c>
      <c r="B487" s="13">
        <v>-1.1562642486262115E-2</v>
      </c>
      <c r="C487" s="14">
        <v>2.96193910444108E-4</v>
      </c>
      <c r="D487" s="13">
        <v>-4.3388926565554953E-3</v>
      </c>
      <c r="E487" s="14">
        <v>-1.5638449437089651E-2</v>
      </c>
      <c r="F487" s="13">
        <v>3.257996123547624E-2</v>
      </c>
      <c r="G487" s="14">
        <v>-5.6008712430501767E-3</v>
      </c>
      <c r="H487" s="13">
        <v>-7.5058991952898987E-3</v>
      </c>
      <c r="I487" s="15">
        <f t="shared" si="7"/>
        <v>-9.3080402331340503E-3</v>
      </c>
    </row>
    <row r="488" spans="1:9">
      <c r="A488" s="12">
        <v>45401</v>
      </c>
      <c r="B488" s="13">
        <v>-1.1786912619810909E-2</v>
      </c>
      <c r="C488" s="14">
        <v>-3.8573807782002331E-3</v>
      </c>
      <c r="D488" s="13">
        <v>-7.6672356172402568E-3</v>
      </c>
      <c r="E488" s="14">
        <v>2.1703552818579828E-3</v>
      </c>
      <c r="F488" s="13">
        <v>-1.4994513922517072E-2</v>
      </c>
      <c r="G488" s="14">
        <v>-6.2763662375456457E-3</v>
      </c>
      <c r="H488" s="13">
        <v>3.7599918964549466E-3</v>
      </c>
      <c r="I488" s="15">
        <f t="shared" si="7"/>
        <v>-9.325094724347175E-3</v>
      </c>
    </row>
    <row r="489" spans="1:9">
      <c r="A489" s="12">
        <v>45400</v>
      </c>
      <c r="B489" s="13">
        <v>-3.0269308043280493E-4</v>
      </c>
      <c r="C489" s="14">
        <v>2.2246005340066339E-2</v>
      </c>
      <c r="D489" s="13">
        <v>2.5876189330912634E-3</v>
      </c>
      <c r="E489" s="14">
        <v>3.6739042993795334E-4</v>
      </c>
      <c r="F489" s="13">
        <v>-1.9361121055636945E-2</v>
      </c>
      <c r="G489" s="14">
        <v>5.6360357225084786E-3</v>
      </c>
      <c r="H489" s="13">
        <v>1.0422432371500654E-2</v>
      </c>
      <c r="I489" s="15">
        <f t="shared" si="7"/>
        <v>3.9142128619486984E-3</v>
      </c>
    </row>
    <row r="490" spans="1:9">
      <c r="A490" s="12">
        <v>45398</v>
      </c>
      <c r="B490" s="13">
        <v>7.9110688059629269E-3</v>
      </c>
      <c r="C490" s="14">
        <v>2.9225649911619939E-2</v>
      </c>
      <c r="D490" s="13">
        <v>4.2095744511343536E-3</v>
      </c>
      <c r="E490" s="14">
        <v>-3.2745296832363607E-3</v>
      </c>
      <c r="F490" s="13">
        <v>-2.3375352596303526E-2</v>
      </c>
      <c r="G490" s="14">
        <v>1.6496444748104272E-2</v>
      </c>
      <c r="H490" s="13">
        <v>1.1386490155395125E-2</v>
      </c>
      <c r="I490" s="15">
        <f t="shared" si="7"/>
        <v>1.1299493485958108E-2</v>
      </c>
    </row>
    <row r="491" spans="1:9">
      <c r="A491" s="12">
        <v>45397</v>
      </c>
      <c r="B491" s="13">
        <v>5.0754373720795949E-3</v>
      </c>
      <c r="C491" s="14">
        <v>2.7388798297851128E-2</v>
      </c>
      <c r="D491" s="13">
        <v>6.2625171664399048E-3</v>
      </c>
      <c r="E491" s="14">
        <v>2.1719532181259564E-3</v>
      </c>
      <c r="F491" s="13">
        <v>1.2121213605291025E-3</v>
      </c>
      <c r="G491" s="14">
        <v>-4.5222215545393674E-3</v>
      </c>
      <c r="H491" s="13">
        <v>-1.94660866251231E-2</v>
      </c>
      <c r="I491" s="15">
        <f t="shared" si="7"/>
        <v>8.0572136410157445E-3</v>
      </c>
    </row>
    <row r="492" spans="1:9">
      <c r="A492" s="12">
        <v>45394</v>
      </c>
      <c r="B492" s="13">
        <v>3.5445473949510535E-3</v>
      </c>
      <c r="C492" s="14">
        <v>1.9588909677401706E-2</v>
      </c>
      <c r="D492" s="13">
        <v>1.3670701829042189E-2</v>
      </c>
      <c r="E492" s="14">
        <v>2.6203640421411035E-2</v>
      </c>
      <c r="F492" s="13">
        <v>2.2755472887672126E-2</v>
      </c>
      <c r="G492" s="14">
        <v>2.7320750168328858E-3</v>
      </c>
      <c r="H492" s="13">
        <v>5.1090465706879862E-2</v>
      </c>
      <c r="I492" s="15">
        <f t="shared" si="7"/>
        <v>7.8766506949579547E-3</v>
      </c>
    </row>
    <row r="493" spans="1:9">
      <c r="A493" s="12">
        <v>45392</v>
      </c>
      <c r="B493" s="13">
        <v>1.4692722472857833E-2</v>
      </c>
      <c r="C493" s="14">
        <v>8.8515934009101311E-3</v>
      </c>
      <c r="D493" s="13">
        <v>-6.7372907501581135E-3</v>
      </c>
      <c r="E493" s="14">
        <v>8.9514301410165283E-4</v>
      </c>
      <c r="F493" s="13">
        <v>2.282803255620084E-2</v>
      </c>
      <c r="G493" s="14">
        <v>4.996253056277971E-3</v>
      </c>
      <c r="H493" s="13">
        <v>1.0763096899057224E-2</v>
      </c>
      <c r="I493" s="15">
        <f t="shared" si="7"/>
        <v>1.2280111208780945E-2</v>
      </c>
    </row>
    <row r="494" spans="1:9">
      <c r="A494" s="12">
        <v>45391</v>
      </c>
      <c r="B494" s="13">
        <v>-1.3764794399481974E-2</v>
      </c>
      <c r="C494" s="14">
        <v>-1.0649346694081142E-2</v>
      </c>
      <c r="D494" s="13">
        <v>-7.3095630487131687E-3</v>
      </c>
      <c r="E494" s="14">
        <v>1.7893248924917226E-4</v>
      </c>
      <c r="F494" s="13">
        <v>-1.2227226569560443E-2</v>
      </c>
      <c r="G494" s="14">
        <v>-8.3205818200892262E-3</v>
      </c>
      <c r="H494" s="13">
        <v>-1.7754572012385315E-2</v>
      </c>
      <c r="I494" s="15">
        <f t="shared" si="7"/>
        <v>-1.2244794703321536E-2</v>
      </c>
    </row>
    <row r="495" spans="1:9">
      <c r="A495" s="12">
        <v>45390</v>
      </c>
      <c r="B495" s="13">
        <v>1.2123679800965601E-2</v>
      </c>
      <c r="C495" s="14">
        <v>7.6182308848889192E-3</v>
      </c>
      <c r="D495" s="13">
        <v>2.6874158319306642E-2</v>
      </c>
      <c r="E495" s="14">
        <v>5.4954996814440384E-3</v>
      </c>
      <c r="F495" s="13">
        <v>3.142827498685187E-2</v>
      </c>
      <c r="G495" s="14">
        <v>-5.6131585082554673E-3</v>
      </c>
      <c r="H495" s="13">
        <v>3.1011376253448044E-2</v>
      </c>
      <c r="I495" s="15">
        <f t="shared" si="7"/>
        <v>1.0570925464520731E-2</v>
      </c>
    </row>
    <row r="496" spans="1:9">
      <c r="A496" s="12">
        <v>45387</v>
      </c>
      <c r="B496" s="13">
        <v>-2.9608104116763761E-3</v>
      </c>
      <c r="C496" s="14">
        <v>3.8319344665736954E-3</v>
      </c>
      <c r="D496" s="13">
        <v>2.1342549685885028E-2</v>
      </c>
      <c r="E496" s="14">
        <v>1.0232169854505275E-2</v>
      </c>
      <c r="F496" s="13">
        <v>-8.519097490949178E-4</v>
      </c>
      <c r="G496" s="14">
        <v>1.5795862875892842E-2</v>
      </c>
      <c r="H496" s="13">
        <v>1.9206552854381196E-2</v>
      </c>
      <c r="I496" s="15">
        <f t="shared" si="7"/>
        <v>2.0378064437888774E-4</v>
      </c>
    </row>
    <row r="497" spans="1:9">
      <c r="A497" s="12">
        <v>45386</v>
      </c>
      <c r="B497" s="13">
        <v>1.2013761075085611E-2</v>
      </c>
      <c r="C497" s="14">
        <v>-6.2455592024217186E-3</v>
      </c>
      <c r="D497" s="13">
        <v>-1.1837929386314086E-3</v>
      </c>
      <c r="E497" s="14">
        <v>-1.7614006703633146E-4</v>
      </c>
      <c r="F497" s="13">
        <v>1.135718463927207E-3</v>
      </c>
      <c r="G497" s="14">
        <v>-3.6465337599385066E-3</v>
      </c>
      <c r="H497" s="13">
        <v>-8.1249110636459933E-3</v>
      </c>
      <c r="I497" s="15">
        <f t="shared" si="7"/>
        <v>7.2539842074111627E-3</v>
      </c>
    </row>
    <row r="498" spans="1:9">
      <c r="A498" s="12">
        <v>45385</v>
      </c>
      <c r="B498" s="13">
        <v>-1.691573167529228E-2</v>
      </c>
      <c r="C498" s="14">
        <v>4.2868691175283226E-3</v>
      </c>
      <c r="D498" s="13">
        <v>-4.6672770876155537E-4</v>
      </c>
      <c r="E498" s="14">
        <v>-8.2782515414694755E-3</v>
      </c>
      <c r="F498" s="13">
        <v>-1.4002229057177514E-2</v>
      </c>
      <c r="G498" s="14">
        <v>-6.4544595787073798E-3</v>
      </c>
      <c r="H498" s="13">
        <v>-9.2020778744254413E-3</v>
      </c>
      <c r="I498" s="15">
        <f t="shared" si="7"/>
        <v>-1.2148816077436685E-2</v>
      </c>
    </row>
    <row r="499" spans="1:9">
      <c r="A499" s="12">
        <v>45384</v>
      </c>
      <c r="B499" s="13">
        <v>1.6888513733741234E-3</v>
      </c>
      <c r="C499" s="14">
        <v>1.880435015905044E-2</v>
      </c>
      <c r="D499" s="13">
        <v>-3.4784844917692202E-2</v>
      </c>
      <c r="E499" s="14">
        <v>-1.5321032794537968E-2</v>
      </c>
      <c r="F499" s="13">
        <v>-1.8295849387322826E-2</v>
      </c>
      <c r="G499" s="14">
        <v>-1.0213982951525189E-4</v>
      </c>
      <c r="H499" s="13">
        <v>-3.035646248059384E-2</v>
      </c>
      <c r="I499" s="15">
        <f t="shared" si="7"/>
        <v>2.9062733123964759E-3</v>
      </c>
    </row>
    <row r="500" spans="1:9">
      <c r="A500" s="12">
        <v>45383</v>
      </c>
      <c r="B500" s="13">
        <v>-1.1139735190824856E-3</v>
      </c>
      <c r="C500" s="14">
        <v>-9.225562950427979E-3</v>
      </c>
      <c r="D500" s="13">
        <v>-2.366506856223774E-2</v>
      </c>
      <c r="E500" s="14">
        <v>-2.3800218164951668E-2</v>
      </c>
      <c r="F500" s="13">
        <v>1.1716462968907578E-3</v>
      </c>
      <c r="G500" s="14">
        <v>-1.249862095340553E-2</v>
      </c>
      <c r="H500" s="13">
        <v>-5.7613970766159844E-2</v>
      </c>
      <c r="I500" s="15">
        <f t="shared" si="7"/>
        <v>-4.881990152372331E-3</v>
      </c>
    </row>
    <row r="501" spans="1:9">
      <c r="A501" s="12">
        <v>45379</v>
      </c>
      <c r="B501" s="13">
        <v>-8.4824084303496122E-3</v>
      </c>
      <c r="C501" s="14">
        <v>1.1584157623210552E-2</v>
      </c>
      <c r="D501" s="13">
        <v>-4.4133392622267599E-2</v>
      </c>
      <c r="E501" s="14">
        <v>-3.6146021150723524E-2</v>
      </c>
      <c r="F501" s="13">
        <v>-2.7903264735220389E-2</v>
      </c>
      <c r="G501" s="14">
        <v>-1.3495144204083372E-2</v>
      </c>
      <c r="H501" s="13">
        <v>-0.10764141848018978</v>
      </c>
      <c r="I501" s="15">
        <f t="shared" si="7"/>
        <v>-7.9858206259706133E-3</v>
      </c>
    </row>
    <row r="502" spans="1:9">
      <c r="A502" s="12">
        <v>45378</v>
      </c>
      <c r="B502" s="13">
        <v>-5.7246182139997666E-3</v>
      </c>
      <c r="C502" s="14">
        <v>-1.0260997724790345E-2</v>
      </c>
      <c r="D502" s="13">
        <v>1.2966658588559991E-2</v>
      </c>
      <c r="E502" s="14">
        <v>7.7830311618680061E-3</v>
      </c>
      <c r="F502" s="13">
        <v>-3.4919321186835051E-2</v>
      </c>
      <c r="G502" s="14">
        <v>1.1963211392323829E-2</v>
      </c>
      <c r="H502" s="13">
        <v>2.1031452167739415E-2</v>
      </c>
      <c r="I502" s="15">
        <f t="shared" si="7"/>
        <v>-4.5762403943511347E-3</v>
      </c>
    </row>
    <row r="503" spans="1:9">
      <c r="A503" s="12">
        <v>45377</v>
      </c>
      <c r="B503" s="13">
        <v>-5.6154545584267091E-3</v>
      </c>
      <c r="C503" s="14">
        <v>-1.5994654115695978E-2</v>
      </c>
      <c r="D503" s="13">
        <v>8.8764342175580175E-3</v>
      </c>
      <c r="E503" s="14">
        <v>1.7442850271671289E-2</v>
      </c>
      <c r="F503" s="13">
        <v>1.9753728736232431E-2</v>
      </c>
      <c r="G503" s="14">
        <v>-5.8595135131247495E-3</v>
      </c>
      <c r="H503" s="13">
        <v>2.9488664420697721E-2</v>
      </c>
      <c r="I503" s="15">
        <f t="shared" si="7"/>
        <v>-5.7359712432514046E-3</v>
      </c>
    </row>
    <row r="504" spans="1:9">
      <c r="A504" s="12">
        <v>45373</v>
      </c>
      <c r="B504" s="13">
        <v>9.4941618188883539E-3</v>
      </c>
      <c r="C504" s="14">
        <v>2.6868478957924199E-4</v>
      </c>
      <c r="D504" s="13">
        <v>2.8287660741669961E-2</v>
      </c>
      <c r="E504" s="14">
        <v>-1.1210344584207397E-3</v>
      </c>
      <c r="F504" s="13">
        <v>8.5210497319340509E-3</v>
      </c>
      <c r="G504" s="14">
        <v>2.6000065919868212E-2</v>
      </c>
      <c r="H504" s="13">
        <v>-1.169688494961801E-3</v>
      </c>
      <c r="I504" s="15">
        <f t="shared" si="7"/>
        <v>8.329490427395024E-3</v>
      </c>
    </row>
    <row r="505" spans="1:9">
      <c r="A505" s="12">
        <v>45372</v>
      </c>
      <c r="B505" s="13">
        <v>-7.1874785149764241E-3</v>
      </c>
      <c r="C505" s="14">
        <v>-5.027391861783523E-3</v>
      </c>
      <c r="D505" s="13">
        <v>-2.5767350369151278E-3</v>
      </c>
      <c r="E505" s="14">
        <v>-2.9580835229570841E-3</v>
      </c>
      <c r="F505" s="13">
        <v>-2.0511969729138484E-2</v>
      </c>
      <c r="G505" s="14">
        <v>-1.1846543772734917E-2</v>
      </c>
      <c r="H505" s="13">
        <v>-2.1759151609603614E-3</v>
      </c>
      <c r="I505" s="15">
        <f t="shared" si="7"/>
        <v>-6.7480729894745855E-3</v>
      </c>
    </row>
    <row r="506" spans="1:9">
      <c r="A506" s="12">
        <v>45371</v>
      </c>
      <c r="B506" s="13">
        <v>1.3283625017208995E-3</v>
      </c>
      <c r="C506" s="14">
        <v>-1.2406769965087834E-2</v>
      </c>
      <c r="D506" s="13">
        <v>5.6374413881960794E-3</v>
      </c>
      <c r="E506" s="14">
        <v>-5.4522686722403013E-3</v>
      </c>
      <c r="F506" s="13">
        <v>2.1628310609420214E-3</v>
      </c>
      <c r="G506" s="14">
        <v>-1.4883167676027953E-2</v>
      </c>
      <c r="H506" s="13">
        <v>1.3811684738724845E-2</v>
      </c>
      <c r="I506" s="15">
        <f t="shared" si="7"/>
        <v>-1.9239790935658087E-3</v>
      </c>
    </row>
    <row r="507" spans="1:9">
      <c r="A507" s="12">
        <v>45370</v>
      </c>
      <c r="B507" s="13">
        <v>-3.4751808024059564E-3</v>
      </c>
      <c r="C507" s="14">
        <v>2.3664341615868591E-3</v>
      </c>
      <c r="D507" s="13">
        <v>8.9019687527042441E-3</v>
      </c>
      <c r="E507" s="14">
        <v>1.1583358198323911E-2</v>
      </c>
      <c r="F507" s="13">
        <v>2.1978906718775167E-2</v>
      </c>
      <c r="G507" s="14">
        <v>1.4225462222138569E-2</v>
      </c>
      <c r="H507" s="13">
        <v>-4.6380735786005576E-3</v>
      </c>
      <c r="I507" s="15">
        <f t="shared" si="7"/>
        <v>-7.4157627392797316E-4</v>
      </c>
    </row>
    <row r="508" spans="1:9">
      <c r="A508" s="12">
        <v>45369</v>
      </c>
      <c r="B508" s="13">
        <v>1.1092384469621836E-2</v>
      </c>
      <c r="C508" s="14">
        <v>9.5001845480202005E-3</v>
      </c>
      <c r="D508" s="13">
        <v>7.4785925323814475E-5</v>
      </c>
      <c r="E508" s="14">
        <v>2.0364447432811805E-2</v>
      </c>
      <c r="F508" s="13">
        <v>4.8042242493742136E-2</v>
      </c>
      <c r="G508" s="14">
        <v>1.8899996416949724E-2</v>
      </c>
      <c r="H508" s="13">
        <v>1.2047344322761297E-2</v>
      </c>
      <c r="I508" s="15">
        <f t="shared" si="7"/>
        <v>1.1561087828848798E-2</v>
      </c>
    </row>
    <row r="509" spans="1:9">
      <c r="A509" s="12">
        <v>45366</v>
      </c>
      <c r="B509" s="13">
        <v>7.3678372520004122E-3</v>
      </c>
      <c r="C509" s="14">
        <v>4.5820124188516477E-3</v>
      </c>
      <c r="D509" s="13">
        <v>3.1732429143562801E-3</v>
      </c>
      <c r="E509" s="14">
        <v>-1.3530115590514173E-2</v>
      </c>
      <c r="F509" s="13">
        <v>-4.3222956057793235E-2</v>
      </c>
      <c r="G509" s="14">
        <v>-3.4231364916706475E-2</v>
      </c>
      <c r="H509" s="13">
        <v>-7.5745463415951165E-3</v>
      </c>
      <c r="I509" s="15">
        <f t="shared" si="7"/>
        <v>3.6851827783810579E-3</v>
      </c>
    </row>
    <row r="510" spans="1:9">
      <c r="A510" s="12">
        <v>45365</v>
      </c>
      <c r="B510" s="13">
        <v>8.5767392658612964E-3</v>
      </c>
      <c r="C510" s="14">
        <v>1.3267635964690661E-2</v>
      </c>
      <c r="D510" s="13">
        <v>-9.3243387470545811E-3</v>
      </c>
      <c r="E510" s="14">
        <v>-1.2403086539414595E-2</v>
      </c>
      <c r="F510" s="13">
        <v>9.5694510161506725E-3</v>
      </c>
      <c r="G510" s="14">
        <v>-3.1537249790396744E-2</v>
      </c>
      <c r="H510" s="13">
        <v>1.3788793649309765E-2</v>
      </c>
      <c r="I510" s="15">
        <f t="shared" si="7"/>
        <v>6.2767223438889115E-3</v>
      </c>
    </row>
    <row r="511" spans="1:9">
      <c r="A511" s="12">
        <v>45364</v>
      </c>
      <c r="B511" s="13">
        <v>-1.1160674917977204E-2</v>
      </c>
      <c r="C511" s="14">
        <v>-1.515180502060222E-2</v>
      </c>
      <c r="D511" s="13">
        <v>-1.5430708234809215E-2</v>
      </c>
      <c r="E511" s="14">
        <v>-3.5515719449470143E-2</v>
      </c>
      <c r="F511" s="13">
        <v>-6.7718174054950855E-2</v>
      </c>
      <c r="G511" s="14">
        <v>-1.4891305824390765E-2</v>
      </c>
      <c r="H511" s="13">
        <v>-1.5939865877770541E-2</v>
      </c>
      <c r="I511" s="15">
        <f t="shared" si="7"/>
        <v>-1.3374470550790879E-2</v>
      </c>
    </row>
    <row r="512" spans="1:9">
      <c r="A512" s="12">
        <v>45363</v>
      </c>
      <c r="B512" s="13">
        <v>5.5785232617567137E-3</v>
      </c>
      <c r="C512" s="14">
        <v>1.2671952540819752E-2</v>
      </c>
      <c r="D512" s="13">
        <v>2.1581804067507451E-2</v>
      </c>
      <c r="E512" s="14">
        <v>4.6992965722768953E-2</v>
      </c>
      <c r="F512" s="13">
        <v>6.1149025319481423E-2</v>
      </c>
      <c r="G512" s="14">
        <v>4.5133299829631622E-2</v>
      </c>
      <c r="H512" s="13">
        <v>3.8347509300316857E-2</v>
      </c>
      <c r="I512" s="15">
        <f t="shared" si="7"/>
        <v>1.1208814193587191E-2</v>
      </c>
    </row>
    <row r="513" spans="1:9">
      <c r="A513" s="12">
        <v>45362</v>
      </c>
      <c r="B513" s="13">
        <v>2.4335129617737033E-4</v>
      </c>
      <c r="C513" s="14">
        <v>2.192685636872491E-2</v>
      </c>
      <c r="D513" s="13">
        <v>2.2662288501840561E-2</v>
      </c>
      <c r="E513" s="14">
        <v>2.8201752123004426E-2</v>
      </c>
      <c r="F513" s="13">
        <v>6.5792228626615878E-2</v>
      </c>
      <c r="G513" s="14">
        <v>2.4637239730179385E-3</v>
      </c>
      <c r="H513" s="13">
        <v>3.5239728132302361E-2</v>
      </c>
      <c r="I513" s="15">
        <f t="shared" si="7"/>
        <v>6.0374437046248333E-3</v>
      </c>
    </row>
    <row r="514" spans="1:9">
      <c r="A514" s="12">
        <v>45358</v>
      </c>
      <c r="B514" s="13">
        <v>-2.192296524771454E-3</v>
      </c>
      <c r="C514" s="14">
        <v>-5.1315615977522355E-3</v>
      </c>
      <c r="D514" s="13">
        <v>-3.1485711007812342E-3</v>
      </c>
      <c r="E514" s="14">
        <v>1.8486661875454429E-2</v>
      </c>
      <c r="F514" s="13">
        <v>1.1989548334117981E-2</v>
      </c>
      <c r="G514" s="14">
        <v>8.7202612220763105E-3</v>
      </c>
      <c r="H514" s="13">
        <v>2.9119436893228681E-2</v>
      </c>
      <c r="I514" s="15">
        <f t="shared" si="7"/>
        <v>-8.9274205270941341E-4</v>
      </c>
    </row>
    <row r="515" spans="1:9">
      <c r="A515" s="12">
        <v>45357</v>
      </c>
      <c r="B515" s="13">
        <v>-1.518145639950326E-2</v>
      </c>
      <c r="C515" s="14">
        <v>7.6442345828654154E-3</v>
      </c>
      <c r="D515" s="13">
        <v>7.7801506499727063E-3</v>
      </c>
      <c r="E515" s="14">
        <v>4.9030945331349713E-3</v>
      </c>
      <c r="F515" s="13">
        <v>2.2743821847484247E-2</v>
      </c>
      <c r="G515" s="14">
        <v>7.7222051112974055E-3</v>
      </c>
      <c r="H515" s="13">
        <v>1.0261075978080044E-2</v>
      </c>
      <c r="I515" s="15">
        <f t="shared" si="7"/>
        <v>-8.7236913294085269E-3</v>
      </c>
    </row>
    <row r="516" spans="1:9">
      <c r="A516" s="12">
        <v>45356</v>
      </c>
      <c r="B516" s="13">
        <v>-2.4434737797949576E-3</v>
      </c>
      <c r="C516" s="14">
        <v>-2.5994295895142355E-3</v>
      </c>
      <c r="D516" s="13">
        <v>1.0316273418676969E-2</v>
      </c>
      <c r="E516" s="14">
        <v>6.9779549230361785E-3</v>
      </c>
      <c r="F516" s="13">
        <v>5.4309602308710542E-2</v>
      </c>
      <c r="G516" s="14">
        <v>6.2778182764512041E-3</v>
      </c>
      <c r="H516" s="13">
        <v>-6.6800515603739107E-3</v>
      </c>
      <c r="I516" s="15">
        <f t="shared" si="7"/>
        <v>-1.4030344020178572E-3</v>
      </c>
    </row>
    <row r="517" spans="1:9">
      <c r="A517" s="12">
        <v>45355</v>
      </c>
      <c r="B517" s="13">
        <v>4.0161762359373658E-3</v>
      </c>
      <c r="C517" s="14">
        <v>4.5013926423382519E-3</v>
      </c>
      <c r="D517" s="13">
        <v>-1.5136228924136062E-3</v>
      </c>
      <c r="E517" s="14">
        <v>6.756076542573354E-3</v>
      </c>
      <c r="F517" s="13">
        <v>-6.1776258239569885E-3</v>
      </c>
      <c r="G517" s="14">
        <v>1.5935625391217359E-2</v>
      </c>
      <c r="H517" s="13">
        <v>1.3462737545586356E-2</v>
      </c>
      <c r="I517" s="15">
        <f t="shared" si="7"/>
        <v>4.786216041326511E-3</v>
      </c>
    </row>
    <row r="518" spans="1:9">
      <c r="A518" s="12">
        <v>45353</v>
      </c>
      <c r="B518" s="13">
        <v>6.3539212808655533E-3</v>
      </c>
      <c r="C518" s="14">
        <v>2.4317567022153458E-2</v>
      </c>
      <c r="D518" s="13">
        <v>1.762427872957515E-2</v>
      </c>
      <c r="E518" s="14">
        <v>1.508760665074909E-2</v>
      </c>
      <c r="F518" s="13">
        <v>-9.4432692458682105E-2</v>
      </c>
      <c r="G518" s="14">
        <v>1.5448627036356894E-2</v>
      </c>
      <c r="H518" s="13">
        <v>2.5248003931585054E-2</v>
      </c>
      <c r="I518" s="15">
        <f t="shared" ref="I518:I581" si="8">SUMPRODUCT($B$2:$H$2,B518:H518)</f>
        <v>1.0417861574917569E-2</v>
      </c>
    </row>
    <row r="519" spans="1:9">
      <c r="A519" s="12">
        <v>45352</v>
      </c>
      <c r="B519" s="13">
        <v>-6.3539212808655671E-3</v>
      </c>
      <c r="C519" s="14">
        <v>-6.7664979477626268E-3</v>
      </c>
      <c r="D519" s="13">
        <v>-7.1480949463858532E-3</v>
      </c>
      <c r="E519" s="14">
        <v>-1.2834143165288775E-2</v>
      </c>
      <c r="F519" s="13">
        <v>-2.2672803608311174E-2</v>
      </c>
      <c r="G519" s="14">
        <v>-1.3624595421880017E-2</v>
      </c>
      <c r="H519" s="13">
        <v>-3.732418918133884E-3</v>
      </c>
      <c r="I519" s="15">
        <f t="shared" si="8"/>
        <v>-7.0916721425035587E-3</v>
      </c>
    </row>
    <row r="520" spans="1:9">
      <c r="A520" s="12">
        <v>45351</v>
      </c>
      <c r="B520" s="13">
        <v>-3.4844781570199969E-3</v>
      </c>
      <c r="C520" s="14">
        <v>2.9353614788902489E-2</v>
      </c>
      <c r="D520" s="13">
        <v>-1.5001074318212679E-3</v>
      </c>
      <c r="E520" s="14">
        <v>-1.5595490866493512E-3</v>
      </c>
      <c r="F520" s="13">
        <v>6.9424635219906446E-3</v>
      </c>
      <c r="G520" s="14">
        <v>7.7201975352315213E-3</v>
      </c>
      <c r="H520" s="13">
        <v>-1.8714465981676258E-3</v>
      </c>
      <c r="I520" s="15">
        <f t="shared" si="8"/>
        <v>2.7256554389200492E-3</v>
      </c>
    </row>
    <row r="521" spans="1:9">
      <c r="A521" s="12">
        <v>45350</v>
      </c>
      <c r="B521" s="13">
        <v>-9.8108955199756598E-3</v>
      </c>
      <c r="C521" s="14">
        <v>-7.2625636380356268E-2</v>
      </c>
      <c r="D521" s="13">
        <v>3.2473933435814488E-3</v>
      </c>
      <c r="E521" s="14">
        <v>8.2552322780022839E-3</v>
      </c>
      <c r="F521" s="13">
        <v>-2.5977789179797519E-3</v>
      </c>
      <c r="G521" s="14">
        <v>1.8975453217758748E-2</v>
      </c>
      <c r="H521" s="13">
        <v>-6.5052632734479464E-3</v>
      </c>
      <c r="I521" s="15">
        <f t="shared" si="8"/>
        <v>-1.7972586323412882E-2</v>
      </c>
    </row>
    <row r="522" spans="1:9">
      <c r="A522" s="12">
        <v>45349</v>
      </c>
      <c r="B522" s="13">
        <v>2.3064748373073991E-2</v>
      </c>
      <c r="C522" s="14">
        <v>-2.3068060979151706E-3</v>
      </c>
      <c r="D522" s="13">
        <v>1.4150512046982438E-2</v>
      </c>
      <c r="E522" s="14">
        <v>1.3428065438834338E-2</v>
      </c>
      <c r="F522" s="13">
        <v>4.1607812851768969E-2</v>
      </c>
      <c r="G522" s="14">
        <v>2.8070129649008478E-2</v>
      </c>
      <c r="H522" s="13">
        <v>2.9298272802004519E-2</v>
      </c>
      <c r="I522" s="15">
        <f t="shared" si="8"/>
        <v>1.8501945943063685E-2</v>
      </c>
    </row>
    <row r="523" spans="1:9">
      <c r="A523" s="12">
        <v>45348</v>
      </c>
      <c r="B523" s="13">
        <v>3.1075444001916509E-3</v>
      </c>
      <c r="C523" s="14">
        <v>6.2868228495167929E-3</v>
      </c>
      <c r="D523" s="13">
        <v>3.0864222031893648E-3</v>
      </c>
      <c r="E523" s="14">
        <v>1.1104287446567187E-2</v>
      </c>
      <c r="F523" s="13">
        <v>7.7587199163967141E-2</v>
      </c>
      <c r="G523" s="14">
        <v>1.7068083516288936E-2</v>
      </c>
      <c r="H523" s="13">
        <v>5.8980651249870009E-3</v>
      </c>
      <c r="I523" s="15">
        <f t="shared" si="8"/>
        <v>4.8035828306183396E-3</v>
      </c>
    </row>
    <row r="524" spans="1:9">
      <c r="A524" s="12">
        <v>45345</v>
      </c>
      <c r="B524" s="13">
        <v>4.0146139972737659E-2</v>
      </c>
      <c r="C524" s="14">
        <v>9.5753356017727019E-3</v>
      </c>
      <c r="D524" s="13">
        <v>1.0935922034629657E-2</v>
      </c>
      <c r="E524" s="14">
        <v>8.9884491217032351E-3</v>
      </c>
      <c r="F524" s="13">
        <v>3.5851510872017488E-3</v>
      </c>
      <c r="G524" s="14">
        <v>1.8795671759550561E-2</v>
      </c>
      <c r="H524" s="13">
        <v>2.0785007644159824E-2</v>
      </c>
      <c r="I524" s="15">
        <f t="shared" si="8"/>
        <v>3.1879186781693436E-2</v>
      </c>
    </row>
    <row r="525" spans="1:9">
      <c r="A525" s="12">
        <v>45344</v>
      </c>
      <c r="B525" s="13">
        <v>1.0477579256143447E-2</v>
      </c>
      <c r="C525" s="14">
        <v>-4.3723493329159727E-4</v>
      </c>
      <c r="D525" s="13">
        <v>5.2167121812979706E-3</v>
      </c>
      <c r="E525" s="14">
        <v>1.9501243865681517E-2</v>
      </c>
      <c r="F525" s="13">
        <v>5.8621296967956323E-3</v>
      </c>
      <c r="G525" s="14">
        <v>1.1855115389525397E-2</v>
      </c>
      <c r="H525" s="13">
        <v>2.4920032776899751E-2</v>
      </c>
      <c r="I525" s="15">
        <f t="shared" si="8"/>
        <v>9.1940116954326127E-3</v>
      </c>
    </row>
    <row r="526" spans="1:9">
      <c r="A526" s="12">
        <v>45343</v>
      </c>
      <c r="B526" s="13">
        <v>-5.1834246837596642E-3</v>
      </c>
      <c r="C526" s="14">
        <v>1.0490428446972963E-3</v>
      </c>
      <c r="D526" s="13">
        <v>2.7863580982244961E-2</v>
      </c>
      <c r="E526" s="14">
        <v>-3.2627492214145698E-4</v>
      </c>
      <c r="F526" s="13">
        <v>5.0813009223379957E-4</v>
      </c>
      <c r="G526" s="14">
        <v>1.0858338447222754E-2</v>
      </c>
      <c r="H526" s="13">
        <v>-6.8452049045530632E-3</v>
      </c>
      <c r="I526" s="15">
        <f t="shared" si="8"/>
        <v>-2.7347314696827009E-3</v>
      </c>
    </row>
    <row r="527" spans="1:9">
      <c r="A527" s="12">
        <v>45342</v>
      </c>
      <c r="B527" s="13">
        <v>3.2759925863809955E-3</v>
      </c>
      <c r="C527" s="14">
        <v>-1.5674854222501099E-2</v>
      </c>
      <c r="D527" s="13">
        <v>7.6447101620512464E-3</v>
      </c>
      <c r="E527" s="14">
        <v>1.003304031168795E-2</v>
      </c>
      <c r="F527" s="13">
        <v>-3.0526607272287104E-3</v>
      </c>
      <c r="G527" s="14">
        <v>9.2724264372268106E-3</v>
      </c>
      <c r="H527" s="13">
        <v>1.5236862540801381E-2</v>
      </c>
      <c r="I527" s="15">
        <f t="shared" si="8"/>
        <v>8.3819850020613851E-4</v>
      </c>
    </row>
    <row r="528" spans="1:9">
      <c r="A528" s="12">
        <v>45341</v>
      </c>
      <c r="B528" s="13">
        <v>-4.5093466319567968E-3</v>
      </c>
      <c r="C528" s="14">
        <v>-1.1515414014552042E-2</v>
      </c>
      <c r="D528" s="13">
        <v>5.5052704294925089E-3</v>
      </c>
      <c r="E528" s="14">
        <v>-7.751348262761173E-3</v>
      </c>
      <c r="F528" s="13">
        <v>9.8872652333696683E-3</v>
      </c>
      <c r="G528" s="14">
        <v>-4.758954200429856E-3</v>
      </c>
      <c r="H528" s="13">
        <v>2.6493590804747419E-3</v>
      </c>
      <c r="I528" s="15">
        <f t="shared" si="8"/>
        <v>-5.6618732800081352E-3</v>
      </c>
    </row>
    <row r="529" spans="1:9">
      <c r="A529" s="12">
        <v>45338</v>
      </c>
      <c r="B529" s="13">
        <v>3.2634061596242842E-3</v>
      </c>
      <c r="C529" s="14">
        <v>1.071630187435799E-2</v>
      </c>
      <c r="D529" s="13">
        <v>-1.1375476066307384E-2</v>
      </c>
      <c r="E529" s="14">
        <v>-1.3405861300252718E-2</v>
      </c>
      <c r="F529" s="13">
        <v>-8.6141905865716774E-3</v>
      </c>
      <c r="G529" s="14">
        <v>1.1116142432862856E-2</v>
      </c>
      <c r="H529" s="13">
        <v>-2.3287990326696532E-2</v>
      </c>
      <c r="I529" s="15">
        <f t="shared" si="8"/>
        <v>3.6462588848410016E-3</v>
      </c>
    </row>
    <row r="530" spans="1:9">
      <c r="A530" s="12">
        <v>45337</v>
      </c>
      <c r="B530" s="13">
        <v>2.8716334085906008E-3</v>
      </c>
      <c r="C530" s="14">
        <v>-1.7020925117155385E-2</v>
      </c>
      <c r="D530" s="13">
        <v>3.2728880699879619E-3</v>
      </c>
      <c r="E530" s="14">
        <v>3.1298930089275656E-3</v>
      </c>
      <c r="F530" s="13">
        <v>1.3144779760834687E-2</v>
      </c>
      <c r="G530" s="14">
        <v>-1.4450221741543586E-2</v>
      </c>
      <c r="H530" s="13">
        <v>-2.708559063147179E-4</v>
      </c>
      <c r="I530" s="15">
        <f t="shared" si="8"/>
        <v>-1.2894045890450797E-3</v>
      </c>
    </row>
    <row r="531" spans="1:9">
      <c r="A531" s="12">
        <v>45336</v>
      </c>
      <c r="B531" s="13">
        <v>-1.3399277721747076E-2</v>
      </c>
      <c r="C531" s="14">
        <v>1.3372422738407023E-2</v>
      </c>
      <c r="D531" s="13">
        <v>-2.7858461497303515E-2</v>
      </c>
      <c r="E531" s="14">
        <v>-1.6460909066687917E-3</v>
      </c>
      <c r="F531" s="13">
        <v>-1.5437482331809844E-2</v>
      </c>
      <c r="G531" s="14">
        <v>1.4098711143500726E-3</v>
      </c>
      <c r="H531" s="13">
        <v>-1.0484131703937683E-2</v>
      </c>
      <c r="I531" s="15">
        <f t="shared" si="8"/>
        <v>-7.7686014419820586E-3</v>
      </c>
    </row>
    <row r="532" spans="1:9">
      <c r="A532" s="12">
        <v>45335</v>
      </c>
      <c r="B532" s="13">
        <v>-1.6139882454551185E-3</v>
      </c>
      <c r="C532" s="14">
        <v>-4.1988715819770549E-3</v>
      </c>
      <c r="D532" s="13">
        <v>1.0911182991160215E-2</v>
      </c>
      <c r="E532" s="14">
        <v>3.1172956000517057E-2</v>
      </c>
      <c r="F532" s="13">
        <v>1.019627924177002E-3</v>
      </c>
      <c r="G532" s="14">
        <v>-2.0376329898500488E-2</v>
      </c>
      <c r="H532" s="13">
        <v>-8.6604431599018022E-3</v>
      </c>
      <c r="I532" s="15">
        <f t="shared" si="8"/>
        <v>-1.2009669068738101E-3</v>
      </c>
    </row>
    <row r="533" spans="1:9">
      <c r="A533" s="12">
        <v>45334</v>
      </c>
      <c r="B533" s="13">
        <v>-6.008051285441126E-3</v>
      </c>
      <c r="C533" s="14">
        <v>-1.3519809356340865E-2</v>
      </c>
      <c r="D533" s="13">
        <v>-1.7101449680432517E-2</v>
      </c>
      <c r="E533" s="14">
        <v>-3.2326833982330404E-2</v>
      </c>
      <c r="F533" s="13">
        <v>-4.8525187798845399E-3</v>
      </c>
      <c r="G533" s="14">
        <v>1.6749480117407442E-2</v>
      </c>
      <c r="H533" s="13">
        <v>-1.3342796975347094E-2</v>
      </c>
      <c r="I533" s="15">
        <f t="shared" si="8"/>
        <v>-7.7139305850852597E-3</v>
      </c>
    </row>
    <row r="534" spans="1:9">
      <c r="A534" s="12">
        <v>45331</v>
      </c>
      <c r="B534" s="13">
        <v>-7.281409867131134E-4</v>
      </c>
      <c r="C534" s="14">
        <v>5.4298775943692401E-3</v>
      </c>
      <c r="D534" s="13">
        <v>-1.8171558598601541E-2</v>
      </c>
      <c r="E534" s="14">
        <v>3.9455400591920618E-2</v>
      </c>
      <c r="F534" s="13">
        <v>2.3530497410194036E-2</v>
      </c>
      <c r="G534" s="14">
        <v>2.9070378822621836E-2</v>
      </c>
      <c r="H534" s="13">
        <v>5.2733421032007351E-2</v>
      </c>
      <c r="I534" s="15">
        <f t="shared" si="8"/>
        <v>3.9409962841339555E-3</v>
      </c>
    </row>
    <row r="535" spans="1:9">
      <c r="A535" s="12">
        <v>45330</v>
      </c>
      <c r="B535" s="13">
        <v>-7.4984410852506336E-3</v>
      </c>
      <c r="C535" s="14">
        <v>-9.0662452377531944E-3</v>
      </c>
      <c r="D535" s="13">
        <v>1.3260942512884899E-2</v>
      </c>
      <c r="E535" s="14">
        <v>-6.3441715054121379E-4</v>
      </c>
      <c r="F535" s="13">
        <v>-4.5112858465010137E-3</v>
      </c>
      <c r="G535" s="14">
        <v>-1.1875232463736595E-2</v>
      </c>
      <c r="H535" s="13">
        <v>-4.1231687062576374E-3</v>
      </c>
      <c r="I535" s="15">
        <f t="shared" si="8"/>
        <v>-7.3358117429135443E-3</v>
      </c>
    </row>
    <row r="536" spans="1:9">
      <c r="A536" s="12">
        <v>45329</v>
      </c>
      <c r="B536" s="13">
        <v>1.7443237176887793E-2</v>
      </c>
      <c r="C536" s="14">
        <v>1.2310075798872536E-2</v>
      </c>
      <c r="D536" s="13">
        <v>-4.0642695980288163E-3</v>
      </c>
      <c r="E536" s="14">
        <v>7.3976058146238248E-3</v>
      </c>
      <c r="F536" s="13">
        <v>3.3105790110852934E-2</v>
      </c>
      <c r="G536" s="14">
        <v>8.2349696196816584E-3</v>
      </c>
      <c r="H536" s="13">
        <v>-2.3600313191762579E-2</v>
      </c>
      <c r="I536" s="15">
        <f t="shared" si="8"/>
        <v>1.5061330894817534E-2</v>
      </c>
    </row>
    <row r="537" spans="1:9">
      <c r="A537" s="12">
        <v>45328</v>
      </c>
      <c r="B537" s="13">
        <v>-1.6982529555972223E-2</v>
      </c>
      <c r="C537" s="14">
        <v>0</v>
      </c>
      <c r="D537" s="13">
        <v>-2.0679477905755892E-2</v>
      </c>
      <c r="E537" s="14">
        <v>4.5682129379413176E-2</v>
      </c>
      <c r="F537" s="13">
        <v>4.8590865873440465E-4</v>
      </c>
      <c r="G537" s="14">
        <v>2.2942324777361446E-2</v>
      </c>
      <c r="H537" s="13">
        <v>-4.5134453970801262E-3</v>
      </c>
      <c r="I537" s="15">
        <f t="shared" si="8"/>
        <v>-9.0743443100981449E-3</v>
      </c>
    </row>
    <row r="538" spans="1:9">
      <c r="A538" s="12">
        <v>45327</v>
      </c>
      <c r="B538" s="13">
        <v>-4.6509325839377506E-3</v>
      </c>
      <c r="C538" s="14">
        <v>2.0127137711579028E-2</v>
      </c>
      <c r="D538" s="13">
        <v>4.3259410771067236E-3</v>
      </c>
      <c r="E538" s="14">
        <v>3.0668615942687223E-2</v>
      </c>
      <c r="F538" s="13">
        <v>-2.1358366829176016E-2</v>
      </c>
      <c r="G538" s="14">
        <v>-7.0908350811231466E-2</v>
      </c>
      <c r="H538" s="13">
        <v>2.4776194580172925E-2</v>
      </c>
      <c r="I538" s="15">
        <f t="shared" si="8"/>
        <v>-1.4802539003920081E-3</v>
      </c>
    </row>
    <row r="539" spans="1:9">
      <c r="A539" s="12">
        <v>45324</v>
      </c>
      <c r="B539" s="13">
        <v>6.4746153936906898E-3</v>
      </c>
      <c r="C539" s="14">
        <v>4.3109203259385463E-3</v>
      </c>
      <c r="D539" s="13">
        <v>4.0606683504812403E-3</v>
      </c>
      <c r="E539" s="14">
        <v>-1.0796959715392926E-2</v>
      </c>
      <c r="F539" s="13">
        <v>-3.7931222323409557E-2</v>
      </c>
      <c r="G539" s="14">
        <v>-1.8010184339046775E-2</v>
      </c>
      <c r="H539" s="13">
        <v>1.0508909483660935E-2</v>
      </c>
      <c r="I539" s="15">
        <f t="shared" si="8"/>
        <v>4.0612546098562673E-3</v>
      </c>
    </row>
    <row r="540" spans="1:9">
      <c r="A540" s="12">
        <v>45323</v>
      </c>
      <c r="B540" s="13">
        <v>-2.3697299540135818E-3</v>
      </c>
      <c r="C540" s="14">
        <v>-7.1362797897457997E-3</v>
      </c>
      <c r="D540" s="13">
        <v>1.9010743271738097E-3</v>
      </c>
      <c r="E540" s="14">
        <v>-8.5616200423158234E-3</v>
      </c>
      <c r="F540" s="13">
        <v>8.9801758075843188E-3</v>
      </c>
      <c r="G540" s="14">
        <v>-1.9860410885469991E-2</v>
      </c>
      <c r="H540" s="13">
        <v>1.1185062986125385E-2</v>
      </c>
      <c r="I540" s="15">
        <f t="shared" si="8"/>
        <v>-4.1183369868587538E-3</v>
      </c>
    </row>
    <row r="541" spans="1:9">
      <c r="A541" s="12">
        <v>45322</v>
      </c>
      <c r="B541" s="13">
        <v>9.6820976489036623E-3</v>
      </c>
      <c r="C541" s="14">
        <v>-6.1911291943509404E-4</v>
      </c>
      <c r="D541" s="13">
        <v>1.5253083630078094E-2</v>
      </c>
      <c r="E541" s="14">
        <v>1.2212763607243817E-2</v>
      </c>
      <c r="F541" s="13">
        <v>2.547105294666166E-2</v>
      </c>
      <c r="G541" s="14">
        <v>-6.6960064759627493E-3</v>
      </c>
      <c r="H541" s="13">
        <v>-1.0473947016702964E-3</v>
      </c>
      <c r="I541" s="15">
        <f t="shared" si="8"/>
        <v>7.3050954325621729E-3</v>
      </c>
    </row>
    <row r="542" spans="1:9">
      <c r="A542" s="12">
        <v>45321</v>
      </c>
      <c r="B542" s="13">
        <v>-1.2686171239385468E-3</v>
      </c>
      <c r="C542" s="14">
        <v>-5.9452679665968977E-3</v>
      </c>
      <c r="D542" s="13">
        <v>3.2507982701694164E-3</v>
      </c>
      <c r="E542" s="14">
        <v>-1.7702201300889283E-2</v>
      </c>
      <c r="F542" s="13">
        <v>9.9108838994539598E-3</v>
      </c>
      <c r="G542" s="14">
        <v>1.5743272639311828E-2</v>
      </c>
      <c r="H542" s="13">
        <v>8.218688229142547E-3</v>
      </c>
      <c r="I542" s="15">
        <f t="shared" si="8"/>
        <v>-1.928795767899993E-3</v>
      </c>
    </row>
    <row r="543" spans="1:9">
      <c r="A543" s="12">
        <v>45320</v>
      </c>
      <c r="B543" s="13">
        <v>7.4028819652487759E-3</v>
      </c>
      <c r="C543" s="14">
        <v>-3.4770239639372344E-3</v>
      </c>
      <c r="D543" s="13">
        <v>1.1841362985174577E-2</v>
      </c>
      <c r="E543" s="14">
        <v>1.0504954729210848E-2</v>
      </c>
      <c r="F543" s="13">
        <v>1.0789707421380025E-2</v>
      </c>
      <c r="G543" s="14">
        <v>-1.7966091934951862E-2</v>
      </c>
      <c r="H543" s="13">
        <v>4.6662430747180135E-3</v>
      </c>
      <c r="I543" s="15">
        <f t="shared" si="8"/>
        <v>4.5734493462337034E-3</v>
      </c>
    </row>
    <row r="544" spans="1:9">
      <c r="A544" s="12">
        <v>45316</v>
      </c>
      <c r="B544" s="13">
        <v>-9.0629707716194247E-3</v>
      </c>
      <c r="C544" s="14">
        <v>-9.241463645017052E-3</v>
      </c>
      <c r="D544" s="13">
        <v>-1.0564686311243493E-2</v>
      </c>
      <c r="E544" s="14">
        <v>-1.9490065136388002E-2</v>
      </c>
      <c r="F544" s="13">
        <v>-1.3011107816533611E-2</v>
      </c>
      <c r="G544" s="14">
        <v>-4.4797860023823889E-3</v>
      </c>
      <c r="H544" s="13">
        <v>1.6796954656620338E-3</v>
      </c>
      <c r="I544" s="15">
        <f t="shared" si="8"/>
        <v>-9.3304161806987158E-3</v>
      </c>
    </row>
    <row r="545" spans="1:9">
      <c r="A545" s="12">
        <v>45315</v>
      </c>
      <c r="B545" s="13">
        <v>1.6894991393808071E-2</v>
      </c>
      <c r="C545" s="14">
        <v>1.4052591955891798E-2</v>
      </c>
      <c r="D545" s="13">
        <v>-1.3120177097789997E-2</v>
      </c>
      <c r="E545" s="14">
        <v>2.2003186423600756E-2</v>
      </c>
      <c r="F545" s="13">
        <v>1.2279132671005449E-2</v>
      </c>
      <c r="G545" s="14">
        <v>7.3914423387688461E-3</v>
      </c>
      <c r="H545" s="13">
        <v>7.075349513615734E-3</v>
      </c>
      <c r="I545" s="15">
        <f t="shared" si="8"/>
        <v>1.5761673368194572E-2</v>
      </c>
    </row>
    <row r="546" spans="1:9">
      <c r="A546" s="12">
        <v>45314</v>
      </c>
      <c r="B546" s="13">
        <v>1.8252449601820916E-2</v>
      </c>
      <c r="C546" s="14">
        <v>-2.8031216595099592E-2</v>
      </c>
      <c r="D546" s="13">
        <v>-1.0607384063164995E-2</v>
      </c>
      <c r="E546" s="14">
        <v>-9.3153634340594465E-3</v>
      </c>
      <c r="F546" s="13">
        <v>-1.648862260614235E-2</v>
      </c>
      <c r="G546" s="14">
        <v>4.2754684154002656E-3</v>
      </c>
      <c r="H546" s="13">
        <v>-1.1215070820140068E-2</v>
      </c>
      <c r="I546" s="15">
        <f t="shared" si="8"/>
        <v>7.7794452954939204E-3</v>
      </c>
    </row>
    <row r="547" spans="1:9">
      <c r="A547" s="12">
        <v>45311</v>
      </c>
      <c r="B547" s="13">
        <v>2.7159173142193765E-2</v>
      </c>
      <c r="C547" s="14">
        <v>5.0616648695466358E-2</v>
      </c>
      <c r="D547" s="13">
        <v>4.0143798495616882E-2</v>
      </c>
      <c r="E547" s="14">
        <v>1.784231895100508E-2</v>
      </c>
      <c r="F547" s="13">
        <v>7.4107972153721835E-2</v>
      </c>
      <c r="G547" s="14">
        <v>2.0883566444828618E-2</v>
      </c>
      <c r="H547" s="13">
        <v>4.6849939755338597E-2</v>
      </c>
      <c r="I547" s="15">
        <f t="shared" si="8"/>
        <v>3.0744489447482003E-2</v>
      </c>
    </row>
    <row r="548" spans="1:9">
      <c r="A548" s="12">
        <v>45310</v>
      </c>
      <c r="B548" s="13">
        <v>8.5810206697960242E-3</v>
      </c>
      <c r="C548" s="14">
        <v>6.8413343256238102E-3</v>
      </c>
      <c r="D548" s="13">
        <v>-3.2277272565221149E-3</v>
      </c>
      <c r="E548" s="14">
        <v>3.5947607865676337E-3</v>
      </c>
      <c r="F548" s="13">
        <v>3.4502621921525278E-3</v>
      </c>
      <c r="G548" s="14">
        <v>5.7656342880411061E-3</v>
      </c>
      <c r="H548" s="13">
        <v>1.1805351073281173E-2</v>
      </c>
      <c r="I548" s="15">
        <f t="shared" si="8"/>
        <v>7.7814686428344017E-3</v>
      </c>
    </row>
    <row r="549" spans="1:9">
      <c r="A549" s="12">
        <v>45309</v>
      </c>
      <c r="B549" s="13">
        <v>-6.3194150324924676E-4</v>
      </c>
      <c r="C549" s="14">
        <v>-5.1916703960497483E-3</v>
      </c>
      <c r="D549" s="13">
        <v>9.4835596459928225E-3</v>
      </c>
      <c r="E549" s="14">
        <v>-9.3498343683262129E-3</v>
      </c>
      <c r="F549" s="13">
        <v>-4.4848459551743776E-2</v>
      </c>
      <c r="G549" s="14">
        <v>2.5004875084954506E-3</v>
      </c>
      <c r="H549" s="13">
        <v>-8.2244372017277606E-3</v>
      </c>
      <c r="I549" s="15">
        <f t="shared" si="8"/>
        <v>-1.675208615542007E-3</v>
      </c>
    </row>
    <row r="550" spans="1:9">
      <c r="A550" s="12">
        <v>45308</v>
      </c>
      <c r="B550" s="13">
        <v>2.4493314066544897E-2</v>
      </c>
      <c r="C550" s="14">
        <v>3.2098359566867227E-2</v>
      </c>
      <c r="D550" s="13">
        <v>-6.0695982440661287E-4</v>
      </c>
      <c r="E550" s="14">
        <v>-5.1369975979162451E-3</v>
      </c>
      <c r="F550" s="13">
        <v>3.3565123816516151E-3</v>
      </c>
      <c r="G550" s="14">
        <v>4.153634858872767E-3</v>
      </c>
      <c r="H550" s="13">
        <v>1.9702013515072716E-3</v>
      </c>
      <c r="I550" s="15">
        <f t="shared" si="8"/>
        <v>2.283500354449132E-2</v>
      </c>
    </row>
    <row r="551" spans="1:9">
      <c r="A551" s="12">
        <v>45307</v>
      </c>
      <c r="B551" s="13">
        <v>1.6699678521760401E-2</v>
      </c>
      <c r="C551" s="14">
        <v>1.5505479034112212E-2</v>
      </c>
      <c r="D551" s="13">
        <v>1.2369632937614084E-2</v>
      </c>
      <c r="E551" s="14">
        <v>1.4340955173522692E-2</v>
      </c>
      <c r="F551" s="13">
        <v>1.6615620805263593E-2</v>
      </c>
      <c r="G551" s="14">
        <v>-1.5117718260589639E-3</v>
      </c>
      <c r="H551" s="13">
        <v>1.5381162607656096E-2</v>
      </c>
      <c r="I551" s="15">
        <f t="shared" si="8"/>
        <v>1.5465977802324676E-2</v>
      </c>
    </row>
    <row r="552" spans="1:9">
      <c r="A552" s="12">
        <v>45306</v>
      </c>
      <c r="B552" s="13">
        <v>-7.0006982210161087E-3</v>
      </c>
      <c r="C552" s="14">
        <v>-2.8164365867205266E-3</v>
      </c>
      <c r="D552" s="13">
        <v>3.0935575606902805E-3</v>
      </c>
      <c r="E552" s="14">
        <v>-1.656334293169132E-2</v>
      </c>
      <c r="F552" s="13">
        <v>-1.901197948857189E-2</v>
      </c>
      <c r="G552" s="14">
        <v>1.5486157735235698E-3</v>
      </c>
      <c r="H552" s="13">
        <v>1.5983035667582184E-2</v>
      </c>
      <c r="I552" s="15">
        <f t="shared" si="8"/>
        <v>-6.0675353888313991E-3</v>
      </c>
    </row>
    <row r="553" spans="1:9">
      <c r="A553" s="12">
        <v>45303</v>
      </c>
      <c r="B553" s="13">
        <v>1.1905308425731735E-3</v>
      </c>
      <c r="C553" s="14">
        <v>-1.1597476782098597E-2</v>
      </c>
      <c r="D553" s="13">
        <v>-1.3980160801840773E-2</v>
      </c>
      <c r="E553" s="14">
        <v>5.0303405378841889E-3</v>
      </c>
      <c r="F553" s="13">
        <v>-0.14345156215574512</v>
      </c>
      <c r="G553" s="14">
        <v>-1.960737703445814E-2</v>
      </c>
      <c r="H553" s="13">
        <v>1.3028728652946339E-2</v>
      </c>
      <c r="I553" s="15">
        <f t="shared" si="8"/>
        <v>-2.0146518750636302E-3</v>
      </c>
    </row>
    <row r="554" spans="1:9">
      <c r="A554" s="12">
        <v>45302</v>
      </c>
      <c r="B554" s="13">
        <v>3.16783694704946E-3</v>
      </c>
      <c r="C554" s="14">
        <v>-3.6151201673806578E-3</v>
      </c>
      <c r="D554" s="13">
        <v>-8.829407337282302E-3</v>
      </c>
      <c r="E554" s="14">
        <v>-4.1407926660314998E-3</v>
      </c>
      <c r="F554" s="13">
        <v>1.9366446777826175E-3</v>
      </c>
      <c r="G554" s="14">
        <v>7.2626854123967561E-3</v>
      </c>
      <c r="H554" s="13">
        <v>1.5992869906022219E-2</v>
      </c>
      <c r="I554" s="15">
        <f t="shared" si="8"/>
        <v>1.8062242425709112E-3</v>
      </c>
    </row>
    <row r="555" spans="1:9">
      <c r="A555" s="12">
        <v>45301</v>
      </c>
      <c r="B555" s="13">
        <v>-4.1064327084070466E-4</v>
      </c>
      <c r="C555" s="14">
        <v>-1.6859145862917879E-3</v>
      </c>
      <c r="D555" s="13">
        <v>6.1988918584793135E-3</v>
      </c>
      <c r="E555" s="14">
        <v>-3.5332053798215989E-3</v>
      </c>
      <c r="F555" s="13">
        <v>9.9010709827115368E-3</v>
      </c>
      <c r="G555" s="14">
        <v>-3.7142974606190593E-2</v>
      </c>
      <c r="H555" s="13">
        <v>-3.6440562825858148E-2</v>
      </c>
      <c r="I555" s="15">
        <f t="shared" si="8"/>
        <v>-2.6962904512033226E-3</v>
      </c>
    </row>
    <row r="556" spans="1:9">
      <c r="A556" s="12">
        <v>45300</v>
      </c>
      <c r="B556" s="13">
        <v>-5.9044928075588964E-3</v>
      </c>
      <c r="C556" s="14">
        <v>-8.0471401173001274E-3</v>
      </c>
      <c r="D556" s="13">
        <v>6.3620512494078239E-3</v>
      </c>
      <c r="E556" s="14">
        <v>2.973889274283032E-4</v>
      </c>
      <c r="F556" s="13">
        <v>1.0940920128590542E-3</v>
      </c>
      <c r="G556" s="14">
        <v>7.8471091839356077E-3</v>
      </c>
      <c r="H556" s="13">
        <v>6.4647657212078893E-3</v>
      </c>
      <c r="I556" s="15">
        <f t="shared" si="8"/>
        <v>-5.0530763869128144E-3</v>
      </c>
    </row>
    <row r="557" spans="1:9">
      <c r="A557" s="12">
        <v>45299</v>
      </c>
      <c r="B557" s="13">
        <v>9.4123358943133794E-3</v>
      </c>
      <c r="C557" s="14">
        <v>-1.5513488756471671E-2</v>
      </c>
      <c r="D557" s="13">
        <v>-3.4958018793985507E-3</v>
      </c>
      <c r="E557" s="14">
        <v>-2.6796895687343555E-3</v>
      </c>
      <c r="F557" s="13">
        <v>4.3644368242598645E-3</v>
      </c>
      <c r="G557" s="14">
        <v>-3.0389898559403813E-3</v>
      </c>
      <c r="H557" s="13">
        <v>1.3117883939406591E-3</v>
      </c>
      <c r="I557" s="15">
        <f t="shared" si="8"/>
        <v>3.791955037791657E-3</v>
      </c>
    </row>
    <row r="558" spans="1:9">
      <c r="A558" s="12">
        <v>45296</v>
      </c>
      <c r="B558" s="13">
        <v>1.7178189003541761E-2</v>
      </c>
      <c r="C558" s="14">
        <v>2.9784366372940588E-2</v>
      </c>
      <c r="D558" s="13">
        <v>9.2839974397082078E-3</v>
      </c>
      <c r="E558" s="14">
        <v>-5.9646299224455559E-4</v>
      </c>
      <c r="F558" s="13">
        <v>2.7181316001264741E-3</v>
      </c>
      <c r="G558" s="14">
        <v>2.4132408496006504E-2</v>
      </c>
      <c r="H558" s="13">
        <v>1.9473088332226825E-2</v>
      </c>
      <c r="I558" s="15">
        <f t="shared" si="8"/>
        <v>1.865276176699587E-2</v>
      </c>
    </row>
    <row r="559" spans="1:9">
      <c r="A559" s="12">
        <v>45295</v>
      </c>
      <c r="B559" s="13">
        <v>7.245225072008094E-3</v>
      </c>
      <c r="C559" s="14">
        <v>3.5152362947015641E-3</v>
      </c>
      <c r="D559" s="13">
        <v>-2.6390087303952239E-3</v>
      </c>
      <c r="E559" s="14">
        <v>-9.3812973537123791E-3</v>
      </c>
      <c r="F559" s="13">
        <v>-3.0033942247089333E-2</v>
      </c>
      <c r="G559" s="14">
        <v>-2.7680245141177623E-3</v>
      </c>
      <c r="H559" s="13">
        <v>-3.629838609795303E-2</v>
      </c>
      <c r="I559" s="15">
        <f t="shared" si="8"/>
        <v>4.7985294017985824E-3</v>
      </c>
    </row>
    <row r="560" spans="1:9">
      <c r="A560" s="12">
        <v>45294</v>
      </c>
      <c r="B560" s="13">
        <v>-1.8804930358900722E-3</v>
      </c>
      <c r="C560" s="14">
        <v>-5.0142070246634912E-4</v>
      </c>
      <c r="D560" s="13">
        <v>-2.9814269274926293E-3</v>
      </c>
      <c r="E560" s="14">
        <v>4.3269298277580585E-3</v>
      </c>
      <c r="F560" s="13">
        <v>5.0223319854106989E-3</v>
      </c>
      <c r="G560" s="14">
        <v>1.1313070379355917E-4</v>
      </c>
      <c r="H560" s="13">
        <v>2.9045161409203954E-3</v>
      </c>
      <c r="I560" s="15">
        <f t="shared" si="8"/>
        <v>-1.2136527095882557E-3</v>
      </c>
    </row>
    <row r="561" spans="1:9">
      <c r="A561" s="12">
        <v>45293</v>
      </c>
      <c r="B561" s="13">
        <v>5.2476487580847544E-3</v>
      </c>
      <c r="C561" s="14">
        <v>1.0311941688552815E-2</v>
      </c>
      <c r="D561" s="13">
        <v>-5.5172553747545169E-3</v>
      </c>
      <c r="E561" s="14">
        <v>6.246937954407358E-3</v>
      </c>
      <c r="F561" s="13">
        <v>1.6685209655117998E-3</v>
      </c>
      <c r="G561" s="14">
        <v>-1.0728740411513752E-2</v>
      </c>
      <c r="H561" s="13">
        <v>-8.4951967210723529E-3</v>
      </c>
      <c r="I561" s="15">
        <f t="shared" si="8"/>
        <v>5.1534289927662969E-3</v>
      </c>
    </row>
    <row r="562" spans="1:9">
      <c r="A562" s="12">
        <v>45292</v>
      </c>
      <c r="B562" s="13">
        <v>1.3996422148043368E-3</v>
      </c>
      <c r="C562" s="14">
        <v>-8.2767758408169812E-4</v>
      </c>
      <c r="D562" s="13">
        <v>7.4277317313472847E-3</v>
      </c>
      <c r="E562" s="14">
        <v>-1.3740765815851241E-2</v>
      </c>
      <c r="F562" s="13">
        <v>-6.4111717856257643E-3</v>
      </c>
      <c r="G562" s="14">
        <v>-1.1384667581141032E-2</v>
      </c>
      <c r="H562" s="13">
        <v>-9.3058097776189414E-3</v>
      </c>
      <c r="I562" s="15">
        <f t="shared" si="8"/>
        <v>-3.4419602730027728E-4</v>
      </c>
    </row>
    <row r="563" spans="1:9">
      <c r="A563" s="12">
        <v>45289</v>
      </c>
      <c r="B563" s="13">
        <v>1.8533505341845936E-3</v>
      </c>
      <c r="C563" s="14">
        <v>1.3239555099002127E-3</v>
      </c>
      <c r="D563" s="13">
        <v>-1.8098339223026531E-3</v>
      </c>
      <c r="E563" s="14">
        <v>2.2630929530313621E-3</v>
      </c>
      <c r="F563" s="13">
        <v>-6.1711275788082116E-3</v>
      </c>
      <c r="G563" s="14">
        <v>5.190921795618161E-3</v>
      </c>
      <c r="H563" s="13">
        <v>8.3303189064584844E-3</v>
      </c>
      <c r="I563" s="15">
        <f t="shared" si="8"/>
        <v>1.9378104680544102E-3</v>
      </c>
    </row>
    <row r="564" spans="1:9">
      <c r="A564" s="12">
        <v>45288</v>
      </c>
      <c r="B564" s="13">
        <v>-1.5147841388170324E-3</v>
      </c>
      <c r="C564" s="14">
        <v>-1.4241340005403511E-2</v>
      </c>
      <c r="D564" s="13">
        <v>-2.1828570501110454E-3</v>
      </c>
      <c r="E564" s="14">
        <v>-4.5220904887216485E-4</v>
      </c>
      <c r="F564" s="13">
        <v>6.1711275788083036E-3</v>
      </c>
      <c r="G564" s="14">
        <v>-1.0971005354314224E-2</v>
      </c>
      <c r="H564" s="13">
        <v>-8.9455899527554408E-3</v>
      </c>
      <c r="I564" s="15">
        <f t="shared" si="8"/>
        <v>-4.11141654901734E-3</v>
      </c>
    </row>
    <row r="565" spans="1:9">
      <c r="A565" s="12">
        <v>45287</v>
      </c>
      <c r="B565" s="13">
        <v>2.1171185701558603E-3</v>
      </c>
      <c r="C565" s="14">
        <v>-1.9566117773053018E-2</v>
      </c>
      <c r="D565" s="13">
        <v>7.4690950618637071E-3</v>
      </c>
      <c r="E565" s="14">
        <v>1.3269825834539187E-2</v>
      </c>
      <c r="F565" s="13">
        <v>7.5219744546884751E-3</v>
      </c>
      <c r="G565" s="14">
        <v>-4.2661289405766133E-4</v>
      </c>
      <c r="H565" s="13">
        <v>1.3813556240973612E-2</v>
      </c>
      <c r="I565" s="15">
        <f t="shared" si="8"/>
        <v>-9.3863077308961097E-4</v>
      </c>
    </row>
    <row r="566" spans="1:9">
      <c r="A566" s="12">
        <v>45286</v>
      </c>
      <c r="B566" s="13">
        <v>-6.2170564726978014E-3</v>
      </c>
      <c r="C566" s="14">
        <v>5.5444335319889768E-3</v>
      </c>
      <c r="D566" s="13">
        <v>-2.0122352722180822E-2</v>
      </c>
      <c r="E566" s="14">
        <v>-3.7132791421866845E-2</v>
      </c>
      <c r="F566" s="13">
        <v>1.9409405788332747E-3</v>
      </c>
      <c r="G566" s="14">
        <v>-8.3359784672330933E-3</v>
      </c>
      <c r="H566" s="13">
        <v>-3.642766113988581E-4</v>
      </c>
      <c r="I566" s="15">
        <f t="shared" si="8"/>
        <v>-5.9780031425822767E-3</v>
      </c>
    </row>
    <row r="567" spans="1:9">
      <c r="A567" s="12">
        <v>45282</v>
      </c>
      <c r="B567" s="13">
        <v>-1.2506390097493547E-2</v>
      </c>
      <c r="C567" s="14">
        <v>-7.9423108477580905E-3</v>
      </c>
      <c r="D567" s="13">
        <v>-2.0108044878321876E-3</v>
      </c>
      <c r="E567" s="14">
        <v>-8.6223473209095583E-3</v>
      </c>
      <c r="F567" s="13">
        <v>4.9737599081007026E-3</v>
      </c>
      <c r="G567" s="14">
        <v>3.6506722048549947E-3</v>
      </c>
      <c r="H567" s="13">
        <v>-3.0456703412460977E-2</v>
      </c>
      <c r="I567" s="15">
        <f t="shared" si="8"/>
        <v>-1.0784760169151704E-2</v>
      </c>
    </row>
    <row r="568" spans="1:9">
      <c r="A568" s="12">
        <v>45281</v>
      </c>
      <c r="B568" s="13">
        <v>-1.1543944277916043E-2</v>
      </c>
      <c r="C568" s="14">
        <v>-1.5553756914860615E-2</v>
      </c>
      <c r="D568" s="13">
        <v>-1.4916928942692352E-2</v>
      </c>
      <c r="E568" s="14">
        <v>-1.4027215092845002E-3</v>
      </c>
      <c r="F568" s="13">
        <v>-1.1031440721573171E-3</v>
      </c>
      <c r="G568" s="14">
        <v>1.487411734096325E-2</v>
      </c>
      <c r="H568" s="13">
        <v>-6.6578978431135489E-3</v>
      </c>
      <c r="I568" s="15">
        <f t="shared" si="8"/>
        <v>-1.0474926805580638E-2</v>
      </c>
    </row>
    <row r="569" spans="1:9">
      <c r="A569" s="12">
        <v>45280</v>
      </c>
      <c r="B569" s="13">
        <v>-1.7575495804630196E-3</v>
      </c>
      <c r="C569" s="14">
        <v>-2.7906183628499223E-3</v>
      </c>
      <c r="D569" s="13">
        <v>-1.9063800161916661E-3</v>
      </c>
      <c r="E569" s="14">
        <v>-3.1198328022676394E-4</v>
      </c>
      <c r="F569" s="13">
        <v>-6.0891414269685362E-3</v>
      </c>
      <c r="G569" s="14">
        <v>-1.0363387005008244E-2</v>
      </c>
      <c r="H569" s="13">
        <v>1.003269012181443E-2</v>
      </c>
      <c r="I569" s="15">
        <f t="shared" si="8"/>
        <v>-2.1721501143426411E-3</v>
      </c>
    </row>
    <row r="570" spans="1:9">
      <c r="A570" s="12">
        <v>45279</v>
      </c>
      <c r="B570" s="13">
        <v>1.1729013433718389E-2</v>
      </c>
      <c r="C570" s="14">
        <v>3.5515827456524582E-2</v>
      </c>
      <c r="D570" s="13">
        <v>2.656689744271044E-2</v>
      </c>
      <c r="E570" s="14">
        <v>2.9545472632422784E-2</v>
      </c>
      <c r="F570" s="13">
        <v>1.2415665072778824E-2</v>
      </c>
      <c r="G570" s="14">
        <v>1.1495487940458566E-2</v>
      </c>
      <c r="H570" s="13">
        <v>1.6336997012268168E-2</v>
      </c>
      <c r="I570" s="15">
        <f t="shared" si="8"/>
        <v>1.6838593732223763E-2</v>
      </c>
    </row>
    <row r="571" spans="1:9">
      <c r="A571" s="12">
        <v>45278</v>
      </c>
      <c r="B571" s="13">
        <v>-1.1997421993652738E-3</v>
      </c>
      <c r="C571" s="14">
        <v>1.6854879527507019E-4</v>
      </c>
      <c r="D571" s="13">
        <v>2.0924746075595556E-3</v>
      </c>
      <c r="E571" s="14">
        <v>1.9369879849354694E-3</v>
      </c>
      <c r="F571" s="13">
        <v>-7.9835248534397309E-3</v>
      </c>
      <c r="G571" s="14">
        <v>-2.2849935105288845E-2</v>
      </c>
      <c r="H571" s="13">
        <v>-5.0458540385814824E-3</v>
      </c>
      <c r="I571" s="15">
        <f t="shared" si="8"/>
        <v>-1.8227953499425908E-3</v>
      </c>
    </row>
    <row r="572" spans="1:9">
      <c r="A572" s="12">
        <v>45275</v>
      </c>
      <c r="B572" s="13">
        <v>-5.4619866603995773E-3</v>
      </c>
      <c r="C572" s="14">
        <v>-1.2806009717515082E-2</v>
      </c>
      <c r="D572" s="13">
        <v>-2.8022098385281128E-3</v>
      </c>
      <c r="E572" s="14">
        <v>2.1142934057139517E-3</v>
      </c>
      <c r="F572" s="13">
        <v>5.5126931228270948E-3</v>
      </c>
      <c r="G572" s="14">
        <v>2.3125475754997853E-3</v>
      </c>
      <c r="H572" s="13">
        <v>-3.7332306076848135E-2</v>
      </c>
      <c r="I572" s="15">
        <f t="shared" si="8"/>
        <v>-6.1789308254774347E-3</v>
      </c>
    </row>
    <row r="573" spans="1:9">
      <c r="A573" s="12">
        <v>45274</v>
      </c>
      <c r="B573" s="13">
        <v>-2.2135833844554535E-2</v>
      </c>
      <c r="C573" s="14">
        <v>-9.864127672217355E-3</v>
      </c>
      <c r="D573" s="13">
        <v>-9.7164005457541103E-3</v>
      </c>
      <c r="E573" s="14">
        <v>-1.529300285062855E-2</v>
      </c>
      <c r="F573" s="13">
        <v>-3.8556919151977133E-3</v>
      </c>
      <c r="G573" s="14">
        <v>-1.4333417714641448E-2</v>
      </c>
      <c r="H573" s="13">
        <v>2.6859388149857288E-3</v>
      </c>
      <c r="I573" s="15">
        <f t="shared" si="8"/>
        <v>-1.898025231229182E-2</v>
      </c>
    </row>
    <row r="574" spans="1:9">
      <c r="A574" s="12">
        <v>45273</v>
      </c>
      <c r="B574" s="13">
        <v>7.0932925102146303E-4</v>
      </c>
      <c r="C574" s="14">
        <v>-1.5549981050598441E-2</v>
      </c>
      <c r="D574" s="13">
        <v>5.801948934963042E-4</v>
      </c>
      <c r="E574" s="14">
        <v>-1.5330372464361362E-3</v>
      </c>
      <c r="F574" s="13">
        <v>-1.6570012076294581E-3</v>
      </c>
      <c r="G574" s="14">
        <v>-4.2785709194024047E-3</v>
      </c>
      <c r="H574" s="13">
        <v>3.1881682300408058E-3</v>
      </c>
      <c r="I574" s="15">
        <f t="shared" si="8"/>
        <v>-2.3621787268795903E-3</v>
      </c>
    </row>
    <row r="575" spans="1:9">
      <c r="A575" s="12">
        <v>45272</v>
      </c>
      <c r="B575" s="13">
        <v>-5.8438110773672341E-3</v>
      </c>
      <c r="C575" s="14">
        <v>-8.755417420132533E-5</v>
      </c>
      <c r="D575" s="13">
        <v>2.6237343614348456E-3</v>
      </c>
      <c r="E575" s="14">
        <v>-1.8120119821046572E-3</v>
      </c>
      <c r="F575" s="13">
        <v>-5.8212222596165366E-3</v>
      </c>
      <c r="G575" s="14">
        <v>3.6230481165120138E-3</v>
      </c>
      <c r="H575" s="13">
        <v>1.1897368533752594E-2</v>
      </c>
      <c r="I575" s="15">
        <f t="shared" si="8"/>
        <v>-3.978802398847953E-3</v>
      </c>
    </row>
    <row r="576" spans="1:9">
      <c r="A576" s="12">
        <v>45271</v>
      </c>
      <c r="B576" s="13">
        <v>2.555070880187609E-3</v>
      </c>
      <c r="C576" s="14">
        <v>9.4985682124976677E-3</v>
      </c>
      <c r="D576" s="13">
        <v>2.27740202784867E-3</v>
      </c>
      <c r="E576" s="14">
        <v>1.2008394243032187E-2</v>
      </c>
      <c r="F576" s="13">
        <v>4.9916908972411963E-3</v>
      </c>
      <c r="G576" s="14">
        <v>2.1040938327648822E-3</v>
      </c>
      <c r="H576" s="13">
        <v>-2.200686662427254E-2</v>
      </c>
      <c r="I576" s="15">
        <f t="shared" si="8"/>
        <v>3.9709404762078527E-3</v>
      </c>
    </row>
    <row r="577" spans="1:9">
      <c r="A577" s="12">
        <v>45268</v>
      </c>
      <c r="B577" s="13">
        <v>-3.0935808444713768E-4</v>
      </c>
      <c r="C577" s="14">
        <v>4.240778349168489E-3</v>
      </c>
      <c r="D577" s="13">
        <v>1.1041254774259806E-2</v>
      </c>
      <c r="E577" s="14">
        <v>-1.0636197498849812E-3</v>
      </c>
      <c r="F577" s="13">
        <v>5.7923207045043707E-3</v>
      </c>
      <c r="G577" s="14">
        <v>1.5777790315783392E-2</v>
      </c>
      <c r="H577" s="13">
        <v>8.8354502688018904E-3</v>
      </c>
      <c r="I577" s="15">
        <f t="shared" si="8"/>
        <v>1.3970515473469077E-3</v>
      </c>
    </row>
    <row r="578" spans="1:9">
      <c r="A578" s="12">
        <v>45267</v>
      </c>
      <c r="B578" s="13">
        <v>6.1075485204688407E-3</v>
      </c>
      <c r="C578" s="14">
        <v>1.6445766800207352E-2</v>
      </c>
      <c r="D578" s="13">
        <v>1.4764112473177706E-3</v>
      </c>
      <c r="E578" s="14">
        <v>1.0675881288405778E-2</v>
      </c>
      <c r="F578" s="13">
        <v>-7.1764039704429166E-3</v>
      </c>
      <c r="G578" s="14">
        <v>1.1565982495819693E-2</v>
      </c>
      <c r="H578" s="13">
        <v>-3.320140963336814E-3</v>
      </c>
      <c r="I578" s="15">
        <f t="shared" si="8"/>
        <v>8.1813626807846224E-3</v>
      </c>
    </row>
    <row r="579" spans="1:9">
      <c r="A579" s="12">
        <v>45266</v>
      </c>
      <c r="B579" s="13">
        <v>2.306148972069354E-4</v>
      </c>
      <c r="C579" s="14">
        <v>-1.6618508206752043E-2</v>
      </c>
      <c r="D579" s="13">
        <v>2.6453713084564389E-3</v>
      </c>
      <c r="E579" s="14">
        <v>-1.5827624914372108E-2</v>
      </c>
      <c r="F579" s="13">
        <v>6.6261976291897831E-3</v>
      </c>
      <c r="G579" s="14">
        <v>-2.6590551765090155E-2</v>
      </c>
      <c r="H579" s="13">
        <v>-7.3175754987612083E-3</v>
      </c>
      <c r="I579" s="15">
        <f t="shared" si="8"/>
        <v>-4.6835472202105257E-3</v>
      </c>
    </row>
    <row r="580" spans="1:9">
      <c r="A580" s="12">
        <v>45265</v>
      </c>
      <c r="B580" s="13">
        <v>-8.1188320258380499E-3</v>
      </c>
      <c r="C580" s="14">
        <v>1.568357124688937E-2</v>
      </c>
      <c r="D580" s="13">
        <v>1.2726749722826419E-2</v>
      </c>
      <c r="E580" s="14">
        <v>-1.8881291465215919E-2</v>
      </c>
      <c r="F580" s="13">
        <v>3.8860799105338434E-2</v>
      </c>
      <c r="G580" s="14">
        <v>-1.0436886421019939E-2</v>
      </c>
      <c r="H580" s="13">
        <v>-2.3219824674153102E-3</v>
      </c>
      <c r="I580" s="15">
        <f t="shared" si="8"/>
        <v>-4.3777501509944666E-3</v>
      </c>
    </row>
    <row r="581" spans="1:9">
      <c r="A581" s="12">
        <v>45264</v>
      </c>
      <c r="B581" s="13">
        <v>-9.8742392112092601E-3</v>
      </c>
      <c r="C581" s="14">
        <v>-4.0899852515250551E-3</v>
      </c>
      <c r="D581" s="13">
        <v>1.1879621249261732E-3</v>
      </c>
      <c r="E581" s="14">
        <v>-9.5131522300932435E-3</v>
      </c>
      <c r="F581" s="13">
        <v>6.7544849902111376E-2</v>
      </c>
      <c r="G581" s="14">
        <v>-9.27301498352796E-3</v>
      </c>
      <c r="H581" s="13">
        <v>-3.8752180295075048E-4</v>
      </c>
      <c r="I581" s="15">
        <f t="shared" si="8"/>
        <v>-8.5425715084386476E-3</v>
      </c>
    </row>
    <row r="582" spans="1:9">
      <c r="A582" s="12">
        <v>45261</v>
      </c>
      <c r="B582" s="13">
        <v>-6.6426645216251107E-3</v>
      </c>
      <c r="C582" s="14">
        <v>9.3876687073547488E-4</v>
      </c>
      <c r="D582" s="13">
        <v>-1.2177266123501637E-2</v>
      </c>
      <c r="E582" s="14">
        <v>1.8847778401058491E-3</v>
      </c>
      <c r="F582" s="13">
        <v>-1.6966474851804199E-2</v>
      </c>
      <c r="G582" s="14">
        <v>2.966253499138774E-3</v>
      </c>
      <c r="H582" s="13">
        <v>-1.1303959773851801E-2</v>
      </c>
      <c r="I582" s="15">
        <f t="shared" ref="I582:I645" si="9">SUMPRODUCT($B$2:$H$2,B582:H582)</f>
        <v>-4.6128906929761449E-3</v>
      </c>
    </row>
    <row r="583" spans="1:9">
      <c r="A583" s="12">
        <v>45260</v>
      </c>
      <c r="B583" s="13">
        <v>-1.7002618292165771E-2</v>
      </c>
      <c r="C583" s="14">
        <v>-2.0249711783822805E-2</v>
      </c>
      <c r="D583" s="13">
        <v>-6.0943129955639448E-3</v>
      </c>
      <c r="E583" s="14">
        <v>5.9610650109419728E-4</v>
      </c>
      <c r="F583" s="13">
        <v>-0.16426710399001607</v>
      </c>
      <c r="G583" s="14">
        <v>-1.3060681711441646E-2</v>
      </c>
      <c r="H583" s="13">
        <v>-4.7497389813528183E-2</v>
      </c>
      <c r="I583" s="15">
        <f t="shared" si="9"/>
        <v>-1.6786149653297201E-2</v>
      </c>
    </row>
    <row r="584" spans="1:9">
      <c r="A584" s="12">
        <v>45259</v>
      </c>
      <c r="B584" s="13">
        <v>9.077556051911212E-3</v>
      </c>
      <c r="C584" s="14">
        <v>-6.0951719419348547E-4</v>
      </c>
      <c r="D584" s="13">
        <v>-1.277139381767286E-3</v>
      </c>
      <c r="E584" s="14">
        <v>-1.2546657900458033E-4</v>
      </c>
      <c r="F584" s="13">
        <v>-4.1604814842598767E-3</v>
      </c>
      <c r="G584" s="14">
        <v>1.1608922206539054E-2</v>
      </c>
      <c r="H584" s="13">
        <v>1.3203758148507213E-2</v>
      </c>
      <c r="I584" s="15">
        <f t="shared" si="9"/>
        <v>6.9937936900835518E-3</v>
      </c>
    </row>
    <row r="585" spans="1:9">
      <c r="A585" s="12">
        <v>45258</v>
      </c>
      <c r="B585" s="13">
        <v>0</v>
      </c>
      <c r="C585" s="14">
        <v>4.3540733042979405E-4</v>
      </c>
      <c r="D585" s="13">
        <v>8.4724984822586013E-3</v>
      </c>
      <c r="E585" s="14">
        <v>8.0605285209656378E-3</v>
      </c>
      <c r="F585" s="13">
        <v>1.7710026038050063E-2</v>
      </c>
      <c r="G585" s="14">
        <v>-8.1853081759338375E-3</v>
      </c>
      <c r="H585" s="13">
        <v>-1.4574936205105938E-2</v>
      </c>
      <c r="I585" s="15">
        <f t="shared" si="9"/>
        <v>9.7937425980166134E-5</v>
      </c>
    </row>
    <row r="586" spans="1:9">
      <c r="A586" s="12">
        <v>45254</v>
      </c>
      <c r="B586" s="13">
        <v>-3.8825731006792694E-3</v>
      </c>
      <c r="C586" s="14">
        <v>-1.3067911429741066E-3</v>
      </c>
      <c r="D586" s="13">
        <v>-1.1335176197081204E-2</v>
      </c>
      <c r="E586" s="14">
        <v>-7.6214643478204674E-3</v>
      </c>
      <c r="F586" s="13">
        <v>-3.8106450919235006E-3</v>
      </c>
      <c r="G586" s="14">
        <v>7.620165361417199E-3</v>
      </c>
      <c r="H586" s="13">
        <v>1.5521074006307077E-2</v>
      </c>
      <c r="I586" s="15">
        <f t="shared" si="9"/>
        <v>-3.0297852530362158E-3</v>
      </c>
    </row>
    <row r="587" spans="1:9">
      <c r="A587" s="12">
        <v>45253</v>
      </c>
      <c r="B587" s="13">
        <v>-4.2178650507000972E-3</v>
      </c>
      <c r="C587" s="14">
        <v>2.2640204724727014E-3</v>
      </c>
      <c r="D587" s="13">
        <v>-6.9380090472003922E-3</v>
      </c>
      <c r="E587" s="14">
        <v>1.5676192598455851E-4</v>
      </c>
      <c r="F587" s="13">
        <v>-2.0579163517353348E-3</v>
      </c>
      <c r="G587" s="14">
        <v>8.6039328639387191E-3</v>
      </c>
      <c r="H587" s="13">
        <v>5.9267414865610026E-3</v>
      </c>
      <c r="I587" s="15">
        <f t="shared" si="9"/>
        <v>-2.2571005737390785E-3</v>
      </c>
    </row>
    <row r="588" spans="1:9">
      <c r="A588" s="12">
        <v>45252</v>
      </c>
      <c r="B588" s="13">
        <v>3.2129440438363813E-3</v>
      </c>
      <c r="C588" s="14">
        <v>-9.0870000556245167E-3</v>
      </c>
      <c r="D588" s="13">
        <v>1.459284530933485E-3</v>
      </c>
      <c r="E588" s="14">
        <v>-1.287327678762921E-2</v>
      </c>
      <c r="F588" s="13">
        <v>7.6224350297553062E-3</v>
      </c>
      <c r="G588" s="14">
        <v>1.0403121874513349E-3</v>
      </c>
      <c r="H588" s="13">
        <v>6.025324515220724E-3</v>
      </c>
      <c r="I588" s="15">
        <f t="shared" si="9"/>
        <v>2.4626750039981581E-4</v>
      </c>
    </row>
    <row r="589" spans="1:9">
      <c r="A589" s="12">
        <v>45251</v>
      </c>
      <c r="B589" s="13">
        <v>7.979253943990164E-5</v>
      </c>
      <c r="C589" s="14">
        <v>2.3336561083985567E-2</v>
      </c>
      <c r="D589" s="13">
        <v>2.0574992866866496E-2</v>
      </c>
      <c r="E589" s="14">
        <v>1.7876727090756061E-2</v>
      </c>
      <c r="F589" s="13">
        <v>6.6948292552326356E-3</v>
      </c>
      <c r="G589" s="14">
        <v>-9.0020710841292424E-4</v>
      </c>
      <c r="H589" s="13">
        <v>-4.4150182091169431E-3</v>
      </c>
      <c r="I589" s="15">
        <f t="shared" si="9"/>
        <v>5.0673195502971601E-3</v>
      </c>
    </row>
    <row r="590" spans="1:9">
      <c r="A590" s="12">
        <v>45250</v>
      </c>
      <c r="B590" s="13">
        <v>2.2634541670622367E-3</v>
      </c>
      <c r="C590" s="14">
        <v>-6.8622407908178662E-4</v>
      </c>
      <c r="D590" s="13">
        <v>2.1038874691356374E-2</v>
      </c>
      <c r="E590" s="14">
        <v>-5.756131766247269E-3</v>
      </c>
      <c r="F590" s="13">
        <v>6.9384493449210745E-3</v>
      </c>
      <c r="G590" s="14">
        <v>-1.5266240524823626E-2</v>
      </c>
      <c r="H590" s="13">
        <v>2.9455102297569658E-3</v>
      </c>
      <c r="I590" s="15">
        <f t="shared" si="9"/>
        <v>7.9720326506905591E-4</v>
      </c>
    </row>
    <row r="591" spans="1:9">
      <c r="A591" s="12">
        <v>45247</v>
      </c>
      <c r="B591" s="13">
        <v>9.0502658385324224E-3</v>
      </c>
      <c r="C591" s="14">
        <v>8.7142798357883362E-3</v>
      </c>
      <c r="D591" s="13">
        <v>1.6901229362055114E-3</v>
      </c>
      <c r="E591" s="14">
        <v>1.6244327949301356E-2</v>
      </c>
      <c r="F591" s="13">
        <v>2.896284216162345E-2</v>
      </c>
      <c r="G591" s="14">
        <v>8.3577501810118433E-3</v>
      </c>
      <c r="H591" s="13">
        <v>1.8018505502678431E-2</v>
      </c>
      <c r="I591" s="15">
        <f t="shared" si="9"/>
        <v>9.322638269015705E-3</v>
      </c>
    </row>
    <row r="592" spans="1:9">
      <c r="A592" s="12">
        <v>45246</v>
      </c>
      <c r="B592" s="13">
        <v>-1.2255677910656139E-2</v>
      </c>
      <c r="C592" s="14">
        <v>-1.6380452873268357E-2</v>
      </c>
      <c r="D592" s="13">
        <v>-4.3236168594711161E-2</v>
      </c>
      <c r="E592" s="14">
        <v>-2.3296809796558179E-2</v>
      </c>
      <c r="F592" s="13">
        <v>-8.4317531579377655E-3</v>
      </c>
      <c r="G592" s="14">
        <v>-5.0103139278393979E-3</v>
      </c>
      <c r="H592" s="13">
        <v>1.9246367817699565E-2</v>
      </c>
      <c r="I592" s="15">
        <f t="shared" si="9"/>
        <v>-1.3284846962543019E-2</v>
      </c>
    </row>
    <row r="593" spans="1:9">
      <c r="A593" s="12">
        <v>45245</v>
      </c>
      <c r="B593" s="13">
        <v>-4.5145358033160041E-3</v>
      </c>
      <c r="C593" s="14">
        <v>-5.1146572423008945E-3</v>
      </c>
      <c r="D593" s="13">
        <v>3.5542053155033851E-3</v>
      </c>
      <c r="E593" s="14">
        <v>-1.060899954451733E-2</v>
      </c>
      <c r="F593" s="13">
        <v>-4.1786802633594647E-2</v>
      </c>
      <c r="G593" s="14">
        <v>-9.1354565694908279E-3</v>
      </c>
      <c r="H593" s="13">
        <v>8.2093842270660224E-3</v>
      </c>
      <c r="I593" s="15">
        <f t="shared" si="9"/>
        <v>-4.9719865951661363E-3</v>
      </c>
    </row>
    <row r="594" spans="1:9">
      <c r="A594" s="12">
        <v>45243</v>
      </c>
      <c r="B594" s="13">
        <v>-9.8681828892362017E-3</v>
      </c>
      <c r="C594" s="14">
        <v>1.0423906433789805E-3</v>
      </c>
      <c r="D594" s="13">
        <v>2.4762661521638758E-2</v>
      </c>
      <c r="E594" s="14">
        <v>-1.0077430512565358E-2</v>
      </c>
      <c r="F594" s="13">
        <v>2.4994035740515983E-2</v>
      </c>
      <c r="G594" s="14">
        <v>3.9370531154254386E-3</v>
      </c>
      <c r="H594" s="13">
        <v>-1.5578042737973504E-2</v>
      </c>
      <c r="I594" s="15">
        <f t="shared" si="9"/>
        <v>-6.9637087944958076E-3</v>
      </c>
    </row>
    <row r="595" spans="1:9">
      <c r="A595" s="12">
        <v>45242</v>
      </c>
      <c r="B595" s="13">
        <v>4.0590312450756259E-3</v>
      </c>
      <c r="C595" s="14">
        <v>4.7637697814599759E-3</v>
      </c>
      <c r="D595" s="13">
        <v>8.8933230335698724E-3</v>
      </c>
      <c r="E595" s="14">
        <v>-4.752906760072239E-3</v>
      </c>
      <c r="F595" s="13">
        <v>-2.5865799735008857E-3</v>
      </c>
      <c r="G595" s="14">
        <v>4.5703454494865157E-3</v>
      </c>
      <c r="H595" s="13">
        <v>4.2726808057795473E-3</v>
      </c>
      <c r="I595" s="15">
        <f t="shared" si="9"/>
        <v>3.8201085228169087E-3</v>
      </c>
    </row>
    <row r="596" spans="1:9">
      <c r="A596" s="12">
        <v>45240</v>
      </c>
      <c r="B596" s="13">
        <v>-7.0288243252998846E-3</v>
      </c>
      <c r="C596" s="14">
        <v>-4.321334495318221E-4</v>
      </c>
      <c r="D596" s="13">
        <v>-1.8099295726154763E-2</v>
      </c>
      <c r="E596" s="14">
        <v>-1.7986096369781827E-2</v>
      </c>
      <c r="F596" s="13">
        <v>-2.0164200984600545E-3</v>
      </c>
      <c r="G596" s="14">
        <v>-5.8741797213070828E-3</v>
      </c>
      <c r="H596" s="13">
        <v>-3.0033074897761025E-2</v>
      </c>
      <c r="I596" s="15">
        <f t="shared" si="9"/>
        <v>-6.7262208710531573E-3</v>
      </c>
    </row>
    <row r="597" spans="1:9">
      <c r="A597" s="12">
        <v>45239</v>
      </c>
      <c r="B597" s="13">
        <v>1.2181951105713167E-3</v>
      </c>
      <c r="C597" s="14">
        <v>9.5044721372733085E-4</v>
      </c>
      <c r="D597" s="13">
        <v>-2.3562973750984696E-2</v>
      </c>
      <c r="E597" s="14">
        <v>6.9271497549917838E-4</v>
      </c>
      <c r="F597" s="13">
        <v>1.0041685297054296E-2</v>
      </c>
      <c r="G597" s="14">
        <v>-5.9909191093550059E-3</v>
      </c>
      <c r="H597" s="13">
        <v>7.9850949145713582E-4</v>
      </c>
      <c r="I597" s="15">
        <f t="shared" si="9"/>
        <v>5.0671130683055355E-4</v>
      </c>
    </row>
    <row r="598" spans="1:9">
      <c r="A598" s="12">
        <v>45238</v>
      </c>
      <c r="B598" s="13">
        <v>4.8741483764357559E-3</v>
      </c>
      <c r="C598" s="14">
        <v>1.2530201702206983E-2</v>
      </c>
      <c r="D598" s="13">
        <v>-2.6821994161154755E-2</v>
      </c>
      <c r="E598" s="14">
        <v>9.7785848917963433E-3</v>
      </c>
      <c r="F598" s="13">
        <v>-1.2929356954251013E-2</v>
      </c>
      <c r="G598" s="14">
        <v>-4.1924474157377057E-3</v>
      </c>
      <c r="H598" s="13">
        <v>3.187677025178178E-3</v>
      </c>
      <c r="I598" s="15">
        <f t="shared" si="9"/>
        <v>5.552653583029696E-3</v>
      </c>
    </row>
    <row r="599" spans="1:9">
      <c r="A599" s="12">
        <v>45237</v>
      </c>
      <c r="B599" s="13">
        <v>-2.0201058973569441E-2</v>
      </c>
      <c r="C599" s="14">
        <v>-2.5569329416882051E-2</v>
      </c>
      <c r="D599" s="13">
        <v>-1.1552398407201382E-3</v>
      </c>
      <c r="E599" s="14">
        <v>-1.4902817140090766E-2</v>
      </c>
      <c r="F599" s="13">
        <v>5.7820180853415106E-4</v>
      </c>
      <c r="G599" s="14">
        <v>5.3197623736616247E-3</v>
      </c>
      <c r="H599" s="13">
        <v>-2.1581160608128914E-2</v>
      </c>
      <c r="I599" s="15">
        <f t="shared" si="9"/>
        <v>-1.9400755836371627E-2</v>
      </c>
    </row>
    <row r="600" spans="1:9">
      <c r="A600" s="12">
        <v>45236</v>
      </c>
      <c r="B600" s="13">
        <v>-1.3360496160743976E-3</v>
      </c>
      <c r="C600" s="14">
        <v>-4.0329705723813804E-3</v>
      </c>
      <c r="D600" s="13">
        <v>-4.4936006805697832E-3</v>
      </c>
      <c r="E600" s="14">
        <v>9.0405789300843087E-3</v>
      </c>
      <c r="F600" s="13">
        <v>1.7476451103282629E-2</v>
      </c>
      <c r="G600" s="14">
        <v>-2.2536134738546681E-4</v>
      </c>
      <c r="H600" s="13">
        <v>-1.1858654610285176E-2</v>
      </c>
      <c r="I600" s="15">
        <f t="shared" si="9"/>
        <v>-1.3292967176452694E-3</v>
      </c>
    </row>
    <row r="601" spans="1:9">
      <c r="A601" s="12">
        <v>45233</v>
      </c>
      <c r="B601" s="13">
        <v>-1.7130006111202051E-2</v>
      </c>
      <c r="C601" s="14">
        <v>-2.8514807290305724E-2</v>
      </c>
      <c r="D601" s="13">
        <v>2.9844684232977394E-2</v>
      </c>
      <c r="E601" s="14">
        <v>-2.6311477109987858E-3</v>
      </c>
      <c r="F601" s="13">
        <v>2.4685685487735934E-2</v>
      </c>
      <c r="G601" s="14">
        <v>9.4208248140739703E-4</v>
      </c>
      <c r="H601" s="13">
        <v>1.1858654610285227E-2</v>
      </c>
      <c r="I601" s="15">
        <f t="shared" si="9"/>
        <v>-1.6611866456244396E-2</v>
      </c>
    </row>
    <row r="602" spans="1:9">
      <c r="A602" s="12">
        <v>45232</v>
      </c>
      <c r="B602" s="13">
        <v>-7.5675581304213606E-3</v>
      </c>
      <c r="C602" s="14">
        <v>-7.6218498001783437E-3</v>
      </c>
      <c r="D602" s="13">
        <v>-2.2168650678845461E-2</v>
      </c>
      <c r="E602" s="14">
        <v>1.9179295616723727E-2</v>
      </c>
      <c r="F602" s="13">
        <v>4.4235626459866268E-3</v>
      </c>
      <c r="G602" s="14">
        <v>3.4793643347757363E-4</v>
      </c>
      <c r="H602" s="13">
        <v>-2.831025950229037E-2</v>
      </c>
      <c r="I602" s="15">
        <f t="shared" si="9"/>
        <v>-6.2227929704591761E-3</v>
      </c>
    </row>
    <row r="603" spans="1:9">
      <c r="A603" s="12">
        <v>45231</v>
      </c>
      <c r="B603" s="13">
        <v>-7.079885938502283E-3</v>
      </c>
      <c r="C603" s="14">
        <v>2.0018205047032151E-3</v>
      </c>
      <c r="D603" s="13">
        <v>-6.1290796893996597E-3</v>
      </c>
      <c r="E603" s="14">
        <v>1.325457874597062E-2</v>
      </c>
      <c r="F603" s="13">
        <v>-4.9778863852362387E-3</v>
      </c>
      <c r="G603" s="14">
        <v>-2.4128496543443859E-2</v>
      </c>
      <c r="H603" s="13">
        <v>5.5602033712563318E-3</v>
      </c>
      <c r="I603" s="15">
        <f t="shared" si="9"/>
        <v>-5.2184570889315177E-3</v>
      </c>
    </row>
    <row r="604" spans="1:9">
      <c r="A604" s="12">
        <v>45230</v>
      </c>
      <c r="B604" s="13">
        <v>2.062380758103563E-2</v>
      </c>
      <c r="C604" s="14">
        <v>1.5424470325631731E-2</v>
      </c>
      <c r="D604" s="13">
        <v>-1.6470752227841244E-2</v>
      </c>
      <c r="E604" s="14">
        <v>1.5939557232831007E-4</v>
      </c>
      <c r="F604" s="13">
        <v>2.1665457326229758E-2</v>
      </c>
      <c r="G604" s="14">
        <v>1.2954736096025071E-2</v>
      </c>
      <c r="H604" s="13">
        <v>8.9699076547735384E-3</v>
      </c>
      <c r="I604" s="15">
        <f t="shared" si="9"/>
        <v>1.7815604984882032E-2</v>
      </c>
    </row>
    <row r="605" spans="1:9">
      <c r="A605" s="12">
        <v>45229</v>
      </c>
      <c r="B605" s="13">
        <v>-9.5928823110212665E-3</v>
      </c>
      <c r="C605" s="14">
        <v>-2.3272658081023141E-2</v>
      </c>
      <c r="D605" s="13">
        <v>-1.3229988770881228E-2</v>
      </c>
      <c r="E605" s="14">
        <v>-3.3526541294286549E-3</v>
      </c>
      <c r="F605" s="13">
        <v>-1.3932748262148943E-2</v>
      </c>
      <c r="G605" s="14">
        <v>4.1507116823933871E-3</v>
      </c>
      <c r="H605" s="13">
        <v>-6.8714357132351885E-4</v>
      </c>
      <c r="I605" s="15">
        <f t="shared" si="9"/>
        <v>-1.0928326032616452E-2</v>
      </c>
    </row>
    <row r="606" spans="1:9">
      <c r="A606" s="12">
        <v>45226</v>
      </c>
      <c r="B606" s="13">
        <v>-4.0356338278445232E-3</v>
      </c>
      <c r="C606" s="14">
        <v>-1.513921649881636E-2</v>
      </c>
      <c r="D606" s="13">
        <v>2.1623238128902964E-2</v>
      </c>
      <c r="E606" s="14">
        <v>-1.5684269335611227E-3</v>
      </c>
      <c r="F606" s="13">
        <v>1.6371443414682368E-2</v>
      </c>
      <c r="G606" s="14">
        <v>-2.0422273556923247E-3</v>
      </c>
      <c r="H606" s="13">
        <v>1.2568471458076253E-2</v>
      </c>
      <c r="I606" s="15">
        <f t="shared" si="9"/>
        <v>-5.2111228084957256E-3</v>
      </c>
    </row>
    <row r="607" spans="1:9">
      <c r="A607" s="12">
        <v>45225</v>
      </c>
      <c r="B607" s="13">
        <v>1.7412035605552541E-3</v>
      </c>
      <c r="C607" s="14">
        <v>3.7198921660251178E-4</v>
      </c>
      <c r="D607" s="13">
        <v>-1.3585276060446953E-2</v>
      </c>
      <c r="E607" s="14">
        <v>-4.3339447281514083E-3</v>
      </c>
      <c r="F607" s="13">
        <v>-3.1897122616276363E-2</v>
      </c>
      <c r="G607" s="14">
        <v>-2.7087679269706603E-3</v>
      </c>
      <c r="H607" s="13">
        <v>-6.4011114037835267E-3</v>
      </c>
      <c r="I607" s="15">
        <f t="shared" si="9"/>
        <v>7.0212880274550971E-4</v>
      </c>
    </row>
    <row r="608" spans="1:9">
      <c r="A608" s="12">
        <v>45224</v>
      </c>
      <c r="B608" s="13">
        <v>3.3385705152232326E-2</v>
      </c>
      <c r="C608" s="14">
        <v>4.6241036695993304E-2</v>
      </c>
      <c r="D608" s="13">
        <v>-1.8698229290679266E-2</v>
      </c>
      <c r="E608" s="14">
        <v>1.8740987057128247E-2</v>
      </c>
      <c r="F608" s="13">
        <v>-3.6999097829184924E-2</v>
      </c>
      <c r="G608" s="14">
        <v>-3.10632968939104E-4</v>
      </c>
      <c r="H608" s="13">
        <v>-2.1544818986775915E-2</v>
      </c>
      <c r="I608" s="15">
        <f t="shared" si="9"/>
        <v>3.2067312618753396E-2</v>
      </c>
    </row>
    <row r="609" spans="1:9">
      <c r="A609" s="12">
        <v>45222</v>
      </c>
      <c r="B609" s="13">
        <v>3.6524955815742479E-3</v>
      </c>
      <c r="C609" s="14">
        <v>1.2878364458297665E-2</v>
      </c>
      <c r="D609" s="13">
        <v>4.6036074247212747E-2</v>
      </c>
      <c r="E609" s="14">
        <v>2.6488411047714201E-3</v>
      </c>
      <c r="F609" s="13">
        <v>1.6106186531849673E-2</v>
      </c>
      <c r="G609" s="14">
        <v>1.0097765395010522E-2</v>
      </c>
      <c r="H609" s="13">
        <v>1.1796681108363953E-2</v>
      </c>
      <c r="I609" s="15">
        <f t="shared" si="9"/>
        <v>6.0741239072921276E-3</v>
      </c>
    </row>
    <row r="610" spans="1:9">
      <c r="A610" s="12">
        <v>45219</v>
      </c>
      <c r="B610" s="13">
        <v>1.095861464965343E-2</v>
      </c>
      <c r="C610" s="14">
        <v>2.3815804116836901E-2</v>
      </c>
      <c r="D610" s="13">
        <v>1.8859016692674327E-2</v>
      </c>
      <c r="E610" s="14">
        <v>7.1858099811279571E-3</v>
      </c>
      <c r="F610" s="13">
        <v>6.0339274404026484E-2</v>
      </c>
      <c r="G610" s="14">
        <v>1.352348374285903E-3</v>
      </c>
      <c r="H610" s="13">
        <v>2.3857719394731747E-2</v>
      </c>
      <c r="I610" s="15">
        <f t="shared" si="9"/>
        <v>1.2757412747905712E-2</v>
      </c>
    </row>
    <row r="611" spans="1:9">
      <c r="A611" s="12">
        <v>45218</v>
      </c>
      <c r="B611" s="13">
        <v>-1.3048417918636352E-3</v>
      </c>
      <c r="C611" s="14">
        <v>-1.3700614976346811E-2</v>
      </c>
      <c r="D611" s="13">
        <v>1.1990614499540475E-3</v>
      </c>
      <c r="E611" s="14">
        <v>2.6541365442574625E-3</v>
      </c>
      <c r="F611" s="13">
        <v>2.0471271841760244E-2</v>
      </c>
      <c r="G611" s="14">
        <v>5.7373441030829407E-3</v>
      </c>
      <c r="H611" s="13">
        <v>1.3514623303374036E-2</v>
      </c>
      <c r="I611" s="15">
        <f t="shared" si="9"/>
        <v>-2.6923621104375994E-3</v>
      </c>
    </row>
    <row r="612" spans="1:9">
      <c r="A612" s="12">
        <v>45217</v>
      </c>
      <c r="B612" s="13">
        <v>-1.7262941406443288E-3</v>
      </c>
      <c r="C612" s="14">
        <v>-6.8776660781352545E-3</v>
      </c>
      <c r="D612" s="13">
        <v>-1.233341483551814E-3</v>
      </c>
      <c r="E612" s="14">
        <v>3.7039961420136259E-3</v>
      </c>
      <c r="F612" s="13">
        <v>-2.3712301981421834E-3</v>
      </c>
      <c r="G612" s="14">
        <v>3.7796472623765421E-3</v>
      </c>
      <c r="H612" s="13">
        <v>5.0377940299573022E-3</v>
      </c>
      <c r="I612" s="15">
        <f t="shared" si="9"/>
        <v>-2.0086778122044824E-3</v>
      </c>
    </row>
    <row r="613" spans="1:9">
      <c r="A613" s="12">
        <v>45216</v>
      </c>
      <c r="B613" s="13">
        <v>5.5072602963312962E-3</v>
      </c>
      <c r="C613" s="14">
        <v>2.7915921470205189E-3</v>
      </c>
      <c r="D613" s="13">
        <v>7.8876341533857339E-3</v>
      </c>
      <c r="E613" s="14">
        <v>-3.3922074075327076E-3</v>
      </c>
      <c r="F613" s="13">
        <v>2.1080376712905562E-3</v>
      </c>
      <c r="G613" s="14">
        <v>2.8557270620122484E-3</v>
      </c>
      <c r="H613" s="13">
        <v>1.2615147586361444E-2</v>
      </c>
      <c r="I613" s="15">
        <f t="shared" si="9"/>
        <v>4.5690146428894324E-3</v>
      </c>
    </row>
    <row r="614" spans="1:9">
      <c r="A614" s="12">
        <v>45215</v>
      </c>
      <c r="B614" s="13">
        <v>-4.8188127378121529E-4</v>
      </c>
      <c r="C614" s="14">
        <v>-8.3104182958084211E-3</v>
      </c>
      <c r="D614" s="13">
        <v>-4.7387798556424521E-3</v>
      </c>
      <c r="E614" s="14">
        <v>-5.1569866285685146E-3</v>
      </c>
      <c r="F614" s="13">
        <v>2.1036031948717462E-3</v>
      </c>
      <c r="G614" s="14">
        <v>-6.4725145056173669E-3</v>
      </c>
      <c r="H614" s="13">
        <v>-4.3185305616273515E-3</v>
      </c>
      <c r="I614" s="15">
        <f t="shared" si="9"/>
        <v>-2.3957908232980986E-3</v>
      </c>
    </row>
    <row r="615" spans="1:9">
      <c r="A615" s="12">
        <v>45212</v>
      </c>
      <c r="B615" s="13">
        <v>1.1739754850676097E-2</v>
      </c>
      <c r="C615" s="14">
        <v>-1.6704034830448272E-3</v>
      </c>
      <c r="D615" s="13">
        <v>-5.3108689012919636E-3</v>
      </c>
      <c r="E615" s="14">
        <v>7.3056834459188777E-3</v>
      </c>
      <c r="F615" s="13">
        <v>1.0971896901248782E-2</v>
      </c>
      <c r="G615" s="14">
        <v>1.0368243219764135E-2</v>
      </c>
      <c r="H615" s="13">
        <v>1.4064563133422999E-2</v>
      </c>
      <c r="I615" s="15">
        <f t="shared" si="9"/>
        <v>8.9977340534088956E-3</v>
      </c>
    </row>
    <row r="616" spans="1:9">
      <c r="A616" s="12">
        <v>45211</v>
      </c>
      <c r="B616" s="13">
        <v>3.2657490303344338E-3</v>
      </c>
      <c r="C616" s="14">
        <v>-4.2324373207019627E-3</v>
      </c>
      <c r="D616" s="13">
        <v>-2.0634163728053133E-3</v>
      </c>
      <c r="E616" s="14">
        <v>-2.4604855518313685E-3</v>
      </c>
      <c r="F616" s="13">
        <v>-6.5214249520483408E-2</v>
      </c>
      <c r="G616" s="14">
        <v>6.4445968315818964E-4</v>
      </c>
      <c r="H616" s="13">
        <v>-1.5529963002196387E-3</v>
      </c>
      <c r="I616" s="15">
        <f t="shared" si="9"/>
        <v>1.4060669874958944E-3</v>
      </c>
    </row>
    <row r="617" spans="1:9">
      <c r="A617" s="12">
        <v>45210</v>
      </c>
      <c r="B617" s="13">
        <v>1.5182669372303741E-3</v>
      </c>
      <c r="C617" s="14">
        <v>-8.8755353207181295E-3</v>
      </c>
      <c r="D617" s="13">
        <v>-4.9004480853844911E-3</v>
      </c>
      <c r="E617" s="14">
        <v>-4.8451978940875816E-3</v>
      </c>
      <c r="F617" s="13">
        <v>-7.7526925011888626E-2</v>
      </c>
      <c r="G617" s="14">
        <v>-5.6387950583834678E-4</v>
      </c>
      <c r="H617" s="13">
        <v>6.4549669004264846E-3</v>
      </c>
      <c r="I617" s="15">
        <f t="shared" si="9"/>
        <v>-7.8248502894245702E-4</v>
      </c>
    </row>
    <row r="618" spans="1:9">
      <c r="A618" s="12">
        <v>45209</v>
      </c>
      <c r="B618" s="13">
        <v>-3.9269138723343972E-3</v>
      </c>
      <c r="C618" s="14">
        <v>1.6924245789107673E-3</v>
      </c>
      <c r="D618" s="13">
        <v>1.4323004993560991E-2</v>
      </c>
      <c r="E618" s="14">
        <v>-5.9399580655444114E-3</v>
      </c>
      <c r="F618" s="13">
        <v>-1.0846746898180902E-2</v>
      </c>
      <c r="G618" s="14">
        <v>-1.088380637520358E-3</v>
      </c>
      <c r="H618" s="13">
        <v>-1.8048922081119721E-2</v>
      </c>
      <c r="I618" s="15">
        <f t="shared" si="9"/>
        <v>-2.8413528157720663E-3</v>
      </c>
    </row>
    <row r="619" spans="1:9">
      <c r="A619" s="12">
        <v>45208</v>
      </c>
      <c r="B619" s="13">
        <v>4.1241692762917695E-4</v>
      </c>
      <c r="C619" s="14">
        <v>1.7784105700906091E-3</v>
      </c>
      <c r="D619" s="13">
        <v>9.2035525389427386E-4</v>
      </c>
      <c r="E619" s="14">
        <v>-7.8799122906624015E-3</v>
      </c>
      <c r="F619" s="13">
        <v>-9.0922873364883351E-4</v>
      </c>
      <c r="G619" s="14">
        <v>-5.2569978321058966E-3</v>
      </c>
      <c r="H619" s="13">
        <v>-1.4916783750095697E-2</v>
      </c>
      <c r="I619" s="15">
        <f t="shared" si="9"/>
        <v>-1.534936096637194E-4</v>
      </c>
    </row>
    <row r="620" spans="1:9">
      <c r="A620" s="12">
        <v>45205</v>
      </c>
      <c r="B620" s="13">
        <v>1.3530855167337019E-2</v>
      </c>
      <c r="C620" s="14">
        <v>4.5206831410201541E-3</v>
      </c>
      <c r="D620" s="13">
        <v>2.6195616805206254E-2</v>
      </c>
      <c r="E620" s="14">
        <v>2.3921281269219372E-2</v>
      </c>
      <c r="F620" s="13">
        <v>-5.4728017413547764E-3</v>
      </c>
      <c r="G620" s="14">
        <v>1.6666214779823996E-2</v>
      </c>
      <c r="H620" s="13">
        <v>2.9743430696670747E-2</v>
      </c>
      <c r="I620" s="15">
        <f t="shared" si="9"/>
        <v>1.2940563859452303E-2</v>
      </c>
    </row>
    <row r="621" spans="1:9">
      <c r="A621" s="12">
        <v>45204</v>
      </c>
      <c r="B621" s="13">
        <v>3.2802278709485777E-3</v>
      </c>
      <c r="C621" s="14">
        <v>-3.8102035374214687E-3</v>
      </c>
      <c r="D621" s="13">
        <v>-2.2927787544832802E-3</v>
      </c>
      <c r="E621" s="14">
        <v>-2.3292297677974141E-3</v>
      </c>
      <c r="F621" s="13">
        <v>-7.3439742557583941E-3</v>
      </c>
      <c r="G621" s="14">
        <v>-1.396592541753057E-3</v>
      </c>
      <c r="H621" s="13">
        <v>1.0322581561769187E-3</v>
      </c>
      <c r="I621" s="15">
        <f t="shared" si="9"/>
        <v>1.4866662501519165E-3</v>
      </c>
    </row>
    <row r="622" spans="1:9">
      <c r="A622" s="12">
        <v>45203</v>
      </c>
      <c r="B622" s="13">
        <v>-1.14019882866556E-2</v>
      </c>
      <c r="C622" s="14">
        <v>-5.251692162796388E-3</v>
      </c>
      <c r="D622" s="13">
        <v>-6.8430543258726998E-3</v>
      </c>
      <c r="E622" s="14">
        <v>-9.3321312026684229E-4</v>
      </c>
      <c r="F622" s="13">
        <v>-3.0759790478944336E-3</v>
      </c>
      <c r="G622" s="14">
        <v>3.5276217187803138E-3</v>
      </c>
      <c r="H622" s="13">
        <v>-8.808347106085088E-3</v>
      </c>
      <c r="I622" s="15">
        <f t="shared" si="9"/>
        <v>-9.0605520562608063E-3</v>
      </c>
    </row>
    <row r="623" spans="1:9">
      <c r="A623" s="12">
        <v>45202</v>
      </c>
      <c r="B623" s="13">
        <v>-9.6263865089504775E-4</v>
      </c>
      <c r="C623" s="14">
        <v>2.228661497461446E-3</v>
      </c>
      <c r="D623" s="13">
        <v>1.7333413115559859E-2</v>
      </c>
      <c r="E623" s="14">
        <v>7.4105419513912701E-3</v>
      </c>
      <c r="F623" s="13">
        <v>1.1029523575499604E-2</v>
      </c>
      <c r="G623" s="14">
        <v>-3.8471169190857145E-3</v>
      </c>
      <c r="H623" s="13">
        <v>8.4213751567222151E-3</v>
      </c>
      <c r="I623" s="15">
        <f t="shared" si="9"/>
        <v>1.7673505800158386E-4</v>
      </c>
    </row>
    <row r="624" spans="1:9">
      <c r="A624" s="12">
        <v>45198</v>
      </c>
      <c r="B624" s="13">
        <v>-1.8331521118271018E-3</v>
      </c>
      <c r="C624" s="14">
        <v>1.3005004807227698E-2</v>
      </c>
      <c r="D624" s="13">
        <v>-2.200012182495583E-2</v>
      </c>
      <c r="E624" s="14">
        <v>-2.394762433869517E-2</v>
      </c>
      <c r="F624" s="13">
        <v>-1.7210012964881963E-2</v>
      </c>
      <c r="G624" s="14">
        <v>2.0151039808680104E-3</v>
      </c>
      <c r="H624" s="13">
        <v>2.8343229487080858E-3</v>
      </c>
      <c r="I624" s="15">
        <f t="shared" si="9"/>
        <v>-4.7729379529491846E-4</v>
      </c>
    </row>
    <row r="625" spans="1:9">
      <c r="A625" s="12">
        <v>45197</v>
      </c>
      <c r="B625" s="13">
        <v>2.9377410015156828E-3</v>
      </c>
      <c r="C625" s="14">
        <v>1.2297963601952879E-3</v>
      </c>
      <c r="D625" s="13">
        <v>-3.3657568221880503E-4</v>
      </c>
      <c r="E625" s="14">
        <v>1.4231426279427051E-2</v>
      </c>
      <c r="F625" s="13">
        <v>-6.2015505863537168E-4</v>
      </c>
      <c r="G625" s="14">
        <v>-2.4576020487710175E-2</v>
      </c>
      <c r="H625" s="13">
        <v>-2.1718780742014568E-2</v>
      </c>
      <c r="I625" s="15">
        <f t="shared" si="9"/>
        <v>1.675894743999272E-3</v>
      </c>
    </row>
    <row r="626" spans="1:9">
      <c r="A626" s="12">
        <v>45196</v>
      </c>
      <c r="B626" s="13">
        <v>4.0625782422550633E-2</v>
      </c>
      <c r="C626" s="14">
        <v>5.8230810456459503E-2</v>
      </c>
      <c r="D626" s="13">
        <v>1.1214069682597409E-2</v>
      </c>
      <c r="E626" s="14">
        <v>1.6612140172813351E-2</v>
      </c>
      <c r="F626" s="13">
        <v>-1.3741627852296353E-2</v>
      </c>
      <c r="G626" s="14">
        <v>2.2880411707147649E-2</v>
      </c>
      <c r="H626" s="13">
        <v>-1.7106392749713277E-3</v>
      </c>
      <c r="I626" s="15">
        <f t="shared" si="9"/>
        <v>4.0797037649905769E-2</v>
      </c>
    </row>
    <row r="627" spans="1:9">
      <c r="A627" s="12">
        <v>45195</v>
      </c>
      <c r="B627" s="13">
        <v>-2.7295076540376174E-3</v>
      </c>
      <c r="C627" s="14">
        <v>-6.9814113348115898E-3</v>
      </c>
      <c r="D627" s="13">
        <v>9.0135481170858754E-3</v>
      </c>
      <c r="E627" s="14">
        <v>1.5328022620940958E-3</v>
      </c>
      <c r="F627" s="13">
        <v>-1.74469136037207E-2</v>
      </c>
      <c r="G627" s="14">
        <v>-2.7389882873031096E-3</v>
      </c>
      <c r="H627" s="13">
        <v>3.0245272579676932E-3</v>
      </c>
      <c r="I627" s="15">
        <f t="shared" si="9"/>
        <v>-3.0594627985514175E-3</v>
      </c>
    </row>
    <row r="628" spans="1:9">
      <c r="A628" s="12">
        <v>45194</v>
      </c>
      <c r="B628" s="13">
        <v>9.2049531079779912E-3</v>
      </c>
      <c r="C628" s="14">
        <v>1.965543498916526E-2</v>
      </c>
      <c r="D628" s="13">
        <v>1.4996024586359132E-2</v>
      </c>
      <c r="E628" s="14">
        <v>-8.8922294828906057E-3</v>
      </c>
      <c r="F628" s="13">
        <v>1.2718772407774612E-2</v>
      </c>
      <c r="G628" s="14">
        <v>4.5143196333802781E-3</v>
      </c>
      <c r="H628" s="13">
        <v>4.0621165730239323E-3</v>
      </c>
      <c r="I628" s="15">
        <f t="shared" si="9"/>
        <v>9.8882430108283761E-3</v>
      </c>
    </row>
    <row r="629" spans="1:9">
      <c r="A629" s="12">
        <v>45191</v>
      </c>
      <c r="B629" s="13">
        <v>-1.467115325399577E-2</v>
      </c>
      <c r="C629" s="14">
        <v>9.0480980649862444E-2</v>
      </c>
      <c r="D629" s="13">
        <v>6.8659789757900616E-3</v>
      </c>
      <c r="E629" s="14">
        <v>-7.849991442732452E-3</v>
      </c>
      <c r="F629" s="13">
        <v>-3.2105486207964745E-2</v>
      </c>
      <c r="G629" s="14">
        <v>4.4940321017315349E-3</v>
      </c>
      <c r="H629" s="13">
        <v>2.0066697022376602E-2</v>
      </c>
      <c r="I629" s="15">
        <f t="shared" si="9"/>
        <v>4.8395980100213974E-3</v>
      </c>
    </row>
    <row r="630" spans="1:9">
      <c r="A630" s="12">
        <v>45190</v>
      </c>
      <c r="B630" s="13">
        <v>-9.4032798776986469E-3</v>
      </c>
      <c r="C630" s="14">
        <v>-6.4154113732696208E-2</v>
      </c>
      <c r="D630" s="13">
        <v>-5.4370825549672364E-3</v>
      </c>
      <c r="E630" s="14">
        <v>1.1089885046199168E-2</v>
      </c>
      <c r="F630" s="13">
        <v>7.4760627743551602E-3</v>
      </c>
      <c r="G630" s="14">
        <v>-8.7336250092880227E-4</v>
      </c>
      <c r="H630" s="13">
        <v>8.4237894423476786E-3</v>
      </c>
      <c r="I630" s="15">
        <f t="shared" si="9"/>
        <v>-1.7012794037120461E-2</v>
      </c>
    </row>
    <row r="631" spans="1:9">
      <c r="A631" s="12">
        <v>45189</v>
      </c>
      <c r="B631" s="13">
        <v>-9.2436266788132344E-3</v>
      </c>
      <c r="C631" s="14">
        <v>-8.2061422360365024E-3</v>
      </c>
      <c r="D631" s="13">
        <v>-3.5109427827590468E-3</v>
      </c>
      <c r="E631" s="14">
        <v>9.2375914932031524E-4</v>
      </c>
      <c r="F631" s="13">
        <v>1.6062022148311168E-2</v>
      </c>
      <c r="G631" s="14">
        <v>1.2700934432107694E-3</v>
      </c>
      <c r="H631" s="13">
        <v>-1.5263294746478359E-3</v>
      </c>
      <c r="I631" s="15">
        <f t="shared" si="9"/>
        <v>-7.9087530130817398E-3</v>
      </c>
    </row>
    <row r="632" spans="1:9">
      <c r="A632" s="12">
        <v>45187</v>
      </c>
      <c r="B632" s="13">
        <v>-2.5075355978044058E-3</v>
      </c>
      <c r="C632" s="14">
        <v>-7.6587954280140742E-3</v>
      </c>
      <c r="D632" s="13">
        <v>-1.368702553500345E-3</v>
      </c>
      <c r="E632" s="14">
        <v>4.7285767301034161E-3</v>
      </c>
      <c r="F632" s="13">
        <v>3.1862354897564812E-4</v>
      </c>
      <c r="G632" s="14">
        <v>2.9083862067181235E-2</v>
      </c>
      <c r="H632" s="13">
        <v>4.5720171082040831E-3</v>
      </c>
      <c r="I632" s="15">
        <f t="shared" si="9"/>
        <v>-1.4678921088281671E-3</v>
      </c>
    </row>
    <row r="633" spans="1:9">
      <c r="A633" s="12">
        <v>45184</v>
      </c>
      <c r="B633" s="13">
        <v>-3.0142379079517753E-3</v>
      </c>
      <c r="C633" s="14">
        <v>-2.9700436990045664E-2</v>
      </c>
      <c r="D633" s="13">
        <v>1.2384306106357932E-3</v>
      </c>
      <c r="E633" s="14">
        <v>-3.805670124264878E-3</v>
      </c>
      <c r="F633" s="13">
        <v>6.0346379736339129E-3</v>
      </c>
      <c r="G633" s="14">
        <v>-7.705941284532647E-5</v>
      </c>
      <c r="H633" s="13">
        <v>1.4841172919898985E-2</v>
      </c>
      <c r="I633" s="15">
        <f t="shared" si="9"/>
        <v>-7.2082417865747947E-3</v>
      </c>
    </row>
    <row r="634" spans="1:9">
      <c r="A634" s="12">
        <v>45183</v>
      </c>
      <c r="B634" s="13">
        <v>1.3547100872039877E-2</v>
      </c>
      <c r="C634" s="14">
        <v>1.2839273494899543E-2</v>
      </c>
      <c r="D634" s="13">
        <v>6.6223257762646039E-3</v>
      </c>
      <c r="E634" s="14">
        <v>1.2467693966743165E-2</v>
      </c>
      <c r="F634" s="13">
        <v>2.2543221401114848E-2</v>
      </c>
      <c r="G634" s="14">
        <v>1.7569103327317079E-2</v>
      </c>
      <c r="H634" s="13">
        <v>2.1200980691719763E-3</v>
      </c>
      <c r="I634" s="15">
        <f t="shared" si="9"/>
        <v>1.3391919568045113E-2</v>
      </c>
    </row>
    <row r="635" spans="1:9">
      <c r="A635" s="12">
        <v>45182</v>
      </c>
      <c r="B635" s="13">
        <v>1.1506724076026669E-2</v>
      </c>
      <c r="C635" s="14">
        <v>-6.8878645000822339E-3</v>
      </c>
      <c r="D635" s="13">
        <v>-1.171621434181447E-2</v>
      </c>
      <c r="E635" s="14">
        <v>-2.7368950303933793E-3</v>
      </c>
      <c r="F635" s="13">
        <v>-7.4580830472038466E-3</v>
      </c>
      <c r="G635" s="14">
        <v>6.9609132147199961E-3</v>
      </c>
      <c r="H635" s="13">
        <v>-3.9945128635222593E-3</v>
      </c>
      <c r="I635" s="15">
        <f t="shared" si="9"/>
        <v>7.0440196880681757E-3</v>
      </c>
    </row>
    <row r="636" spans="1:9">
      <c r="A636" s="12">
        <v>45181</v>
      </c>
      <c r="B636" s="13">
        <v>-6.3967408153455963E-3</v>
      </c>
      <c r="C636" s="14">
        <v>-6.651946101893149E-3</v>
      </c>
      <c r="D636" s="13">
        <v>-1.3095432986456795E-4</v>
      </c>
      <c r="E636" s="14">
        <v>1.6734368683955498E-3</v>
      </c>
      <c r="F636" s="13">
        <v>-3.1366423776451005E-2</v>
      </c>
      <c r="G636" s="14">
        <v>5.418136784089627E-3</v>
      </c>
      <c r="H636" s="13">
        <v>-3.7594029239057013E-3</v>
      </c>
      <c r="I636" s="15">
        <f t="shared" si="9"/>
        <v>-5.4184674894133837E-3</v>
      </c>
    </row>
    <row r="637" spans="1:9">
      <c r="A637" s="12">
        <v>45180</v>
      </c>
      <c r="B637" s="13">
        <v>7.8265877772270241E-4</v>
      </c>
      <c r="C637" s="14">
        <v>3.547668175127203E-3</v>
      </c>
      <c r="D637" s="13">
        <v>3.4401268549560299E-2</v>
      </c>
      <c r="E637" s="14">
        <v>1.2777506911673599E-2</v>
      </c>
      <c r="F637" s="13">
        <v>2.918063055647066E-2</v>
      </c>
      <c r="G637" s="14">
        <v>2.8732154201234865E-2</v>
      </c>
      <c r="H637" s="13">
        <v>4.0595980280395953E-2</v>
      </c>
      <c r="I637" s="15">
        <f t="shared" si="9"/>
        <v>3.9310204601583944E-3</v>
      </c>
    </row>
    <row r="638" spans="1:9">
      <c r="A638" s="12">
        <v>45177</v>
      </c>
      <c r="B638" s="13">
        <v>-6.571832592892464E-3</v>
      </c>
      <c r="C638" s="14">
        <v>-6.7396491598074627E-3</v>
      </c>
      <c r="D638" s="13">
        <v>1.2652622272840323E-4</v>
      </c>
      <c r="E638" s="14">
        <v>7.7437488005386345E-3</v>
      </c>
      <c r="F638" s="13">
        <v>9.373536071420088E-4</v>
      </c>
      <c r="G638" s="14">
        <v>-1.6375191897858781E-2</v>
      </c>
      <c r="H638" s="13">
        <v>9.6397163748570842E-4</v>
      </c>
      <c r="I638" s="15">
        <f t="shared" si="9"/>
        <v>-6.1942361213025042E-3</v>
      </c>
    </row>
    <row r="639" spans="1:9">
      <c r="A639" s="12">
        <v>45176</v>
      </c>
      <c r="B639" s="13">
        <v>2.5599915282449896E-3</v>
      </c>
      <c r="C639" s="14">
        <v>-7.7127036392268889E-3</v>
      </c>
      <c r="D639" s="13">
        <v>4.1349111199767002E-3</v>
      </c>
      <c r="E639" s="14">
        <v>-1.4902688222036241E-3</v>
      </c>
      <c r="F639" s="13">
        <v>3.122560524982615E-4</v>
      </c>
      <c r="G639" s="14">
        <v>-9.0157550549293461E-3</v>
      </c>
      <c r="H639" s="13">
        <v>-1.3336764120215885E-2</v>
      </c>
      <c r="I639" s="15">
        <f t="shared" si="9"/>
        <v>-2.8001363905935515E-5</v>
      </c>
    </row>
    <row r="640" spans="1:9">
      <c r="A640" s="12">
        <v>45175</v>
      </c>
      <c r="B640" s="13">
        <v>-6.5053191179488415E-3</v>
      </c>
      <c r="C640" s="14">
        <v>6.1045014632877702E-3</v>
      </c>
      <c r="D640" s="13">
        <v>1.1018591050105512E-3</v>
      </c>
      <c r="E640" s="14">
        <v>-4.903729477222331E-3</v>
      </c>
      <c r="F640" s="13">
        <v>5.6039997220407815E-3</v>
      </c>
      <c r="G640" s="14">
        <v>6.6120855299136643E-3</v>
      </c>
      <c r="H640" s="13">
        <v>8.1444563732090483E-3</v>
      </c>
      <c r="I640" s="15">
        <f t="shared" si="9"/>
        <v>-3.4554220553984966E-3</v>
      </c>
    </row>
    <row r="641" spans="1:9">
      <c r="A641" s="12">
        <v>45174</v>
      </c>
      <c r="B641" s="13">
        <v>-6.2028969516688163E-4</v>
      </c>
      <c r="C641" s="14">
        <v>-8.8408972115078237E-3</v>
      </c>
      <c r="D641" s="13">
        <v>-1.7005200130043891E-3</v>
      </c>
      <c r="E641" s="14">
        <v>8.9223694427353496E-3</v>
      </c>
      <c r="F641" s="13">
        <v>3.1041440572068872E-4</v>
      </c>
      <c r="G641" s="14">
        <v>1.2235325538966562E-2</v>
      </c>
      <c r="H641" s="13">
        <v>1.6330814425499853E-2</v>
      </c>
      <c r="I641" s="15">
        <f t="shared" si="9"/>
        <v>-8.0797187932329408E-4</v>
      </c>
    </row>
    <row r="642" spans="1:9">
      <c r="A642" s="12">
        <v>45173</v>
      </c>
      <c r="B642" s="13">
        <v>3.7932494758366646E-3</v>
      </c>
      <c r="C642" s="14">
        <v>-2.3369244530917505E-3</v>
      </c>
      <c r="D642" s="13">
        <v>6.3015945118895581E-4</v>
      </c>
      <c r="E642" s="14">
        <v>6.3373820252659993E-3</v>
      </c>
      <c r="F642" s="13">
        <v>-6.5390237670565404E-3</v>
      </c>
      <c r="G642" s="14">
        <v>1.2250021419436451E-2</v>
      </c>
      <c r="H642" s="13">
        <v>6.1743250055189703E-3</v>
      </c>
      <c r="I642" s="15">
        <f t="shared" si="9"/>
        <v>3.2470675444243491E-3</v>
      </c>
    </row>
    <row r="643" spans="1:9">
      <c r="A643" s="12">
        <v>45170</v>
      </c>
      <c r="B643" s="13">
        <v>7.3902200830183173E-3</v>
      </c>
      <c r="C643" s="14">
        <v>1.6895275425970028E-2</v>
      </c>
      <c r="D643" s="13">
        <v>-2.64934236841919E-3</v>
      </c>
      <c r="E643" s="14">
        <v>-7.3827984158096203E-4</v>
      </c>
      <c r="F643" s="13">
        <v>1.8726597232918325E-3</v>
      </c>
      <c r="G643" s="14">
        <v>-1.1390906985568961E-2</v>
      </c>
      <c r="H643" s="13">
        <v>-9.8733925251183099E-3</v>
      </c>
      <c r="I643" s="15">
        <f t="shared" si="9"/>
        <v>7.4404369467387863E-3</v>
      </c>
    </row>
    <row r="644" spans="1:9">
      <c r="A644" s="12">
        <v>45169</v>
      </c>
      <c r="B644" s="13">
        <v>-1.0589888414569179E-3</v>
      </c>
      <c r="C644" s="14">
        <v>-1.7518837225782252E-3</v>
      </c>
      <c r="D644" s="13">
        <v>-8.1814313974478917E-3</v>
      </c>
      <c r="E644" s="14">
        <v>-2.1862058137991452E-2</v>
      </c>
      <c r="F644" s="13">
        <v>6.8365710651202569E-3</v>
      </c>
      <c r="G644" s="14">
        <v>3.9934043460171176E-3</v>
      </c>
      <c r="H644" s="13">
        <v>-2.041010406213396E-2</v>
      </c>
      <c r="I644" s="15">
        <f t="shared" si="9"/>
        <v>-2.2087448337222617E-3</v>
      </c>
    </row>
    <row r="645" spans="1:9">
      <c r="A645" s="12">
        <v>45168</v>
      </c>
      <c r="B645" s="13">
        <v>1.1784956569079595E-2</v>
      </c>
      <c r="C645" s="14">
        <v>-4.099703703189763E-3</v>
      </c>
      <c r="D645" s="13">
        <v>2.3852317826678093E-3</v>
      </c>
      <c r="E645" s="14">
        <v>6.7409223055466356E-3</v>
      </c>
      <c r="F645" s="13">
        <v>9.5547036024782126E-3</v>
      </c>
      <c r="G645" s="14">
        <v>9.148200207074509E-3</v>
      </c>
      <c r="H645" s="13">
        <v>-3.5445860005147108E-3</v>
      </c>
      <c r="I645" s="15">
        <f t="shared" si="9"/>
        <v>8.4851286854691413E-3</v>
      </c>
    </row>
    <row r="646" spans="1:9">
      <c r="A646" s="12">
        <v>45167</v>
      </c>
      <c r="B646" s="13">
        <v>-2.7353977301683265E-3</v>
      </c>
      <c r="C646" s="14">
        <v>6.6847402908517097E-3</v>
      </c>
      <c r="D646" s="13">
        <v>-1.3366788938653919E-2</v>
      </c>
      <c r="E646" s="14">
        <v>-1.5810247554172322E-2</v>
      </c>
      <c r="F646" s="13">
        <v>7.9438242364602372E-3</v>
      </c>
      <c r="G646" s="14">
        <v>-1.5245000940725676E-2</v>
      </c>
      <c r="H646" s="13">
        <v>-2.5746351499178113E-3</v>
      </c>
      <c r="I646" s="15">
        <f t="shared" ref="I646:I709" si="10">SUMPRODUCT($B$2:$H$2,B646:H646)</f>
        <v>-2.4962051555452876E-3</v>
      </c>
    </row>
    <row r="647" spans="1:9">
      <c r="A647" s="12">
        <v>45166</v>
      </c>
      <c r="B647" s="13">
        <v>-7.9445524340764455E-3</v>
      </c>
      <c r="C647" s="14">
        <v>-1.6034460105246891E-2</v>
      </c>
      <c r="D647" s="13">
        <v>-2.5629051943035282E-2</v>
      </c>
      <c r="E647" s="14">
        <v>-8.0459325068718592E-3</v>
      </c>
      <c r="F647" s="13">
        <v>-5.4928426173199074E-3</v>
      </c>
      <c r="G647" s="14">
        <v>-8.901371901720136E-3</v>
      </c>
      <c r="H647" s="13">
        <v>5.6310590709311463E-3</v>
      </c>
      <c r="I647" s="15">
        <f t="shared" si="10"/>
        <v>-9.4665667141350576E-3</v>
      </c>
    </row>
    <row r="648" spans="1:9">
      <c r="A648" s="12">
        <v>45163</v>
      </c>
      <c r="B648" s="13">
        <v>-1.2271820846802346E-4</v>
      </c>
      <c r="C648" s="14">
        <v>-6.5716535675771131E-3</v>
      </c>
      <c r="D648" s="13">
        <v>1.1223345734787044E-3</v>
      </c>
      <c r="E648" s="14">
        <v>-1.4791246549608859E-2</v>
      </c>
      <c r="F648" s="13">
        <v>-3.9955377077594507E-2</v>
      </c>
      <c r="G648" s="14">
        <v>2.1220810023336298E-2</v>
      </c>
      <c r="H648" s="13">
        <v>-1.2282148991652938E-2</v>
      </c>
      <c r="I648" s="15">
        <f t="shared" si="10"/>
        <v>-1.0727197637713734E-3</v>
      </c>
    </row>
    <row r="649" spans="1:9">
      <c r="A649" s="12">
        <v>45162</v>
      </c>
      <c r="B649" s="13">
        <v>-1.0393468940895441E-2</v>
      </c>
      <c r="C649" s="14">
        <v>1.2696756030011152E-2</v>
      </c>
      <c r="D649" s="13">
        <v>1.0730385653285006E-2</v>
      </c>
      <c r="E649" s="14">
        <v>5.409619907589462E-3</v>
      </c>
      <c r="F649" s="13">
        <v>1.9552814654360831E-2</v>
      </c>
      <c r="G649" s="14">
        <v>1.5541422818791267E-3</v>
      </c>
      <c r="H649" s="13">
        <v>2.8146847458458992E-2</v>
      </c>
      <c r="I649" s="15">
        <f t="shared" si="10"/>
        <v>-4.5393263202423689E-3</v>
      </c>
    </row>
    <row r="650" spans="1:9">
      <c r="A650" s="12">
        <v>45161</v>
      </c>
      <c r="B650" s="13">
        <v>-1.776601212928778E-2</v>
      </c>
      <c r="C650" s="14">
        <v>-1.489693941332338E-2</v>
      </c>
      <c r="D650" s="13">
        <v>-1.2083804275783237E-3</v>
      </c>
      <c r="E650" s="14">
        <v>-8.5318904595470518E-3</v>
      </c>
      <c r="F650" s="13">
        <v>2.8068005328540668E-3</v>
      </c>
      <c r="G650" s="14">
        <v>7.4479529698549462E-3</v>
      </c>
      <c r="H650" s="13">
        <v>3.2387720988061633E-3</v>
      </c>
      <c r="I650" s="15">
        <f t="shared" si="10"/>
        <v>-1.5242576756620291E-2</v>
      </c>
    </row>
    <row r="651" spans="1:9">
      <c r="A651" s="12">
        <v>45160</v>
      </c>
      <c r="B651" s="13">
        <v>3.4338853936119415E-3</v>
      </c>
      <c r="C651" s="14">
        <v>4.0384817733389328E-3</v>
      </c>
      <c r="D651" s="13">
        <v>-3.9947662816380456E-3</v>
      </c>
      <c r="E651" s="14">
        <v>1.4374888549435322E-2</v>
      </c>
      <c r="F651" s="13">
        <v>1.1149078013331974E-2</v>
      </c>
      <c r="G651" s="14">
        <v>3.9889507229806343E-3</v>
      </c>
      <c r="H651" s="13">
        <v>2.2030975136688183E-2</v>
      </c>
      <c r="I651" s="15">
        <f t="shared" si="10"/>
        <v>4.1723835008918766E-3</v>
      </c>
    </row>
    <row r="652" spans="1:9">
      <c r="A652" s="12">
        <v>45159</v>
      </c>
      <c r="B652" s="13">
        <v>8.1735307914107395E-4</v>
      </c>
      <c r="C652" s="14">
        <v>2.2104896324532877E-4</v>
      </c>
      <c r="D652" s="13">
        <v>-2.2969270498530853E-4</v>
      </c>
      <c r="E652" s="14">
        <v>3.0820440359844147E-4</v>
      </c>
      <c r="F652" s="13">
        <v>-8.3501335643918779E-3</v>
      </c>
      <c r="G652" s="14">
        <v>-1.9477682774829801E-3</v>
      </c>
      <c r="H652" s="13">
        <v>-5.6391126877702617E-3</v>
      </c>
      <c r="I652" s="15">
        <f t="shared" si="10"/>
        <v>4.8520076684174557E-4</v>
      </c>
    </row>
    <row r="653" spans="1:9">
      <c r="A653" s="12">
        <v>45156</v>
      </c>
      <c r="B653" s="13">
        <v>-5.9093910394599075E-3</v>
      </c>
      <c r="C653" s="14">
        <v>-7.8239280107701421E-4</v>
      </c>
      <c r="D653" s="13">
        <v>-1.6911693247195669E-2</v>
      </c>
      <c r="E653" s="14">
        <v>6.5729089764513847E-3</v>
      </c>
      <c r="F653" s="13">
        <v>-2.7709581427760255E-2</v>
      </c>
      <c r="G653" s="14">
        <v>1.1134942511068181E-2</v>
      </c>
      <c r="H653" s="13">
        <v>-1.4716619745294873E-2</v>
      </c>
      <c r="I653" s="15">
        <f t="shared" si="10"/>
        <v>-3.8673875541014855E-3</v>
      </c>
    </row>
    <row r="654" spans="1:9">
      <c r="A654" s="12">
        <v>45155</v>
      </c>
      <c r="B654" s="13">
        <v>6.2078727125447382E-3</v>
      </c>
      <c r="C654" s="14">
        <v>-2.8930015092238287E-4</v>
      </c>
      <c r="D654" s="13">
        <v>2.0743931277654965E-2</v>
      </c>
      <c r="E654" s="14">
        <v>-1.8757406089024369E-2</v>
      </c>
      <c r="F654" s="13">
        <v>-6.7275602130566449E-3</v>
      </c>
      <c r="G654" s="14">
        <v>7.963536861803509E-3</v>
      </c>
      <c r="H654" s="13">
        <v>-4.8126826120600888E-2</v>
      </c>
      <c r="I654" s="15">
        <f t="shared" si="10"/>
        <v>3.6777235964335253E-3</v>
      </c>
    </row>
    <row r="655" spans="1:9">
      <c r="A655" s="12">
        <v>45154</v>
      </c>
      <c r="B655" s="13">
        <v>3.3870165507946127E-3</v>
      </c>
      <c r="C655" s="14">
        <v>-9.8347709307522561E-3</v>
      </c>
      <c r="D655" s="13">
        <v>1.4314011253526658E-2</v>
      </c>
      <c r="E655" s="14">
        <v>1.0333844229423806E-2</v>
      </c>
      <c r="F655" s="13">
        <v>1.5627809683320767E-2</v>
      </c>
      <c r="G655" s="14">
        <v>8.5271969979442818E-3</v>
      </c>
      <c r="H655" s="13">
        <v>1.2544690476208668E-4</v>
      </c>
      <c r="I655" s="15">
        <f t="shared" si="10"/>
        <v>1.8646932010463252E-3</v>
      </c>
    </row>
    <row r="656" spans="1:9">
      <c r="A656" s="12">
        <v>45152</v>
      </c>
      <c r="B656" s="13">
        <v>2.6732758840368642E-3</v>
      </c>
      <c r="C656" s="14">
        <v>1.7173577526258059E-3</v>
      </c>
      <c r="D656" s="13">
        <v>-2.1433347109301632E-2</v>
      </c>
      <c r="E656" s="14">
        <v>-1.1582361777210434E-2</v>
      </c>
      <c r="F656" s="13">
        <v>-3.0524458210646074E-2</v>
      </c>
      <c r="G656" s="14">
        <v>-2.1918203727858392E-2</v>
      </c>
      <c r="H656" s="13">
        <v>-1.682412714396328E-2</v>
      </c>
      <c r="I656" s="15">
        <f t="shared" si="10"/>
        <v>1.5574229669239402E-4</v>
      </c>
    </row>
    <row r="657" spans="1:9">
      <c r="A657" s="12">
        <v>45149</v>
      </c>
      <c r="B657" s="13">
        <v>-5.4008068096983511E-3</v>
      </c>
      <c r="C657" s="14">
        <v>1.9370715144920363E-3</v>
      </c>
      <c r="D657" s="13">
        <v>1.7137960460787E-2</v>
      </c>
      <c r="E657" s="14">
        <v>2.2757377527936957E-2</v>
      </c>
      <c r="F657" s="13">
        <v>2.1304872956094057E-2</v>
      </c>
      <c r="G657" s="14">
        <v>2.7351537369815632E-3</v>
      </c>
      <c r="H657" s="13">
        <v>-1.1418431841329438E-2</v>
      </c>
      <c r="I657" s="15">
        <f t="shared" si="10"/>
        <v>-2.1238358056427683E-3</v>
      </c>
    </row>
    <row r="658" spans="1:9">
      <c r="A658" s="12">
        <v>45148</v>
      </c>
      <c r="B658" s="13">
        <v>1.6362798420732461E-2</v>
      </c>
      <c r="C658" s="14">
        <v>-1.0830461855374758E-2</v>
      </c>
      <c r="D658" s="13">
        <v>1.4650864468701981E-2</v>
      </c>
      <c r="E658" s="14">
        <v>4.2346481352375353E-3</v>
      </c>
      <c r="F658" s="13">
        <v>1.2767317406153459E-3</v>
      </c>
      <c r="G658" s="14">
        <v>-1.5265010596721377E-3</v>
      </c>
      <c r="H658" s="13">
        <v>1.4475369644123239E-2</v>
      </c>
      <c r="I658" s="15">
        <f t="shared" si="10"/>
        <v>1.028368074085328E-2</v>
      </c>
    </row>
    <row r="659" spans="1:9">
      <c r="A659" s="12">
        <v>45147</v>
      </c>
      <c r="B659" s="13">
        <v>2.8347587694269229E-2</v>
      </c>
      <c r="C659" s="14">
        <v>7.8289760115716079E-3</v>
      </c>
      <c r="D659" s="13">
        <v>1.9988350788202616E-2</v>
      </c>
      <c r="E659" s="14">
        <v>-1.2167672000690801E-3</v>
      </c>
      <c r="F659" s="13">
        <v>2.8667004820760421E-3</v>
      </c>
      <c r="G659" s="14">
        <v>-1.2782296940736147E-2</v>
      </c>
      <c r="H659" s="13">
        <v>1.2716983548643834E-4</v>
      </c>
      <c r="I659" s="15">
        <f t="shared" si="10"/>
        <v>2.1134317130417395E-2</v>
      </c>
    </row>
    <row r="660" spans="1:9">
      <c r="A660" s="12">
        <v>45146</v>
      </c>
      <c r="B660" s="13">
        <v>5.1055275932988123E-3</v>
      </c>
      <c r="C660" s="14">
        <v>1.5188870735859606E-2</v>
      </c>
      <c r="D660" s="13">
        <v>-1.0433784157587554E-2</v>
      </c>
      <c r="E660" s="14">
        <v>-1.6754759985506589E-3</v>
      </c>
      <c r="F660" s="13">
        <v>-7.3424112783175835E-3</v>
      </c>
      <c r="G660" s="14">
        <v>9.757921748060781E-3</v>
      </c>
      <c r="H660" s="13">
        <v>-1.4215517608043486E-2</v>
      </c>
      <c r="I660" s="15">
        <f t="shared" si="10"/>
        <v>6.319751179702543E-3</v>
      </c>
    </row>
    <row r="661" spans="1:9">
      <c r="A661" s="12">
        <v>45145</v>
      </c>
      <c r="B661" s="13">
        <v>-1.5094793668798253E-3</v>
      </c>
      <c r="C661" s="14">
        <v>-3.4572789749718631E-3</v>
      </c>
      <c r="D661" s="13">
        <v>9.0885415764529864E-3</v>
      </c>
      <c r="E661" s="14">
        <v>-3.0229492172497998E-3</v>
      </c>
      <c r="F661" s="13">
        <v>2.2403593944221555E-3</v>
      </c>
      <c r="G661" s="14">
        <v>8.4099711461177572E-3</v>
      </c>
      <c r="H661" s="13">
        <v>-1.3243506987107044E-2</v>
      </c>
      <c r="I661" s="15">
        <f t="shared" si="10"/>
        <v>-1.4090585594357052E-3</v>
      </c>
    </row>
    <row r="662" spans="1:9">
      <c r="A662" s="12">
        <v>45142</v>
      </c>
      <c r="B662" s="13">
        <v>-1.0025963594136871E-3</v>
      </c>
      <c r="C662" s="14">
        <v>-3.1115859324117403E-3</v>
      </c>
      <c r="D662" s="13">
        <v>-8.6779352947251396E-3</v>
      </c>
      <c r="E662" s="14">
        <v>-4.1369859048429481E-3</v>
      </c>
      <c r="F662" s="13">
        <v>-8.9917111919640726E-3</v>
      </c>
      <c r="G662" s="14">
        <v>-2.5297435100068238E-3</v>
      </c>
      <c r="H662" s="13">
        <v>3.3796984713517594E-2</v>
      </c>
      <c r="I662" s="15">
        <f t="shared" si="10"/>
        <v>-1.4044980630139225E-3</v>
      </c>
    </row>
    <row r="663" spans="1:9">
      <c r="A663" s="12">
        <v>45141</v>
      </c>
      <c r="B663" s="13">
        <v>-9.8861601820690571E-4</v>
      </c>
      <c r="C663" s="14">
        <v>-8.7746117982920573E-3</v>
      </c>
      <c r="D663" s="13">
        <v>-2.7013964648014029E-2</v>
      </c>
      <c r="E663" s="14">
        <v>-2.0381329949481747E-2</v>
      </c>
      <c r="F663" s="13">
        <v>-3.5546975546560115E-3</v>
      </c>
      <c r="G663" s="14">
        <v>2.6929711372219722E-2</v>
      </c>
      <c r="H663" s="13">
        <v>-7.9253279652053685E-2</v>
      </c>
      <c r="I663" s="15">
        <f t="shared" si="10"/>
        <v>-2.932313840341177E-3</v>
      </c>
    </row>
    <row r="664" spans="1:9">
      <c r="A664" s="12">
        <v>45140</v>
      </c>
      <c r="B664" s="13">
        <v>7.9263019003497463E-3</v>
      </c>
      <c r="C664" s="14">
        <v>1.8653955018706852E-2</v>
      </c>
      <c r="D664" s="13">
        <v>3.8533197520716259E-3</v>
      </c>
      <c r="E664" s="14">
        <v>5.0209907183924388E-2</v>
      </c>
      <c r="F664" s="13">
        <v>-3.5673785197570069E-3</v>
      </c>
      <c r="G664" s="14">
        <v>-4.1830457282360213E-2</v>
      </c>
      <c r="H664" s="13">
        <v>1.4259764952375126E-2</v>
      </c>
      <c r="I664" s="15">
        <f t="shared" si="10"/>
        <v>9.4936745541908934E-3</v>
      </c>
    </row>
    <row r="665" spans="1:9">
      <c r="A665" s="12">
        <v>45139</v>
      </c>
      <c r="B665" s="13">
        <v>-5.9500462603658396E-3</v>
      </c>
      <c r="C665" s="14">
        <v>-1.3086059598547169E-2</v>
      </c>
      <c r="D665" s="13">
        <v>2.0726130517116952E-2</v>
      </c>
      <c r="E665" s="14">
        <v>5.617407885014687E-3</v>
      </c>
      <c r="F665" s="13">
        <v>5.8309203107931437E-3</v>
      </c>
      <c r="G665" s="14">
        <v>1.4865319464294818E-2</v>
      </c>
      <c r="H665" s="13">
        <v>2.7792494229921177E-2</v>
      </c>
      <c r="I665" s="15">
        <f t="shared" si="10"/>
        <v>-4.9835556866805351E-3</v>
      </c>
    </row>
    <row r="666" spans="1:9">
      <c r="A666" s="12">
        <v>45138</v>
      </c>
      <c r="B666" s="13">
        <v>1.0237727618667777E-2</v>
      </c>
      <c r="C666" s="14">
        <v>-2.8875489718869125E-2</v>
      </c>
      <c r="D666" s="13">
        <v>8.1025712451154586E-3</v>
      </c>
      <c r="E666" s="14">
        <v>-1.0367726782977158E-2</v>
      </c>
      <c r="F666" s="13">
        <v>-4.5322188295567568E-3</v>
      </c>
      <c r="G666" s="14">
        <v>-1.6971057025289674E-2</v>
      </c>
      <c r="H666" s="13">
        <v>-2.1206891502321641E-2</v>
      </c>
      <c r="I666" s="15">
        <f t="shared" si="10"/>
        <v>1.0445096669562109E-3</v>
      </c>
    </row>
    <row r="667" spans="1:9">
      <c r="A667" s="12">
        <v>45135</v>
      </c>
      <c r="B667" s="13">
        <v>3.9450114328237378E-3</v>
      </c>
      <c r="C667" s="14">
        <v>-4.0350700094399176E-3</v>
      </c>
      <c r="D667" s="13">
        <v>-1.0923894699670457E-2</v>
      </c>
      <c r="E667" s="14">
        <v>-2.3544045086785745E-2</v>
      </c>
      <c r="F667" s="13">
        <v>4.5322188295567837E-3</v>
      </c>
      <c r="G667" s="14">
        <v>-2.0329935511752956E-2</v>
      </c>
      <c r="H667" s="13">
        <v>-1.20635360786359E-3</v>
      </c>
      <c r="I667" s="15">
        <f t="shared" si="10"/>
        <v>-1.235545067980518E-4</v>
      </c>
    </row>
    <row r="668" spans="1:9">
      <c r="A668" s="12">
        <v>45134</v>
      </c>
      <c r="B668" s="13">
        <v>-6.3017027818496113E-3</v>
      </c>
      <c r="C668" s="14">
        <v>-8.2795285439551929E-3</v>
      </c>
      <c r="D668" s="13">
        <v>-2.5984675794526103E-2</v>
      </c>
      <c r="E668" s="14">
        <v>-6.4287144092502017E-3</v>
      </c>
      <c r="F668" s="13">
        <v>3.2294526358498613E-4</v>
      </c>
      <c r="G668" s="14">
        <v>8.5864152664225698E-3</v>
      </c>
      <c r="H668" s="13">
        <v>-2.9121666039840621E-2</v>
      </c>
      <c r="I668" s="15">
        <f t="shared" si="10"/>
        <v>-6.3733915858952914E-3</v>
      </c>
    </row>
    <row r="669" spans="1:9">
      <c r="A669" s="12">
        <v>45133</v>
      </c>
      <c r="B669" s="13">
        <v>1.0678691095464526E-3</v>
      </c>
      <c r="C669" s="14">
        <v>-8.1926342118875594E-4</v>
      </c>
      <c r="D669" s="13">
        <v>-1.4439262451714925E-2</v>
      </c>
      <c r="E669" s="14">
        <v>-5.5389803242190004E-3</v>
      </c>
      <c r="F669" s="13">
        <v>-1.5948263166665831E-2</v>
      </c>
      <c r="G669" s="14">
        <v>-1.105327955128709E-2</v>
      </c>
      <c r="H669" s="13">
        <v>2.0771449170990532E-2</v>
      </c>
      <c r="I669" s="15">
        <f t="shared" si="10"/>
        <v>-1.9629418346347181E-4</v>
      </c>
    </row>
    <row r="670" spans="1:9">
      <c r="A670" s="12">
        <v>45132</v>
      </c>
      <c r="B670" s="13">
        <v>8.090515681553485E-3</v>
      </c>
      <c r="C670" s="14">
        <v>3.0421386018295304E-3</v>
      </c>
      <c r="D670" s="13">
        <v>-7.2985760077414049E-3</v>
      </c>
      <c r="E670" s="14">
        <v>-6.5063658586874589E-3</v>
      </c>
      <c r="F670" s="13">
        <v>6.5402456806099747E-3</v>
      </c>
      <c r="G670" s="14">
        <v>-2.5292759464597043E-2</v>
      </c>
      <c r="H670" s="13">
        <v>-2.8441815069266663E-3</v>
      </c>
      <c r="I670" s="15">
        <f t="shared" si="10"/>
        <v>4.6728611009126562E-3</v>
      </c>
    </row>
    <row r="671" spans="1:9">
      <c r="A671" s="12">
        <v>45131</v>
      </c>
      <c r="B671" s="13">
        <v>4.1278307285877891E-2</v>
      </c>
      <c r="C671" s="14">
        <v>1.5125894378392108E-2</v>
      </c>
      <c r="D671" s="13">
        <v>-5.6765211864142802E-3</v>
      </c>
      <c r="E671" s="14">
        <v>4.1764124909972403E-3</v>
      </c>
      <c r="F671" s="13">
        <v>4.2283361095211049E-3</v>
      </c>
      <c r="G671" s="14">
        <v>5.3544622648813364E-3</v>
      </c>
      <c r="H671" s="13">
        <v>-9.8133539335647241E-3</v>
      </c>
      <c r="I671" s="15">
        <f t="shared" si="10"/>
        <v>3.2298154530071378E-2</v>
      </c>
    </row>
    <row r="672" spans="1:9">
      <c r="A672" s="12">
        <v>45128</v>
      </c>
      <c r="B672" s="13">
        <v>-7.3640120926033179E-3</v>
      </c>
      <c r="C672" s="14">
        <v>7.7037418033842038E-3</v>
      </c>
      <c r="D672" s="13">
        <v>4.5104568541255831E-3</v>
      </c>
      <c r="E672" s="14">
        <v>-4.6664282450159571E-4</v>
      </c>
      <c r="F672" s="13">
        <v>0</v>
      </c>
      <c r="G672" s="14">
        <v>8.6682748576489329E-3</v>
      </c>
      <c r="H672" s="13">
        <v>-3.172660702009595E-2</v>
      </c>
      <c r="I672" s="15">
        <f t="shared" si="10"/>
        <v>-3.774257105303414E-3</v>
      </c>
    </row>
    <row r="673" spans="1:9">
      <c r="A673" s="12">
        <v>45127</v>
      </c>
      <c r="B673" s="13">
        <v>2.3567170213370228E-3</v>
      </c>
      <c r="C673" s="14">
        <v>-9.6652822410757712E-3</v>
      </c>
      <c r="D673" s="13">
        <v>1.199360484921133E-3</v>
      </c>
      <c r="E673" s="14">
        <v>-1.3722879678065625E-2</v>
      </c>
      <c r="F673" s="13">
        <v>-3.2462262904787672E-4</v>
      </c>
      <c r="G673" s="14">
        <v>3.4612413132780444E-3</v>
      </c>
      <c r="H673" s="13">
        <v>-1.6536371112348437E-2</v>
      </c>
      <c r="I673" s="15">
        <f t="shared" si="10"/>
        <v>-5.893209717854498E-4</v>
      </c>
    </row>
    <row r="674" spans="1:9">
      <c r="A674" s="12">
        <v>45126</v>
      </c>
      <c r="B674" s="13">
        <v>-3.2241369282640952E-3</v>
      </c>
      <c r="C674" s="14">
        <v>-1.3859043488409254E-3</v>
      </c>
      <c r="D674" s="13">
        <v>-8.4594669823945985E-3</v>
      </c>
      <c r="E674" s="14">
        <v>-9.4453951034762472E-3</v>
      </c>
      <c r="F674" s="13">
        <v>-4.5558165358606907E-3</v>
      </c>
      <c r="G674" s="14">
        <v>-3.6103809641948579E-3</v>
      </c>
      <c r="H674" s="13">
        <v>-6.0553818247828786E-3</v>
      </c>
      <c r="I674" s="15">
        <f t="shared" si="10"/>
        <v>-3.3304670243972895E-3</v>
      </c>
    </row>
    <row r="675" spans="1:9">
      <c r="A675" s="12">
        <v>45125</v>
      </c>
      <c r="B675" s="13">
        <v>-3.41486322522942E-4</v>
      </c>
      <c r="C675" s="14">
        <v>-6.6049856594194824E-3</v>
      </c>
      <c r="D675" s="13">
        <v>1.7110366008251747E-3</v>
      </c>
      <c r="E675" s="14">
        <v>-1.434103214380618E-3</v>
      </c>
      <c r="F675" s="13">
        <v>9.737175277858244E-3</v>
      </c>
      <c r="G675" s="14">
        <v>2.2946297464489604E-2</v>
      </c>
      <c r="H675" s="13">
        <v>-5.365053106647092E-3</v>
      </c>
      <c r="I675" s="15">
        <f t="shared" si="10"/>
        <v>-3.6879271469789039E-4</v>
      </c>
    </row>
    <row r="676" spans="1:9">
      <c r="A676" s="12">
        <v>45124</v>
      </c>
      <c r="B676" s="13">
        <v>-1.5214271400809283E-2</v>
      </c>
      <c r="C676" s="14">
        <v>-8.8750626920213391E-3</v>
      </c>
      <c r="D676" s="13">
        <v>-4.0979534020033201E-3</v>
      </c>
      <c r="E676" s="14">
        <v>-9.7424177830418967E-3</v>
      </c>
      <c r="F676" s="13">
        <v>-9.6946202454811954E-4</v>
      </c>
      <c r="G676" s="14">
        <v>7.3704608868108406E-3</v>
      </c>
      <c r="H676" s="13">
        <v>5.6542376083733191E-3</v>
      </c>
      <c r="I676" s="15">
        <f t="shared" si="10"/>
        <v>-1.2491211611568713E-2</v>
      </c>
    </row>
    <row r="677" spans="1:9">
      <c r="A677" s="12">
        <v>45121</v>
      </c>
      <c r="B677" s="13">
        <v>-8.8968170999450119E-3</v>
      </c>
      <c r="C677" s="14">
        <v>-7.390672761235232E-3</v>
      </c>
      <c r="D677" s="13">
        <v>-4.1088494742747068E-2</v>
      </c>
      <c r="E677" s="14">
        <v>-1.2900058966717873E-2</v>
      </c>
      <c r="F677" s="13">
        <v>7.7295070822673909E-3</v>
      </c>
      <c r="G677" s="14">
        <v>-8.190738186516543E-3</v>
      </c>
      <c r="H677" s="13">
        <v>9.4964742454505188E-3</v>
      </c>
      <c r="I677" s="15">
        <f t="shared" si="10"/>
        <v>-9.0404364981988387E-3</v>
      </c>
    </row>
    <row r="678" spans="1:9">
      <c r="A678" s="12">
        <v>45120</v>
      </c>
      <c r="B678" s="13">
        <v>-9.138502154701458E-3</v>
      </c>
      <c r="C678" s="14">
        <v>-9.9278793764212472E-3</v>
      </c>
      <c r="D678" s="13">
        <v>1.4368573850570333E-3</v>
      </c>
      <c r="E678" s="14">
        <v>-9.4725302271774017E-3</v>
      </c>
      <c r="F678" s="13">
        <v>-2.4355806948098944E-2</v>
      </c>
      <c r="G678" s="14">
        <v>-1.4964598748542285E-3</v>
      </c>
      <c r="H678" s="13">
        <v>4.0017203609324361E-3</v>
      </c>
      <c r="I678" s="15">
        <f t="shared" si="10"/>
        <v>-8.7089682964836355E-3</v>
      </c>
    </row>
    <row r="679" spans="1:9">
      <c r="A679" s="12">
        <v>45119</v>
      </c>
      <c r="B679" s="13">
        <v>2.4098875783572426E-3</v>
      </c>
      <c r="C679" s="14">
        <v>1.1578962826106678E-2</v>
      </c>
      <c r="D679" s="13">
        <v>4.681721918689109E-3</v>
      </c>
      <c r="E679" s="14">
        <v>-7.5701589597985475E-3</v>
      </c>
      <c r="F679" s="13">
        <v>1.3387955066912299E-2</v>
      </c>
      <c r="G679" s="14">
        <v>-5.5674740444852265E-3</v>
      </c>
      <c r="H679" s="13">
        <v>1.6830890201373922E-2</v>
      </c>
      <c r="I679" s="15">
        <f t="shared" si="10"/>
        <v>3.2510107342594518E-3</v>
      </c>
    </row>
    <row r="680" spans="1:9">
      <c r="A680" s="12">
        <v>45118</v>
      </c>
      <c r="B680" s="13">
        <v>-4.1769066359998164E-3</v>
      </c>
      <c r="C680" s="14">
        <v>1.4156059454116946E-3</v>
      </c>
      <c r="D680" s="13">
        <v>4.6945994102767083E-3</v>
      </c>
      <c r="E680" s="14">
        <v>8.3931365389616971E-3</v>
      </c>
      <c r="F680" s="13">
        <v>-2.9235037876092448E-3</v>
      </c>
      <c r="G680" s="14">
        <v>-8.5023704530416064E-3</v>
      </c>
      <c r="H680" s="13">
        <v>6.709558299210867E-3</v>
      </c>
      <c r="I680" s="15">
        <f t="shared" si="10"/>
        <v>-2.6106549835163951E-3</v>
      </c>
    </row>
    <row r="681" spans="1:9">
      <c r="A681" s="12">
        <v>45117</v>
      </c>
      <c r="B681" s="13">
        <v>-1.4668374703098787E-2</v>
      </c>
      <c r="C681" s="14">
        <v>-5.2423818445632778E-3</v>
      </c>
      <c r="D681" s="13">
        <v>-1.0066124871564567E-3</v>
      </c>
      <c r="E681" s="14">
        <v>1.0116473844026501E-2</v>
      </c>
      <c r="F681" s="13">
        <v>-5.8727738121299201E-3</v>
      </c>
      <c r="G681" s="14">
        <v>-6.1309992327175187E-3</v>
      </c>
      <c r="H681" s="13">
        <v>-5.8683974477071856E-3</v>
      </c>
      <c r="I681" s="15">
        <f t="shared" si="10"/>
        <v>-1.1198231255668066E-2</v>
      </c>
    </row>
    <row r="682" spans="1:9">
      <c r="A682" s="12">
        <v>45114</v>
      </c>
      <c r="B682" s="13">
        <v>1.6450197065590624E-4</v>
      </c>
      <c r="C682" s="14">
        <v>9.2632241318727614E-3</v>
      </c>
      <c r="D682" s="13">
        <v>6.0245317594672188E-3</v>
      </c>
      <c r="E682" s="14">
        <v>1.7501253929718109E-2</v>
      </c>
      <c r="F682" s="13">
        <v>3.593013827840265E-3</v>
      </c>
      <c r="G682" s="14">
        <v>-6.4165873471622933E-2</v>
      </c>
      <c r="H682" s="13">
        <v>3.9160889207569645E-3</v>
      </c>
      <c r="I682" s="15">
        <f t="shared" si="10"/>
        <v>-3.3680197580841976E-4</v>
      </c>
    </row>
    <row r="683" spans="1:9">
      <c r="A683" s="12">
        <v>45113</v>
      </c>
      <c r="B683" s="13">
        <v>1.6520967181763737E-2</v>
      </c>
      <c r="C683" s="14">
        <v>1.1455244602902169E-2</v>
      </c>
      <c r="D683" s="13">
        <v>5.5216207359321673E-4</v>
      </c>
      <c r="E683" s="14">
        <v>1.8960618745348889E-2</v>
      </c>
      <c r="F683" s="13">
        <v>5.5275705689685154E-3</v>
      </c>
      <c r="G683" s="14">
        <v>-1.5418807667183395E-2</v>
      </c>
      <c r="H683" s="13">
        <v>6.1230361075713859E-3</v>
      </c>
      <c r="I683" s="15">
        <f t="shared" si="10"/>
        <v>1.399680184325375E-2</v>
      </c>
    </row>
    <row r="684" spans="1:9">
      <c r="A684" s="12">
        <v>45112</v>
      </c>
      <c r="B684" s="13">
        <v>-7.3814147187409081E-3</v>
      </c>
      <c r="C684" s="14">
        <v>-5.3034579024221155E-3</v>
      </c>
      <c r="D684" s="13">
        <v>-1.459626261527037E-2</v>
      </c>
      <c r="E684" s="14">
        <v>1.0870690874923766E-2</v>
      </c>
      <c r="F684" s="13">
        <v>-1.6225867587197295E-3</v>
      </c>
      <c r="G684" s="14">
        <v>3.3643272362885611E-3</v>
      </c>
      <c r="H684" s="13">
        <v>-9.6188097857133042E-3</v>
      </c>
      <c r="I684" s="15">
        <f t="shared" si="10"/>
        <v>-5.7277567150001386E-3</v>
      </c>
    </row>
    <row r="685" spans="1:9">
      <c r="A685" s="12">
        <v>45111</v>
      </c>
      <c r="B685" s="13">
        <v>-7.9439878647450234E-3</v>
      </c>
      <c r="C685" s="14">
        <v>-9.7250695220446378E-3</v>
      </c>
      <c r="D685" s="13">
        <v>5.5856315583935005E-3</v>
      </c>
      <c r="E685" s="14">
        <v>-1.3071672772123465E-2</v>
      </c>
      <c r="F685" s="13">
        <v>-2.1336768738059578E-2</v>
      </c>
      <c r="G685" s="14">
        <v>-2.3729720059403117E-2</v>
      </c>
      <c r="H685" s="13">
        <v>-9.2879924664706036E-3</v>
      </c>
      <c r="I685" s="15">
        <f t="shared" si="10"/>
        <v>-9.0926520285968225E-3</v>
      </c>
    </row>
    <row r="686" spans="1:9">
      <c r="A686" s="12">
        <v>45110</v>
      </c>
      <c r="B686" s="13">
        <v>3.2804514686210584E-3</v>
      </c>
      <c r="C686" s="14">
        <v>6.7605790802562713E-3</v>
      </c>
      <c r="D686" s="13">
        <v>1.2872477293684576E-3</v>
      </c>
      <c r="E686" s="14">
        <v>-3.6380468308233216E-2</v>
      </c>
      <c r="F686" s="13">
        <v>0</v>
      </c>
      <c r="G686" s="14">
        <v>6.6096264604003137E-3</v>
      </c>
      <c r="H686" s="13">
        <v>6.7634469461348504E-3</v>
      </c>
      <c r="I686" s="15">
        <f t="shared" si="10"/>
        <v>2.0598251432651388E-3</v>
      </c>
    </row>
    <row r="687" spans="1:9">
      <c r="A687" s="12">
        <v>45107</v>
      </c>
      <c r="B687" s="13">
        <v>9.9691262952669745E-4</v>
      </c>
      <c r="C687" s="14">
        <v>4.5761799648883971E-3</v>
      </c>
      <c r="D687" s="13">
        <v>-6.4178804174094134E-3</v>
      </c>
      <c r="E687" s="14">
        <v>-2.4352362327719351E-2</v>
      </c>
      <c r="F687" s="13">
        <v>1.12175376200963E-2</v>
      </c>
      <c r="G687" s="14">
        <v>-4.5317143222955375E-3</v>
      </c>
      <c r="H687" s="13">
        <v>-2.9499823500555026E-2</v>
      </c>
      <c r="I687" s="15">
        <f t="shared" si="10"/>
        <v>-2.4349590196902905E-4</v>
      </c>
    </row>
    <row r="688" spans="1:9">
      <c r="A688" s="12">
        <v>45105</v>
      </c>
      <c r="B688" s="13">
        <v>-4.1130856906813921E-3</v>
      </c>
      <c r="C688" s="14">
        <v>-4.3450955558360883E-3</v>
      </c>
      <c r="D688" s="13">
        <v>-2.7331037721735601E-3</v>
      </c>
      <c r="E688" s="14">
        <v>1.434620958618681E-2</v>
      </c>
      <c r="F688" s="13">
        <v>-2.1556132291788412E-2</v>
      </c>
      <c r="G688" s="14">
        <v>1.5812552708981999E-3</v>
      </c>
      <c r="H688" s="13">
        <v>4.3296358586162693E-3</v>
      </c>
      <c r="I688" s="15">
        <f t="shared" si="10"/>
        <v>-2.9069314447078155E-3</v>
      </c>
    </row>
    <row r="689" spans="1:9">
      <c r="A689" s="12">
        <v>45104</v>
      </c>
      <c r="B689" s="13">
        <v>-6.6674405143585342E-3</v>
      </c>
      <c r="C689" s="14">
        <v>5.0173407029526253E-3</v>
      </c>
      <c r="D689" s="13">
        <v>-1.193694626171322E-3</v>
      </c>
      <c r="E689" s="14">
        <v>-2.7404061722809676E-3</v>
      </c>
      <c r="F689" s="13">
        <v>-3.3579615166508532E-3</v>
      </c>
      <c r="G689" s="14">
        <v>2.3569690056323388E-3</v>
      </c>
      <c r="H689" s="13">
        <v>-6.2116487195842023E-3</v>
      </c>
      <c r="I689" s="15">
        <f t="shared" si="10"/>
        <v>-4.0036984722076341E-3</v>
      </c>
    </row>
    <row r="690" spans="1:9">
      <c r="A690" s="12">
        <v>45103</v>
      </c>
      <c r="B690" s="13">
        <v>-5.3812600182220061E-3</v>
      </c>
      <c r="C690" s="14">
        <v>-2.2839346702167138E-3</v>
      </c>
      <c r="D690" s="13">
        <v>1.0182406385292535E-3</v>
      </c>
      <c r="E690" s="14">
        <v>9.0510269506712988E-3</v>
      </c>
      <c r="F690" s="13">
        <v>9.0407446521490239E-3</v>
      </c>
      <c r="G690" s="14">
        <v>-3.3629330194732904E-3</v>
      </c>
      <c r="H690" s="13">
        <v>1.9089205413325906E-2</v>
      </c>
      <c r="I690" s="15">
        <f t="shared" si="10"/>
        <v>-3.7511926471504322E-3</v>
      </c>
    </row>
    <row r="691" spans="1:9">
      <c r="A691" s="12">
        <v>45100</v>
      </c>
      <c r="B691" s="13">
        <v>-3.1638649733422841E-3</v>
      </c>
      <c r="C691" s="14">
        <v>-2.0049509470884972E-3</v>
      </c>
      <c r="D691" s="13">
        <v>-2.4947745682368837E-3</v>
      </c>
      <c r="E691" s="14">
        <v>-3.1503324056291627E-3</v>
      </c>
      <c r="F691" s="13">
        <v>2.3306153382822896E-3</v>
      </c>
      <c r="G691" s="14">
        <v>7.3876588159687544E-3</v>
      </c>
      <c r="H691" s="13">
        <v>-1.7351837088662801E-2</v>
      </c>
      <c r="I691" s="15">
        <f t="shared" si="10"/>
        <v>-2.57678251330577E-3</v>
      </c>
    </row>
    <row r="692" spans="1:9">
      <c r="A692" s="12">
        <v>45099</v>
      </c>
      <c r="B692" s="13">
        <v>-1.5170439509557874E-2</v>
      </c>
      <c r="C692" s="14">
        <v>-8.3109393854538041E-3</v>
      </c>
      <c r="D692" s="13">
        <v>1.8198166496686739E-2</v>
      </c>
      <c r="E692" s="14">
        <v>1.1178048144602397E-2</v>
      </c>
      <c r="F692" s="13">
        <v>1.2557997155468435E-2</v>
      </c>
      <c r="G692" s="14">
        <v>4.2807783516315035E-4</v>
      </c>
      <c r="H692" s="13">
        <v>1.4219270095860253E-2</v>
      </c>
      <c r="I692" s="15">
        <f t="shared" si="10"/>
        <v>-1.1287023869662636E-2</v>
      </c>
    </row>
    <row r="693" spans="1:9">
      <c r="A693" s="12">
        <v>45098</v>
      </c>
      <c r="B693" s="13">
        <v>2.0734577364167499E-2</v>
      </c>
      <c r="C693" s="14">
        <v>1.9859512933941028E-2</v>
      </c>
      <c r="D693" s="13">
        <v>1.2940165804798487E-2</v>
      </c>
      <c r="E693" s="14">
        <v>-4.6586717476494307E-3</v>
      </c>
      <c r="F693" s="13">
        <v>-2.301496988279163E-3</v>
      </c>
      <c r="G693" s="14">
        <v>-1.2235660314776342E-3</v>
      </c>
      <c r="H693" s="13">
        <v>1.4582264482827531E-2</v>
      </c>
      <c r="I693" s="15">
        <f t="shared" si="10"/>
        <v>1.8128978134110137E-2</v>
      </c>
    </row>
    <row r="694" spans="1:9">
      <c r="A694" s="12">
        <v>45097</v>
      </c>
      <c r="B694" s="13">
        <v>7.8374634746761207E-4</v>
      </c>
      <c r="C694" s="14">
        <v>-1.2810380943748529E-2</v>
      </c>
      <c r="D694" s="13">
        <v>-2.5245232603139038E-2</v>
      </c>
      <c r="E694" s="14">
        <v>-1.5599092097349285E-2</v>
      </c>
      <c r="F694" s="13">
        <v>-1.4923175303019225E-2</v>
      </c>
      <c r="G694" s="14">
        <v>-2.0630567099983546E-3</v>
      </c>
      <c r="H694" s="13">
        <v>1.2569997909669664E-2</v>
      </c>
      <c r="I694" s="15">
        <f t="shared" si="10"/>
        <v>-2.7023102527723841E-3</v>
      </c>
    </row>
    <row r="695" spans="1:9">
      <c r="A695" s="12">
        <v>45096</v>
      </c>
      <c r="B695" s="13">
        <v>-2.7155891409141597E-3</v>
      </c>
      <c r="C695" s="14">
        <v>1.1907619616766489E-3</v>
      </c>
      <c r="D695" s="13">
        <v>-5.7523834524233963E-3</v>
      </c>
      <c r="E695" s="14">
        <v>1.3016082928535727E-2</v>
      </c>
      <c r="F695" s="13">
        <v>3.6685050313262665E-3</v>
      </c>
      <c r="G695" s="14">
        <v>3.8842494176440502E-4</v>
      </c>
      <c r="H695" s="13">
        <v>-2.0840577185301241E-3</v>
      </c>
      <c r="I695" s="15">
        <f t="shared" si="10"/>
        <v>-1.1581354221022798E-3</v>
      </c>
    </row>
    <row r="696" spans="1:9">
      <c r="A696" s="12">
        <v>45093</v>
      </c>
      <c r="B696" s="13">
        <v>2.1579865162837013E-3</v>
      </c>
      <c r="C696" s="14">
        <v>-3.0419221350251034E-3</v>
      </c>
      <c r="D696" s="13">
        <v>-2.3596129914854745E-3</v>
      </c>
      <c r="E696" s="14">
        <v>-1.6338345120513683E-2</v>
      </c>
      <c r="F696" s="13">
        <v>-6.6800515603739107E-3</v>
      </c>
      <c r="G696" s="14">
        <v>2.5312851615701083E-3</v>
      </c>
      <c r="H696" s="13">
        <v>-1.9663554908778021E-2</v>
      </c>
      <c r="I696" s="15">
        <f t="shared" si="10"/>
        <v>1.3572899739458619E-4</v>
      </c>
    </row>
    <row r="697" spans="1:9">
      <c r="A697" s="12">
        <v>45092</v>
      </c>
      <c r="B697" s="13">
        <v>-6.8066574509260515E-3</v>
      </c>
      <c r="C697" s="14">
        <v>4.7456209924951476E-3</v>
      </c>
      <c r="D697" s="13">
        <v>-8.9963063360024367E-3</v>
      </c>
      <c r="E697" s="14">
        <v>1.5454012488327229E-2</v>
      </c>
      <c r="F697" s="13">
        <v>1.2654181509033363E-2</v>
      </c>
      <c r="G697" s="14">
        <v>-3.6765498224071809E-3</v>
      </c>
      <c r="H697" s="13">
        <v>-5.8325793059895766E-3</v>
      </c>
      <c r="I697" s="15">
        <f t="shared" si="10"/>
        <v>-3.605527120652448E-3</v>
      </c>
    </row>
    <row r="698" spans="1:9">
      <c r="A698" s="12">
        <v>45091</v>
      </c>
      <c r="B698" s="13">
        <v>-7.3577347873434009E-3</v>
      </c>
      <c r="C698" s="14">
        <v>-9.5854779222573974E-3</v>
      </c>
      <c r="D698" s="13">
        <v>1.1637292430075854E-2</v>
      </c>
      <c r="E698" s="14">
        <v>-2.1328136581443211E-2</v>
      </c>
      <c r="F698" s="13">
        <v>-8.6407981955746328E-3</v>
      </c>
      <c r="G698" s="14">
        <v>-7.6206886415404896E-3</v>
      </c>
      <c r="H698" s="13">
        <v>7.674852908597516E-3</v>
      </c>
      <c r="I698" s="15">
        <f t="shared" si="10"/>
        <v>-8.0769632022179485E-3</v>
      </c>
    </row>
    <row r="699" spans="1:9">
      <c r="A699" s="12">
        <v>45090</v>
      </c>
      <c r="B699" s="13">
        <v>-2.2500985301054334E-3</v>
      </c>
      <c r="C699" s="14">
        <v>-1.7021890672567451E-3</v>
      </c>
      <c r="D699" s="13">
        <v>2.3183121837836765E-3</v>
      </c>
      <c r="E699" s="14">
        <v>-1.9162141549185586E-2</v>
      </c>
      <c r="F699" s="13">
        <v>-6.0261313931558756E-3</v>
      </c>
      <c r="G699" s="14">
        <v>-1.0050752407264722E-2</v>
      </c>
      <c r="H699" s="13">
        <v>-2.6541978416710771E-2</v>
      </c>
      <c r="I699" s="15">
        <f t="shared" si="10"/>
        <v>-3.5059098897060235E-3</v>
      </c>
    </row>
    <row r="700" spans="1:9">
      <c r="A700" s="12">
        <v>45089</v>
      </c>
      <c r="B700" s="13">
        <v>-2.1092209081567947E-2</v>
      </c>
      <c r="C700" s="14">
        <v>-3.1663664620650879E-2</v>
      </c>
      <c r="D700" s="13">
        <v>-2.9867026190236712E-3</v>
      </c>
      <c r="E700" s="14">
        <v>-2.3720621210610391E-2</v>
      </c>
      <c r="F700" s="13">
        <v>2.0127480796969777E-3</v>
      </c>
      <c r="G700" s="14">
        <v>-1.7416955499577304E-2</v>
      </c>
      <c r="H700" s="13">
        <v>-1.2729705878419973E-2</v>
      </c>
      <c r="I700" s="15">
        <f t="shared" si="10"/>
        <v>-2.2510914059113114E-2</v>
      </c>
    </row>
    <row r="701" spans="1:9">
      <c r="A701" s="12">
        <v>45086</v>
      </c>
      <c r="B701" s="13">
        <v>-4.4546996949076127E-3</v>
      </c>
      <c r="C701" s="14">
        <v>-9.2592599207864045E-4</v>
      </c>
      <c r="D701" s="13">
        <v>-2.7133233694623176E-3</v>
      </c>
      <c r="E701" s="14">
        <v>5.5401803756155721E-3</v>
      </c>
      <c r="F701" s="13">
        <v>-8.0754140055453068E-3</v>
      </c>
      <c r="G701" s="14">
        <v>-1.102676221826103E-3</v>
      </c>
      <c r="H701" s="13">
        <v>1.2293437420980704E-2</v>
      </c>
      <c r="I701" s="15">
        <f t="shared" si="10"/>
        <v>-3.0528012416684222E-3</v>
      </c>
    </row>
    <row r="702" spans="1:9">
      <c r="A702" s="12">
        <v>45085</v>
      </c>
      <c r="B702" s="13">
        <v>9.9174883696848855E-3</v>
      </c>
      <c r="C702" s="14">
        <v>4.0123196745447858E-3</v>
      </c>
      <c r="D702" s="13">
        <v>1.6344178901705274E-2</v>
      </c>
      <c r="E702" s="14">
        <v>-7.8839451131856968E-3</v>
      </c>
      <c r="F702" s="13">
        <v>-1.0140274656288567E-3</v>
      </c>
      <c r="G702" s="14">
        <v>1.5348800685819482E-2</v>
      </c>
      <c r="H702" s="13">
        <v>3.9195811231767311E-3</v>
      </c>
      <c r="I702" s="15">
        <f t="shared" si="10"/>
        <v>8.3116991625026074E-3</v>
      </c>
    </row>
    <row r="703" spans="1:9">
      <c r="A703" s="12">
        <v>45084</v>
      </c>
      <c r="B703" s="13">
        <v>3.8993066393660115E-3</v>
      </c>
      <c r="C703" s="14">
        <v>3.4447538461821942E-3</v>
      </c>
      <c r="D703" s="13">
        <v>1.577384957894476E-2</v>
      </c>
      <c r="E703" s="14">
        <v>1.1006345651638801E-2</v>
      </c>
      <c r="F703" s="13">
        <v>1.5436548130853045E-2</v>
      </c>
      <c r="G703" s="14">
        <v>4.7940728803968109E-3</v>
      </c>
      <c r="H703" s="13">
        <v>-8.0996992666441933E-2</v>
      </c>
      <c r="I703" s="15">
        <f t="shared" si="10"/>
        <v>3.6805661727972328E-3</v>
      </c>
    </row>
    <row r="704" spans="1:9">
      <c r="A704" s="12">
        <v>45083</v>
      </c>
      <c r="B704" s="13">
        <v>-3.7436646157055615E-3</v>
      </c>
      <c r="C704" s="14">
        <v>-3.8625307413443121E-4</v>
      </c>
      <c r="D704" s="13">
        <v>2.4913413223868054E-3</v>
      </c>
      <c r="E704" s="14">
        <v>-1.7541857318879646E-2</v>
      </c>
      <c r="F704" s="13">
        <v>3.3244711469710671E-3</v>
      </c>
      <c r="G704" s="14">
        <v>-4.0212995255935174E-3</v>
      </c>
      <c r="H704" s="13">
        <v>-5.0401744750766687E-3</v>
      </c>
      <c r="I704" s="15">
        <f t="shared" si="10"/>
        <v>-3.7969964900058076E-3</v>
      </c>
    </row>
    <row r="705" spans="1:9">
      <c r="A705" s="12">
        <v>45082</v>
      </c>
      <c r="B705" s="13">
        <v>-4.0545864513493769E-3</v>
      </c>
      <c r="C705" s="14">
        <v>-3.3722494250409169E-3</v>
      </c>
      <c r="D705" s="13">
        <v>4.014020425150925E-3</v>
      </c>
      <c r="E705" s="14">
        <v>1.0570080612066349E-3</v>
      </c>
      <c r="F705" s="13">
        <v>2.982603702383557E-3</v>
      </c>
      <c r="G705" s="14">
        <v>5.351225121110679E-3</v>
      </c>
      <c r="H705" s="13">
        <v>-3.0135314516295083E-2</v>
      </c>
      <c r="I705" s="15">
        <f t="shared" si="10"/>
        <v>-3.3522371778298976E-3</v>
      </c>
    </row>
    <row r="706" spans="1:9">
      <c r="A706" s="12">
        <v>45079</v>
      </c>
      <c r="B706" s="13">
        <v>1.1651522213048333E-2</v>
      </c>
      <c r="C706" s="14">
        <v>3.6113760621283319E-3</v>
      </c>
      <c r="D706" s="13">
        <v>-8.4207435281767121E-3</v>
      </c>
      <c r="E706" s="14">
        <v>-4.0933047025775108E-3</v>
      </c>
      <c r="F706" s="13">
        <v>7.9103906224224467E-3</v>
      </c>
      <c r="G706" s="14">
        <v>1.8659829395067572E-2</v>
      </c>
      <c r="H706" s="13">
        <v>-5.8756493503682719E-3</v>
      </c>
      <c r="I706" s="15">
        <f t="shared" si="10"/>
        <v>9.4422414854592029E-3</v>
      </c>
    </row>
    <row r="707" spans="1:9">
      <c r="A707" s="12">
        <v>45078</v>
      </c>
      <c r="B707" s="13">
        <v>1.0651518848347041E-3</v>
      </c>
      <c r="C707" s="14">
        <v>-3.0024244549618512E-3</v>
      </c>
      <c r="D707" s="13">
        <v>8.8280478580217963E-3</v>
      </c>
      <c r="E707" s="14">
        <v>1.0726886404800606E-2</v>
      </c>
      <c r="F707" s="13">
        <v>1.1100342512512976E-2</v>
      </c>
      <c r="G707" s="14">
        <v>5.4678822722604879E-3</v>
      </c>
      <c r="H707" s="13">
        <v>-1.6382703533105798E-3</v>
      </c>
      <c r="I707" s="15">
        <f t="shared" si="10"/>
        <v>1.1497111093312453E-3</v>
      </c>
    </row>
    <row r="708" spans="1:9">
      <c r="A708" s="12">
        <v>45077</v>
      </c>
      <c r="B708" s="13">
        <v>-1.4844101496229129E-2</v>
      </c>
      <c r="C708" s="14">
        <v>-7.379256912195055E-5</v>
      </c>
      <c r="D708" s="13">
        <v>-1.1708016934702567E-2</v>
      </c>
      <c r="E708" s="14">
        <v>2.3304308105054922E-2</v>
      </c>
      <c r="F708" s="13">
        <v>8.4061277410122578E-3</v>
      </c>
      <c r="G708" s="14">
        <v>-5.2437012961343687E-3</v>
      </c>
      <c r="H708" s="13">
        <v>-1.2871464832008446E-2</v>
      </c>
      <c r="I708" s="15">
        <f t="shared" si="10"/>
        <v>-9.9319754582799583E-3</v>
      </c>
    </row>
    <row r="709" spans="1:9">
      <c r="A709" s="12">
        <v>45076</v>
      </c>
      <c r="B709" s="13">
        <v>-1.5322161417953664E-2</v>
      </c>
      <c r="C709" s="14">
        <v>-2.4567086934663396E-3</v>
      </c>
      <c r="D709" s="13">
        <v>6.9116815215996621E-3</v>
      </c>
      <c r="E709" s="14">
        <v>-3.6013285556252557E-2</v>
      </c>
      <c r="F709" s="13">
        <v>-1.7538611304284836E-2</v>
      </c>
      <c r="G709" s="14">
        <v>5.0409684567747359E-3</v>
      </c>
      <c r="H709" s="13">
        <v>-4.9950153805229649E-3</v>
      </c>
      <c r="I709" s="15">
        <f t="shared" si="10"/>
        <v>-1.2863489636799735E-2</v>
      </c>
    </row>
    <row r="710" spans="1:9">
      <c r="A710" s="12">
        <v>45075</v>
      </c>
      <c r="B710" s="13">
        <v>-2.2286614974614764E-3</v>
      </c>
      <c r="C710" s="14">
        <v>-1.2243835736062306E-2</v>
      </c>
      <c r="D710" s="13">
        <v>3.6758490727603847E-3</v>
      </c>
      <c r="E710" s="14">
        <v>-2.7659809304889715E-2</v>
      </c>
      <c r="F710" s="13">
        <v>-7.8947778470081498E-3</v>
      </c>
      <c r="G710" s="14">
        <v>1.0537622309723411E-3</v>
      </c>
      <c r="H710" s="13">
        <v>6.6744537768960888E-4</v>
      </c>
      <c r="I710" s="15">
        <f t="shared" ref="I710:I773" si="11">SUMPRODUCT($B$2:$H$2,B710:H710)</f>
        <v>-4.9329911168591823E-3</v>
      </c>
    </row>
    <row r="711" spans="1:9">
      <c r="A711" s="12">
        <v>45072</v>
      </c>
      <c r="B711" s="13">
        <v>-2.8727396946835286E-3</v>
      </c>
      <c r="C711" s="14">
        <v>9.5400302442813049E-3</v>
      </c>
      <c r="D711" s="13">
        <v>2.3934143500998904E-2</v>
      </c>
      <c r="E711" s="14">
        <v>-8.1188275099775258E-3</v>
      </c>
      <c r="F711" s="13">
        <v>1.7027261410280801E-2</v>
      </c>
      <c r="G711" s="14">
        <v>1.2259224540821323E-2</v>
      </c>
      <c r="H711" s="13">
        <v>-2.6724585807102394E-3</v>
      </c>
      <c r="I711" s="15">
        <f t="shared" si="11"/>
        <v>3.0373849400243862E-5</v>
      </c>
    </row>
    <row r="712" spans="1:9">
      <c r="A712" s="12">
        <v>45071</v>
      </c>
      <c r="B712" s="13">
        <v>-1.5515162382651567E-3</v>
      </c>
      <c r="C712" s="14">
        <v>-8.5295511163844765E-3</v>
      </c>
      <c r="D712" s="13">
        <v>-3.266931352179344E-2</v>
      </c>
      <c r="E712" s="14">
        <v>-3.6726899193485307E-4</v>
      </c>
      <c r="F712" s="13">
        <v>-6.4956156879553389E-4</v>
      </c>
      <c r="G712" s="14">
        <v>-2.9048148765029622E-2</v>
      </c>
      <c r="H712" s="13">
        <v>1.0481753065713006E-2</v>
      </c>
      <c r="I712" s="15">
        <f t="shared" si="11"/>
        <v>-4.2443281300258689E-3</v>
      </c>
    </row>
    <row r="713" spans="1:9">
      <c r="A713" s="12">
        <v>45070</v>
      </c>
      <c r="B713" s="13">
        <v>-7.0843100760189497E-3</v>
      </c>
      <c r="C713" s="14">
        <v>-1.1134003792393527E-2</v>
      </c>
      <c r="D713" s="13">
        <v>-2.0707111066678073E-2</v>
      </c>
      <c r="E713" s="14">
        <v>2.5314147242536224E-3</v>
      </c>
      <c r="F713" s="13">
        <v>3.5113725511281176E-2</v>
      </c>
      <c r="G713" s="14">
        <v>1.4984692914861672E-2</v>
      </c>
      <c r="H713" s="13">
        <v>8.4054883018769583E-3</v>
      </c>
      <c r="I713" s="15">
        <f t="shared" si="11"/>
        <v>-6.2543191861087451E-3</v>
      </c>
    </row>
    <row r="714" spans="1:9">
      <c r="A714" s="12">
        <v>45069</v>
      </c>
      <c r="B714" s="13">
        <v>6.1394255939096346E-3</v>
      </c>
      <c r="C714" s="14">
        <v>-6.7937106600436618E-3</v>
      </c>
      <c r="D714" s="13">
        <v>-1.1613306196716177E-2</v>
      </c>
      <c r="E714" s="14">
        <v>-3.1560817419389727E-3</v>
      </c>
      <c r="F714" s="13">
        <v>-3.1546346991524109E-2</v>
      </c>
      <c r="G714" s="14">
        <v>1.7558601161196952E-2</v>
      </c>
      <c r="H714" s="13">
        <v>3.59455251270384E-2</v>
      </c>
      <c r="I714" s="15">
        <f t="shared" si="11"/>
        <v>4.007372012540639E-3</v>
      </c>
    </row>
    <row r="715" spans="1:9">
      <c r="A715" s="12">
        <v>45068</v>
      </c>
      <c r="B715" s="13">
        <v>-1.1506049103827083E-2</v>
      </c>
      <c r="C715" s="14">
        <v>-6.3801553580426608E-3</v>
      </c>
      <c r="D715" s="13">
        <v>-2.4098959106112041E-3</v>
      </c>
      <c r="E715" s="14">
        <v>-4.4205479780586379E-3</v>
      </c>
      <c r="F715" s="13">
        <v>-6.4766841642231764E-4</v>
      </c>
      <c r="G715" s="14">
        <v>-2.7058988614845913E-2</v>
      </c>
      <c r="H715" s="13">
        <v>-1.4833990806314963E-2</v>
      </c>
      <c r="I715" s="15">
        <f t="shared" si="11"/>
        <v>-1.0916720421521073E-2</v>
      </c>
    </row>
    <row r="716" spans="1:9">
      <c r="A716" s="12">
        <v>45065</v>
      </c>
      <c r="B716" s="13">
        <v>-1.4588246761762925E-4</v>
      </c>
      <c r="C716" s="14">
        <v>-1.515050104255319E-3</v>
      </c>
      <c r="D716" s="13">
        <v>-3.9106989544577999E-3</v>
      </c>
      <c r="E716" s="14">
        <v>7.3811636064456633E-4</v>
      </c>
      <c r="F716" s="13">
        <v>-2.2605385174365066E-2</v>
      </c>
      <c r="G716" s="14">
        <v>-2.8308291894463028E-3</v>
      </c>
      <c r="H716" s="13">
        <v>-1.6070711163540587E-4</v>
      </c>
      <c r="I716" s="15">
        <f t="shared" si="11"/>
        <v>-5.328020475926531E-4</v>
      </c>
    </row>
    <row r="717" spans="1:9">
      <c r="A717" s="12">
        <v>45064</v>
      </c>
      <c r="B717" s="13">
        <v>7.9438538353863285E-3</v>
      </c>
      <c r="C717" s="14">
        <v>-4.0000053333460166E-3</v>
      </c>
      <c r="D717" s="13">
        <v>4.6910068609726926E-3</v>
      </c>
      <c r="E717" s="14">
        <v>1.7009390093487217E-2</v>
      </c>
      <c r="F717" s="13">
        <v>-1.9900504080100361E-3</v>
      </c>
      <c r="G717" s="14">
        <v>-3.8900544058860938E-3</v>
      </c>
      <c r="H717" s="13">
        <v>1.5153013441118031E-2</v>
      </c>
      <c r="I717" s="15">
        <f t="shared" si="11"/>
        <v>5.8312643686729317E-3</v>
      </c>
    </row>
    <row r="718" spans="1:9">
      <c r="A718" s="12">
        <v>45063</v>
      </c>
      <c r="B718" s="13">
        <v>-5.3535562838333568E-3</v>
      </c>
      <c r="C718" s="14">
        <v>-4.2676103429223925E-3</v>
      </c>
      <c r="D718" s="13">
        <v>-6.0469519503991542E-2</v>
      </c>
      <c r="E718" s="14">
        <v>-1.6271818146788502E-2</v>
      </c>
      <c r="F718" s="13">
        <v>1.9398931521038373E-2</v>
      </c>
      <c r="G718" s="14">
        <v>2.1503133797422268E-2</v>
      </c>
      <c r="H718" s="13">
        <v>2.6864023722467902E-2</v>
      </c>
      <c r="I718" s="15">
        <f t="shared" si="11"/>
        <v>-4.8536396646809126E-3</v>
      </c>
    </row>
    <row r="719" spans="1:9">
      <c r="A719" s="12">
        <v>45062</v>
      </c>
      <c r="B719" s="13">
        <v>1.4653864229517151E-2</v>
      </c>
      <c r="C719" s="14">
        <v>-1.2991622400082165E-2</v>
      </c>
      <c r="D719" s="13">
        <v>-7.6753311746164711E-3</v>
      </c>
      <c r="E719" s="14">
        <v>4.8910642692301751E-3</v>
      </c>
      <c r="F719" s="13">
        <v>2.6016274836778643E-3</v>
      </c>
      <c r="G719" s="14">
        <v>-2.0204067889084969E-3</v>
      </c>
      <c r="H719" s="13">
        <v>2.5860887489454018E-2</v>
      </c>
      <c r="I719" s="15">
        <f t="shared" si="11"/>
        <v>8.5249456633166368E-3</v>
      </c>
    </row>
    <row r="720" spans="1:9">
      <c r="A720" s="12">
        <v>45061</v>
      </c>
      <c r="B720" s="13">
        <v>-1.9457431060133786E-3</v>
      </c>
      <c r="C720" s="14">
        <v>2.7553680929080508E-2</v>
      </c>
      <c r="D720" s="13">
        <v>1.0871723855631137E-2</v>
      </c>
      <c r="E720" s="14">
        <v>-1.1006145108775583E-4</v>
      </c>
      <c r="F720" s="13">
        <v>-2.9273073432575097E-3</v>
      </c>
      <c r="G720" s="14">
        <v>2.7669239178098578E-3</v>
      </c>
      <c r="H720" s="13">
        <v>-2.1555175778241932E-2</v>
      </c>
      <c r="I720" s="15">
        <f t="shared" si="11"/>
        <v>3.3411674557432811E-3</v>
      </c>
    </row>
    <row r="721" spans="1:9">
      <c r="A721" s="12">
        <v>45058</v>
      </c>
      <c r="B721" s="13">
        <v>-2.8739761657798122E-4</v>
      </c>
      <c r="C721" s="14">
        <v>7.0507813216827498E-3</v>
      </c>
      <c r="D721" s="13">
        <v>-2.3322236047689154E-2</v>
      </c>
      <c r="E721" s="14">
        <v>1.8574584875885689E-2</v>
      </c>
      <c r="F721" s="13">
        <v>-4.9751538193501754E-2</v>
      </c>
      <c r="G721" s="14">
        <v>-3.4952708049660929E-3</v>
      </c>
      <c r="H721" s="13">
        <v>8.5562019311957432E-3</v>
      </c>
      <c r="I721" s="15">
        <f t="shared" si="11"/>
        <v>1.4590943270407742E-3</v>
      </c>
    </row>
    <row r="722" spans="1:9">
      <c r="A722" s="12">
        <v>45057</v>
      </c>
      <c r="B722" s="13">
        <v>2.7587984041203347E-3</v>
      </c>
      <c r="C722" s="14">
        <v>4.8929414590705772E-3</v>
      </c>
      <c r="D722" s="13">
        <v>-8.6844631731423129E-3</v>
      </c>
      <c r="E722" s="14">
        <v>-1.94187920136926E-2</v>
      </c>
      <c r="F722" s="13">
        <v>-3.0858930711644621E-3</v>
      </c>
      <c r="G722" s="14">
        <v>-5.061087432031774E-4</v>
      </c>
      <c r="H722" s="13">
        <v>2.434746058088821E-2</v>
      </c>
      <c r="I722" s="15">
        <f t="shared" si="11"/>
        <v>1.8958548958103003E-3</v>
      </c>
    </row>
    <row r="723" spans="1:9">
      <c r="A723" s="12">
        <v>45056</v>
      </c>
      <c r="B723" s="13">
        <v>-3.1825243191877371E-2</v>
      </c>
      <c r="C723" s="14">
        <v>-1.3451543693029949E-2</v>
      </c>
      <c r="D723" s="13">
        <v>-1.0521900587631906E-2</v>
      </c>
      <c r="E723" s="14">
        <v>-1.3158570937307441E-2</v>
      </c>
      <c r="F723" s="13">
        <v>-8.9686699827602624E-3</v>
      </c>
      <c r="G723" s="14">
        <v>-2.124299670768549E-2</v>
      </c>
      <c r="H723" s="13">
        <v>-8.9988064522742384E-2</v>
      </c>
      <c r="I723" s="15">
        <f t="shared" si="11"/>
        <v>-2.7490732706326061E-2</v>
      </c>
    </row>
    <row r="724" spans="1:9">
      <c r="A724" s="12">
        <v>45055</v>
      </c>
      <c r="B724" s="13">
        <v>-2.1724112424389209E-3</v>
      </c>
      <c r="C724" s="14">
        <v>-2.7926033335886947E-3</v>
      </c>
      <c r="D724" s="13">
        <v>-1.1505249054949462E-2</v>
      </c>
      <c r="E724" s="14">
        <v>-2.006831723758272E-2</v>
      </c>
      <c r="F724" s="13">
        <v>1.1026989748914629E-2</v>
      </c>
      <c r="G724" s="14">
        <v>8.9779039733752838E-3</v>
      </c>
      <c r="H724" s="13">
        <v>6.5741772150373235E-3</v>
      </c>
      <c r="I724" s="15">
        <f t="shared" si="11"/>
        <v>-2.6715654145954329E-3</v>
      </c>
    </row>
    <row r="725" spans="1:9">
      <c r="A725" s="12">
        <v>45054</v>
      </c>
      <c r="B725" s="13">
        <v>-5.0708288860187613E-3</v>
      </c>
      <c r="C725" s="14">
        <v>-1.0822991621167665E-2</v>
      </c>
      <c r="D725" s="13">
        <v>1.0643011102254945E-2</v>
      </c>
      <c r="E725" s="14">
        <v>1.4396871865140824E-2</v>
      </c>
      <c r="F725" s="13">
        <v>-5.8429449613268949E-3</v>
      </c>
      <c r="G725" s="14">
        <v>3.9689898457722118E-3</v>
      </c>
      <c r="H725" s="13">
        <v>9.6789812363497175E-4</v>
      </c>
      <c r="I725" s="15">
        <f t="shared" si="11"/>
        <v>-4.4100154598790886E-3</v>
      </c>
    </row>
    <row r="726" spans="1:9">
      <c r="A726" s="12">
        <v>45051</v>
      </c>
      <c r="B726" s="13">
        <v>-2.1550303413513743E-3</v>
      </c>
      <c r="C726" s="14">
        <v>-4.03554930512334E-3</v>
      </c>
      <c r="D726" s="13">
        <v>-5.2895977985868654E-2</v>
      </c>
      <c r="E726" s="14">
        <v>-2.1329704753023072E-2</v>
      </c>
      <c r="F726" s="13">
        <v>-1.4233880307505838E-2</v>
      </c>
      <c r="G726" s="14">
        <v>-1.657320196739933E-2</v>
      </c>
      <c r="H726" s="13">
        <v>-7.4446047016244726E-3</v>
      </c>
      <c r="I726" s="15">
        <f t="shared" si="11"/>
        <v>-4.7890327028579692E-3</v>
      </c>
    </row>
    <row r="727" spans="1:9">
      <c r="A727" s="12">
        <v>45050</v>
      </c>
      <c r="B727" s="13">
        <v>-1.0040445934170354E-2</v>
      </c>
      <c r="C727" s="14">
        <v>5.3320016582690966E-3</v>
      </c>
      <c r="D727" s="13">
        <v>-9.177995861082448E-3</v>
      </c>
      <c r="E727" s="14">
        <v>3.8217534669845473E-4</v>
      </c>
      <c r="F727" s="13">
        <v>6.9905630249782072E-4</v>
      </c>
      <c r="G727" s="14">
        <v>8.1047438495013557E-3</v>
      </c>
      <c r="H727" s="13">
        <v>-1.0286644710275537E-2</v>
      </c>
      <c r="I727" s="15">
        <f t="shared" si="11"/>
        <v>-6.0618675378967231E-3</v>
      </c>
    </row>
    <row r="728" spans="1:9">
      <c r="A728" s="12">
        <v>45049</v>
      </c>
      <c r="B728" s="13">
        <v>-1.7979190611884095E-2</v>
      </c>
      <c r="C728" s="14">
        <v>-1.0458069035589835E-2</v>
      </c>
      <c r="D728" s="13">
        <v>-2.6378500337953019E-2</v>
      </c>
      <c r="E728" s="14">
        <v>-1.0486181858135905E-2</v>
      </c>
      <c r="F728" s="13">
        <v>1.5256884013832187E-2</v>
      </c>
      <c r="G728" s="14">
        <v>-3.9407901621297094E-3</v>
      </c>
      <c r="H728" s="13">
        <v>-4.9248954455155471E-4</v>
      </c>
      <c r="I728" s="15">
        <f t="shared" si="11"/>
        <v>-1.5605493573961449E-2</v>
      </c>
    </row>
    <row r="729" spans="1:9">
      <c r="A729" s="12">
        <v>45048</v>
      </c>
      <c r="B729" s="13">
        <v>-1.0344476170207352E-2</v>
      </c>
      <c r="C729" s="14">
        <v>1.3083767256964706E-3</v>
      </c>
      <c r="D729" s="13">
        <v>-8.1289022061422044E-3</v>
      </c>
      <c r="E729" s="14">
        <v>-2.5022808422669976E-2</v>
      </c>
      <c r="F729" s="13">
        <v>6.1749767394407573E-3</v>
      </c>
      <c r="G729" s="14">
        <v>-3.6866019427187913E-3</v>
      </c>
      <c r="H729" s="13">
        <v>6.5679288060088077E-5</v>
      </c>
      <c r="I729" s="15">
        <f t="shared" si="11"/>
        <v>-8.6606021011589335E-3</v>
      </c>
    </row>
    <row r="730" spans="1:9">
      <c r="A730" s="12">
        <v>45044</v>
      </c>
      <c r="B730" s="13">
        <v>9.6520112975957879E-4</v>
      </c>
      <c r="C730" s="14">
        <v>-7.4237645683937516E-3</v>
      </c>
      <c r="D730" s="13">
        <v>-3.6775086332867172E-3</v>
      </c>
      <c r="E730" s="14">
        <v>-1.0695400017355346E-3</v>
      </c>
      <c r="F730" s="13">
        <v>7.4957761529065737E-3</v>
      </c>
      <c r="G730" s="14">
        <v>-3.5911259970442158E-2</v>
      </c>
      <c r="H730" s="13">
        <v>-2.5976175724390983E-3</v>
      </c>
      <c r="I730" s="15">
        <f t="shared" si="11"/>
        <v>-2.3523146364908079E-3</v>
      </c>
    </row>
    <row r="731" spans="1:9">
      <c r="A731" s="12">
        <v>45043</v>
      </c>
      <c r="B731" s="13">
        <v>-8.272582034266388E-4</v>
      </c>
      <c r="C731" s="14">
        <v>-1.2782128916063255E-2</v>
      </c>
      <c r="D731" s="13">
        <v>-1.168431133145832E-2</v>
      </c>
      <c r="E731" s="14">
        <v>-5.1537197120816905E-4</v>
      </c>
      <c r="F731" s="13">
        <v>1.6957779203638399E-3</v>
      </c>
      <c r="G731" s="14">
        <v>-1.4318916325070879E-2</v>
      </c>
      <c r="H731" s="13">
        <v>-1.1357173876288056E-2</v>
      </c>
      <c r="I731" s="15">
        <f t="shared" si="11"/>
        <v>-3.6787289181714443E-3</v>
      </c>
    </row>
    <row r="732" spans="1:9">
      <c r="A732" s="12">
        <v>45042</v>
      </c>
      <c r="B732" s="13">
        <v>3.459585718917441E-3</v>
      </c>
      <c r="C732" s="14">
        <v>3.5581920597905076E-3</v>
      </c>
      <c r="D732" s="13">
        <v>9.862185013865923E-3</v>
      </c>
      <c r="E732" s="14">
        <v>-1.3252628897595103E-2</v>
      </c>
      <c r="F732" s="13">
        <v>-3.3892560907398137E-4</v>
      </c>
      <c r="G732" s="14">
        <v>6.5452879404688077E-5</v>
      </c>
      <c r="H732" s="13">
        <v>-5.5096558109696955E-3</v>
      </c>
      <c r="I732" s="15">
        <f t="shared" si="11"/>
        <v>2.4925926653015418E-3</v>
      </c>
    </row>
    <row r="733" spans="1:9">
      <c r="A733" s="12">
        <v>45041</v>
      </c>
      <c r="B733" s="13">
        <v>-4.1322372849104949E-3</v>
      </c>
      <c r="C733" s="14">
        <v>-1.7858332457727579E-2</v>
      </c>
      <c r="D733" s="13">
        <v>3.4245866531400341E-3</v>
      </c>
      <c r="E733" s="14">
        <v>2.1274468636211337E-3</v>
      </c>
      <c r="F733" s="13">
        <v>6.0831549534056837E-3</v>
      </c>
      <c r="G733" s="14">
        <v>-1.8998750050568142E-3</v>
      </c>
      <c r="H733" s="13">
        <v>-3.2499670156014453E-2</v>
      </c>
      <c r="I733" s="15">
        <f t="shared" si="11"/>
        <v>-6.1606504057171961E-3</v>
      </c>
    </row>
    <row r="734" spans="1:9">
      <c r="A734" s="12">
        <v>45040</v>
      </c>
      <c r="B734" s="13">
        <v>-2.3837913552762504E-3</v>
      </c>
      <c r="C734" s="14">
        <v>-2.0220818148876641E-3</v>
      </c>
      <c r="D734" s="13">
        <v>-1.2990951465431673E-3</v>
      </c>
      <c r="E734" s="14">
        <v>1.6385333773845597E-2</v>
      </c>
      <c r="F734" s="13">
        <v>6.3812139288386624E-3</v>
      </c>
      <c r="G734" s="14">
        <v>4.9495876462954886E-3</v>
      </c>
      <c r="H734" s="13">
        <v>7.1346400150799627E-3</v>
      </c>
      <c r="I734" s="15">
        <f t="shared" si="11"/>
        <v>-9.4901594893001269E-4</v>
      </c>
    </row>
    <row r="735" spans="1:9">
      <c r="A735" s="12">
        <v>45037</v>
      </c>
      <c r="B735" s="13">
        <v>-3.1178574415489375E-3</v>
      </c>
      <c r="C735" s="14">
        <v>-1.4003347424707723E-2</v>
      </c>
      <c r="D735" s="13">
        <v>-6.1284555603975778E-3</v>
      </c>
      <c r="E735" s="14">
        <v>7.8861247728865571E-4</v>
      </c>
      <c r="F735" s="13">
        <v>-4.6979952180120493E-3</v>
      </c>
      <c r="G735" s="14">
        <v>2.0424577423851652E-3</v>
      </c>
      <c r="H735" s="13">
        <v>5.8556797746002875E-3</v>
      </c>
      <c r="I735" s="15">
        <f t="shared" si="11"/>
        <v>-4.4862725279437949E-3</v>
      </c>
    </row>
    <row r="736" spans="1:9">
      <c r="A736" s="12">
        <v>45036</v>
      </c>
      <c r="B736" s="13">
        <v>-1.3360427167645442E-2</v>
      </c>
      <c r="C736" s="14">
        <v>-1.3432174179606841E-2</v>
      </c>
      <c r="D736" s="13">
        <v>-9.5497484122831749E-3</v>
      </c>
      <c r="E736" s="14">
        <v>-3.0000417242954888E-3</v>
      </c>
      <c r="F736" s="13">
        <v>4.3631551010380777E-3</v>
      </c>
      <c r="G736" s="14">
        <v>2.211574804840132E-3</v>
      </c>
      <c r="H736" s="13">
        <v>3.1362949277961992E-3</v>
      </c>
      <c r="I736" s="15">
        <f t="shared" si="11"/>
        <v>-1.1928019289886771E-2</v>
      </c>
    </row>
    <row r="737" spans="1:9">
      <c r="A737" s="12">
        <v>45035</v>
      </c>
      <c r="B737" s="13">
        <v>-1.208105185362352E-2</v>
      </c>
      <c r="C737" s="14">
        <v>-1.9992093124535149E-3</v>
      </c>
      <c r="D737" s="13">
        <v>-6.1634749324257783E-2</v>
      </c>
      <c r="E737" s="14">
        <v>5.0868620504607538E-3</v>
      </c>
      <c r="F737" s="13">
        <v>-4.0268510790354914E-3</v>
      </c>
      <c r="G737" s="14">
        <v>-1.1051760196548867E-3</v>
      </c>
      <c r="H737" s="13">
        <v>1.9482230000795801E-2</v>
      </c>
      <c r="I737" s="15">
        <f t="shared" si="11"/>
        <v>-9.3700680390061391E-3</v>
      </c>
    </row>
    <row r="738" spans="1:9">
      <c r="A738" s="12">
        <v>45034</v>
      </c>
      <c r="B738" s="13">
        <v>1.5854012133134573E-2</v>
      </c>
      <c r="C738" s="14">
        <v>7.0005167541289754E-3</v>
      </c>
      <c r="D738" s="13">
        <v>4.1111947651202201E-3</v>
      </c>
      <c r="E738" s="14">
        <v>-8.0166289730906736E-3</v>
      </c>
      <c r="F738" s="13">
        <v>-2.0195227328291599E-3</v>
      </c>
      <c r="G738" s="14">
        <v>-6.9406791637833132E-4</v>
      </c>
      <c r="H738" s="13">
        <v>1.036072228710014E-2</v>
      </c>
      <c r="I738" s="15">
        <f t="shared" si="11"/>
        <v>1.2192134396177567E-2</v>
      </c>
    </row>
    <row r="739" spans="1:9">
      <c r="A739" s="12">
        <v>45033</v>
      </c>
      <c r="B739" s="13">
        <v>-4.0367220514092514E-3</v>
      </c>
      <c r="C739" s="14">
        <v>1.8199872661025418E-3</v>
      </c>
      <c r="D739" s="13">
        <v>1.8631520597660219E-3</v>
      </c>
      <c r="E739" s="14">
        <v>2.7750798013538211E-4</v>
      </c>
      <c r="F739" s="13">
        <v>1.0723963362975642E-2</v>
      </c>
      <c r="G739" s="14">
        <v>5.2059609427232314E-4</v>
      </c>
      <c r="H739" s="13">
        <v>1.4195403733971159E-3</v>
      </c>
      <c r="I739" s="15">
        <f t="shared" si="11"/>
        <v>-2.4855694774169133E-3</v>
      </c>
    </row>
    <row r="740" spans="1:9">
      <c r="A740" s="12">
        <v>45029</v>
      </c>
      <c r="B740" s="13">
        <v>-1.1799494745882339E-2</v>
      </c>
      <c r="C740" s="14">
        <v>-3.705509710240828E-3</v>
      </c>
      <c r="D740" s="13">
        <v>7.6028366777288869E-3</v>
      </c>
      <c r="E740" s="14">
        <v>2.8894318426498648E-3</v>
      </c>
      <c r="F740" s="13">
        <v>-8.7044406301464063E-3</v>
      </c>
      <c r="G740" s="14">
        <v>-7.8099580930397869E-4</v>
      </c>
      <c r="H740" s="13">
        <v>-1.6495933789744814E-4</v>
      </c>
      <c r="I740" s="15">
        <f t="shared" si="11"/>
        <v>-8.8494840322942588E-3</v>
      </c>
    </row>
    <row r="741" spans="1:9">
      <c r="A741" s="12">
        <v>45028</v>
      </c>
      <c r="B741" s="13">
        <v>-8.219469128643582E-3</v>
      </c>
      <c r="C741" s="14">
        <v>9.1045790209390871E-3</v>
      </c>
      <c r="D741" s="13">
        <v>2.9513510009612984E-3</v>
      </c>
      <c r="E741" s="14">
        <v>1.0966875506642108E-2</v>
      </c>
      <c r="F741" s="13">
        <v>-1.0478378786627452E-2</v>
      </c>
      <c r="G741" s="14">
        <v>-2.0655911351482623E-2</v>
      </c>
      <c r="H741" s="13">
        <v>-3.3000033299500348E-4</v>
      </c>
      <c r="I741" s="15">
        <f t="shared" si="11"/>
        <v>-4.724837861236458E-3</v>
      </c>
    </row>
    <row r="742" spans="1:9">
      <c r="A742" s="12">
        <v>45027</v>
      </c>
      <c r="B742" s="13">
        <v>-1.1894266259460778E-2</v>
      </c>
      <c r="C742" s="14">
        <v>-1.7100457123759648E-2</v>
      </c>
      <c r="D742" s="13">
        <v>-1.2930315709786113E-2</v>
      </c>
      <c r="E742" s="14">
        <v>1.0159028732906459E-3</v>
      </c>
      <c r="F742" s="13">
        <v>1.3835213090178475E-2</v>
      </c>
      <c r="G742" s="14">
        <v>1.1301795721026041E-2</v>
      </c>
      <c r="H742" s="13">
        <v>-4.233650565162235E-3</v>
      </c>
      <c r="I742" s="15">
        <f t="shared" si="11"/>
        <v>-1.0970011641972425E-2</v>
      </c>
    </row>
    <row r="743" spans="1:9">
      <c r="A743" s="12">
        <v>45026</v>
      </c>
      <c r="B743" s="13">
        <v>8.1553393605632539E-3</v>
      </c>
      <c r="C743" s="14">
        <v>3.6355697774355995E-2</v>
      </c>
      <c r="D743" s="13">
        <v>-5.1323925073911726E-4</v>
      </c>
      <c r="E743" s="14">
        <v>2.8468382295913563E-3</v>
      </c>
      <c r="F743" s="13">
        <v>-2.0127480796970098E-3</v>
      </c>
      <c r="G743" s="14">
        <v>1.9259394905261156E-3</v>
      </c>
      <c r="H743" s="13">
        <v>3.7632292340801551E-2</v>
      </c>
      <c r="I743" s="15">
        <f t="shared" si="11"/>
        <v>1.2481863168552938E-2</v>
      </c>
    </row>
    <row r="744" spans="1:9">
      <c r="A744" s="12">
        <v>45022</v>
      </c>
      <c r="B744" s="13">
        <v>1.1993985749233277E-2</v>
      </c>
      <c r="C744" s="14">
        <v>3.2806381377217799E-3</v>
      </c>
      <c r="D744" s="13">
        <v>1.4272055422166722E-2</v>
      </c>
      <c r="E744" s="14">
        <v>1.2845988219173658E-2</v>
      </c>
      <c r="F744" s="13">
        <v>-9.4467639100887877E-3</v>
      </c>
      <c r="G744" s="14">
        <v>-2.4501862024578634E-2</v>
      </c>
      <c r="H744" s="13">
        <v>-7.1117675447881033E-3</v>
      </c>
      <c r="I744" s="15">
        <f t="shared" si="11"/>
        <v>8.7077853406246474E-3</v>
      </c>
    </row>
    <row r="745" spans="1:9">
      <c r="A745" s="12">
        <v>45021</v>
      </c>
      <c r="B745" s="13">
        <v>-4.8056814758110962E-4</v>
      </c>
      <c r="C745" s="14">
        <v>-8.7588854618260801E-3</v>
      </c>
      <c r="D745" s="13">
        <v>-2.4734021315195663E-2</v>
      </c>
      <c r="E745" s="14">
        <v>-5.0876964629440642E-3</v>
      </c>
      <c r="F745" s="13">
        <v>-5.7916427879555366E-2</v>
      </c>
      <c r="G745" s="14">
        <v>5.5638250045193923E-3</v>
      </c>
      <c r="H745" s="13">
        <v>3.6087447847881475E-2</v>
      </c>
      <c r="I745" s="15">
        <f t="shared" si="11"/>
        <v>-1.8956523314133708E-3</v>
      </c>
    </row>
    <row r="746" spans="1:9">
      <c r="A746" s="12">
        <v>45019</v>
      </c>
      <c r="B746" s="13">
        <v>-1.1279324665687913E-2</v>
      </c>
      <c r="C746" s="14">
        <v>-2.1161667657894612E-2</v>
      </c>
      <c r="D746" s="13">
        <v>2.4964097654286972E-3</v>
      </c>
      <c r="E746" s="14">
        <v>-4.3760356404751203E-3</v>
      </c>
      <c r="F746" s="13">
        <v>-3.0266667661694509E-2</v>
      </c>
      <c r="G746" s="14">
        <v>1.7055910099366332E-2</v>
      </c>
      <c r="H746" s="13">
        <v>6.7065601455853921E-3</v>
      </c>
      <c r="I746" s="15">
        <f t="shared" si="11"/>
        <v>-1.098440988579377E-2</v>
      </c>
    </row>
    <row r="747" spans="1:9">
      <c r="A747" s="12">
        <v>45016</v>
      </c>
      <c r="B747" s="13">
        <v>-5.5428811354741436E-3</v>
      </c>
      <c r="C747" s="14">
        <v>3.6166404701885148E-3</v>
      </c>
      <c r="D747" s="13">
        <v>-5.2638647733283611E-2</v>
      </c>
      <c r="E747" s="14">
        <v>-3.6159373755808668E-3</v>
      </c>
      <c r="F747" s="13">
        <v>7.3773849906306607E-3</v>
      </c>
      <c r="G747" s="14">
        <v>7.8768912957750369E-3</v>
      </c>
      <c r="H747" s="13">
        <v>-7.357975445859922E-3</v>
      </c>
      <c r="I747" s="15">
        <f t="shared" si="11"/>
        <v>-3.8656884084665214E-3</v>
      </c>
    </row>
    <row r="748" spans="1:9">
      <c r="A748" s="12">
        <v>45014</v>
      </c>
      <c r="B748" s="13">
        <v>3.1994821360789363E-3</v>
      </c>
      <c r="C748" s="14">
        <v>-1.4629440305590597E-2</v>
      </c>
      <c r="D748" s="13">
        <v>1.8329994481013569E-3</v>
      </c>
      <c r="E748" s="14">
        <v>-1.0651312665502417E-2</v>
      </c>
      <c r="F748" s="13">
        <v>-5.8975475026645215E-3</v>
      </c>
      <c r="G748" s="14">
        <v>2.9947939049710876E-3</v>
      </c>
      <c r="H748" s="13">
        <v>-1.1487652038733708E-3</v>
      </c>
      <c r="I748" s="15">
        <f t="shared" si="11"/>
        <v>-5.6789494386402307E-4</v>
      </c>
    </row>
    <row r="749" spans="1:9">
      <c r="A749" s="12">
        <v>45013</v>
      </c>
      <c r="B749" s="13">
        <v>5.0225580159375949E-3</v>
      </c>
      <c r="C749" s="14">
        <v>1.2970170430450251E-3</v>
      </c>
      <c r="D749" s="13">
        <v>-2.5820500446110773E-2</v>
      </c>
      <c r="E749" s="14">
        <v>7.9209887913480881E-3</v>
      </c>
      <c r="F749" s="13">
        <v>1.0663826003312801E-2</v>
      </c>
      <c r="G749" s="14">
        <v>1.024013777107058E-2</v>
      </c>
      <c r="H749" s="13">
        <v>-3.5789348090165527E-3</v>
      </c>
      <c r="I749" s="15">
        <f t="shared" si="11"/>
        <v>4.330025579299829E-3</v>
      </c>
    </row>
    <row r="750" spans="1:9">
      <c r="A750" s="12">
        <v>45012</v>
      </c>
      <c r="B750" s="13">
        <v>6.9074395110761706E-3</v>
      </c>
      <c r="C750" s="14">
        <v>4.8800931052833648E-3</v>
      </c>
      <c r="D750" s="13">
        <v>1.7570366677375791E-2</v>
      </c>
      <c r="E750" s="14">
        <v>1.1716690438930087E-4</v>
      </c>
      <c r="F750" s="13">
        <v>2.3139137941531811E-2</v>
      </c>
      <c r="G750" s="14">
        <v>-6.0451742175441575E-3</v>
      </c>
      <c r="H750" s="13">
        <v>7.9186812356416957E-3</v>
      </c>
      <c r="I750" s="15">
        <f t="shared" si="11"/>
        <v>5.7861438436784879E-3</v>
      </c>
    </row>
    <row r="751" spans="1:9">
      <c r="A751" s="12">
        <v>45009</v>
      </c>
      <c r="B751" s="13">
        <v>-1.8742475030037889E-3</v>
      </c>
      <c r="C751" s="14">
        <v>-5.4028814611013429E-3</v>
      </c>
      <c r="D751" s="13">
        <v>1.4860586531874442E-2</v>
      </c>
      <c r="E751" s="14">
        <v>-3.6385728439082914E-3</v>
      </c>
      <c r="F751" s="13">
        <v>2.5058660755938284E-2</v>
      </c>
      <c r="G751" s="14">
        <v>1.5098101362404779E-2</v>
      </c>
      <c r="H751" s="13">
        <v>-6.1120522867395381E-3</v>
      </c>
      <c r="I751" s="15">
        <f t="shared" si="11"/>
        <v>-1.5572735086785809E-3</v>
      </c>
    </row>
    <row r="752" spans="1:9">
      <c r="A752" s="12">
        <v>45008</v>
      </c>
      <c r="B752" s="13">
        <v>-2.5016528908398624E-4</v>
      </c>
      <c r="C752" s="14">
        <v>3.9246845917902872E-3</v>
      </c>
      <c r="D752" s="13">
        <v>2.4383159516220384E-2</v>
      </c>
      <c r="E752" s="14">
        <v>7.8360698285476215E-4</v>
      </c>
      <c r="F752" s="13">
        <v>1.3502022672045368E-2</v>
      </c>
      <c r="G752" s="14">
        <v>4.39011128936455E-3</v>
      </c>
      <c r="H752" s="13">
        <v>1.4490096733495829E-2</v>
      </c>
      <c r="I752" s="15">
        <f t="shared" si="11"/>
        <v>1.1688714261472249E-3</v>
      </c>
    </row>
    <row r="753" spans="1:9">
      <c r="A753" s="12">
        <v>45007</v>
      </c>
      <c r="B753" s="13">
        <v>1.4917839816651382E-2</v>
      </c>
      <c r="C753" s="14">
        <v>3.1279147931371147E-2</v>
      </c>
      <c r="D753" s="13">
        <v>2.7313911127946713E-3</v>
      </c>
      <c r="E753" s="14">
        <v>-3.9172673644144782E-4</v>
      </c>
      <c r="F753" s="13">
        <v>-8.9810620939426589E-3</v>
      </c>
      <c r="G753" s="14">
        <v>-1.5396730136295909E-2</v>
      </c>
      <c r="H753" s="13">
        <v>-2.8214696447968299E-2</v>
      </c>
      <c r="I753" s="15">
        <f t="shared" si="11"/>
        <v>1.4969347990574061E-2</v>
      </c>
    </row>
    <row r="754" spans="1:9">
      <c r="A754" s="12">
        <v>45006</v>
      </c>
      <c r="B754" s="13">
        <v>-2.6413333604289474E-4</v>
      </c>
      <c r="C754" s="14">
        <v>7.468787880371172E-4</v>
      </c>
      <c r="D754" s="13">
        <v>-1.2449723883469468E-3</v>
      </c>
      <c r="E754" s="14">
        <v>7.6500119382362196E-3</v>
      </c>
      <c r="F754" s="13">
        <v>7.2601874651625018E-3</v>
      </c>
      <c r="G754" s="14">
        <v>-1.8347944773060055E-2</v>
      </c>
      <c r="H754" s="13">
        <v>-2.685413508603201E-3</v>
      </c>
      <c r="I754" s="15">
        <f t="shared" si="11"/>
        <v>-5.6924578919895295E-4</v>
      </c>
    </row>
    <row r="755" spans="1:9">
      <c r="A755" s="12">
        <v>45005</v>
      </c>
      <c r="B755" s="13">
        <v>5.6372805915791899E-3</v>
      </c>
      <c r="C755" s="14">
        <v>2.7002535298796719E-3</v>
      </c>
      <c r="D755" s="13">
        <v>-1.224465742118299E-2</v>
      </c>
      <c r="E755" s="14">
        <v>2.0321678427508788E-2</v>
      </c>
      <c r="F755" s="13">
        <v>-5.5267843616948979E-3</v>
      </c>
      <c r="G755" s="14">
        <v>-9.0587897681864323E-3</v>
      </c>
      <c r="H755" s="13">
        <v>-7.047871962299699E-3</v>
      </c>
      <c r="I755" s="15">
        <f t="shared" si="11"/>
        <v>4.8403404106492267E-3</v>
      </c>
    </row>
    <row r="756" spans="1:9">
      <c r="A756" s="12">
        <v>45002</v>
      </c>
      <c r="B756" s="13">
        <v>2.6233881217786201E-3</v>
      </c>
      <c r="C756" s="14">
        <v>-4.8010097664475115E-3</v>
      </c>
      <c r="D756" s="13">
        <v>1.1381844598027616E-2</v>
      </c>
      <c r="E756" s="14">
        <v>9.4420814106117544E-3</v>
      </c>
      <c r="F756" s="13">
        <v>2.0569803074759637E-2</v>
      </c>
      <c r="G756" s="14">
        <v>1.7754212475122842E-2</v>
      </c>
      <c r="H756" s="13">
        <v>-2.9453353487709281E-2</v>
      </c>
      <c r="I756" s="15">
        <f t="shared" si="11"/>
        <v>2.2819782394127935E-3</v>
      </c>
    </row>
    <row r="757" spans="1:9">
      <c r="A757" s="12">
        <v>45001</v>
      </c>
      <c r="B757" s="13">
        <v>1.0632668491890629E-2</v>
      </c>
      <c r="C757" s="14">
        <v>1.7121165599925964E-2</v>
      </c>
      <c r="D757" s="13">
        <v>1.1680426473158376E-2</v>
      </c>
      <c r="E757" s="14">
        <v>-5.9050818877142029E-3</v>
      </c>
      <c r="F757" s="13">
        <v>9.1201442824055644E-3</v>
      </c>
      <c r="G757" s="14">
        <v>-4.7415100685419351E-3</v>
      </c>
      <c r="H757" s="13">
        <v>5.1708454001004054E-3</v>
      </c>
      <c r="I757" s="15">
        <f t="shared" si="11"/>
        <v>1.0157687585195918E-2</v>
      </c>
    </row>
    <row r="758" spans="1:9">
      <c r="A758" s="12">
        <v>45000</v>
      </c>
      <c r="B758" s="13">
        <v>-2.3022876295254974E-2</v>
      </c>
      <c r="C758" s="14">
        <v>-2.0990818007099038E-2</v>
      </c>
      <c r="D758" s="13">
        <v>1.1842449454889268E-3</v>
      </c>
      <c r="E758" s="14">
        <v>-8.1194339364227125E-3</v>
      </c>
      <c r="F758" s="13">
        <v>-1.3882058042649191E-2</v>
      </c>
      <c r="G758" s="14">
        <v>1.1811886228983236E-2</v>
      </c>
      <c r="H758" s="13">
        <v>-5.728798710602178E-3</v>
      </c>
      <c r="I758" s="15">
        <f t="shared" si="11"/>
        <v>-1.985922063424287E-2</v>
      </c>
    </row>
    <row r="759" spans="1:9">
      <c r="A759" s="12">
        <v>44999</v>
      </c>
      <c r="B759" s="13">
        <v>-2.9357931139289115E-2</v>
      </c>
      <c r="C759" s="14">
        <v>-1.6290138191059018E-2</v>
      </c>
      <c r="D759" s="13">
        <v>-4.3640825851513451E-2</v>
      </c>
      <c r="E759" s="14">
        <v>4.9633577763513719E-3</v>
      </c>
      <c r="F759" s="13">
        <v>2.0584496002122445E-2</v>
      </c>
      <c r="G759" s="14">
        <v>-1.0853071598979943E-2</v>
      </c>
      <c r="H759" s="13">
        <v>-4.9257040647845377E-4</v>
      </c>
      <c r="I759" s="15">
        <f t="shared" si="11"/>
        <v>-2.4472089266679944E-2</v>
      </c>
    </row>
    <row r="760" spans="1:9">
      <c r="A760" s="12">
        <v>44998</v>
      </c>
      <c r="B760" s="13">
        <v>1.3960948660823768E-2</v>
      </c>
      <c r="C760" s="14">
        <v>-2.6651531709661587E-3</v>
      </c>
      <c r="D760" s="13">
        <v>4.4409428557560708E-3</v>
      </c>
      <c r="E760" s="14">
        <v>1.8265347977293404E-2</v>
      </c>
      <c r="F760" s="13">
        <v>3.0015030037567796E-3</v>
      </c>
      <c r="G760" s="14">
        <v>-1.6567122418595709E-3</v>
      </c>
      <c r="H760" s="13">
        <v>-1.1502753712640129E-3</v>
      </c>
      <c r="I760" s="15">
        <f t="shared" si="11"/>
        <v>1.0382522016617169E-2</v>
      </c>
    </row>
    <row r="761" spans="1:9">
      <c r="A761" s="12">
        <v>44995</v>
      </c>
      <c r="B761" s="13">
        <v>1.6386801563804152E-2</v>
      </c>
      <c r="C761" s="14">
        <v>1.5478087919476925E-2</v>
      </c>
      <c r="D761" s="13">
        <v>2.6143374254570619E-2</v>
      </c>
      <c r="E761" s="14">
        <v>1.3188147383113571E-2</v>
      </c>
      <c r="F761" s="13">
        <v>1.2245726416937022E-2</v>
      </c>
      <c r="G761" s="14">
        <v>-4.7893545015870696E-3</v>
      </c>
      <c r="H761" s="13">
        <v>2.3978536025466336E-2</v>
      </c>
      <c r="I761" s="15">
        <f t="shared" si="11"/>
        <v>1.5266445292218071E-2</v>
      </c>
    </row>
    <row r="762" spans="1:9">
      <c r="A762" s="12">
        <v>44994</v>
      </c>
      <c r="B762" s="13">
        <v>8.2164526459622567E-3</v>
      </c>
      <c r="C762" s="14">
        <v>1.6892755398609646E-3</v>
      </c>
      <c r="D762" s="13">
        <v>7.8353083476145283E-3</v>
      </c>
      <c r="E762" s="14">
        <v>2.1014219976728519E-3</v>
      </c>
      <c r="F762" s="13">
        <v>9.1683680868795067E-3</v>
      </c>
      <c r="G762" s="14">
        <v>-6.7968367241475992E-3</v>
      </c>
      <c r="H762" s="13">
        <v>9.2673145913065528E-3</v>
      </c>
      <c r="I762" s="15">
        <f t="shared" si="11"/>
        <v>6.1165221514485717E-3</v>
      </c>
    </row>
    <row r="763" spans="1:9">
      <c r="A763" s="12">
        <v>44993</v>
      </c>
      <c r="B763" s="13">
        <v>2.100436612667908E-3</v>
      </c>
      <c r="C763" s="14">
        <v>-4.5042826004045838E-3</v>
      </c>
      <c r="D763" s="13">
        <v>-2.7162922655605474E-3</v>
      </c>
      <c r="E763" s="14">
        <v>-9.9485997262024266E-4</v>
      </c>
      <c r="F763" s="13">
        <v>7.7922472201656014E-3</v>
      </c>
      <c r="G763" s="14">
        <v>-9.7160277925591339E-4</v>
      </c>
      <c r="H763" s="13">
        <v>9.5603627922166909E-3</v>
      </c>
      <c r="I763" s="15">
        <f t="shared" si="11"/>
        <v>6.9710891011470495E-4</v>
      </c>
    </row>
    <row r="764" spans="1:9">
      <c r="A764" s="12">
        <v>44991</v>
      </c>
      <c r="B764" s="13">
        <v>1.7469999726315798E-3</v>
      </c>
      <c r="C764" s="14">
        <v>-1.9629499616689683E-3</v>
      </c>
      <c r="D764" s="13">
        <v>3.7151745518633778E-3</v>
      </c>
      <c r="E764" s="14">
        <v>1.6743216940759375E-2</v>
      </c>
      <c r="F764" s="13">
        <v>-4.227842329133507E-2</v>
      </c>
      <c r="G764" s="14">
        <v>-1.1755821559651982E-2</v>
      </c>
      <c r="H764" s="13">
        <v>-1.7961223532162795E-2</v>
      </c>
      <c r="I764" s="15">
        <f t="shared" si="11"/>
        <v>1.0425989199856186E-3</v>
      </c>
    </row>
    <row r="765" spans="1:9">
      <c r="A765" s="12">
        <v>44988</v>
      </c>
      <c r="B765" s="13">
        <v>-1.2541001123048937E-2</v>
      </c>
      <c r="C765" s="14">
        <v>-9.5009660338179029E-3</v>
      </c>
      <c r="D765" s="13">
        <v>2.6090068428879187E-2</v>
      </c>
      <c r="E765" s="14">
        <v>-1.210898156986083E-2</v>
      </c>
      <c r="F765" s="13">
        <v>5.7191072620941851E-3</v>
      </c>
      <c r="G765" s="14">
        <v>-2.3476743140109609E-2</v>
      </c>
      <c r="H765" s="13">
        <v>-1.6168500969125071E-2</v>
      </c>
      <c r="I765" s="15">
        <f t="shared" si="11"/>
        <v>-1.2040472463639207E-2</v>
      </c>
    </row>
    <row r="766" spans="1:9">
      <c r="A766" s="12">
        <v>44987</v>
      </c>
      <c r="B766" s="13">
        <v>1.7835861864805862E-3</v>
      </c>
      <c r="C766" s="14">
        <v>3.4447584059272285E-3</v>
      </c>
      <c r="D766" s="13">
        <v>-8.1711538025612512E-2</v>
      </c>
      <c r="E766" s="14">
        <v>-5.3718073175974572E-3</v>
      </c>
      <c r="F766" s="13">
        <v>-2.170312381035009E-2</v>
      </c>
      <c r="G766" s="14">
        <v>-1.5056601521303862E-2</v>
      </c>
      <c r="H766" s="13">
        <v>-5.7213069836091653E-3</v>
      </c>
      <c r="I766" s="15">
        <f t="shared" si="11"/>
        <v>-2.1378134441545443E-4</v>
      </c>
    </row>
    <row r="767" spans="1:9">
      <c r="A767" s="12">
        <v>44986</v>
      </c>
      <c r="B767" s="13">
        <v>2.467048548092612E-3</v>
      </c>
      <c r="C767" s="14">
        <v>-3.5274132805455491E-3</v>
      </c>
      <c r="D767" s="13">
        <v>5.0260096007375034E-5</v>
      </c>
      <c r="E767" s="14">
        <v>3.6885397489511818E-4</v>
      </c>
      <c r="F767" s="13">
        <v>1.4633577450384695E-2</v>
      </c>
      <c r="G767" s="14">
        <v>-3.2810947792377004E-3</v>
      </c>
      <c r="H767" s="13">
        <v>-1.6406894574598886E-3</v>
      </c>
      <c r="I767" s="15">
        <f t="shared" si="11"/>
        <v>1.0338326803591999E-3</v>
      </c>
    </row>
    <row r="768" spans="1:9">
      <c r="A768" s="12">
        <v>44985</v>
      </c>
      <c r="B768" s="13">
        <v>-4.2683099177326499E-3</v>
      </c>
      <c r="C768" s="14">
        <v>-1.9029501460861868E-3</v>
      </c>
      <c r="D768" s="13">
        <v>3.461860317122496E-3</v>
      </c>
      <c r="E768" s="14">
        <v>-1.4412254514264016E-2</v>
      </c>
      <c r="F768" s="13">
        <v>1.0130002554593128E-3</v>
      </c>
      <c r="G768" s="14">
        <v>2.4676425595598662E-3</v>
      </c>
      <c r="H768" s="13">
        <v>1.9834823564634979E-2</v>
      </c>
      <c r="I768" s="15">
        <f t="shared" si="11"/>
        <v>-3.7551987735926808E-3</v>
      </c>
    </row>
    <row r="769" spans="1:9">
      <c r="A769" s="12">
        <v>44984</v>
      </c>
      <c r="B769" s="13">
        <v>-2.8288046080244052E-2</v>
      </c>
      <c r="C769" s="14">
        <v>-3.9851968253485685E-2</v>
      </c>
      <c r="D769" s="13">
        <v>2.90072721523962E-3</v>
      </c>
      <c r="E769" s="14">
        <v>2.6362981444528168E-2</v>
      </c>
      <c r="F769" s="13">
        <v>-5.7539505509895941E-3</v>
      </c>
      <c r="G769" s="14">
        <v>-2.2345857858750815E-3</v>
      </c>
      <c r="H769" s="13">
        <v>-2.0491853811661322E-2</v>
      </c>
      <c r="I769" s="15">
        <f t="shared" si="11"/>
        <v>-2.583572120202764E-2</v>
      </c>
    </row>
    <row r="770" spans="1:9">
      <c r="A770" s="12">
        <v>44981</v>
      </c>
      <c r="B770" s="13">
        <v>-4.1542221393043475E-3</v>
      </c>
      <c r="C770" s="14">
        <v>1.9587379940081378E-3</v>
      </c>
      <c r="D770" s="13">
        <v>1.555950323947259E-2</v>
      </c>
      <c r="E770" s="14">
        <v>1.3788330271564867E-2</v>
      </c>
      <c r="F770" s="13">
        <v>3.305258312142164E-2</v>
      </c>
      <c r="G770" s="14">
        <v>2.2466123862654747E-2</v>
      </c>
      <c r="H770" s="13">
        <v>3.1219680657192932E-2</v>
      </c>
      <c r="I770" s="15">
        <f t="shared" si="11"/>
        <v>-4.0898621758445362E-4</v>
      </c>
    </row>
    <row r="771" spans="1:9">
      <c r="A771" s="12">
        <v>44980</v>
      </c>
      <c r="B771" s="13">
        <v>-1.1957273121254851E-2</v>
      </c>
      <c r="C771" s="14">
        <v>4.6554120014464604E-3</v>
      </c>
      <c r="D771" s="13">
        <v>1.5224262038096133E-2</v>
      </c>
      <c r="E771" s="14">
        <v>-1.2222615457924574E-2</v>
      </c>
      <c r="F771" s="13">
        <v>-2.0571395629248788E-2</v>
      </c>
      <c r="G771" s="14">
        <v>-5.1398726534874102E-3</v>
      </c>
      <c r="H771" s="13">
        <v>-1.4114107594877259E-2</v>
      </c>
      <c r="I771" s="15">
        <f t="shared" si="11"/>
        <v>-8.5359980134954664E-3</v>
      </c>
    </row>
    <row r="772" spans="1:9">
      <c r="A772" s="12">
        <v>44979</v>
      </c>
      <c r="B772" s="13">
        <v>3.2718889401726008E-2</v>
      </c>
      <c r="C772" s="14">
        <v>1.0475535997675157E-2</v>
      </c>
      <c r="D772" s="13">
        <v>-7.7511872885761032E-4</v>
      </c>
      <c r="E772" s="14">
        <v>6.1299816538025109E-3</v>
      </c>
      <c r="F772" s="13">
        <v>2.6782741151995617E-3</v>
      </c>
      <c r="G772" s="14">
        <v>-5.6960580291516042E-3</v>
      </c>
      <c r="H772" s="13">
        <v>1.022056849603787E-2</v>
      </c>
      <c r="I772" s="15">
        <f t="shared" si="11"/>
        <v>2.5214882699920137E-2</v>
      </c>
    </row>
    <row r="773" spans="1:9">
      <c r="A773" s="12">
        <v>44978</v>
      </c>
      <c r="B773" s="13">
        <v>7.5360454996029362E-3</v>
      </c>
      <c r="C773" s="14">
        <v>7.1125105932282797E-3</v>
      </c>
      <c r="D773" s="13">
        <v>2.4179474955364787E-2</v>
      </c>
      <c r="E773" s="14">
        <v>-7.9508124554874497E-3</v>
      </c>
      <c r="F773" s="13">
        <v>6.6844922275078808E-4</v>
      </c>
      <c r="G773" s="14">
        <v>1.1970259940864729E-3</v>
      </c>
      <c r="H773" s="13">
        <v>3.0969167353533059E-3</v>
      </c>
      <c r="I773" s="15">
        <f t="shared" si="11"/>
        <v>6.5661709018292498E-3</v>
      </c>
    </row>
    <row r="774" spans="1:9">
      <c r="A774" s="12">
        <v>44977</v>
      </c>
      <c r="B774" s="13">
        <v>2.9950488924879049E-3</v>
      </c>
      <c r="C774" s="14">
        <v>-3.5758232662297488E-4</v>
      </c>
      <c r="D774" s="13">
        <v>-8.8378414265779422E-3</v>
      </c>
      <c r="E774" s="14">
        <v>-5.4458203702563669E-3</v>
      </c>
      <c r="F774" s="13">
        <v>3.3405712687471821E-4</v>
      </c>
      <c r="G774" s="14">
        <v>1.4684484610153413E-2</v>
      </c>
      <c r="H774" s="13">
        <v>1.8852098493005627E-2</v>
      </c>
      <c r="I774" s="15">
        <f t="shared" ref="I774:I837" si="12">SUMPRODUCT($B$2:$H$2,B774:H774)</f>
        <v>2.5360638736678367E-3</v>
      </c>
    </row>
    <row r="775" spans="1:9">
      <c r="A775" s="12">
        <v>44974</v>
      </c>
      <c r="B775" s="13">
        <v>2.8449521322311232E-3</v>
      </c>
      <c r="C775" s="14">
        <v>-2.5277539632084464E-3</v>
      </c>
      <c r="D775" s="13">
        <v>3.10594186740028E-2</v>
      </c>
      <c r="E775" s="14">
        <v>8.5755994735824473E-3</v>
      </c>
      <c r="F775" s="13">
        <v>-8.0483331828282607E-3</v>
      </c>
      <c r="G775" s="14">
        <v>-1.263904763303381E-2</v>
      </c>
      <c r="H775" s="13">
        <v>1.1755328800356492E-2</v>
      </c>
      <c r="I775" s="15">
        <f t="shared" si="12"/>
        <v>1.9133235166829798E-3</v>
      </c>
    </row>
    <row r="776" spans="1:9">
      <c r="A776" s="12">
        <v>44973</v>
      </c>
      <c r="B776" s="13">
        <v>-9.8058254842952018E-3</v>
      </c>
      <c r="C776" s="14">
        <v>-1.1774700857119885E-2</v>
      </c>
      <c r="D776" s="13">
        <v>2.1738494173715688E-2</v>
      </c>
      <c r="E776" s="14">
        <v>-3.3849601921468694E-3</v>
      </c>
      <c r="F776" s="13">
        <v>3.3613477027049274E-3</v>
      </c>
      <c r="G776" s="14">
        <v>1.9954363895871496E-3</v>
      </c>
      <c r="H776" s="13">
        <v>-8.3201870800246967E-3</v>
      </c>
      <c r="I776" s="15">
        <f t="shared" si="12"/>
        <v>-8.8455889815676619E-3</v>
      </c>
    </row>
    <row r="777" spans="1:9">
      <c r="A777" s="12">
        <v>44972</v>
      </c>
      <c r="B777" s="13">
        <v>-7.0814480221475145E-3</v>
      </c>
      <c r="C777" s="14">
        <v>-6.508822704580931E-3</v>
      </c>
      <c r="D777" s="13">
        <v>-2.1460934843627311E-2</v>
      </c>
      <c r="E777" s="14">
        <v>4.002479600062777E-3</v>
      </c>
      <c r="F777" s="13">
        <v>1.4326415280008045E-2</v>
      </c>
      <c r="G777" s="14">
        <v>-1.3298484098623344E-3</v>
      </c>
      <c r="H777" s="13">
        <v>-5.3011523451708777E-4</v>
      </c>
      <c r="I777" s="15">
        <f t="shared" si="12"/>
        <v>-6.2685394530051144E-3</v>
      </c>
    </row>
    <row r="778" spans="1:9">
      <c r="A778" s="12">
        <v>44971</v>
      </c>
      <c r="B778" s="13">
        <v>-3.2895062153268369E-3</v>
      </c>
      <c r="C778" s="14">
        <v>-8.0011641360073597E-3</v>
      </c>
      <c r="D778" s="13">
        <v>-9.2470629403831849E-3</v>
      </c>
      <c r="E778" s="14">
        <v>-2.8000527394517671E-3</v>
      </c>
      <c r="F778" s="13">
        <v>-8.3043161169150271E-3</v>
      </c>
      <c r="G778" s="14">
        <v>1.4673180521993781E-3</v>
      </c>
      <c r="H778" s="13">
        <v>1.1845757175575821E-3</v>
      </c>
      <c r="I778" s="15">
        <f t="shared" si="12"/>
        <v>-3.8822099313854433E-3</v>
      </c>
    </row>
    <row r="779" spans="1:9">
      <c r="A779" s="12">
        <v>44970</v>
      </c>
      <c r="B779" s="13">
        <v>4.9391685880420342E-3</v>
      </c>
      <c r="C779" s="14">
        <v>8.0011641360074048E-3</v>
      </c>
      <c r="D779" s="13">
        <v>4.433200294247322E-2</v>
      </c>
      <c r="E779" s="14">
        <v>1.7100551748608173E-3</v>
      </c>
      <c r="F779" s="13">
        <v>-2.1919609685091972E-2</v>
      </c>
      <c r="G779" s="14">
        <v>3.7413594521034023E-2</v>
      </c>
      <c r="H779" s="13">
        <v>-1.7461806744418949E-3</v>
      </c>
      <c r="I779" s="15">
        <f t="shared" si="12"/>
        <v>7.2190235579101024E-3</v>
      </c>
    </row>
    <row r="780" spans="1:9">
      <c r="A780" s="12">
        <v>44967</v>
      </c>
      <c r="B780" s="13">
        <v>4.9505493977087377E-3</v>
      </c>
      <c r="C780" s="14">
        <v>2.2912869202729558E-2</v>
      </c>
      <c r="D780" s="13">
        <v>3.699904791713382E-2</v>
      </c>
      <c r="E780" s="14">
        <v>1.2356094915703436E-2</v>
      </c>
      <c r="F780" s="13">
        <v>-9.5923996914395217E-3</v>
      </c>
      <c r="G780" s="14">
        <v>2.1677575292234037E-2</v>
      </c>
      <c r="H780" s="13">
        <v>1.0091843012790229E-2</v>
      </c>
      <c r="I780" s="15">
        <f t="shared" si="12"/>
        <v>9.5558270362367317E-3</v>
      </c>
    </row>
    <row r="781" spans="1:9">
      <c r="A781" s="12">
        <v>44966</v>
      </c>
      <c r="B781" s="13">
        <v>3.5592292699169544E-3</v>
      </c>
      <c r="C781" s="14">
        <v>-5.3467057865695163E-3</v>
      </c>
      <c r="D781" s="13">
        <v>1.8059083894986566E-3</v>
      </c>
      <c r="E781" s="14">
        <v>-4.0657044149534707E-3</v>
      </c>
      <c r="F781" s="13">
        <v>3.7794238425372171E-3</v>
      </c>
      <c r="G781" s="14">
        <v>-4.1154080060981986E-2</v>
      </c>
      <c r="H781" s="13">
        <v>1.4568798832332887E-2</v>
      </c>
      <c r="I781" s="15">
        <f t="shared" si="12"/>
        <v>-3.3950463822123576E-4</v>
      </c>
    </row>
    <row r="782" spans="1:9">
      <c r="A782" s="12">
        <v>44965</v>
      </c>
      <c r="B782" s="13">
        <v>-1.7562545955052623E-2</v>
      </c>
      <c r="C782" s="14">
        <v>-9.3515106250287305E-3</v>
      </c>
      <c r="D782" s="13">
        <v>-1.074552552300575E-3</v>
      </c>
      <c r="E782" s="14">
        <v>-8.3994556309181755E-3</v>
      </c>
      <c r="F782" s="13">
        <v>-3.5250552554758147E-2</v>
      </c>
      <c r="G782" s="14">
        <v>3.4594337673022591E-3</v>
      </c>
      <c r="H782" s="13">
        <v>-2.0891460527433278E-2</v>
      </c>
      <c r="I782" s="15">
        <f t="shared" si="12"/>
        <v>-1.4583867237086851E-2</v>
      </c>
    </row>
    <row r="783" spans="1:9">
      <c r="A783" s="12">
        <v>44964</v>
      </c>
      <c r="B783" s="13">
        <v>-2.7337013394545077E-3</v>
      </c>
      <c r="C783" s="14">
        <v>-1.4284346148530644E-3</v>
      </c>
      <c r="D783" s="13">
        <v>-1.8972111735598794E-2</v>
      </c>
      <c r="E783" s="14">
        <v>1.5621313550303211E-3</v>
      </c>
      <c r="F783" s="13">
        <v>4.2538171197995453E-3</v>
      </c>
      <c r="G783" s="14">
        <v>9.1900440193231053E-4</v>
      </c>
      <c r="H783" s="13">
        <v>-5.0808207424857853E-3</v>
      </c>
      <c r="I783" s="15">
        <f t="shared" si="12"/>
        <v>-2.3449441157981092E-3</v>
      </c>
    </row>
    <row r="784" spans="1:9">
      <c r="A784" s="12">
        <v>44963</v>
      </c>
      <c r="B784" s="13">
        <v>-1.3968889749347575E-3</v>
      </c>
      <c r="C784" s="14">
        <v>2.1312426813499996E-3</v>
      </c>
      <c r="D784" s="13">
        <v>3.7621987592621757E-3</v>
      </c>
      <c r="E784" s="14">
        <v>-1.0896016768271262E-3</v>
      </c>
      <c r="F784" s="13">
        <v>-1.1741817876683287E-2</v>
      </c>
      <c r="G784" s="14">
        <v>-1.3034348477078747E-2</v>
      </c>
      <c r="H784" s="13">
        <v>-2.5031302181185884E-3</v>
      </c>
      <c r="I784" s="15">
        <f t="shared" si="12"/>
        <v>-1.2864125101111781E-3</v>
      </c>
    </row>
    <row r="785" spans="1:9">
      <c r="A785" s="12">
        <v>44960</v>
      </c>
      <c r="B785" s="13">
        <v>2.2485774534212522E-3</v>
      </c>
      <c r="C785" s="14">
        <v>-9.5405874691811207E-3</v>
      </c>
      <c r="D785" s="13">
        <v>-7.8906248434348868E-3</v>
      </c>
      <c r="E785" s="14">
        <v>7.3138383160776636E-3</v>
      </c>
      <c r="F785" s="13">
        <v>1.3508914996703189E-2</v>
      </c>
      <c r="G785" s="14">
        <v>3.3989745170699883E-3</v>
      </c>
      <c r="H785" s="13">
        <v>-1.0030091111690679E-3</v>
      </c>
      <c r="I785" s="15">
        <f t="shared" si="12"/>
        <v>4.2324074631783492E-4</v>
      </c>
    </row>
    <row r="786" spans="1:9">
      <c r="A786" s="12">
        <v>44959</v>
      </c>
      <c r="B786" s="13">
        <v>-2.0033417583650417E-2</v>
      </c>
      <c r="C786" s="14">
        <v>-3.2216818473967478E-2</v>
      </c>
      <c r="D786" s="13">
        <v>1.2160597781436902E-2</v>
      </c>
      <c r="E786" s="14">
        <v>-9.2417075271187654E-3</v>
      </c>
      <c r="F786" s="13">
        <v>-7.7986924858188724E-3</v>
      </c>
      <c r="G786" s="14">
        <v>1.6274132247828085E-3</v>
      </c>
      <c r="H786" s="13">
        <v>2.2553574276351347E-3</v>
      </c>
      <c r="I786" s="15">
        <f t="shared" si="12"/>
        <v>-1.9942006125057737E-2</v>
      </c>
    </row>
    <row r="787" spans="1:9">
      <c r="A787" s="12">
        <v>44958</v>
      </c>
      <c r="B787" s="13">
        <v>1.3983418660685127E-2</v>
      </c>
      <c r="C787" s="14">
        <v>1.6794909584807338E-2</v>
      </c>
      <c r="D787" s="13">
        <v>5.8956300472044485E-3</v>
      </c>
      <c r="E787" s="14">
        <v>4.2146630713465029E-3</v>
      </c>
      <c r="F787" s="13">
        <v>1.4224753465427789E-3</v>
      </c>
      <c r="G787" s="14">
        <v>7.7166605258949736E-3</v>
      </c>
      <c r="H787" s="13">
        <v>-2.1921892630022234E-2</v>
      </c>
      <c r="I787" s="15">
        <f t="shared" si="12"/>
        <v>1.3269880487953878E-2</v>
      </c>
    </row>
    <row r="788" spans="1:9">
      <c r="A788" s="12">
        <v>44957</v>
      </c>
      <c r="B788" s="13">
        <v>-6.5452917596218697E-3</v>
      </c>
      <c r="C788" s="14">
        <v>-1.0919892759784469E-3</v>
      </c>
      <c r="D788" s="13">
        <v>1.7438690386458931E-2</v>
      </c>
      <c r="E788" s="14">
        <v>1.810849611846602E-2</v>
      </c>
      <c r="F788" s="13">
        <v>2.838894738425093E-3</v>
      </c>
      <c r="G788" s="14">
        <v>6.1886500983483125E-3</v>
      </c>
      <c r="H788" s="13">
        <v>5.5177392929540723E-3</v>
      </c>
      <c r="I788" s="15">
        <f t="shared" si="12"/>
        <v>-3.3990357843345924E-3</v>
      </c>
    </row>
    <row r="789" spans="1:9">
      <c r="A789" s="12">
        <v>44956</v>
      </c>
      <c r="B789" s="13">
        <v>1.4694231126747724E-2</v>
      </c>
      <c r="C789" s="14">
        <v>8.962621722127943E-3</v>
      </c>
      <c r="D789" s="13">
        <v>1.939194676445341E-2</v>
      </c>
      <c r="E789" s="14">
        <v>-3.6440177940321804E-2</v>
      </c>
      <c r="F789" s="13">
        <v>-4.9733672670574857E-3</v>
      </c>
      <c r="G789" s="14">
        <v>-1.2034500349294081E-3</v>
      </c>
      <c r="H789" s="13">
        <v>1.4302743797003266E-3</v>
      </c>
      <c r="I789" s="15">
        <f t="shared" si="12"/>
        <v>1.0380270778035812E-2</v>
      </c>
    </row>
    <row r="790" spans="1:9">
      <c r="A790" s="12">
        <v>44953</v>
      </c>
      <c r="B790" s="13">
        <v>-1.5868866482511079E-2</v>
      </c>
      <c r="C790" s="14">
        <v>-2.6709805475074972E-2</v>
      </c>
      <c r="D790" s="13">
        <v>1.0567199423648969E-2</v>
      </c>
      <c r="E790" s="14">
        <v>5.7441795766459943E-3</v>
      </c>
      <c r="F790" s="13">
        <v>6.0121730178981987E-2</v>
      </c>
      <c r="G790" s="14">
        <v>-2.8993588159603121E-4</v>
      </c>
      <c r="H790" s="13">
        <v>-3.1811701712109912E-3</v>
      </c>
      <c r="I790" s="15">
        <f t="shared" si="12"/>
        <v>-1.5373986707121328E-2</v>
      </c>
    </row>
    <row r="791" spans="1:9">
      <c r="A791" s="12">
        <v>44951</v>
      </c>
      <c r="B791" s="13">
        <v>1.9045076472438371E-2</v>
      </c>
      <c r="C791" s="14">
        <v>1.7003949337585578E-2</v>
      </c>
      <c r="D791" s="13">
        <v>1.0171108476926278E-2</v>
      </c>
      <c r="E791" s="14">
        <v>3.9940691780157855E-3</v>
      </c>
      <c r="F791" s="13">
        <v>-3.8282186571016924E-2</v>
      </c>
      <c r="G791" s="14">
        <v>2.3393908203806946E-3</v>
      </c>
      <c r="H791" s="13">
        <v>1.1310653315871652E-2</v>
      </c>
      <c r="I791" s="15">
        <f t="shared" si="12"/>
        <v>1.6932107995091889E-2</v>
      </c>
    </row>
    <row r="792" spans="1:9">
      <c r="A792" s="12">
        <v>44950</v>
      </c>
      <c r="B792" s="13">
        <v>1.2747236486109668E-2</v>
      </c>
      <c r="C792" s="14">
        <v>2.3855412694824999E-2</v>
      </c>
      <c r="D792" s="13">
        <v>3.0963561100153612E-3</v>
      </c>
      <c r="E792" s="14">
        <v>-4.251114988666334E-3</v>
      </c>
      <c r="F792" s="13">
        <v>-6.9615265233314377E-2</v>
      </c>
      <c r="G792" s="14">
        <v>-3.8350102743510686E-3</v>
      </c>
      <c r="H792" s="13">
        <v>2.3600130527660634E-3</v>
      </c>
      <c r="I792" s="15">
        <f t="shared" si="12"/>
        <v>1.2700863511177319E-2</v>
      </c>
    </row>
    <row r="793" spans="1:9">
      <c r="A793" s="12">
        <v>44949</v>
      </c>
      <c r="B793" s="13">
        <v>-9.3476163433027712E-3</v>
      </c>
      <c r="C793" s="14">
        <v>4.7077957155880201E-3</v>
      </c>
      <c r="D793" s="13">
        <v>-2.035997119961639E-3</v>
      </c>
      <c r="E793" s="14">
        <v>6.1874362191280613E-3</v>
      </c>
      <c r="F793" s="13">
        <v>4.8444290755324275E-3</v>
      </c>
      <c r="G793" s="14">
        <v>3.6347053650980371E-3</v>
      </c>
      <c r="H793" s="13">
        <v>2.3175936343936828E-2</v>
      </c>
      <c r="I793" s="15">
        <f t="shared" si="12"/>
        <v>-5.2246426156849143E-3</v>
      </c>
    </row>
    <row r="794" spans="1:9">
      <c r="A794" s="12">
        <v>44946</v>
      </c>
      <c r="B794" s="13">
        <v>1.2023869724442616E-3</v>
      </c>
      <c r="C794" s="14">
        <v>-1.3371614357175524E-2</v>
      </c>
      <c r="D794" s="13">
        <v>3.6212022075275876E-3</v>
      </c>
      <c r="E794" s="14">
        <v>1.3846319296999941E-2</v>
      </c>
      <c r="F794" s="13">
        <v>1.6590242260196789E-2</v>
      </c>
      <c r="G794" s="14">
        <v>5.6598271141516682E-3</v>
      </c>
      <c r="H794" s="13">
        <v>-4.9738007512896282E-2</v>
      </c>
      <c r="I794" s="15">
        <f t="shared" si="12"/>
        <v>-7.9318355579649936E-4</v>
      </c>
    </row>
    <row r="795" spans="1:9">
      <c r="A795" s="12">
        <v>44945</v>
      </c>
      <c r="B795" s="13">
        <v>2.7716911475724575E-2</v>
      </c>
      <c r="C795" s="14">
        <v>1.1606125996443794E-2</v>
      </c>
      <c r="D795" s="13">
        <v>1.7592692216455718E-2</v>
      </c>
      <c r="E795" s="14">
        <v>-4.5459543597714544E-3</v>
      </c>
      <c r="F795" s="13">
        <v>2.062674902618146E-2</v>
      </c>
      <c r="G795" s="14">
        <v>2.5285161707525698E-2</v>
      </c>
      <c r="H795" s="13">
        <v>8.9006580241570449E-3</v>
      </c>
      <c r="I795" s="15">
        <f t="shared" si="12"/>
        <v>2.2997715618715317E-2</v>
      </c>
    </row>
    <row r="796" spans="1:9">
      <c r="A796" s="12">
        <v>44944</v>
      </c>
      <c r="B796" s="13">
        <v>2.7224037354718084E-2</v>
      </c>
      <c r="C796" s="14">
        <v>1.9585114419373932E-2</v>
      </c>
      <c r="D796" s="13">
        <v>5.3728264882323094E-3</v>
      </c>
      <c r="E796" s="14">
        <v>-6.1492830788723507E-4</v>
      </c>
      <c r="F796" s="13">
        <v>6.4262984455284002E-3</v>
      </c>
      <c r="G796" s="14">
        <v>-1.4958426536468851E-2</v>
      </c>
      <c r="H796" s="13">
        <v>9.0757728294421115E-3</v>
      </c>
      <c r="I796" s="15">
        <f t="shared" si="12"/>
        <v>2.2139566150868224E-2</v>
      </c>
    </row>
    <row r="797" spans="1:9">
      <c r="A797" s="12">
        <v>44943</v>
      </c>
      <c r="B797" s="13">
        <v>-1.4780461904385486E-3</v>
      </c>
      <c r="C797" s="14">
        <v>-1.2436090027999164E-2</v>
      </c>
      <c r="D797" s="13">
        <v>2.2598879674375042E-3</v>
      </c>
      <c r="E797" s="14">
        <v>-1.3514949894601112E-2</v>
      </c>
      <c r="F797" s="13">
        <v>-2.494211163003151E-3</v>
      </c>
      <c r="G797" s="14">
        <v>-1.183289298214249E-2</v>
      </c>
      <c r="H797" s="13">
        <v>9.6850765724255435E-3</v>
      </c>
      <c r="I797" s="15">
        <f t="shared" si="12"/>
        <v>-4.2687701836036608E-3</v>
      </c>
    </row>
    <row r="798" spans="1:9">
      <c r="A798" s="12">
        <v>44942</v>
      </c>
      <c r="B798" s="13">
        <v>-8.4856961778396467E-3</v>
      </c>
      <c r="C798" s="14">
        <v>-1.3642137616043028E-2</v>
      </c>
      <c r="D798" s="13">
        <v>7.1817844789714147E-3</v>
      </c>
      <c r="E798" s="14">
        <v>2.4176721545937432E-3</v>
      </c>
      <c r="F798" s="13">
        <v>1.3817757492257547E-2</v>
      </c>
      <c r="G798" s="14">
        <v>-1.0943198455665763E-2</v>
      </c>
      <c r="H798" s="13">
        <v>2.6024126183542494E-3</v>
      </c>
      <c r="I798" s="15">
        <f t="shared" si="12"/>
        <v>-8.6163474381895297E-3</v>
      </c>
    </row>
    <row r="799" spans="1:9">
      <c r="A799" s="12">
        <v>44939</v>
      </c>
      <c r="B799" s="13">
        <v>-2.3690184807535208E-3</v>
      </c>
      <c r="C799" s="14">
        <v>3.8283493978907126E-3</v>
      </c>
      <c r="D799" s="13">
        <v>7.8720519311122981E-3</v>
      </c>
      <c r="E799" s="14">
        <v>3.8707369854413154E-3</v>
      </c>
      <c r="F799" s="13">
        <v>-9.1905913791127565E-3</v>
      </c>
      <c r="G799" s="14">
        <v>-2.6703483952869823E-3</v>
      </c>
      <c r="H799" s="13">
        <v>1.2911433933357034E-2</v>
      </c>
      <c r="I799" s="15">
        <f t="shared" si="12"/>
        <v>-7.8251555308108962E-4</v>
      </c>
    </row>
    <row r="800" spans="1:9">
      <c r="A800" s="12">
        <v>44938</v>
      </c>
      <c r="B800" s="13">
        <v>2.334724927937936E-3</v>
      </c>
      <c r="C800" s="14">
        <v>-3.6295703627700556E-4</v>
      </c>
      <c r="D800" s="13">
        <v>-7.0074079533329284E-3</v>
      </c>
      <c r="E800" s="14">
        <v>-8.3860504796143015E-4</v>
      </c>
      <c r="F800" s="13">
        <v>7.0997518069252719E-4</v>
      </c>
      <c r="G800" s="14">
        <v>-2.9530265887969372E-2</v>
      </c>
      <c r="H800" s="13">
        <v>-2.1244160396361164E-2</v>
      </c>
      <c r="I800" s="15">
        <f t="shared" si="12"/>
        <v>-7.8235265372264486E-5</v>
      </c>
    </row>
    <row r="801" spans="1:9">
      <c r="A801" s="12">
        <v>44937</v>
      </c>
      <c r="B801" s="13">
        <v>8.3499592947975619E-3</v>
      </c>
      <c r="C801" s="14">
        <v>-1.1537969742877749E-3</v>
      </c>
      <c r="D801" s="13">
        <v>1.177856437705665E-3</v>
      </c>
      <c r="E801" s="14">
        <v>-8.7560779977289387E-3</v>
      </c>
      <c r="F801" s="13">
        <v>3.8958788429414998E-3</v>
      </c>
      <c r="G801" s="14">
        <v>-1.6191852047266721E-2</v>
      </c>
      <c r="H801" s="13">
        <v>2.2325492084332071E-2</v>
      </c>
      <c r="I801" s="15">
        <f t="shared" si="12"/>
        <v>4.7735818619602279E-3</v>
      </c>
    </row>
    <row r="802" spans="1:9">
      <c r="A802" s="12">
        <v>44936</v>
      </c>
      <c r="B802" s="13">
        <v>6.761878071235513E-3</v>
      </c>
      <c r="C802" s="14">
        <v>9.849781270231785E-3</v>
      </c>
      <c r="D802" s="13">
        <v>-4.443840020354437E-3</v>
      </c>
      <c r="E802" s="14">
        <v>1.4430264829028837E-2</v>
      </c>
      <c r="F802" s="13">
        <v>-7.4508061558653032E-3</v>
      </c>
      <c r="G802" s="14">
        <v>1.2203255984203324E-2</v>
      </c>
      <c r="H802" s="13">
        <v>2.2230601887053288E-2</v>
      </c>
      <c r="I802" s="15">
        <f t="shared" si="12"/>
        <v>7.8861218275577127E-3</v>
      </c>
    </row>
    <row r="803" spans="1:9">
      <c r="A803" s="12">
        <v>44935</v>
      </c>
      <c r="B803" s="13">
        <v>8.0074445855998749E-3</v>
      </c>
      <c r="C803" s="14">
        <v>3.1703786621275543E-3</v>
      </c>
      <c r="D803" s="13">
        <v>1.2338823575167955E-2</v>
      </c>
      <c r="E803" s="14">
        <v>-2.9445283604327948E-2</v>
      </c>
      <c r="F803" s="13">
        <v>-2.4959898855931311E-3</v>
      </c>
      <c r="G803" s="14">
        <v>8.2379269531364582E-3</v>
      </c>
      <c r="H803" s="13">
        <v>8.2705994665564411E-3</v>
      </c>
      <c r="I803" s="15">
        <f t="shared" si="12"/>
        <v>5.3921960376031152E-3</v>
      </c>
    </row>
    <row r="804" spans="1:9">
      <c r="A804" s="12">
        <v>44932</v>
      </c>
      <c r="B804" s="13">
        <v>-1.9287055982606092E-3</v>
      </c>
      <c r="C804" s="14">
        <v>-4.4324838465136787E-4</v>
      </c>
      <c r="D804" s="13">
        <v>7.6786230070460693E-3</v>
      </c>
      <c r="E804" s="14">
        <v>3.9010934899620063E-2</v>
      </c>
      <c r="F804" s="13">
        <v>-1.1490252089146851E-2</v>
      </c>
      <c r="G804" s="14">
        <v>1.890165160022619E-2</v>
      </c>
      <c r="H804" s="13">
        <v>-2.7572038695012999E-2</v>
      </c>
      <c r="I804" s="15">
        <f t="shared" si="12"/>
        <v>1.2187809979696449E-3</v>
      </c>
    </row>
    <row r="805" spans="1:9">
      <c r="A805" s="12">
        <v>44931</v>
      </c>
      <c r="B805" s="13">
        <v>8.674994856843983E-3</v>
      </c>
      <c r="C805" s="14">
        <v>8.0532832188780212E-3</v>
      </c>
      <c r="D805" s="13">
        <v>6.0853677239159796E-3</v>
      </c>
      <c r="E805" s="14">
        <v>1.4338441604729742E-2</v>
      </c>
      <c r="F805" s="13">
        <v>1.6120714503372512E-2</v>
      </c>
      <c r="G805" s="14">
        <v>7.9285051676110576E-3</v>
      </c>
      <c r="H805" s="13">
        <v>2.6673108361504088E-2</v>
      </c>
      <c r="I805" s="15">
        <f t="shared" si="12"/>
        <v>8.9400490351336358E-3</v>
      </c>
    </row>
    <row r="806" spans="1:9">
      <c r="A806" s="12">
        <v>44930</v>
      </c>
      <c r="B806" s="13">
        <v>4.1520022445407099E-3</v>
      </c>
      <c r="C806" s="14">
        <v>1.1302510778953914E-3</v>
      </c>
      <c r="D806" s="13">
        <v>-2.3835164290562289E-3</v>
      </c>
      <c r="E806" s="14">
        <v>8.779254272738124E-3</v>
      </c>
      <c r="F806" s="13">
        <v>-5.0283816426215079E-2</v>
      </c>
      <c r="G806" s="14">
        <v>-8.0189640202023207E-3</v>
      </c>
      <c r="H806" s="13">
        <v>-1.7402266685832384E-3</v>
      </c>
      <c r="I806" s="15">
        <f t="shared" si="12"/>
        <v>3.1071839568142133E-3</v>
      </c>
    </row>
    <row r="807" spans="1:9">
      <c r="A807" s="12">
        <v>44929</v>
      </c>
      <c r="B807" s="13">
        <v>3.7716542370195959E-3</v>
      </c>
      <c r="C807" s="14">
        <v>9.3694078986205249E-3</v>
      </c>
      <c r="D807" s="13">
        <v>7.0571381754467432E-3</v>
      </c>
      <c r="E807" s="14">
        <v>-2.4602852280747566E-3</v>
      </c>
      <c r="F807" s="13">
        <v>-1.1274076573218108E-2</v>
      </c>
      <c r="G807" s="14">
        <v>1.352282613305124E-2</v>
      </c>
      <c r="H807" s="13">
        <v>1.0158438118349131E-2</v>
      </c>
      <c r="I807" s="15">
        <f t="shared" si="12"/>
        <v>4.9387024456052121E-3</v>
      </c>
    </row>
    <row r="808" spans="1:9">
      <c r="A808" s="12">
        <v>44928</v>
      </c>
      <c r="B808" s="13">
        <v>6.254649639034192E-3</v>
      </c>
      <c r="C808" s="14">
        <v>-3.0302424548849698E-3</v>
      </c>
      <c r="D808" s="13">
        <v>1.1840875316360842E-3</v>
      </c>
      <c r="E808" s="14">
        <v>2.0135843696407158E-2</v>
      </c>
      <c r="F808" s="13">
        <v>1.5105743053668514E-3</v>
      </c>
      <c r="G808" s="14">
        <v>-8.8522927164757965E-3</v>
      </c>
      <c r="H808" s="13">
        <v>6.607137793616857E-3</v>
      </c>
      <c r="I808" s="15">
        <f t="shared" si="12"/>
        <v>4.6033040946088857E-3</v>
      </c>
    </row>
    <row r="809" spans="1:9">
      <c r="A809" s="12">
        <v>44925</v>
      </c>
      <c r="B809" s="13">
        <v>1.3251703664677591E-2</v>
      </c>
      <c r="C809" s="14">
        <v>7.0012921406699428E-3</v>
      </c>
      <c r="D809" s="13">
        <v>-5.5121866716520669E-3</v>
      </c>
      <c r="E809" s="14">
        <v>5.4687233234170596E-3</v>
      </c>
      <c r="F809" s="13">
        <v>-1.4443428583946231E-2</v>
      </c>
      <c r="G809" s="14">
        <v>-7.4311775079909906E-4</v>
      </c>
      <c r="H809" s="13">
        <v>-7.7969059292055942E-3</v>
      </c>
      <c r="I809" s="15">
        <f t="shared" si="12"/>
        <v>1.0716693343934502E-2</v>
      </c>
    </row>
    <row r="810" spans="1:9">
      <c r="A810" s="12">
        <v>44924</v>
      </c>
      <c r="B810" s="13">
        <v>8.7860569546569737E-3</v>
      </c>
      <c r="C810" s="14">
        <v>4.7979500021167777E-3</v>
      </c>
      <c r="D810" s="13">
        <v>-1.418737676492389E-2</v>
      </c>
      <c r="E810" s="14">
        <v>-8.8197360804014267E-3</v>
      </c>
      <c r="F810" s="13">
        <v>6.8676347754885337E-3</v>
      </c>
      <c r="G810" s="14">
        <v>1.7555710113252635E-3</v>
      </c>
      <c r="H810" s="13">
        <v>-2.6821652199393972E-3</v>
      </c>
      <c r="I810" s="15">
        <f t="shared" si="12"/>
        <v>6.5286608153480412E-3</v>
      </c>
    </row>
    <row r="811" spans="1:9">
      <c r="A811" s="12">
        <v>44923</v>
      </c>
      <c r="B811" s="13">
        <v>2.7408914632168022E-3</v>
      </c>
      <c r="C811" s="14">
        <v>1.1742857003027275E-2</v>
      </c>
      <c r="D811" s="13">
        <v>6.9062119766666033E-3</v>
      </c>
      <c r="E811" s="14">
        <v>7.0001492767578265E-3</v>
      </c>
      <c r="F811" s="13">
        <v>1.6965534158296668E-2</v>
      </c>
      <c r="G811" s="14">
        <v>-1.0125524412700142E-2</v>
      </c>
      <c r="H811" s="13">
        <v>7.2846527446148411E-3</v>
      </c>
      <c r="I811" s="15">
        <f t="shared" si="12"/>
        <v>3.9767392343231338E-3</v>
      </c>
    </row>
    <row r="812" spans="1:9">
      <c r="A812" s="12">
        <v>44922</v>
      </c>
      <c r="B812" s="13">
        <v>-3.5598068475876632E-3</v>
      </c>
      <c r="C812" s="14">
        <v>-1.6243654858061262E-4</v>
      </c>
      <c r="D812" s="13">
        <v>-1.4095708814157757E-2</v>
      </c>
      <c r="E812" s="14">
        <v>-1.032770867298669E-2</v>
      </c>
      <c r="F812" s="13">
        <v>3.2005674639130455E-2</v>
      </c>
      <c r="G812" s="14">
        <v>-2.7980318303679375E-3</v>
      </c>
      <c r="H812" s="13">
        <v>-5.9033531584193097E-2</v>
      </c>
      <c r="I812" s="15">
        <f t="shared" si="12"/>
        <v>-3.8317897399587362E-3</v>
      </c>
    </row>
    <row r="813" spans="1:9">
      <c r="A813" s="12">
        <v>44921</v>
      </c>
      <c r="B813" s="13">
        <v>-1.8335157361797787E-2</v>
      </c>
      <c r="C813" s="14">
        <v>-9.4462545339084689E-3</v>
      </c>
      <c r="D813" s="13">
        <v>-1.8447655118845896E-3</v>
      </c>
      <c r="E813" s="14">
        <v>-7.9826131949119715E-3</v>
      </c>
      <c r="F813" s="13">
        <v>-6.8941150470104601E-2</v>
      </c>
      <c r="G813" s="14">
        <v>-2.8515720067691518E-3</v>
      </c>
      <c r="H813" s="13">
        <v>-1.2578618010707818E-3</v>
      </c>
      <c r="I813" s="15">
        <f t="shared" si="12"/>
        <v>-1.5313371235145408E-2</v>
      </c>
    </row>
    <row r="814" spans="1:9">
      <c r="A814" s="12">
        <v>44918</v>
      </c>
      <c r="B814" s="13">
        <v>6.0517343336509639E-4</v>
      </c>
      <c r="C814" s="14">
        <v>-1.6952011181911929E-2</v>
      </c>
      <c r="D814" s="13">
        <v>-1.5999074038981584E-2</v>
      </c>
      <c r="E814" s="14">
        <v>-1.7689577699364835E-2</v>
      </c>
      <c r="F814" s="13">
        <v>-3.8755344340104886E-2</v>
      </c>
      <c r="G814" s="14">
        <v>8.6773845415626712E-4</v>
      </c>
      <c r="H814" s="13">
        <v>-8.5956792674921397E-3</v>
      </c>
      <c r="I814" s="15">
        <f t="shared" si="12"/>
        <v>-3.5818704152556172E-3</v>
      </c>
    </row>
    <row r="815" spans="1:9">
      <c r="A815" s="12">
        <v>44917</v>
      </c>
      <c r="B815" s="13">
        <v>9.9733192509895447E-3</v>
      </c>
      <c r="C815" s="14">
        <v>2.858893596310896E-2</v>
      </c>
      <c r="D815" s="13">
        <v>3.2596642101826001E-2</v>
      </c>
      <c r="E815" s="14">
        <v>6.2500203451713258E-3</v>
      </c>
      <c r="F815" s="13">
        <v>4.5713238664952846E-2</v>
      </c>
      <c r="G815" s="14">
        <v>4.213793290718984E-3</v>
      </c>
      <c r="H815" s="13">
        <v>6.3391329150865663E-2</v>
      </c>
      <c r="I815" s="15">
        <f t="shared" si="12"/>
        <v>1.3427479278915471E-2</v>
      </c>
    </row>
    <row r="816" spans="1:9">
      <c r="A816" s="12">
        <v>44916</v>
      </c>
      <c r="B816" s="13">
        <v>-6.1381765261181399E-3</v>
      </c>
      <c r="C816" s="14">
        <v>-3.206496912728043E-3</v>
      </c>
      <c r="D816" s="13">
        <v>1.3204552368774018E-2</v>
      </c>
      <c r="E816" s="14">
        <v>2.8718455077844304E-2</v>
      </c>
      <c r="F816" s="13">
        <v>5.3986121558135272E-2</v>
      </c>
      <c r="G816" s="14">
        <v>1.7259394755451275E-3</v>
      </c>
      <c r="H816" s="13">
        <v>4.4796213737927679E-2</v>
      </c>
      <c r="I816" s="15">
        <f t="shared" si="12"/>
        <v>-2.8173674896500348E-3</v>
      </c>
    </row>
    <row r="817" spans="1:9">
      <c r="A817" s="12">
        <v>44915</v>
      </c>
      <c r="B817" s="13">
        <v>4.06385682338489E-3</v>
      </c>
      <c r="C817" s="14">
        <v>2.5376344606320143E-3</v>
      </c>
      <c r="D817" s="13">
        <v>7.2948651762981933E-3</v>
      </c>
      <c r="E817" s="14">
        <v>-3.2477991337865719E-2</v>
      </c>
      <c r="F817" s="13">
        <v>4.8442519458821512E-2</v>
      </c>
      <c r="G817" s="14">
        <v>3.0744155084410384E-2</v>
      </c>
      <c r="H817" s="13">
        <v>5.7207467616347561E-2</v>
      </c>
      <c r="I817" s="15">
        <f t="shared" si="12"/>
        <v>3.7741846257689868E-3</v>
      </c>
    </row>
    <row r="818" spans="1:9">
      <c r="A818" s="12">
        <v>44914</v>
      </c>
      <c r="B818" s="13">
        <v>-3.8941442298996931E-4</v>
      </c>
      <c r="C818" s="14">
        <v>4.256915017206312E-4</v>
      </c>
      <c r="D818" s="13">
        <v>9.8376791013274822E-4</v>
      </c>
      <c r="E818" s="14">
        <v>1.3938368530401811E-2</v>
      </c>
      <c r="F818" s="13">
        <v>2.5743656102001994E-2</v>
      </c>
      <c r="G818" s="14">
        <v>2.022245380767649E-3</v>
      </c>
      <c r="H818" s="13">
        <v>-1.3950249934659742E-2</v>
      </c>
      <c r="I818" s="15">
        <f t="shared" si="12"/>
        <v>5.0688060303446191E-4</v>
      </c>
    </row>
    <row r="819" spans="1:9">
      <c r="A819" s="12">
        <v>44911</v>
      </c>
      <c r="B819" s="13">
        <v>-8.1638427298141494E-3</v>
      </c>
      <c r="C819" s="14">
        <v>4.6303399785152105E-3</v>
      </c>
      <c r="D819" s="13">
        <v>-2.2716956611768743E-3</v>
      </c>
      <c r="E819" s="14">
        <v>-5.9589535037057786E-4</v>
      </c>
      <c r="F819" s="13">
        <v>-1.2274276158346746E-2</v>
      </c>
      <c r="G819" s="14">
        <v>-1.537228380262738E-4</v>
      </c>
      <c r="H819" s="13">
        <v>9.5019039865056696E-3</v>
      </c>
      <c r="I819" s="15">
        <f t="shared" si="12"/>
        <v>-5.0421254838612312E-3</v>
      </c>
    </row>
    <row r="820" spans="1:9">
      <c r="A820" s="12">
        <v>44910</v>
      </c>
      <c r="B820" s="13">
        <v>2.4150531216193493E-2</v>
      </c>
      <c r="C820" s="14">
        <v>1.7656044757784237E-2</v>
      </c>
      <c r="D820" s="13">
        <v>2.8010162527636094E-3</v>
      </c>
      <c r="E820" s="14">
        <v>1.9582599241715265E-2</v>
      </c>
      <c r="F820" s="13">
        <v>2.7408245852517318E-2</v>
      </c>
      <c r="G820" s="14">
        <v>4.032882178266149E-3</v>
      </c>
      <c r="H820" s="13">
        <v>2.8422278909068417E-2</v>
      </c>
      <c r="I820" s="15">
        <f t="shared" si="12"/>
        <v>2.1660612737578026E-2</v>
      </c>
    </row>
    <row r="821" spans="1:9">
      <c r="A821" s="12">
        <v>44909</v>
      </c>
      <c r="B821" s="13">
        <v>4.8912318400909901E-3</v>
      </c>
      <c r="C821" s="14">
        <v>4.9427728697490105E-3</v>
      </c>
      <c r="D821" s="13">
        <v>1.7312232132032254E-2</v>
      </c>
      <c r="E821" s="14">
        <v>6.2724066419310104E-3</v>
      </c>
      <c r="F821" s="13">
        <v>6.3217645241756852E-3</v>
      </c>
      <c r="G821" s="14">
        <v>5.497036288315351E-3</v>
      </c>
      <c r="H821" s="13">
        <v>-3.6571770026019353E-3</v>
      </c>
      <c r="I821" s="15">
        <f t="shared" si="12"/>
        <v>5.0837869451429924E-3</v>
      </c>
    </row>
    <row r="822" spans="1:9">
      <c r="A822" s="12">
        <v>44908</v>
      </c>
      <c r="B822" s="13">
        <v>1.0293476082249925E-2</v>
      </c>
      <c r="C822" s="14">
        <v>4.6829277087363482E-3</v>
      </c>
      <c r="D822" s="13">
        <v>-6.0738360482560042E-3</v>
      </c>
      <c r="E822" s="14">
        <v>-3.1826997657197764E-3</v>
      </c>
      <c r="F822" s="13">
        <v>-3.7855145136655888E-2</v>
      </c>
      <c r="G822" s="14">
        <v>5.380439508856351E-3</v>
      </c>
      <c r="H822" s="13">
        <v>-3.98746250461375E-2</v>
      </c>
      <c r="I822" s="15">
        <f t="shared" si="12"/>
        <v>7.7746117931847139E-3</v>
      </c>
    </row>
    <row r="823" spans="1:9">
      <c r="A823" s="12">
        <v>44907</v>
      </c>
      <c r="B823" s="13">
        <v>-3.82988245627438E-3</v>
      </c>
      <c r="C823" s="14">
        <v>1.7995019133447268E-2</v>
      </c>
      <c r="D823" s="13">
        <v>-8.4828975015601143E-3</v>
      </c>
      <c r="E823" s="14">
        <v>5.5375291050033804E-3</v>
      </c>
      <c r="F823" s="13">
        <v>7.5497956413270147E-3</v>
      </c>
      <c r="G823" s="14">
        <v>-6.4904987171661372E-3</v>
      </c>
      <c r="H823" s="13">
        <v>-2.3592545824305523E-2</v>
      </c>
      <c r="I823" s="15">
        <f t="shared" si="12"/>
        <v>-1.5006038387004511E-5</v>
      </c>
    </row>
    <row r="824" spans="1:9">
      <c r="A824" s="12">
        <v>44904</v>
      </c>
      <c r="B824" s="13">
        <v>1.8957913744613988E-2</v>
      </c>
      <c r="C824" s="14">
        <v>-1.1713505401532936E-2</v>
      </c>
      <c r="D824" s="13">
        <v>3.9501208182454884E-3</v>
      </c>
      <c r="E824" s="14">
        <v>1.0478046390306146E-2</v>
      </c>
      <c r="F824" s="13">
        <v>8.5106896679086105E-3</v>
      </c>
      <c r="G824" s="14">
        <v>-1.9683726747202587E-2</v>
      </c>
      <c r="H824" s="13">
        <v>-3.2193642384477798E-2</v>
      </c>
      <c r="I824" s="15">
        <f t="shared" si="12"/>
        <v>1.0937172774925093E-2</v>
      </c>
    </row>
    <row r="825" spans="1:9">
      <c r="A825" s="12">
        <v>44903</v>
      </c>
      <c r="B825" s="13">
        <v>-1.7058499267151295E-3</v>
      </c>
      <c r="C825" s="14">
        <v>6.7074548407249513E-3</v>
      </c>
      <c r="D825" s="13">
        <v>-1.4277665397447901E-3</v>
      </c>
      <c r="E825" s="14">
        <v>-1.4515505443340184E-3</v>
      </c>
      <c r="F825" s="13">
        <v>0</v>
      </c>
      <c r="G825" s="14">
        <v>4.0563510827602645E-3</v>
      </c>
      <c r="H825" s="13">
        <v>-2.1904785976051323E-2</v>
      </c>
      <c r="I825" s="15">
        <f t="shared" si="12"/>
        <v>-1.6522390894660108E-4</v>
      </c>
    </row>
    <row r="826" spans="1:9">
      <c r="A826" s="12">
        <v>44902</v>
      </c>
      <c r="B826" s="13">
        <v>1.566389637806398E-3</v>
      </c>
      <c r="C826" s="14">
        <v>3.3079624311032393E-3</v>
      </c>
      <c r="D826" s="13">
        <v>-2.7485474484313975E-3</v>
      </c>
      <c r="E826" s="14">
        <v>-2.1305024882894235E-3</v>
      </c>
      <c r="F826" s="13">
        <v>-3.3904051858937151E-4</v>
      </c>
      <c r="G826" s="14">
        <v>6.3726084172573642E-3</v>
      </c>
      <c r="H826" s="13">
        <v>-1.6530784312226338E-2</v>
      </c>
      <c r="I826" s="15">
        <f t="shared" si="12"/>
        <v>1.6963722198761653E-3</v>
      </c>
    </row>
    <row r="827" spans="1:9">
      <c r="A827" s="12">
        <v>44901</v>
      </c>
      <c r="B827" s="13">
        <v>-2.0288100767893797E-2</v>
      </c>
      <c r="C827" s="14">
        <v>-4.587652377915529E-3</v>
      </c>
      <c r="D827" s="13">
        <v>4.6642928270855168E-3</v>
      </c>
      <c r="E827" s="14">
        <v>-7.7893493058722697E-4</v>
      </c>
      <c r="F827" s="13">
        <v>-2.1941229873076201E-2</v>
      </c>
      <c r="G827" s="14">
        <v>1.1560569752338205E-2</v>
      </c>
      <c r="H827" s="13">
        <v>8.6432517912728817E-3</v>
      </c>
      <c r="I827" s="15">
        <f t="shared" si="12"/>
        <v>-1.4637349326839104E-2</v>
      </c>
    </row>
    <row r="828" spans="1:9">
      <c r="A828" s="12">
        <v>44900</v>
      </c>
      <c r="B828" s="13">
        <v>-1.5193241931244794E-3</v>
      </c>
      <c r="C828" s="14">
        <v>5.9579253924079943E-3</v>
      </c>
      <c r="D828" s="13">
        <v>2.0993447260417215E-3</v>
      </c>
      <c r="E828" s="14">
        <v>5.9451600591803209E-3</v>
      </c>
      <c r="F828" s="13">
        <v>5.1858370323654155E-3</v>
      </c>
      <c r="G828" s="14">
        <v>5.4304737793664515E-4</v>
      </c>
      <c r="H828" s="13">
        <v>8.539558269431962E-3</v>
      </c>
      <c r="I828" s="15">
        <f t="shared" si="12"/>
        <v>3.4430598024348213E-4</v>
      </c>
    </row>
    <row r="829" spans="1:9">
      <c r="A829" s="12">
        <v>44897</v>
      </c>
      <c r="B829" s="13">
        <v>-4.2696105557020279E-3</v>
      </c>
      <c r="C829" s="14">
        <v>-9.3589917459642596E-3</v>
      </c>
      <c r="D829" s="13">
        <v>4.0363324224603316E-3</v>
      </c>
      <c r="E829" s="14">
        <v>-1.4998075577435122E-2</v>
      </c>
      <c r="F829" s="13">
        <v>2.0668281556628885E-3</v>
      </c>
      <c r="G829" s="14">
        <v>-2.5440050249859064E-3</v>
      </c>
      <c r="H829" s="13">
        <v>2.9628986198326199E-2</v>
      </c>
      <c r="I829" s="15">
        <f t="shared" si="12"/>
        <v>-5.1881791470417436E-3</v>
      </c>
    </row>
    <row r="830" spans="1:9">
      <c r="A830" s="12">
        <v>44896</v>
      </c>
      <c r="B830" s="13">
        <v>1.1355850506283686E-2</v>
      </c>
      <c r="C830" s="14">
        <v>6.539205031022205E-3</v>
      </c>
      <c r="D830" s="13">
        <v>-4.2610515245297513E-3</v>
      </c>
      <c r="E830" s="14">
        <v>1.810326182250421E-3</v>
      </c>
      <c r="F830" s="13">
        <v>6.516915535728641E-3</v>
      </c>
      <c r="G830" s="14">
        <v>5.2237507717559019E-4</v>
      </c>
      <c r="H830" s="13">
        <v>-7.7690020740488837E-4</v>
      </c>
      <c r="I830" s="15">
        <f t="shared" si="12"/>
        <v>9.2633642896052283E-3</v>
      </c>
    </row>
    <row r="831" spans="1:9">
      <c r="A831" s="12">
        <v>44895</v>
      </c>
      <c r="B831" s="13">
        <v>-1.3218980601447886E-3</v>
      </c>
      <c r="C831" s="14">
        <v>3.1476018301542317E-3</v>
      </c>
      <c r="D831" s="13">
        <v>5.5283843316980283E-3</v>
      </c>
      <c r="E831" s="14">
        <v>1.5508911690773203E-2</v>
      </c>
      <c r="F831" s="13">
        <v>6.4747201828098773E-3</v>
      </c>
      <c r="G831" s="14">
        <v>-5.6955342669534701E-3</v>
      </c>
      <c r="H831" s="13">
        <v>3.534334095887466E-3</v>
      </c>
      <c r="I831" s="15">
        <f t="shared" si="12"/>
        <v>1.9637873293009938E-4</v>
      </c>
    </row>
    <row r="832" spans="1:9">
      <c r="A832" s="12">
        <v>44894</v>
      </c>
      <c r="B832" s="13">
        <v>-1.2709752402157996E-2</v>
      </c>
      <c r="C832" s="14">
        <v>-1.65238392763024E-2</v>
      </c>
      <c r="D832" s="13">
        <v>-1.1878804921648315E-2</v>
      </c>
      <c r="E832" s="14">
        <v>-1.3449448918863539E-3</v>
      </c>
      <c r="F832" s="13">
        <v>-1.3596195160394844E-3</v>
      </c>
      <c r="G832" s="14">
        <v>8.5420318485795454E-3</v>
      </c>
      <c r="H832" s="13">
        <v>-6.1283692729340406E-3</v>
      </c>
      <c r="I832" s="15">
        <f t="shared" si="12"/>
        <v>-1.1720553571213065E-2</v>
      </c>
    </row>
    <row r="833" spans="1:9">
      <c r="A833" s="12">
        <v>44893</v>
      </c>
      <c r="B833" s="13">
        <v>5.138209753540921E-3</v>
      </c>
      <c r="C833" s="14">
        <v>1.1692165078251476E-2</v>
      </c>
      <c r="D833" s="13">
        <v>9.3051849561409557E-3</v>
      </c>
      <c r="E833" s="14">
        <v>-7.5992057271594676E-3</v>
      </c>
      <c r="F833" s="13">
        <v>6.1037829380178859E-3</v>
      </c>
      <c r="G833" s="14">
        <v>-1.9329972897260553E-3</v>
      </c>
      <c r="H833" s="13">
        <v>4.9050017573865545E-4</v>
      </c>
      <c r="I833" s="15">
        <f t="shared" si="12"/>
        <v>5.2987844854492277E-3</v>
      </c>
    </row>
    <row r="834" spans="1:9">
      <c r="A834" s="12">
        <v>44890</v>
      </c>
      <c r="B834" s="13">
        <v>-1.3755638785494696E-2</v>
      </c>
      <c r="C834" s="14">
        <v>-4.3685572684012642E-3</v>
      </c>
      <c r="D834" s="13">
        <v>-1.5013545603811072E-2</v>
      </c>
      <c r="E834" s="14">
        <v>-2.0689920743242912E-2</v>
      </c>
      <c r="F834" s="13">
        <v>1.1428695823622629E-2</v>
      </c>
      <c r="G834" s="14">
        <v>4.3818808046746979E-3</v>
      </c>
      <c r="H834" s="13">
        <v>-8.7496212380824036E-3</v>
      </c>
      <c r="I834" s="15">
        <f t="shared" si="12"/>
        <v>-1.1612526433458108E-2</v>
      </c>
    </row>
    <row r="835" spans="1:9">
      <c r="A835" s="12">
        <v>44889</v>
      </c>
      <c r="B835" s="13">
        <v>2.2977618992125019E-3</v>
      </c>
      <c r="C835" s="14">
        <v>-3.0010740637765954E-3</v>
      </c>
      <c r="D835" s="13">
        <v>1.8954112151361823E-4</v>
      </c>
      <c r="E835" s="14">
        <v>-5.3096548542754789E-3</v>
      </c>
      <c r="F835" s="13">
        <v>-1.8212982360545152E-2</v>
      </c>
      <c r="G835" s="14">
        <v>1.0507374252682073E-2</v>
      </c>
      <c r="H835" s="13">
        <v>2.6504358229070088E-2</v>
      </c>
      <c r="I835" s="15">
        <f t="shared" si="12"/>
        <v>1.5584409413043649E-3</v>
      </c>
    </row>
    <row r="836" spans="1:9">
      <c r="A836" s="12">
        <v>44888</v>
      </c>
      <c r="B836" s="13">
        <v>-4.6653130739665984E-3</v>
      </c>
      <c r="C836" s="14">
        <v>-1.4648297069518408E-3</v>
      </c>
      <c r="D836" s="13">
        <v>3.1789309241295658E-3</v>
      </c>
      <c r="E836" s="14">
        <v>-2.1945493436991716E-3</v>
      </c>
      <c r="F836" s="13">
        <v>2.5870752427463169E-2</v>
      </c>
      <c r="G836" s="14">
        <v>6.7668066901389557E-3</v>
      </c>
      <c r="H836" s="13">
        <v>-5.3491176228401174E-2</v>
      </c>
      <c r="I836" s="15">
        <f t="shared" si="12"/>
        <v>-3.7358920628330753E-3</v>
      </c>
    </row>
    <row r="837" spans="1:9">
      <c r="A837" s="12">
        <v>44887</v>
      </c>
      <c r="B837" s="13">
        <v>9.8313369671618059E-4</v>
      </c>
      <c r="C837" s="14">
        <v>-7.0415229114949088E-3</v>
      </c>
      <c r="D837" s="13">
        <v>4.0724038182584528E-3</v>
      </c>
      <c r="E837" s="14">
        <v>5.3212889672311125E-3</v>
      </c>
      <c r="F837" s="13">
        <v>1.3258205455528016E-3</v>
      </c>
      <c r="G837" s="14">
        <v>6.3802639340057154E-4</v>
      </c>
      <c r="H837" s="13">
        <v>3.729955835063789E-3</v>
      </c>
      <c r="I837" s="15">
        <f t="shared" si="12"/>
        <v>-1.105842193529989E-4</v>
      </c>
    </row>
    <row r="838" spans="1:9">
      <c r="A838" s="12">
        <v>44886</v>
      </c>
      <c r="B838" s="13">
        <v>-2.7584444388094767E-3</v>
      </c>
      <c r="C838" s="14">
        <v>-7.4880078017976401E-3</v>
      </c>
      <c r="D838" s="13">
        <v>1.0481491481400153E-2</v>
      </c>
      <c r="E838" s="14">
        <v>9.0146320507291202E-4</v>
      </c>
      <c r="F838" s="13">
        <v>1.3162414444064578E-2</v>
      </c>
      <c r="G838" s="14">
        <v>0</v>
      </c>
      <c r="H838" s="13">
        <v>-1.5004032408281898E-2</v>
      </c>
      <c r="I838" s="15">
        <f t="shared" ref="I838:I901" si="13">SUMPRODUCT($B$2:$H$2,B838:H838)</f>
        <v>-3.1621334526069781E-3</v>
      </c>
    </row>
    <row r="839" spans="1:9">
      <c r="A839" s="12">
        <v>44883</v>
      </c>
      <c r="B839" s="13">
        <v>6.4612004932945055E-5</v>
      </c>
      <c r="C839" s="14">
        <v>-2.5615327595155664E-3</v>
      </c>
      <c r="D839" s="13">
        <v>-4.7030805960608683E-3</v>
      </c>
      <c r="E839" s="14">
        <v>-1.4913211358133405E-3</v>
      </c>
      <c r="F839" s="13">
        <v>-1.6358583723257388E-3</v>
      </c>
      <c r="G839" s="14">
        <v>-5.0301702499699974E-3</v>
      </c>
      <c r="H839" s="13">
        <v>3.4032558463027968E-2</v>
      </c>
      <c r="I839" s="15">
        <f t="shared" si="13"/>
        <v>-4.7580123815258878E-4</v>
      </c>
    </row>
    <row r="840" spans="1:9">
      <c r="A840" s="12">
        <v>44882</v>
      </c>
      <c r="B840" s="13">
        <v>-7.750845502898349E-3</v>
      </c>
      <c r="C840" s="14">
        <v>1.0305393191594613E-2</v>
      </c>
      <c r="D840" s="13">
        <v>6.6004378869275338E-3</v>
      </c>
      <c r="E840" s="14">
        <v>2.0746776971854446E-2</v>
      </c>
      <c r="F840" s="13">
        <v>-1.6174638809269705E-2</v>
      </c>
      <c r="G840" s="14">
        <v>-2.610297173009419E-3</v>
      </c>
      <c r="H840" s="13">
        <v>-7.9811388238628808E-2</v>
      </c>
      <c r="I840" s="15">
        <f t="shared" si="13"/>
        <v>-3.4764303025480981E-3</v>
      </c>
    </row>
    <row r="841" spans="1:9">
      <c r="A841" s="12">
        <v>44881</v>
      </c>
      <c r="B841" s="13">
        <v>3.7207682677623112E-3</v>
      </c>
      <c r="C841" s="14">
        <v>-2.0486562862983681E-3</v>
      </c>
      <c r="D841" s="13">
        <v>7.2584846324740297E-3</v>
      </c>
      <c r="E841" s="14">
        <v>4.8495220094761111E-3</v>
      </c>
      <c r="F841" s="13">
        <v>-2.6657796526448085E-3</v>
      </c>
      <c r="G841" s="14">
        <v>-1.3393490627426808E-2</v>
      </c>
      <c r="H841" s="13">
        <v>1.6946898597831092E-2</v>
      </c>
      <c r="I841" s="15">
        <f t="shared" si="13"/>
        <v>2.149661806738598E-3</v>
      </c>
    </row>
    <row r="842" spans="1:9">
      <c r="A842" s="12">
        <v>44880</v>
      </c>
      <c r="B842" s="13">
        <v>-1.2170683141633401E-3</v>
      </c>
      <c r="C842" s="14">
        <v>1.2218194803921504E-3</v>
      </c>
      <c r="D842" s="13">
        <v>1.3669475329156328E-2</v>
      </c>
      <c r="E842" s="14">
        <v>-3.490641517725112E-3</v>
      </c>
      <c r="F842" s="13">
        <v>-8.3766614790134614E-3</v>
      </c>
      <c r="G842" s="14">
        <v>-1.3036111870901445E-3</v>
      </c>
      <c r="H842" s="13">
        <v>1.0832665509244853E-2</v>
      </c>
      <c r="I842" s="15">
        <f t="shared" si="13"/>
        <v>-6.4481265541336977E-4</v>
      </c>
    </row>
    <row r="843" spans="1:9">
      <c r="A843" s="12">
        <v>44879</v>
      </c>
      <c r="B843" s="13">
        <v>-8.5120774856721742E-3</v>
      </c>
      <c r="C843" s="14">
        <v>-1.3043835574815867E-2</v>
      </c>
      <c r="D843" s="13">
        <v>1.5780773455167253E-2</v>
      </c>
      <c r="E843" s="14">
        <v>-6.334523786927569E-3</v>
      </c>
      <c r="F843" s="13">
        <v>3.82885053070171E-2</v>
      </c>
      <c r="G843" s="14">
        <v>1.8396572498012683E-2</v>
      </c>
      <c r="H843" s="13">
        <v>2.8016947927679094E-2</v>
      </c>
      <c r="I843" s="15">
        <f t="shared" si="13"/>
        <v>-7.2513990388098862E-3</v>
      </c>
    </row>
    <row r="844" spans="1:9">
      <c r="A844" s="12">
        <v>44876</v>
      </c>
      <c r="B844" s="13">
        <v>7.2029600730723277E-4</v>
      </c>
      <c r="C844" s="14">
        <v>-5.5022698066430247E-3</v>
      </c>
      <c r="D844" s="13">
        <v>3.0868281482298192E-2</v>
      </c>
      <c r="E844" s="14">
        <v>1.465128290495887E-2</v>
      </c>
      <c r="F844" s="13">
        <v>-1.620483258516437E-3</v>
      </c>
      <c r="G844" s="14">
        <v>-3.0888394402196279E-2</v>
      </c>
      <c r="H844" s="13">
        <v>-2.4943332475829753E-2</v>
      </c>
      <c r="I844" s="15">
        <f t="shared" si="13"/>
        <v>-9.5152638124536184E-4</v>
      </c>
    </row>
    <row r="845" spans="1:9">
      <c r="A845" s="12">
        <v>44875</v>
      </c>
      <c r="B845" s="13">
        <v>-3.3603559171685718E-3</v>
      </c>
      <c r="C845" s="14">
        <v>-2.5316779092493909E-2</v>
      </c>
      <c r="D845" s="13">
        <v>-6.7272252168803972E-3</v>
      </c>
      <c r="E845" s="14">
        <v>-9.2338008737304841E-3</v>
      </c>
      <c r="F845" s="13">
        <v>6.7884534169588492E-3</v>
      </c>
      <c r="G845" s="14">
        <v>-1.8126981891857945E-2</v>
      </c>
      <c r="H845" s="13">
        <v>-1.8585016882242799E-2</v>
      </c>
      <c r="I845" s="15">
        <f t="shared" si="13"/>
        <v>-8.2006594254992269E-3</v>
      </c>
    </row>
    <row r="846" spans="1:9">
      <c r="A846" s="12">
        <v>44874</v>
      </c>
      <c r="B846" s="13">
        <v>1.3487601819496573E-2</v>
      </c>
      <c r="C846" s="14">
        <v>9.462048598395523E-3</v>
      </c>
      <c r="D846" s="13">
        <v>9.0890029329094538E-4</v>
      </c>
      <c r="E846" s="14">
        <v>2.8163775593514802E-3</v>
      </c>
      <c r="F846" s="13">
        <v>1.6930607254882334E-2</v>
      </c>
      <c r="G846" s="14">
        <v>-1.798223137706929E-2</v>
      </c>
      <c r="H846" s="13">
        <v>-1.3376546924427432E-2</v>
      </c>
      <c r="I846" s="15">
        <f t="shared" si="13"/>
        <v>1.0436371162435827E-2</v>
      </c>
    </row>
    <row r="847" spans="1:9">
      <c r="A847" s="12">
        <v>44872</v>
      </c>
      <c r="B847" s="13">
        <v>5.5088547325756456E-3</v>
      </c>
      <c r="C847" s="14">
        <v>4.2814382402972015E-2</v>
      </c>
      <c r="D847" s="13">
        <v>4.2147507198101876E-2</v>
      </c>
      <c r="E847" s="14">
        <v>1.8830798939489919E-2</v>
      </c>
      <c r="F847" s="13">
        <v>-3.1680659222667806E-4</v>
      </c>
      <c r="G847" s="14">
        <v>-3.9264535723007227E-2</v>
      </c>
      <c r="H847" s="13">
        <v>2.651480992271589E-2</v>
      </c>
      <c r="I847" s="15">
        <f t="shared" si="13"/>
        <v>1.099841498132594E-2</v>
      </c>
    </row>
    <row r="848" spans="1:9">
      <c r="A848" s="12">
        <v>44869</v>
      </c>
      <c r="B848" s="13">
        <v>2.4759017422938689E-2</v>
      </c>
      <c r="C848" s="14">
        <v>-1.6739594092039976E-2</v>
      </c>
      <c r="D848" s="13">
        <v>3.3015650241019878E-2</v>
      </c>
      <c r="E848" s="14">
        <v>-1.1302956075307307E-2</v>
      </c>
      <c r="F848" s="13">
        <v>-2.22046086474041E-3</v>
      </c>
      <c r="G848" s="14">
        <v>-5.4611723882263684E-4</v>
      </c>
      <c r="H848" s="13">
        <v>3.5422254468750634E-3</v>
      </c>
      <c r="I848" s="15">
        <f t="shared" si="13"/>
        <v>1.4686999193909301E-2</v>
      </c>
    </row>
    <row r="849" spans="1:9">
      <c r="A849" s="12">
        <v>44868</v>
      </c>
      <c r="B849" s="13">
        <v>-1.2668908027938889E-2</v>
      </c>
      <c r="C849" s="14">
        <v>4.0431321923563249E-3</v>
      </c>
      <c r="D849" s="13">
        <v>5.4894231997785752E-2</v>
      </c>
      <c r="E849" s="14">
        <v>3.58390267334125E-2</v>
      </c>
      <c r="F849" s="13">
        <v>9.5222987674519041E-4</v>
      </c>
      <c r="G849" s="14">
        <v>2.1731558928707803E-2</v>
      </c>
      <c r="H849" s="13">
        <v>-3.4407422492155962E-2</v>
      </c>
      <c r="I849" s="15">
        <f t="shared" si="13"/>
        <v>-5.1570014846818333E-3</v>
      </c>
    </row>
    <row r="850" spans="1:9">
      <c r="A850" s="12">
        <v>44867</v>
      </c>
      <c r="B850" s="13">
        <v>-2.9968778407615118E-3</v>
      </c>
      <c r="C850" s="14">
        <v>-1.8465257011600334E-2</v>
      </c>
      <c r="D850" s="13">
        <v>-0.11253131046793241</v>
      </c>
      <c r="E850" s="14">
        <v>5.8878886411328109E-3</v>
      </c>
      <c r="F850" s="13">
        <v>1.2297175300473849E-2</v>
      </c>
      <c r="G850" s="14">
        <v>-1.4186543770273413E-3</v>
      </c>
      <c r="H850" s="13">
        <v>-5.8407838836233425E-3</v>
      </c>
      <c r="I850" s="15">
        <f t="shared" si="13"/>
        <v>-6.4727488067415047E-3</v>
      </c>
    </row>
    <row r="851" spans="1:9">
      <c r="A851" s="12">
        <v>44866</v>
      </c>
      <c r="B851" s="13">
        <v>8.7422870142322227E-3</v>
      </c>
      <c r="C851" s="14">
        <v>4.8639401274483502E-3</v>
      </c>
      <c r="D851" s="13">
        <v>-1.1152082710673805E-2</v>
      </c>
      <c r="E851" s="14">
        <v>3.6391835865867188E-2</v>
      </c>
      <c r="F851" s="13">
        <v>-3.4531505040210179E-3</v>
      </c>
      <c r="G851" s="14">
        <v>-1.4672833440740468E-3</v>
      </c>
      <c r="H851" s="13">
        <v>-4.0435278864786595E-2</v>
      </c>
      <c r="I851" s="15">
        <f t="shared" si="13"/>
        <v>8.3109799549928656E-3</v>
      </c>
    </row>
    <row r="852" spans="1:9">
      <c r="A852" s="12">
        <v>44865</v>
      </c>
      <c r="B852" s="13">
        <v>-1.6499233402830916E-2</v>
      </c>
      <c r="C852" s="14">
        <v>-2.1441262358673396E-2</v>
      </c>
      <c r="D852" s="13">
        <v>2.565971101723713E-3</v>
      </c>
      <c r="E852" s="14">
        <v>3.2915195535092021E-3</v>
      </c>
      <c r="F852" s="13">
        <v>1.900072736732502E-2</v>
      </c>
      <c r="G852" s="14">
        <v>-6.0548863550420103E-3</v>
      </c>
      <c r="H852" s="13">
        <v>-2.3949604907875129E-2</v>
      </c>
      <c r="I852" s="15">
        <f t="shared" si="13"/>
        <v>-1.5645567123041954E-2</v>
      </c>
    </row>
    <row r="853" spans="1:9">
      <c r="A853" s="12">
        <v>44862</v>
      </c>
      <c r="B853" s="13">
        <v>-1.7627178909323912E-2</v>
      </c>
      <c r="C853" s="14">
        <v>-1.8879604614136167E-2</v>
      </c>
      <c r="D853" s="13">
        <v>-9.5691180274052063E-3</v>
      </c>
      <c r="E853" s="14">
        <v>-2.0356458903978733E-2</v>
      </c>
      <c r="F853" s="13">
        <v>-1.6488163231441755E-2</v>
      </c>
      <c r="G853" s="14">
        <v>-7.0371328934413808E-4</v>
      </c>
      <c r="H853" s="13">
        <v>-5.8053171504233851E-4</v>
      </c>
      <c r="I853" s="15">
        <f t="shared" si="13"/>
        <v>-1.694086188188686E-2</v>
      </c>
    </row>
    <row r="854" spans="1:9">
      <c r="A854" s="12">
        <v>44861</v>
      </c>
      <c r="B854" s="13">
        <v>-3.2639834778939959E-3</v>
      </c>
      <c r="C854" s="14">
        <v>-1.5668581438799171E-3</v>
      </c>
      <c r="D854" s="13">
        <v>1.2888164083570266E-2</v>
      </c>
      <c r="E854" s="14">
        <v>1.9912455020483144E-3</v>
      </c>
      <c r="F854" s="13">
        <v>1.9568880393799688E-2</v>
      </c>
      <c r="G854" s="14">
        <v>-4.3505424481649433E-3</v>
      </c>
      <c r="H854" s="13">
        <v>1.6162447138987825E-2</v>
      </c>
      <c r="I854" s="15">
        <f t="shared" si="13"/>
        <v>-2.3784038741258449E-3</v>
      </c>
    </row>
    <row r="855" spans="1:9">
      <c r="A855" s="12">
        <v>44859</v>
      </c>
      <c r="B855" s="13">
        <v>1.3527501558306508E-2</v>
      </c>
      <c r="C855" s="14">
        <v>1.6258834756049747E-2</v>
      </c>
      <c r="D855" s="13">
        <v>2.0343782338355684E-3</v>
      </c>
      <c r="E855" s="14">
        <v>-3.5744261253016565E-3</v>
      </c>
      <c r="F855" s="13">
        <v>1.3443526632702246E-2</v>
      </c>
      <c r="G855" s="14">
        <v>8.7289664227303641E-3</v>
      </c>
      <c r="H855" s="13">
        <v>1.1960985870873624E-2</v>
      </c>
      <c r="I855" s="15">
        <f t="shared" si="13"/>
        <v>1.2760755333064646E-2</v>
      </c>
    </row>
    <row r="856" spans="1:9">
      <c r="A856" s="12">
        <v>44858</v>
      </c>
      <c r="B856" s="13">
        <v>1.1842466264275112E-2</v>
      </c>
      <c r="C856" s="14">
        <v>1.1331681900412317E-2</v>
      </c>
      <c r="D856" s="13">
        <v>8.5404645261957807E-3</v>
      </c>
      <c r="E856" s="14">
        <v>1.3221459949862629E-2</v>
      </c>
      <c r="F856" s="13">
        <v>-1.0065663755648425E-2</v>
      </c>
      <c r="G856" s="14">
        <v>-4.6365763093441613E-3</v>
      </c>
      <c r="H856" s="13">
        <v>1.9958904767146898E-2</v>
      </c>
      <c r="I856" s="15">
        <f t="shared" si="13"/>
        <v>1.1054286230934145E-2</v>
      </c>
    </row>
    <row r="857" spans="1:9">
      <c r="A857" s="12">
        <v>44855</v>
      </c>
      <c r="B857" s="13">
        <v>-9.4142197212100376E-3</v>
      </c>
      <c r="C857" s="14">
        <v>-7.9227743771598993E-3</v>
      </c>
      <c r="D857" s="13">
        <v>-3.1325731193967782E-2</v>
      </c>
      <c r="E857" s="14">
        <v>-9.386146737528937E-4</v>
      </c>
      <c r="F857" s="13">
        <v>-1.825263357180102E-2</v>
      </c>
      <c r="G857" s="14">
        <v>3.8419238111162208E-3</v>
      </c>
      <c r="H857" s="13">
        <v>-1.8573738171213275E-3</v>
      </c>
      <c r="I857" s="15">
        <f t="shared" si="13"/>
        <v>-8.3475286520927599E-3</v>
      </c>
    </row>
    <row r="858" spans="1:9">
      <c r="A858" s="12">
        <v>44854</v>
      </c>
      <c r="B858" s="13">
        <v>1.5561894590931226E-2</v>
      </c>
      <c r="C858" s="14">
        <v>5.5659606621089715E-2</v>
      </c>
      <c r="D858" s="13">
        <v>2.6841648991593334E-2</v>
      </c>
      <c r="E858" s="14">
        <v>4.4661754204089908E-3</v>
      </c>
      <c r="F858" s="13">
        <v>8.7038162153400458E-3</v>
      </c>
      <c r="G858" s="14">
        <v>6.1072450897162569E-3</v>
      </c>
      <c r="H858" s="13">
        <v>4.7920031419295406E-2</v>
      </c>
      <c r="I858" s="15">
        <f t="shared" si="13"/>
        <v>2.1736903860096107E-2</v>
      </c>
    </row>
    <row r="859" spans="1:9">
      <c r="A859" s="12">
        <v>44853</v>
      </c>
      <c r="B859" s="13">
        <v>2.2617885149999583E-2</v>
      </c>
      <c r="C859" s="14">
        <v>-1.5513797614846411E-4</v>
      </c>
      <c r="D859" s="13">
        <v>6.8719393833690271E-3</v>
      </c>
      <c r="E859" s="14">
        <v>-7.9153196901980138E-3</v>
      </c>
      <c r="F859" s="13">
        <v>8.6287130130632047E-3</v>
      </c>
      <c r="G859" s="14">
        <v>-6.762139277547638E-3</v>
      </c>
      <c r="H859" s="13">
        <v>-3.7214333063306772E-2</v>
      </c>
      <c r="I859" s="15">
        <f t="shared" si="13"/>
        <v>1.5185854183207306E-2</v>
      </c>
    </row>
    <row r="860" spans="1:9">
      <c r="A860" s="12">
        <v>44852</v>
      </c>
      <c r="B860" s="13">
        <v>4.069213206707438E-3</v>
      </c>
      <c r="C860" s="14">
        <v>1.0467145751162979E-3</v>
      </c>
      <c r="D860" s="13">
        <v>1.0556606520889353E-3</v>
      </c>
      <c r="E860" s="14">
        <v>1.5892145511875292E-2</v>
      </c>
      <c r="F860" s="13">
        <v>-2.4577585336560907E-3</v>
      </c>
      <c r="G860" s="14">
        <v>8.874660811156343E-3</v>
      </c>
      <c r="H860" s="13">
        <v>-2.4168387322806375E-2</v>
      </c>
      <c r="I860" s="15">
        <f t="shared" si="13"/>
        <v>4.0907777225467597E-3</v>
      </c>
    </row>
    <row r="861" spans="1:9">
      <c r="A861" s="12">
        <v>44851</v>
      </c>
      <c r="B861" s="13">
        <v>-8.7959529968442141E-3</v>
      </c>
      <c r="C861" s="14">
        <v>-9.1667876214725965E-3</v>
      </c>
      <c r="D861" s="13">
        <v>2.9227862025056855E-3</v>
      </c>
      <c r="E861" s="14">
        <v>-1.0566652066008835E-2</v>
      </c>
      <c r="F861" s="13">
        <v>7.9657283949090395E-3</v>
      </c>
      <c r="G861" s="14">
        <v>4.8687185799189069E-4</v>
      </c>
      <c r="H861" s="13">
        <v>-3.2449285120162387E-3</v>
      </c>
      <c r="I861" s="15">
        <f t="shared" si="13"/>
        <v>-8.300026264662563E-3</v>
      </c>
    </row>
    <row r="862" spans="1:9">
      <c r="A862" s="12">
        <v>44848</v>
      </c>
      <c r="B862" s="13">
        <v>-3.7912658405708098E-3</v>
      </c>
      <c r="C862" s="14">
        <v>-2.2118056756696776E-3</v>
      </c>
      <c r="D862" s="13">
        <v>6.2923076350879618E-3</v>
      </c>
      <c r="E862" s="14">
        <v>2.5898262443315458E-3</v>
      </c>
      <c r="F862" s="13">
        <v>7.2970831543785275E-3</v>
      </c>
      <c r="G862" s="14">
        <v>-5.2852363827984812E-2</v>
      </c>
      <c r="H862" s="13">
        <v>-8.225565468313871E-3</v>
      </c>
      <c r="I862" s="15">
        <f t="shared" si="13"/>
        <v>-5.3959543718542571E-3</v>
      </c>
    </row>
    <row r="863" spans="1:9">
      <c r="A863" s="12">
        <v>44847</v>
      </c>
      <c r="B863" s="13">
        <v>7.3500995533138918E-3</v>
      </c>
      <c r="C863" s="14">
        <v>4.5747880373259043E-3</v>
      </c>
      <c r="D863" s="13">
        <v>1.4827298419922386E-3</v>
      </c>
      <c r="E863" s="14">
        <v>-1.5165840073265366E-2</v>
      </c>
      <c r="F863" s="13">
        <v>1.4734892965919004E-2</v>
      </c>
      <c r="G863" s="14">
        <v>3.2291504636523534E-2</v>
      </c>
      <c r="H863" s="13">
        <v>-2.1701771110388447E-2</v>
      </c>
      <c r="I863" s="15">
        <f t="shared" si="13"/>
        <v>6.6280046023336385E-3</v>
      </c>
    </row>
    <row r="864" spans="1:9">
      <c r="A864" s="12">
        <v>44846</v>
      </c>
      <c r="B864" s="13">
        <v>1.2141634630645605E-2</v>
      </c>
      <c r="C864" s="14">
        <v>1.6923495703021006E-2</v>
      </c>
      <c r="D864" s="13">
        <v>-6.8930835528829126E-3</v>
      </c>
      <c r="E864" s="14">
        <v>-4.5663627784982303E-3</v>
      </c>
      <c r="F864" s="13">
        <v>-2.9895388483660483E-3</v>
      </c>
      <c r="G864" s="14">
        <v>2.7789611555340082E-2</v>
      </c>
      <c r="H864" s="13">
        <v>3.9827754057834223E-2</v>
      </c>
      <c r="I864" s="15">
        <f t="shared" si="13"/>
        <v>1.2822891498084257E-2</v>
      </c>
    </row>
    <row r="865" spans="1:9">
      <c r="A865" s="12">
        <v>44845</v>
      </c>
      <c r="B865" s="13">
        <v>1.5427454705622415E-2</v>
      </c>
      <c r="C865" s="14">
        <v>-1.2952223766503868E-2</v>
      </c>
      <c r="D865" s="13">
        <v>7.4990217657268793E-3</v>
      </c>
      <c r="E865" s="14">
        <v>-5.4178219080581467E-3</v>
      </c>
      <c r="F865" s="13">
        <v>5.6725036415466281E-3</v>
      </c>
      <c r="G865" s="14">
        <v>2.3200785904771766E-2</v>
      </c>
      <c r="H865" s="13">
        <v>-7.1514797187898519E-3</v>
      </c>
      <c r="I865" s="15">
        <f t="shared" si="13"/>
        <v>9.6729171405737658E-3</v>
      </c>
    </row>
    <row r="866" spans="1:9">
      <c r="A866" s="12">
        <v>44844</v>
      </c>
      <c r="B866" s="13">
        <v>-6.3102244618538682E-3</v>
      </c>
      <c r="C866" s="14">
        <v>8.2231736413558663E-3</v>
      </c>
      <c r="D866" s="13">
        <v>-2.6283880881773744E-3</v>
      </c>
      <c r="E866" s="14">
        <v>1.5442730746626268E-2</v>
      </c>
      <c r="F866" s="13">
        <v>3.2694337341146271E-3</v>
      </c>
      <c r="G866" s="14">
        <v>-5.4559936944732742E-3</v>
      </c>
      <c r="H866" s="13">
        <v>3.7011203726771566E-2</v>
      </c>
      <c r="I866" s="15">
        <f t="shared" si="13"/>
        <v>-2.3272722286674483E-3</v>
      </c>
    </row>
    <row r="867" spans="1:9">
      <c r="A867" s="12">
        <v>44841</v>
      </c>
      <c r="B867" s="13">
        <v>1.985975127721628E-2</v>
      </c>
      <c r="C867" s="14">
        <v>5.0358574142280585E-3</v>
      </c>
      <c r="D867" s="13">
        <v>7.8645293436102881E-3</v>
      </c>
      <c r="E867" s="14">
        <v>-2.2996844132499583E-3</v>
      </c>
      <c r="F867" s="13">
        <v>2.0749970391602166E-3</v>
      </c>
      <c r="G867" s="14">
        <v>5.703287514512035E-3</v>
      </c>
      <c r="H867" s="13">
        <v>-2.6384880321425434E-2</v>
      </c>
      <c r="I867" s="15">
        <f t="shared" si="13"/>
        <v>1.5048481783504774E-2</v>
      </c>
    </row>
    <row r="868" spans="1:9">
      <c r="A868" s="12">
        <v>44840</v>
      </c>
      <c r="B868" s="13">
        <v>-4.4210393246395981E-3</v>
      </c>
      <c r="C868" s="14">
        <v>-1.6820766640026234E-2</v>
      </c>
      <c r="D868" s="13">
        <v>3.5089514173293726E-3</v>
      </c>
      <c r="E868" s="14">
        <v>9.8232308732485955E-3</v>
      </c>
      <c r="F868" s="13">
        <v>1.3821716876064949E-2</v>
      </c>
      <c r="G868" s="14">
        <v>-6.6306061601305198E-3</v>
      </c>
      <c r="H868" s="13">
        <v>-2.109936402424601E-2</v>
      </c>
      <c r="I868" s="15">
        <f t="shared" si="13"/>
        <v>-5.9273456241136935E-3</v>
      </c>
    </row>
    <row r="869" spans="1:9">
      <c r="A869" s="12">
        <v>44838</v>
      </c>
      <c r="B869" s="13">
        <v>2.6399883333566364E-3</v>
      </c>
      <c r="C869" s="14">
        <v>-4.8756229574053913E-4</v>
      </c>
      <c r="D869" s="13">
        <v>-1.0013017758590875E-3</v>
      </c>
      <c r="E869" s="14">
        <v>7.994194711313244E-3</v>
      </c>
      <c r="F869" s="13">
        <v>-1.1160174568551921E-2</v>
      </c>
      <c r="G869" s="14">
        <v>-7.6320643033225373E-3</v>
      </c>
      <c r="H869" s="13">
        <v>1.8379522261058732E-2</v>
      </c>
      <c r="I869" s="15">
        <f t="shared" si="13"/>
        <v>1.9649506926600014E-3</v>
      </c>
    </row>
    <row r="870" spans="1:9">
      <c r="A870" s="12">
        <v>44837</v>
      </c>
      <c r="B870" s="13">
        <v>-1.0496056844841867E-2</v>
      </c>
      <c r="C870" s="14">
        <v>-1.5907214310399639E-2</v>
      </c>
      <c r="D870" s="13">
        <v>-4.2499854818068752E-3</v>
      </c>
      <c r="E870" s="14">
        <v>1.9208936744641841E-2</v>
      </c>
      <c r="F870" s="13">
        <v>-7.7083097358308155E-3</v>
      </c>
      <c r="G870" s="14">
        <v>8.288061612375653E-3</v>
      </c>
      <c r="H870" s="13">
        <v>-1.1219388432327719E-2</v>
      </c>
      <c r="I870" s="15">
        <f t="shared" si="13"/>
        <v>-8.9862407157692559E-3</v>
      </c>
    </row>
    <row r="871" spans="1:9">
      <c r="A871" s="12">
        <v>44834</v>
      </c>
      <c r="B871" s="13">
        <v>1.1903200575724427E-2</v>
      </c>
      <c r="C871" s="14">
        <v>1.8906826999728853E-2</v>
      </c>
      <c r="D871" s="13">
        <v>5.6515274070953929E-3</v>
      </c>
      <c r="E871" s="14">
        <v>-7.9334013875389936E-3</v>
      </c>
      <c r="F871" s="13">
        <v>3.8615821044004225E-3</v>
      </c>
      <c r="G871" s="14">
        <v>-2.4678792171025461E-3</v>
      </c>
      <c r="H871" s="13">
        <v>-1.2186111907322567E-2</v>
      </c>
      <c r="I871" s="15">
        <f t="shared" si="13"/>
        <v>1.1146058671712268E-2</v>
      </c>
    </row>
    <row r="872" spans="1:9">
      <c r="A872" s="12">
        <v>44833</v>
      </c>
      <c r="B872" s="13">
        <v>1.2590749404770845E-2</v>
      </c>
      <c r="C872" s="14">
        <v>5.3341735844001214E-3</v>
      </c>
      <c r="D872" s="13">
        <v>5.9181607052447589E-3</v>
      </c>
      <c r="E872" s="14">
        <v>7.3253692647112564E-3</v>
      </c>
      <c r="F872" s="13">
        <v>-2.3092944032287944E-2</v>
      </c>
      <c r="G872" s="14">
        <v>-7.0750451524865402E-3</v>
      </c>
      <c r="H872" s="13">
        <v>-1.4038285511535697E-2</v>
      </c>
      <c r="I872" s="15">
        <f t="shared" si="13"/>
        <v>9.8420190196070786E-3</v>
      </c>
    </row>
    <row r="873" spans="1:9">
      <c r="A873" s="12">
        <v>44832</v>
      </c>
      <c r="B873" s="13">
        <v>5.3452831623712678E-2</v>
      </c>
      <c r="C873" s="14">
        <v>1.3450877252807506E-2</v>
      </c>
      <c r="D873" s="13">
        <v>3.4086241326157134E-3</v>
      </c>
      <c r="E873" s="14">
        <v>-6.4067581400368704E-3</v>
      </c>
      <c r="F873" s="13">
        <v>-5.4761317255874048E-3</v>
      </c>
      <c r="G873" s="14">
        <v>-7.0798079990084248E-4</v>
      </c>
      <c r="H873" s="13">
        <v>-6.9393684386015574E-3</v>
      </c>
      <c r="I873" s="15">
        <f t="shared" si="13"/>
        <v>4.0016440289292639E-2</v>
      </c>
    </row>
    <row r="874" spans="1:9">
      <c r="A874" s="12">
        <v>44831</v>
      </c>
      <c r="B874" s="13">
        <v>-2.8405755746118394E-2</v>
      </c>
      <c r="C874" s="14">
        <v>-3.2452967345058587E-4</v>
      </c>
      <c r="D874" s="13">
        <v>-4.6262640439144535E-4</v>
      </c>
      <c r="E874" s="14">
        <v>-9.008100512170077E-3</v>
      </c>
      <c r="F874" s="13">
        <v>-1.0734652996457057E-2</v>
      </c>
      <c r="G874" s="14">
        <v>-5.9347355198146896E-3</v>
      </c>
      <c r="H874" s="13">
        <v>-5.5725781439837103E-3</v>
      </c>
      <c r="I874" s="15">
        <f t="shared" si="13"/>
        <v>-2.109863471024476E-2</v>
      </c>
    </row>
    <row r="875" spans="1:9">
      <c r="A875" s="12">
        <v>44830</v>
      </c>
      <c r="B875" s="13">
        <v>-9.437446107260182E-3</v>
      </c>
      <c r="C875" s="14">
        <v>-2.7914820620088196E-3</v>
      </c>
      <c r="D875" s="13">
        <v>-2.7471180829004224E-3</v>
      </c>
      <c r="E875" s="14">
        <v>-2.447876887225791E-2</v>
      </c>
      <c r="F875" s="13">
        <v>1.7423641147253692E-2</v>
      </c>
      <c r="G875" s="14">
        <v>-1.0001122729558561E-2</v>
      </c>
      <c r="H875" s="13">
        <v>1.0124496608181578E-2</v>
      </c>
      <c r="I875" s="15">
        <f t="shared" si="13"/>
        <v>-8.8097049684401282E-3</v>
      </c>
    </row>
    <row r="876" spans="1:9">
      <c r="A876" s="12">
        <v>44827</v>
      </c>
      <c r="B876" s="13">
        <v>-1.2527054192014289E-2</v>
      </c>
      <c r="C876" s="14">
        <v>1.1024798206176726E-2</v>
      </c>
      <c r="D876" s="13">
        <v>9.8938871849183815E-3</v>
      </c>
      <c r="E876" s="14">
        <v>1.0796963409635096E-2</v>
      </c>
      <c r="F876" s="13">
        <v>9.950330853168092E-3</v>
      </c>
      <c r="G876" s="14">
        <v>1.2527260024580188E-3</v>
      </c>
      <c r="H876" s="13">
        <v>2.0515446526297981E-2</v>
      </c>
      <c r="I876" s="15">
        <f t="shared" si="13"/>
        <v>-6.1751541203474147E-3</v>
      </c>
    </row>
    <row r="877" spans="1:9">
      <c r="A877" s="12">
        <v>44826</v>
      </c>
      <c r="B877" s="13">
        <v>1.1930608119968347E-2</v>
      </c>
      <c r="C877" s="14">
        <v>2.5342803161939589E-3</v>
      </c>
      <c r="D877" s="13">
        <v>3.4398631766529523E-3</v>
      </c>
      <c r="E877" s="14">
        <v>4.1554119126062028E-3</v>
      </c>
      <c r="F877" s="13">
        <v>-4.8120393606872853E-3</v>
      </c>
      <c r="G877" s="14">
        <v>2.2375477870070746E-2</v>
      </c>
      <c r="H877" s="13">
        <v>9.4228809155514851E-3</v>
      </c>
      <c r="I877" s="15">
        <f t="shared" si="13"/>
        <v>1.0300614894881483E-2</v>
      </c>
    </row>
    <row r="878" spans="1:9">
      <c r="A878" s="12">
        <v>44825</v>
      </c>
      <c r="B878" s="13">
        <v>-2.3543316939118115E-2</v>
      </c>
      <c r="C878" s="14">
        <v>-1.9550685178076191E-2</v>
      </c>
      <c r="D878" s="13">
        <v>2.0490463929732219E-2</v>
      </c>
      <c r="E878" s="14">
        <v>-3.7484815703342713E-3</v>
      </c>
      <c r="F878" s="13">
        <v>1.5555204459500462E-2</v>
      </c>
      <c r="G878" s="14">
        <v>3.8692645768063261E-3</v>
      </c>
      <c r="H878" s="13">
        <v>-3.9775929458096555E-4</v>
      </c>
      <c r="I878" s="15">
        <f t="shared" si="13"/>
        <v>-1.9820432608750948E-2</v>
      </c>
    </row>
    <row r="879" spans="1:9">
      <c r="A879" s="12">
        <v>44824</v>
      </c>
      <c r="B879" s="13">
        <v>1.1008741768551747E-2</v>
      </c>
      <c r="C879" s="14">
        <v>1.7338273977532872E-2</v>
      </c>
      <c r="D879" s="13">
        <v>1.8035670183487323E-2</v>
      </c>
      <c r="E879" s="14">
        <v>1.6358442164338939E-2</v>
      </c>
      <c r="F879" s="13">
        <v>-5.6556185874407057E-3</v>
      </c>
      <c r="G879" s="14">
        <v>-3.5514851222454805E-2</v>
      </c>
      <c r="H879" s="13">
        <v>1.4318639656172971E-2</v>
      </c>
      <c r="I879" s="15">
        <f t="shared" si="13"/>
        <v>1.0265060516212952E-2</v>
      </c>
    </row>
    <row r="880" spans="1:9">
      <c r="A880" s="12">
        <v>44823</v>
      </c>
      <c r="B880" s="13">
        <v>-2.2938802481630195E-2</v>
      </c>
      <c r="C880" s="14">
        <v>-3.6412640509171697E-3</v>
      </c>
      <c r="D880" s="13">
        <v>1.0922571620672396E-2</v>
      </c>
      <c r="E880" s="14">
        <v>-1.9415387395489841E-3</v>
      </c>
      <c r="F880" s="13">
        <v>-9.8995858720597688E-3</v>
      </c>
      <c r="G880" s="14">
        <v>2.594035177046749E-3</v>
      </c>
      <c r="H880" s="13">
        <v>-2.64262538338285E-2</v>
      </c>
      <c r="I880" s="15">
        <f t="shared" si="13"/>
        <v>-1.7039566745303426E-2</v>
      </c>
    </row>
    <row r="881" spans="1:9">
      <c r="A881" s="12">
        <v>44820</v>
      </c>
      <c r="B881" s="13">
        <v>1.897933931171428E-3</v>
      </c>
      <c r="C881" s="14">
        <v>1.1654505138331189E-2</v>
      </c>
      <c r="D881" s="13">
        <v>-3.1175010440531968E-3</v>
      </c>
      <c r="E881" s="14">
        <v>-1.3165847683472696E-2</v>
      </c>
      <c r="F881" s="13">
        <v>2.7096208058206483E-3</v>
      </c>
      <c r="G881" s="14">
        <v>-4.5850178573399467E-3</v>
      </c>
      <c r="H881" s="13">
        <v>3.8516333306362572E-3</v>
      </c>
      <c r="I881" s="15">
        <f t="shared" si="13"/>
        <v>2.4501658681346148E-3</v>
      </c>
    </row>
    <row r="882" spans="1:9">
      <c r="A882" s="12">
        <v>44819</v>
      </c>
      <c r="B882" s="13">
        <v>2.1689013993412273E-2</v>
      </c>
      <c r="C882" s="14">
        <v>2.4504801527747862E-2</v>
      </c>
      <c r="D882" s="13">
        <v>-1.2915975477337169E-2</v>
      </c>
      <c r="E882" s="14">
        <v>5.1090104302527549E-2</v>
      </c>
      <c r="F882" s="13">
        <v>2.2299125254322517E-2</v>
      </c>
      <c r="G882" s="14">
        <v>2.3419214450811246E-3</v>
      </c>
      <c r="H882" s="13">
        <v>1.7068937066884633E-2</v>
      </c>
      <c r="I882" s="15">
        <f t="shared" si="13"/>
        <v>2.2244752319806119E-2</v>
      </c>
    </row>
    <row r="883" spans="1:9">
      <c r="A883" s="12">
        <v>44818</v>
      </c>
      <c r="B883" s="13">
        <v>1.2744617839832724E-2</v>
      </c>
      <c r="C883" s="14">
        <v>4.5707261086771062E-3</v>
      </c>
      <c r="D883" s="13">
        <v>-1.0716375708839146E-2</v>
      </c>
      <c r="E883" s="14">
        <v>3.9423227737350576E-3</v>
      </c>
      <c r="F883" s="13">
        <v>0</v>
      </c>
      <c r="G883" s="14">
        <v>-9.8258941512911722E-3</v>
      </c>
      <c r="H883" s="13">
        <v>6.3877049560113006E-3</v>
      </c>
      <c r="I883" s="15">
        <f t="shared" si="13"/>
        <v>9.5141100504527714E-3</v>
      </c>
    </row>
    <row r="884" spans="1:9">
      <c r="A884" s="12">
        <v>44817</v>
      </c>
      <c r="B884" s="13">
        <v>-4.8825731184958289E-3</v>
      </c>
      <c r="C884" s="14">
        <v>1.0434056754511813E-2</v>
      </c>
      <c r="D884" s="13">
        <v>-1.044471436605034E-2</v>
      </c>
      <c r="E884" s="14">
        <v>2.9539500994052322E-3</v>
      </c>
      <c r="F884" s="13">
        <v>-1.1236073266925842E-2</v>
      </c>
      <c r="G884" s="14">
        <v>-3.3289175801091163E-2</v>
      </c>
      <c r="H884" s="13">
        <v>4.5730093338798142E-2</v>
      </c>
      <c r="I884" s="15">
        <f t="shared" si="13"/>
        <v>-2.8973515491480493E-3</v>
      </c>
    </row>
    <row r="885" spans="1:9">
      <c r="A885" s="12">
        <v>44816</v>
      </c>
      <c r="B885" s="13">
        <v>2.9178358703327483E-3</v>
      </c>
      <c r="C885" s="14">
        <v>-3.7916061517167285E-4</v>
      </c>
      <c r="D885" s="13">
        <v>3.7083060085935362E-3</v>
      </c>
      <c r="E885" s="14">
        <v>1.9742761263692728E-3</v>
      </c>
      <c r="F885" s="13">
        <v>7.1111410775019715E-3</v>
      </c>
      <c r="G885" s="14">
        <v>-2.5051075697394978E-2</v>
      </c>
      <c r="H885" s="13">
        <v>6.2384977717674499E-5</v>
      </c>
      <c r="I885" s="15">
        <f t="shared" si="13"/>
        <v>1.0005607380263242E-3</v>
      </c>
    </row>
    <row r="886" spans="1:9">
      <c r="A886" s="12">
        <v>44813</v>
      </c>
      <c r="B886" s="13">
        <v>2.8076625393239564E-3</v>
      </c>
      <c r="C886" s="14">
        <v>-7.5875279139659454E-4</v>
      </c>
      <c r="D886" s="13">
        <v>3.5398800028529627E-4</v>
      </c>
      <c r="E886" s="14">
        <v>7.5370241098494835E-3</v>
      </c>
      <c r="F886" s="13">
        <v>1.05727857124137E-2</v>
      </c>
      <c r="G886" s="14">
        <v>1.130490127290059E-2</v>
      </c>
      <c r="H886" s="13">
        <v>-4.3835211340346548E-2</v>
      </c>
      <c r="I886" s="15">
        <f t="shared" si="13"/>
        <v>2.4314644001116868E-3</v>
      </c>
    </row>
    <row r="887" spans="1:9">
      <c r="A887" s="12">
        <v>44812</v>
      </c>
      <c r="B887" s="13">
        <v>2.4085908335960944E-3</v>
      </c>
      <c r="C887" s="14">
        <v>1.8056087096856729E-3</v>
      </c>
      <c r="D887" s="13">
        <v>-2.0613251308186989E-3</v>
      </c>
      <c r="E887" s="14">
        <v>2.334608700381738E-3</v>
      </c>
      <c r="F887" s="13">
        <v>1.5940056384043087E-2</v>
      </c>
      <c r="G887" s="14">
        <v>-1.6851291376453411E-3</v>
      </c>
      <c r="H887" s="13">
        <v>4.5611549124538152E-2</v>
      </c>
      <c r="I887" s="15">
        <f t="shared" si="13"/>
        <v>2.4276264546385126E-3</v>
      </c>
    </row>
    <row r="888" spans="1:9">
      <c r="A888" s="12">
        <v>44811</v>
      </c>
      <c r="B888" s="13">
        <v>-1.4539340858478873E-2</v>
      </c>
      <c r="C888" s="14">
        <v>-8.2965478427639832E-3</v>
      </c>
      <c r="D888" s="13">
        <v>-1.2457986193634637E-2</v>
      </c>
      <c r="E888" s="14">
        <v>-2.8981535715028775E-2</v>
      </c>
      <c r="F888" s="13">
        <v>-7.5036427109098783E-3</v>
      </c>
      <c r="G888" s="14">
        <v>2.9471150768620152E-3</v>
      </c>
      <c r="H888" s="13">
        <v>-0.11772854886357945</v>
      </c>
      <c r="I888" s="15">
        <f t="shared" si="13"/>
        <v>-1.4198709874804E-2</v>
      </c>
    </row>
    <row r="889" spans="1:9">
      <c r="A889" s="12">
        <v>44810</v>
      </c>
      <c r="B889" s="13">
        <v>-1.50097149846635E-3</v>
      </c>
      <c r="C889" s="14">
        <v>-2.8052042148653126E-3</v>
      </c>
      <c r="D889" s="13">
        <v>-8.1619727056552929E-3</v>
      </c>
      <c r="E889" s="14">
        <v>4.3712644455097364E-3</v>
      </c>
      <c r="F889" s="13">
        <v>5.7920650330522115E-4</v>
      </c>
      <c r="G889" s="14">
        <v>-4.0396536463949535E-2</v>
      </c>
      <c r="H889" s="13">
        <v>-5.7747853003605763E-2</v>
      </c>
      <c r="I889" s="15">
        <f t="shared" si="13"/>
        <v>-3.7899641365373468E-3</v>
      </c>
    </row>
    <row r="890" spans="1:9">
      <c r="A890" s="12">
        <v>44809</v>
      </c>
      <c r="B890" s="13">
        <v>8.6656798465587943E-3</v>
      </c>
      <c r="C890" s="14">
        <v>4.0231979482504426E-3</v>
      </c>
      <c r="D890" s="13">
        <v>1.8069637112808946E-2</v>
      </c>
      <c r="E890" s="14">
        <v>-9.9981317147878369E-3</v>
      </c>
      <c r="F890" s="13">
        <v>1.7791000098443741E-2</v>
      </c>
      <c r="G890" s="14">
        <v>1.5437263466554908E-3</v>
      </c>
      <c r="H890" s="13">
        <v>5.0709860114488718E-3</v>
      </c>
      <c r="I890" s="15">
        <f t="shared" si="13"/>
        <v>6.7254202099182557E-3</v>
      </c>
    </row>
    <row r="891" spans="1:9">
      <c r="A891" s="12">
        <v>44806</v>
      </c>
      <c r="B891" s="13">
        <v>1.8232609323120025E-3</v>
      </c>
      <c r="C891" s="14">
        <v>1.1506525920560513E-2</v>
      </c>
      <c r="D891" s="13">
        <v>2.726180722731399E-2</v>
      </c>
      <c r="E891" s="14">
        <v>5.2066991958699326E-3</v>
      </c>
      <c r="F891" s="13">
        <v>-4.0928655498437522E-2</v>
      </c>
      <c r="G891" s="14">
        <v>-2.3164840998078891E-3</v>
      </c>
      <c r="H891" s="13">
        <v>-1.2191293971688258E-3</v>
      </c>
      <c r="I891" s="15">
        <f t="shared" si="13"/>
        <v>3.6742320667009268E-3</v>
      </c>
    </row>
    <row r="892" spans="1:9">
      <c r="A892" s="12">
        <v>44805</v>
      </c>
      <c r="B892" s="13">
        <v>4.5073939287735496E-3</v>
      </c>
      <c r="C892" s="14">
        <v>9.6872964897424321E-3</v>
      </c>
      <c r="D892" s="13">
        <v>1.6069239205392431E-2</v>
      </c>
      <c r="E892" s="14">
        <v>8.7866674098298417E-3</v>
      </c>
      <c r="F892" s="13">
        <v>-1.0125160949873603E-2</v>
      </c>
      <c r="G892" s="14">
        <v>7.342780102871569E-3</v>
      </c>
      <c r="H892" s="13">
        <v>2.1417237978807965E-3</v>
      </c>
      <c r="I892" s="15">
        <f t="shared" si="13"/>
        <v>5.8336479922694254E-3</v>
      </c>
    </row>
    <row r="893" spans="1:9">
      <c r="A893" s="12">
        <v>44803</v>
      </c>
      <c r="B893" s="13">
        <v>-1.6071944261974024E-2</v>
      </c>
      <c r="C893" s="14">
        <v>-1.4061570626822529E-3</v>
      </c>
      <c r="D893" s="13">
        <v>3.8795613703974309E-2</v>
      </c>
      <c r="E893" s="14">
        <v>2.3776276543946355E-3</v>
      </c>
      <c r="F893" s="13">
        <v>-5.7031521835164438E-3</v>
      </c>
      <c r="G893" s="14">
        <v>-7.1881807724940364E-3</v>
      </c>
      <c r="H893" s="13">
        <v>-1.673834876001153E-2</v>
      </c>
      <c r="I893" s="15">
        <f t="shared" si="13"/>
        <v>-1.1574085308734071E-2</v>
      </c>
    </row>
    <row r="894" spans="1:9">
      <c r="A894" s="12">
        <v>44802</v>
      </c>
      <c r="B894" s="13">
        <v>-1.4358398676941978E-2</v>
      </c>
      <c r="C894" s="14">
        <v>-1.7301749405060626E-2</v>
      </c>
      <c r="D894" s="13">
        <v>1.0720946138434665E-2</v>
      </c>
      <c r="E894" s="14">
        <v>-4.0807152109550597E-2</v>
      </c>
      <c r="F894" s="13">
        <v>-3.1806962620911608E-2</v>
      </c>
      <c r="G894" s="14">
        <v>-1.8036820930392717E-4</v>
      </c>
      <c r="H894" s="13">
        <v>-2.3338503553407847E-2</v>
      </c>
      <c r="I894" s="15">
        <f t="shared" si="13"/>
        <v>-1.5282426879178647E-2</v>
      </c>
    </row>
    <row r="895" spans="1:9">
      <c r="A895" s="12">
        <v>44799</v>
      </c>
      <c r="B895" s="13">
        <v>-5.9098990035112058E-3</v>
      </c>
      <c r="C895" s="14">
        <v>-3.0129251774190704E-3</v>
      </c>
      <c r="D895" s="13">
        <v>-1.6005092597088936E-2</v>
      </c>
      <c r="E895" s="14">
        <v>1.595125846016129E-2</v>
      </c>
      <c r="F895" s="13">
        <v>4.5559047809888786E-2</v>
      </c>
      <c r="G895" s="14">
        <v>-6.7022403457496797E-4</v>
      </c>
      <c r="H895" s="13">
        <v>7.6760702291440053E-4</v>
      </c>
      <c r="I895" s="15">
        <f t="shared" si="13"/>
        <v>-4.1044174418780419E-3</v>
      </c>
    </row>
    <row r="896" spans="1:9">
      <c r="A896" s="12">
        <v>44798</v>
      </c>
      <c r="B896" s="13">
        <v>1.1651256160699747E-2</v>
      </c>
      <c r="C896" s="14">
        <v>-6.620306316803575E-3</v>
      </c>
      <c r="D896" s="13">
        <v>8.5243877038387039E-3</v>
      </c>
      <c r="E896" s="14">
        <v>-1.2247550522676875E-2</v>
      </c>
      <c r="F896" s="13">
        <v>-4.7619137602437026E-3</v>
      </c>
      <c r="G896" s="14">
        <v>-3.2543872512296886E-3</v>
      </c>
      <c r="H896" s="13">
        <v>-4.4218086081714951E-3</v>
      </c>
      <c r="I896" s="15">
        <f t="shared" si="13"/>
        <v>6.4982588821542167E-3</v>
      </c>
    </row>
    <row r="897" spans="1:9">
      <c r="A897" s="12">
        <v>44797</v>
      </c>
      <c r="B897" s="13">
        <v>4.8506699869458481E-3</v>
      </c>
      <c r="C897" s="14">
        <v>5.9293218182773881E-3</v>
      </c>
      <c r="D897" s="13">
        <v>-2.1986519835427661E-3</v>
      </c>
      <c r="E897" s="14">
        <v>1.5983715128753594E-2</v>
      </c>
      <c r="F897" s="13">
        <v>-2.9837386466314056E-4</v>
      </c>
      <c r="G897" s="14">
        <v>-2.6941625539375577E-3</v>
      </c>
      <c r="H897" s="13">
        <v>3.8461585874783148E-3</v>
      </c>
      <c r="I897" s="15">
        <f t="shared" si="13"/>
        <v>5.1286102480548445E-3</v>
      </c>
    </row>
    <row r="898" spans="1:9">
      <c r="A898" s="12">
        <v>44796</v>
      </c>
      <c r="B898" s="13">
        <v>-6.6068580229616362E-3</v>
      </c>
      <c r="C898" s="14">
        <v>2.4163597415277401E-3</v>
      </c>
      <c r="D898" s="13">
        <v>-1.4681911668665006E-2</v>
      </c>
      <c r="E898" s="14">
        <v>8.0624898866644198E-3</v>
      </c>
      <c r="F898" s="13">
        <v>-4.7861293875863849E-3</v>
      </c>
      <c r="G898" s="14">
        <v>5.9644984458230165E-4</v>
      </c>
      <c r="H898" s="13">
        <v>4.4048716247950467E-3</v>
      </c>
      <c r="I898" s="15">
        <f t="shared" si="13"/>
        <v>-4.0304804484955405E-3</v>
      </c>
    </row>
    <row r="899" spans="1:9">
      <c r="A899" s="12">
        <v>44795</v>
      </c>
      <c r="B899" s="13">
        <v>-2.0428407053614942E-3</v>
      </c>
      <c r="C899" s="14">
        <v>1.0828867008492832E-2</v>
      </c>
      <c r="D899" s="13">
        <v>-5.2262833455654391E-2</v>
      </c>
      <c r="E899" s="14">
        <v>9.0184885114480125E-4</v>
      </c>
      <c r="F899" s="13">
        <v>1.6062213257327113E-2</v>
      </c>
      <c r="G899" s="14">
        <v>-1.6335748323290381E-2</v>
      </c>
      <c r="H899" s="13">
        <v>1.0313808046081186E-3</v>
      </c>
      <c r="I899" s="15">
        <f t="shared" si="13"/>
        <v>-9.7536576710064045E-4</v>
      </c>
    </row>
    <row r="900" spans="1:9">
      <c r="A900" s="12">
        <v>44792</v>
      </c>
      <c r="B900" s="13">
        <v>3.8879067883970164E-2</v>
      </c>
      <c r="C900" s="14">
        <v>4.1904197554711933E-2</v>
      </c>
      <c r="D900" s="13">
        <v>-3.9506986355293636E-2</v>
      </c>
      <c r="E900" s="14">
        <v>1.292690369688821E-2</v>
      </c>
      <c r="F900" s="13">
        <v>-9.1893339695651218E-3</v>
      </c>
      <c r="G900" s="14">
        <v>3.6885786217169552E-4</v>
      </c>
      <c r="H900" s="13">
        <v>2.1715764878410149E-2</v>
      </c>
      <c r="I900" s="15">
        <f t="shared" si="13"/>
        <v>3.5125031880386522E-2</v>
      </c>
    </row>
    <row r="901" spans="1:9">
      <c r="A901" s="12">
        <v>44791</v>
      </c>
      <c r="B901" s="13">
        <v>1.5047520277818804E-2</v>
      </c>
      <c r="C901" s="14">
        <v>1.4305368674691274E-2</v>
      </c>
      <c r="D901" s="13">
        <v>3.8964518984594904E-3</v>
      </c>
      <c r="E901" s="14">
        <v>2.4885215034565495E-3</v>
      </c>
      <c r="F901" s="13">
        <v>5.9382597302593248E-3</v>
      </c>
      <c r="G901" s="14">
        <v>2.4305758180965437E-2</v>
      </c>
      <c r="H901" s="13">
        <v>-2.5694347020171156E-2</v>
      </c>
      <c r="I901" s="15">
        <f t="shared" si="13"/>
        <v>1.4246929023463436E-2</v>
      </c>
    </row>
    <row r="902" spans="1:9">
      <c r="A902" s="12">
        <v>44790</v>
      </c>
      <c r="B902" s="13">
        <v>-3.3007304317306104E-3</v>
      </c>
      <c r="C902" s="14">
        <v>-3.0421763959805736E-3</v>
      </c>
      <c r="D902" s="13">
        <v>2.1398832876318814E-3</v>
      </c>
      <c r="E902" s="14">
        <v>3.3379149841946294E-3</v>
      </c>
      <c r="F902" s="13">
        <v>-2.1544818986775915E-2</v>
      </c>
      <c r="G902" s="14">
        <v>-2.5227186648531931E-3</v>
      </c>
      <c r="H902" s="13">
        <v>1.0637789763599977E-2</v>
      </c>
      <c r="I902" s="15">
        <f t="shared" ref="I902:I965" si="14">SUMPRODUCT($B$2:$H$2,B902:H902)</f>
        <v>-2.7311782845559763E-3</v>
      </c>
    </row>
    <row r="903" spans="1:9">
      <c r="A903" s="12">
        <v>44789</v>
      </c>
      <c r="B903" s="13">
        <v>-6.4629319441101788E-3</v>
      </c>
      <c r="C903" s="14">
        <v>-3.5887381264977779E-2</v>
      </c>
      <c r="D903" s="13">
        <v>-1.0280232673366727E-2</v>
      </c>
      <c r="E903" s="14">
        <v>-1.7942371032009404E-2</v>
      </c>
      <c r="F903" s="13">
        <v>-1.5239551258538576E-2</v>
      </c>
      <c r="G903" s="14">
        <v>1.8025910682782794E-3</v>
      </c>
      <c r="H903" s="13">
        <v>6.7281777850168034E-3</v>
      </c>
      <c r="I903" s="15">
        <f t="shared" si="14"/>
        <v>-1.1560230285656262E-2</v>
      </c>
    </row>
    <row r="904" spans="1:9">
      <c r="A904" s="12">
        <v>44785</v>
      </c>
      <c r="B904" s="13">
        <v>-2.1115399487255701E-2</v>
      </c>
      <c r="C904" s="14">
        <v>-5.5198908797954027E-3</v>
      </c>
      <c r="D904" s="13">
        <v>-3.3226454906419612E-5</v>
      </c>
      <c r="E904" s="14">
        <v>-1.0776324157021712E-2</v>
      </c>
      <c r="F904" s="13">
        <v>1.6750810424815351E-2</v>
      </c>
      <c r="G904" s="14">
        <v>-1.3390686884594504E-2</v>
      </c>
      <c r="H904" s="13">
        <v>1.7735926496418041E-2</v>
      </c>
      <c r="I904" s="15">
        <f t="shared" si="14"/>
        <v>-1.6981960476833986E-2</v>
      </c>
    </row>
    <row r="905" spans="1:9">
      <c r="A905" s="12">
        <v>44784</v>
      </c>
      <c r="B905" s="13">
        <v>-6.6295674575080144E-3</v>
      </c>
      <c r="C905" s="14">
        <v>7.2711153724449521E-4</v>
      </c>
      <c r="D905" s="13">
        <v>1.0181906145119502E-2</v>
      </c>
      <c r="E905" s="14">
        <v>1.2276384440705642E-2</v>
      </c>
      <c r="F905" s="13">
        <v>-1.4909754366287151E-2</v>
      </c>
      <c r="G905" s="14">
        <v>1.212921439890549E-2</v>
      </c>
      <c r="H905" s="13">
        <v>1.8226662962983798E-2</v>
      </c>
      <c r="I905" s="15">
        <f t="shared" si="14"/>
        <v>-3.1712889924422135E-3</v>
      </c>
    </row>
    <row r="906" spans="1:9">
      <c r="A906" s="12">
        <v>44783</v>
      </c>
      <c r="B906" s="13">
        <v>1.8923702075952249E-3</v>
      </c>
      <c r="C906" s="14">
        <v>-1.5633553771081731E-2</v>
      </c>
      <c r="D906" s="13">
        <v>1.1803501488659489E-2</v>
      </c>
      <c r="E906" s="14">
        <v>-3.8145630227188997E-3</v>
      </c>
      <c r="F906" s="13">
        <v>3.0651341236143277E-4</v>
      </c>
      <c r="G906" s="14">
        <v>-2.2953239648427575E-3</v>
      </c>
      <c r="H906" s="13">
        <v>-2.1266066318413508E-2</v>
      </c>
      <c r="I906" s="15">
        <f t="shared" si="14"/>
        <v>-1.6109933056752651E-3</v>
      </c>
    </row>
    <row r="907" spans="1:9">
      <c r="A907" s="12">
        <v>44781</v>
      </c>
      <c r="B907" s="13">
        <v>1.3624466584040897E-2</v>
      </c>
      <c r="C907" s="14">
        <v>1.2312913938855361E-2</v>
      </c>
      <c r="D907" s="13">
        <v>-6.391256633716428E-3</v>
      </c>
      <c r="E907" s="14">
        <v>-4.3126263743833767E-3</v>
      </c>
      <c r="F907" s="13">
        <v>1.0972374635260724E-2</v>
      </c>
      <c r="G907" s="14">
        <v>-5.177334888594628E-3</v>
      </c>
      <c r="H907" s="13">
        <v>2.6449397059989041E-2</v>
      </c>
      <c r="I907" s="15">
        <f t="shared" si="14"/>
        <v>1.1488851018946755E-2</v>
      </c>
    </row>
    <row r="908" spans="1:9">
      <c r="A908" s="12">
        <v>44778</v>
      </c>
      <c r="B908" s="13">
        <v>4.4573703232626523E-3</v>
      </c>
      <c r="C908" s="14">
        <v>-1.3349116936009708E-3</v>
      </c>
      <c r="D908" s="13">
        <v>2.3439962321128192E-2</v>
      </c>
      <c r="E908" s="14">
        <v>1.0313244439887796E-2</v>
      </c>
      <c r="F908" s="13">
        <v>1.1452807522792572E-2</v>
      </c>
      <c r="G908" s="14">
        <v>-1.0278440735541738E-2</v>
      </c>
      <c r="H908" s="13">
        <v>-1.6696826226050624E-2</v>
      </c>
      <c r="I908" s="15">
        <f t="shared" si="14"/>
        <v>3.1543974010574309E-3</v>
      </c>
    </row>
    <row r="909" spans="1:9">
      <c r="A909" s="12">
        <v>44777</v>
      </c>
      <c r="B909" s="13">
        <v>-3.8647948428826955E-3</v>
      </c>
      <c r="C909" s="14">
        <v>-1.0078041782769933E-2</v>
      </c>
      <c r="D909" s="13">
        <v>1.1374951867081286E-2</v>
      </c>
      <c r="E909" s="14">
        <v>-2.9058031620259827E-3</v>
      </c>
      <c r="F909" s="13">
        <v>-1.9670781028736324E-2</v>
      </c>
      <c r="G909" s="14">
        <v>-9.4443576986924288E-4</v>
      </c>
      <c r="H909" s="13">
        <v>-1.683079581882942E-2</v>
      </c>
      <c r="I909" s="15">
        <f t="shared" si="14"/>
        <v>-4.6638626781988473E-3</v>
      </c>
    </row>
    <row r="910" spans="1:9">
      <c r="A910" s="12">
        <v>44776</v>
      </c>
      <c r="B910" s="13">
        <v>-6.0433652768113414E-3</v>
      </c>
      <c r="C910" s="14">
        <v>-1.4570490277363629E-2</v>
      </c>
      <c r="D910" s="13">
        <v>-6.4659496273875771E-3</v>
      </c>
      <c r="E910" s="14">
        <v>2.6963884753079849E-3</v>
      </c>
      <c r="F910" s="13">
        <v>4.1897210888932016E-2</v>
      </c>
      <c r="G910" s="14">
        <v>2.3039624342308405E-2</v>
      </c>
      <c r="H910" s="13">
        <v>5.4806915334735659E-3</v>
      </c>
      <c r="I910" s="15">
        <f t="shared" si="14"/>
        <v>-5.5449512980781457E-3</v>
      </c>
    </row>
    <row r="911" spans="1:9">
      <c r="A911" s="12">
        <v>44775</v>
      </c>
      <c r="B911" s="13">
        <v>-1.2727284938009941E-2</v>
      </c>
      <c r="C911" s="14">
        <v>-7.4759853462273273E-3</v>
      </c>
      <c r="D911" s="13">
        <v>-1.4703085314241906E-2</v>
      </c>
      <c r="E911" s="14">
        <v>1.3787174267581401E-2</v>
      </c>
      <c r="F911" s="13">
        <v>3.5980280593910827E-2</v>
      </c>
      <c r="G911" s="14">
        <v>6.6664959777736055E-4</v>
      </c>
      <c r="H911" s="13">
        <v>2.0134290773777739E-2</v>
      </c>
      <c r="I911" s="15">
        <f t="shared" si="14"/>
        <v>-9.5996083022701871E-3</v>
      </c>
    </row>
    <row r="912" spans="1:9">
      <c r="A912" s="12">
        <v>44774</v>
      </c>
      <c r="B912" s="13">
        <v>-2.1308110482067228E-2</v>
      </c>
      <c r="C912" s="14">
        <v>-3.6771672054975842E-2</v>
      </c>
      <c r="D912" s="13">
        <v>-9.594286239954368E-2</v>
      </c>
      <c r="E912" s="14">
        <v>-0.16369828244941417</v>
      </c>
      <c r="F912" s="13">
        <v>-4.8959813843263193E-2</v>
      </c>
      <c r="G912" s="14">
        <v>-2.0269670437914806E-3</v>
      </c>
      <c r="H912" s="13">
        <v>-6.6479036931401281E-2</v>
      </c>
      <c r="I912" s="15">
        <f t="shared" si="14"/>
        <v>-3.1405891313211184E-2</v>
      </c>
    </row>
    <row r="913" spans="1:9">
      <c r="A913" s="12">
        <v>44771</v>
      </c>
      <c r="B913" s="13">
        <v>2.7634699111944404E-3</v>
      </c>
      <c r="C913" s="14">
        <v>-6.7007698120263312E-3</v>
      </c>
      <c r="D913" s="13">
        <v>-1.143114540811197E-2</v>
      </c>
      <c r="E913" s="14">
        <v>-7.5906331635808885E-2</v>
      </c>
      <c r="F913" s="13">
        <v>5.3301873308633525E-3</v>
      </c>
      <c r="G913" s="14">
        <v>-8.9933840454881205E-4</v>
      </c>
      <c r="H913" s="13">
        <v>-5.9372855168529715E-3</v>
      </c>
      <c r="I913" s="15">
        <f t="shared" si="14"/>
        <v>-3.144806555549007E-3</v>
      </c>
    </row>
    <row r="914" spans="1:9">
      <c r="A914" s="12">
        <v>44770</v>
      </c>
      <c r="B914" s="13">
        <v>-1.8574135856680846E-2</v>
      </c>
      <c r="C914" s="14">
        <v>-1.207849181894434E-2</v>
      </c>
      <c r="D914" s="13">
        <v>-1.33019379323405E-3</v>
      </c>
      <c r="E914" s="14">
        <v>1.2150727203930681E-2</v>
      </c>
      <c r="F914" s="13">
        <v>-4.143243571334625E-3</v>
      </c>
      <c r="G914" s="14">
        <v>1.9727015788072056E-2</v>
      </c>
      <c r="H914" s="13">
        <v>-1.3290673424233018E-2</v>
      </c>
      <c r="I914" s="15">
        <f t="shared" si="14"/>
        <v>-1.3892205388593462E-2</v>
      </c>
    </row>
    <row r="915" spans="1:9">
      <c r="A915" s="12">
        <v>44769</v>
      </c>
      <c r="B915" s="13">
        <v>-2.674175563293206E-2</v>
      </c>
      <c r="C915" s="14">
        <v>-3.3510761319006814E-2</v>
      </c>
      <c r="D915" s="13">
        <v>-5.0853985851043232E-3</v>
      </c>
      <c r="E915" s="14">
        <v>-1.3051121187101463E-2</v>
      </c>
      <c r="F915" s="13">
        <v>-1.463805076715172E-2</v>
      </c>
      <c r="G915" s="14">
        <v>-3.6360921812479026E-3</v>
      </c>
      <c r="H915" s="13">
        <v>-6.2925851828133719E-3</v>
      </c>
      <c r="I915" s="15">
        <f t="shared" si="14"/>
        <v>-2.5673271244713965E-2</v>
      </c>
    </row>
    <row r="916" spans="1:9">
      <c r="A916" s="12">
        <v>44768</v>
      </c>
      <c r="B916" s="13">
        <v>-2.464161029721898E-2</v>
      </c>
      <c r="C916" s="14">
        <v>-1.8260530116519756E-2</v>
      </c>
      <c r="D916" s="13">
        <v>1.1925197907954011E-3</v>
      </c>
      <c r="E916" s="14">
        <v>1.5012197438592291E-4</v>
      </c>
      <c r="F916" s="13">
        <v>-1.5772240816210328E-2</v>
      </c>
      <c r="G916" s="14">
        <v>-1.7093997211073353E-2</v>
      </c>
      <c r="H916" s="13">
        <v>-5.287626484088751E-3</v>
      </c>
      <c r="I916" s="15">
        <f t="shared" si="14"/>
        <v>-2.1491521391912728E-2</v>
      </c>
    </row>
    <row r="917" spans="1:9">
      <c r="A917" s="12">
        <v>44767</v>
      </c>
      <c r="B917" s="13">
        <v>-1.142682531050161E-3</v>
      </c>
      <c r="C917" s="14">
        <v>1.439283261550676E-2</v>
      </c>
      <c r="D917" s="13">
        <v>5.1152849291252389E-3</v>
      </c>
      <c r="E917" s="14">
        <v>7.7009726380486551E-3</v>
      </c>
      <c r="F917" s="13">
        <v>2.1377317653909654E-3</v>
      </c>
      <c r="G917" s="14">
        <v>4.6308207670875818E-4</v>
      </c>
      <c r="H917" s="13">
        <v>6.4854705083280291E-3</v>
      </c>
      <c r="I917" s="15">
        <f t="shared" si="14"/>
        <v>2.1366531277911913E-3</v>
      </c>
    </row>
    <row r="918" spans="1:9">
      <c r="A918" s="12">
        <v>44764</v>
      </c>
      <c r="B918" s="13">
        <v>-1.216731496166264E-2</v>
      </c>
      <c r="C918" s="14">
        <v>-8.6963239234133932E-3</v>
      </c>
      <c r="D918" s="13">
        <v>1.2568003521558062E-3</v>
      </c>
      <c r="E918" s="14">
        <v>-1.6025943090435312E-3</v>
      </c>
      <c r="F918" s="13">
        <v>0</v>
      </c>
      <c r="G918" s="14">
        <v>-9.9258963668473477E-3</v>
      </c>
      <c r="H918" s="13">
        <v>1.5442793528609423E-2</v>
      </c>
      <c r="I918" s="15">
        <f t="shared" si="14"/>
        <v>-1.0543957090334363E-2</v>
      </c>
    </row>
    <row r="919" spans="1:9">
      <c r="A919" s="12">
        <v>44763</v>
      </c>
      <c r="B919" s="13">
        <v>-4.2390153076276243E-4</v>
      </c>
      <c r="C919" s="14">
        <v>8.030054301859383E-3</v>
      </c>
      <c r="D919" s="13">
        <v>-1.8678166349808424E-3</v>
      </c>
      <c r="E919" s="14">
        <v>-1.8331870523261101E-2</v>
      </c>
      <c r="F919" s="13">
        <v>-6.4269540275416108E-3</v>
      </c>
      <c r="G919" s="14">
        <v>2.7757258700032905E-3</v>
      </c>
      <c r="H919" s="13">
        <v>-2.1125309119860259E-2</v>
      </c>
      <c r="I919" s="15">
        <f t="shared" si="14"/>
        <v>7.0038221482656782E-5</v>
      </c>
    </row>
    <row r="920" spans="1:9">
      <c r="A920" s="12">
        <v>44762</v>
      </c>
      <c r="B920" s="13">
        <v>-1.9646414978211055E-2</v>
      </c>
      <c r="C920" s="14">
        <v>-2.7125233952424475E-2</v>
      </c>
      <c r="D920" s="13">
        <v>1.0870449601296527E-2</v>
      </c>
      <c r="E920" s="14">
        <v>3.4132314690571378E-3</v>
      </c>
      <c r="F920" s="13">
        <v>5.2059526548467122E-3</v>
      </c>
      <c r="G920" s="14">
        <v>-2.4900152928723817E-3</v>
      </c>
      <c r="H920" s="13">
        <v>2.3989572549820766E-2</v>
      </c>
      <c r="I920" s="15">
        <f t="shared" si="14"/>
        <v>-1.8194536234724563E-2</v>
      </c>
    </row>
    <row r="921" spans="1:9">
      <c r="A921" s="12">
        <v>44761</v>
      </c>
      <c r="B921" s="13">
        <v>4.1987930014050594E-3</v>
      </c>
      <c r="C921" s="14">
        <v>1.2858003803887018E-3</v>
      </c>
      <c r="D921" s="13">
        <v>1.1018893183066159E-3</v>
      </c>
      <c r="E921" s="14">
        <v>-3.4132314690571452E-3</v>
      </c>
      <c r="F921" s="13">
        <v>-3.0548342989965098E-4</v>
      </c>
      <c r="G921" s="14">
        <v>-1.7675196949308168E-3</v>
      </c>
      <c r="H921" s="13">
        <v>-3.0148640386291274E-2</v>
      </c>
      <c r="I921" s="15">
        <f t="shared" si="14"/>
        <v>2.725166803044229E-3</v>
      </c>
    </row>
    <row r="922" spans="1:9">
      <c r="A922" s="12">
        <v>44760</v>
      </c>
      <c r="B922" s="13">
        <v>-4.1411640575579904E-4</v>
      </c>
      <c r="C922" s="14">
        <v>-5.632412608151496E-3</v>
      </c>
      <c r="D922" s="13">
        <v>3.6524215706533582E-3</v>
      </c>
      <c r="E922" s="14">
        <v>-2.6628135028032174E-3</v>
      </c>
      <c r="F922" s="13">
        <v>1.4257787409353602E-2</v>
      </c>
      <c r="G922" s="14">
        <v>9.528320236867777E-3</v>
      </c>
      <c r="H922" s="13">
        <v>-2.7090973445704292E-3</v>
      </c>
      <c r="I922" s="15">
        <f t="shared" si="14"/>
        <v>-8.9206389496567428E-4</v>
      </c>
    </row>
    <row r="923" spans="1:9">
      <c r="A923" s="12">
        <v>44757</v>
      </c>
      <c r="B923" s="13">
        <v>-1.3242354952475286E-2</v>
      </c>
      <c r="C923" s="14">
        <v>-3.6540971722088329E-3</v>
      </c>
      <c r="D923" s="13">
        <v>-2.4807752737627782E-3</v>
      </c>
      <c r="E923" s="14">
        <v>-5.8449538931558643E-3</v>
      </c>
      <c r="F923" s="13">
        <v>2.1160080215104515E-2</v>
      </c>
      <c r="G923" s="14">
        <v>-1.0439292306998348E-2</v>
      </c>
      <c r="H923" s="13">
        <v>-1.7481248957120631E-2</v>
      </c>
      <c r="I923" s="15">
        <f t="shared" si="14"/>
        <v>-1.0986036174850338E-2</v>
      </c>
    </row>
    <row r="924" spans="1:9">
      <c r="A924" s="12">
        <v>44756</v>
      </c>
      <c r="B924" s="13">
        <v>-1.3181878466396601E-2</v>
      </c>
      <c r="C924" s="14">
        <v>1.0922476556151181E-2</v>
      </c>
      <c r="D924" s="13">
        <v>-6.0861861030145036E-3</v>
      </c>
      <c r="E924" s="14">
        <v>-9.3539569952758288E-3</v>
      </c>
      <c r="F924" s="13">
        <v>-7.1027229645642823E-3</v>
      </c>
      <c r="G924" s="14">
        <v>-3.9067078670098867E-4</v>
      </c>
      <c r="H924" s="13">
        <v>-3.1815157186531905E-2</v>
      </c>
      <c r="I924" s="15">
        <f t="shared" si="14"/>
        <v>-8.3848710903974208E-3</v>
      </c>
    </row>
    <row r="925" spans="1:9">
      <c r="A925" s="12">
        <v>44755</v>
      </c>
      <c r="B925" s="13">
        <v>6.9723743758413729E-4</v>
      </c>
      <c r="C925" s="14">
        <v>1.1500173031828561E-2</v>
      </c>
      <c r="D925" s="13">
        <v>6.6892261525056578E-3</v>
      </c>
      <c r="E925" s="14">
        <v>-1.0887847184725324E-2</v>
      </c>
      <c r="F925" s="13">
        <v>6.5127524459768042E-3</v>
      </c>
      <c r="G925" s="14">
        <v>-1.9817477150731459E-3</v>
      </c>
      <c r="H925" s="13">
        <v>-2.2569047414915402E-3</v>
      </c>
      <c r="I925" s="15">
        <f t="shared" si="14"/>
        <v>1.8795109159014662E-3</v>
      </c>
    </row>
    <row r="926" spans="1:9">
      <c r="A926" s="12">
        <v>44754</v>
      </c>
      <c r="B926" s="13">
        <v>-1.6454505346941518E-2</v>
      </c>
      <c r="C926" s="14">
        <v>-1.0900299194195266E-2</v>
      </c>
      <c r="D926" s="13">
        <v>3.6106233915428401E-3</v>
      </c>
      <c r="E926" s="14">
        <v>2.559145392724162E-2</v>
      </c>
      <c r="F926" s="13">
        <v>3.3084851590435657E-2</v>
      </c>
      <c r="G926" s="14">
        <v>-1.8466602238310533E-2</v>
      </c>
      <c r="H926" s="13">
        <v>3.3197170426190661E-3</v>
      </c>
      <c r="I926" s="15">
        <f t="shared" si="14"/>
        <v>-1.3056363989600177E-2</v>
      </c>
    </row>
    <row r="927" spans="1:9">
      <c r="A927" s="12">
        <v>44753</v>
      </c>
      <c r="B927" s="13">
        <v>1.3679681248769509E-2</v>
      </c>
      <c r="C927" s="14">
        <v>2.097456701463862E-2</v>
      </c>
      <c r="D927" s="13">
        <v>1.2081768146593997E-2</v>
      </c>
      <c r="E927" s="14">
        <v>1.1481095365377086E-2</v>
      </c>
      <c r="F927" s="13">
        <v>3.3958643965382951E-2</v>
      </c>
      <c r="G927" s="14">
        <v>3.238482337694415E-3</v>
      </c>
      <c r="H927" s="13">
        <v>1.2540540557875618E-2</v>
      </c>
      <c r="I927" s="15">
        <f t="shared" si="14"/>
        <v>1.4309281434776069E-2</v>
      </c>
    </row>
    <row r="928" spans="1:9">
      <c r="A928" s="12">
        <v>44750</v>
      </c>
      <c r="B928" s="13">
        <v>-1.8321989949724879E-2</v>
      </c>
      <c r="C928" s="14">
        <v>-1.247036149286122E-2</v>
      </c>
      <c r="D928" s="13">
        <v>1.6394304036467578E-3</v>
      </c>
      <c r="E928" s="14">
        <v>-1.8479613327516586E-2</v>
      </c>
      <c r="F928" s="13">
        <v>-7.4447646070031306E-2</v>
      </c>
      <c r="G928" s="14">
        <v>5.1018495785245784E-3</v>
      </c>
      <c r="H928" s="13">
        <v>7.2329265719224996E-3</v>
      </c>
      <c r="I928" s="15">
        <f t="shared" si="14"/>
        <v>-1.585556698405554E-2</v>
      </c>
    </row>
    <row r="929" spans="1:9">
      <c r="A929" s="12">
        <v>44749</v>
      </c>
      <c r="B929" s="13">
        <v>4.0199666001718938E-3</v>
      </c>
      <c r="C929" s="14">
        <v>1.3583485336557453E-2</v>
      </c>
      <c r="D929" s="13">
        <v>-8.3682013251505562E-4</v>
      </c>
      <c r="E929" s="14">
        <v>1.2319701175419983E-2</v>
      </c>
      <c r="F929" s="13">
        <v>2.059502036458221E-2</v>
      </c>
      <c r="G929" s="14">
        <v>-4.2806248479464659E-3</v>
      </c>
      <c r="H929" s="13">
        <v>-1.2498177365405101E-4</v>
      </c>
      <c r="I929" s="15">
        <f t="shared" si="14"/>
        <v>5.5818644319257866E-3</v>
      </c>
    </row>
    <row r="930" spans="1:9">
      <c r="A930" s="12">
        <v>44748</v>
      </c>
      <c r="B930" s="13">
        <v>-1.0429798342108396E-2</v>
      </c>
      <c r="C930" s="14">
        <v>-1.9437139142374333E-3</v>
      </c>
      <c r="D930" s="13">
        <v>2.1255474316167009E-3</v>
      </c>
      <c r="E930" s="14">
        <v>9.9203046553082187E-3</v>
      </c>
      <c r="F930" s="13">
        <v>-2.2082451845128141E-2</v>
      </c>
      <c r="G930" s="14">
        <v>-2.0168121472205525E-2</v>
      </c>
      <c r="H930" s="13">
        <v>-2.0711297657271529E-2</v>
      </c>
      <c r="I930" s="15">
        <f t="shared" si="14"/>
        <v>-8.3863090496174072E-3</v>
      </c>
    </row>
    <row r="931" spans="1:9">
      <c r="A931" s="12">
        <v>44747</v>
      </c>
      <c r="B931" s="13">
        <v>-3.3691886091518859E-2</v>
      </c>
      <c r="C931" s="14">
        <v>-2.9221823639536262E-2</v>
      </c>
      <c r="D931" s="13">
        <v>-1.419756377376207E-2</v>
      </c>
      <c r="E931" s="14">
        <v>-8.3730892910467966E-2</v>
      </c>
      <c r="F931" s="13">
        <v>-3.5788884009660756E-3</v>
      </c>
      <c r="G931" s="14">
        <v>1.1978764350490315E-2</v>
      </c>
      <c r="H931" s="13">
        <v>-2.367229110061253E-2</v>
      </c>
      <c r="I931" s="15">
        <f t="shared" si="14"/>
        <v>-3.2919073848439159E-2</v>
      </c>
    </row>
    <row r="932" spans="1:9">
      <c r="A932" s="12">
        <v>44746</v>
      </c>
      <c r="B932" s="13">
        <v>8.5299874758161583E-3</v>
      </c>
      <c r="C932" s="14">
        <v>1.4933533530644852E-2</v>
      </c>
      <c r="D932" s="13">
        <v>-1.161214021167252E-2</v>
      </c>
      <c r="E932" s="14">
        <v>7.6027443230793105E-3</v>
      </c>
      <c r="F932" s="13">
        <v>7.738133850323607E-3</v>
      </c>
      <c r="G932" s="14">
        <v>4.537629033270782E-4</v>
      </c>
      <c r="H932" s="13">
        <v>-8.8807810742840276E-3</v>
      </c>
      <c r="I932" s="15">
        <f t="shared" si="14"/>
        <v>8.7907443630518885E-3</v>
      </c>
    </row>
    <row r="933" spans="1:9">
      <c r="A933" s="12">
        <v>44743</v>
      </c>
      <c r="B933" s="13">
        <v>-6.1652587236998594E-3</v>
      </c>
      <c r="C933" s="14">
        <v>-2.4906613124519189E-3</v>
      </c>
      <c r="D933" s="13">
        <v>-1.1278855198346793E-2</v>
      </c>
      <c r="E933" s="14">
        <v>5.6542961629870237E-3</v>
      </c>
      <c r="F933" s="13">
        <v>-1.9156527140038234E-2</v>
      </c>
      <c r="G933" s="14">
        <v>1.9461742502883974E-3</v>
      </c>
      <c r="H933" s="13">
        <v>-6.3586886083651692E-2</v>
      </c>
      <c r="I933" s="15">
        <f t="shared" si="14"/>
        <v>-5.133629220637633E-3</v>
      </c>
    </row>
    <row r="934" spans="1:9">
      <c r="A934" s="12">
        <v>44742</v>
      </c>
      <c r="B934" s="13">
        <v>-2.8511445100488191E-2</v>
      </c>
      <c r="C934" s="14">
        <v>-2.4260933966852794E-2</v>
      </c>
      <c r="D934" s="13">
        <v>8.2740237476913569E-3</v>
      </c>
      <c r="E934" s="14">
        <v>-5.2493558861437901E-3</v>
      </c>
      <c r="F934" s="13">
        <v>2.7717465034194859E-2</v>
      </c>
      <c r="G934" s="14">
        <v>4.1728189826419019E-3</v>
      </c>
      <c r="H934" s="13">
        <v>5.0446181060977971E-3</v>
      </c>
      <c r="I934" s="15">
        <f t="shared" si="14"/>
        <v>-2.4312074425583245E-2</v>
      </c>
    </row>
    <row r="935" spans="1:9">
      <c r="A935" s="12">
        <v>44741</v>
      </c>
      <c r="B935" s="13">
        <v>9.642129432363794E-4</v>
      </c>
      <c r="C935" s="14">
        <v>9.7085337188192525E-4</v>
      </c>
      <c r="D935" s="13">
        <v>1.1099773773311267E-3</v>
      </c>
      <c r="E935" s="14">
        <v>1.9010259127727575E-3</v>
      </c>
      <c r="F935" s="13">
        <v>-6.1212684167989174E-2</v>
      </c>
      <c r="G935" s="14">
        <v>-4.6248506592289601E-2</v>
      </c>
      <c r="H935" s="13">
        <v>1.9608019040612192E-2</v>
      </c>
      <c r="I935" s="15">
        <f t="shared" si="14"/>
        <v>-1.1117631802185599E-3</v>
      </c>
    </row>
    <row r="936" spans="1:9">
      <c r="A936" s="12">
        <v>44740</v>
      </c>
      <c r="B936" s="13">
        <v>1.0582109330536788E-2</v>
      </c>
      <c r="C936" s="14">
        <v>2.3290080594970862E-2</v>
      </c>
      <c r="D936" s="13">
        <v>-2.7951998131309436E-3</v>
      </c>
      <c r="E936" s="14">
        <v>1.3366446218015738E-2</v>
      </c>
      <c r="F936" s="13">
        <v>-7.6273777355992139E-2</v>
      </c>
      <c r="G936" s="14">
        <v>-1.2719794658915229E-2</v>
      </c>
      <c r="H936" s="13">
        <v>9.3222748287512171E-3</v>
      </c>
      <c r="I936" s="15">
        <f t="shared" si="14"/>
        <v>1.1494065467834318E-2</v>
      </c>
    </row>
    <row r="937" spans="1:9">
      <c r="A937" s="12">
        <v>44739</v>
      </c>
      <c r="B937" s="13">
        <v>3.4054972267531632E-2</v>
      </c>
      <c r="C937" s="14">
        <v>3.0026311506972818E-2</v>
      </c>
      <c r="D937" s="13">
        <v>2.5894509527635501E-2</v>
      </c>
      <c r="E937" s="14">
        <v>4.4954623874870455E-3</v>
      </c>
      <c r="F937" s="13">
        <v>-0.10554790439631148</v>
      </c>
      <c r="G937" s="14">
        <v>5.9467215919987272E-3</v>
      </c>
      <c r="H937" s="13">
        <v>-3.6217122040143457E-4</v>
      </c>
      <c r="I937" s="15">
        <f t="shared" si="14"/>
        <v>3.004697188726662E-2</v>
      </c>
    </row>
    <row r="938" spans="1:9">
      <c r="A938" s="12">
        <v>44736</v>
      </c>
      <c r="B938" s="13">
        <v>-2.1516994120726957E-2</v>
      </c>
      <c r="C938" s="14">
        <v>-9.8887327503702424E-3</v>
      </c>
      <c r="D938" s="13">
        <v>-2.45080999361866E-3</v>
      </c>
      <c r="E938" s="14">
        <v>-1.2501910281228252E-2</v>
      </c>
      <c r="F938" s="13">
        <v>-4.7591482575501623E-2</v>
      </c>
      <c r="G938" s="14">
        <v>-3.8669591717921444E-3</v>
      </c>
      <c r="H938" s="13">
        <v>-5.8126497612899959E-3</v>
      </c>
      <c r="I938" s="15">
        <f t="shared" si="14"/>
        <v>-1.7947577896842783E-2</v>
      </c>
    </row>
    <row r="939" spans="1:9">
      <c r="A939" s="12">
        <v>44735</v>
      </c>
      <c r="B939" s="13">
        <v>-9.7842047268366979E-4</v>
      </c>
      <c r="C939" s="14">
        <v>5.0484144002916254E-4</v>
      </c>
      <c r="D939" s="13">
        <v>5.9574917218205433E-4</v>
      </c>
      <c r="E939" s="14">
        <v>-1.0505147114671305E-2</v>
      </c>
      <c r="F939" s="13">
        <v>-2.0250840936454833E-2</v>
      </c>
      <c r="G939" s="14">
        <v>-3.2902629550986447E-3</v>
      </c>
      <c r="H939" s="13">
        <v>5.450347325371971E-3</v>
      </c>
      <c r="I939" s="15">
        <f t="shared" si="14"/>
        <v>-1.2580677285695943E-3</v>
      </c>
    </row>
    <row r="940" spans="1:9">
      <c r="A940" s="12">
        <v>44734</v>
      </c>
      <c r="B940" s="13">
        <v>-3.3867797097713509E-2</v>
      </c>
      <c r="C940" s="14">
        <v>-1.6180100820933307E-2</v>
      </c>
      <c r="D940" s="13">
        <v>-9.5041019527580695E-3</v>
      </c>
      <c r="E940" s="14">
        <v>-2.3133106263306152E-2</v>
      </c>
      <c r="F940" s="13">
        <v>-3.137352446885236E-2</v>
      </c>
      <c r="G940" s="14">
        <v>5.9819036762176038E-3</v>
      </c>
      <c r="H940" s="13">
        <v>-5.3591726237032712E-2</v>
      </c>
      <c r="I940" s="15">
        <f t="shared" si="14"/>
        <v>-2.8345144698015322E-2</v>
      </c>
    </row>
    <row r="941" spans="1:9">
      <c r="A941" s="12">
        <v>44733</v>
      </c>
      <c r="B941" s="13">
        <v>4.4904373169758656E-3</v>
      </c>
      <c r="C941" s="14">
        <v>1.0048706305708086E-3</v>
      </c>
      <c r="D941" s="13">
        <v>-7.4194060506782037E-3</v>
      </c>
      <c r="E941" s="14">
        <v>3.724908979868051E-2</v>
      </c>
      <c r="F941" s="13">
        <v>4.9545931246833949E-3</v>
      </c>
      <c r="G941" s="14">
        <v>-3.5569437915547716E-2</v>
      </c>
      <c r="H941" s="13">
        <v>-1.4101347796495446E-2</v>
      </c>
      <c r="I941" s="15">
        <f t="shared" si="14"/>
        <v>3.3517128499043168E-3</v>
      </c>
    </row>
    <row r="942" spans="1:9">
      <c r="A942" s="12">
        <v>44732</v>
      </c>
      <c r="B942" s="13">
        <v>-6.6116872089834076E-3</v>
      </c>
      <c r="C942" s="14">
        <v>-1.1586325135649831E-2</v>
      </c>
      <c r="D942" s="13">
        <v>5.0114728758858104E-3</v>
      </c>
      <c r="E942" s="14">
        <v>1.9826184699683683E-2</v>
      </c>
      <c r="F942" s="13">
        <v>-4.8090244425766968E-2</v>
      </c>
      <c r="G942" s="14">
        <v>1.2341563798324713E-2</v>
      </c>
      <c r="H942" s="13">
        <v>7.532628567151871E-3</v>
      </c>
      <c r="I942" s="15">
        <f t="shared" si="14"/>
        <v>-5.0453655202143477E-3</v>
      </c>
    </row>
    <row r="943" spans="1:9">
      <c r="A943" s="12">
        <v>44729</v>
      </c>
      <c r="B943" s="13">
        <v>-3.0722330759480106E-2</v>
      </c>
      <c r="C943" s="14">
        <v>-3.1512601837641485E-2</v>
      </c>
      <c r="D943" s="13">
        <v>1.4151677721055201E-2</v>
      </c>
      <c r="E943" s="14">
        <v>-2.9767304542009477E-2</v>
      </c>
      <c r="F943" s="13">
        <v>2.7282169497105373E-2</v>
      </c>
      <c r="G943" s="14">
        <v>-2.5013636199828722E-2</v>
      </c>
      <c r="H943" s="13">
        <v>1.5370964714033897E-2</v>
      </c>
      <c r="I943" s="15">
        <f t="shared" si="14"/>
        <v>-2.9530206308512358E-2</v>
      </c>
    </row>
    <row r="944" spans="1:9">
      <c r="A944" s="12">
        <v>44728</v>
      </c>
      <c r="B944" s="13">
        <v>2.9500101072621715E-2</v>
      </c>
      <c r="C944" s="14">
        <v>1.3898557627632447E-2</v>
      </c>
      <c r="D944" s="13">
        <v>-7.684652796898353E-3</v>
      </c>
      <c r="E944" s="14">
        <v>4.2524221647513044E-2</v>
      </c>
      <c r="F944" s="13">
        <v>2.3686958265963055E-2</v>
      </c>
      <c r="G944" s="14">
        <v>2.5185570750500118E-2</v>
      </c>
      <c r="H944" s="13">
        <v>1.5418186409098412E-2</v>
      </c>
      <c r="I944" s="15">
        <f t="shared" si="14"/>
        <v>2.6721396770925346E-2</v>
      </c>
    </row>
    <row r="945" spans="1:9">
      <c r="A945" s="12">
        <v>44727</v>
      </c>
      <c r="B945" s="13">
        <v>1.3913438111095801E-3</v>
      </c>
      <c r="C945" s="14">
        <v>1.2145516125897827E-2</v>
      </c>
      <c r="D945" s="13">
        <v>3.5333006371698394E-2</v>
      </c>
      <c r="E945" s="14">
        <v>3.1892842284372912E-2</v>
      </c>
      <c r="F945" s="13">
        <v>6.9020249620038193E-2</v>
      </c>
      <c r="G945" s="14">
        <v>9.5814580391678193E-3</v>
      </c>
      <c r="H945" s="13">
        <v>3.1859476766535534E-2</v>
      </c>
      <c r="I945" s="15">
        <f t="shared" si="14"/>
        <v>5.8555735211181618E-3</v>
      </c>
    </row>
    <row r="946" spans="1:9">
      <c r="A946" s="12">
        <v>44726</v>
      </c>
      <c r="B946" s="13">
        <v>-9.7233870636154289E-3</v>
      </c>
      <c r="C946" s="14">
        <v>-9.1531423331888771E-3</v>
      </c>
      <c r="D946" s="13">
        <v>3.936478545992543E-3</v>
      </c>
      <c r="E946" s="14">
        <v>-8.1433060750418541E-3</v>
      </c>
      <c r="F946" s="13">
        <v>-4.6100734739799335E-3</v>
      </c>
      <c r="G946" s="14">
        <v>4.3044923735903618E-3</v>
      </c>
      <c r="H946" s="13">
        <v>-1.7870643342799853E-2</v>
      </c>
      <c r="I946" s="15">
        <f t="shared" si="14"/>
        <v>-8.783607840629518E-3</v>
      </c>
    </row>
    <row r="947" spans="1:9">
      <c r="A947" s="12">
        <v>44725</v>
      </c>
      <c r="B947" s="13">
        <v>9.5730648100019015E-3</v>
      </c>
      <c r="C947" s="14">
        <v>3.151263111989953E-3</v>
      </c>
      <c r="D947" s="13">
        <v>2.0515602884066633E-2</v>
      </c>
      <c r="E947" s="14">
        <v>-1.5142269221841118E-2</v>
      </c>
      <c r="F947" s="13">
        <v>-3.47155604195721E-3</v>
      </c>
      <c r="G947" s="14">
        <v>9.1979889857962092E-3</v>
      </c>
      <c r="H947" s="13">
        <v>-5.8588961912820906E-3</v>
      </c>
      <c r="I947" s="15">
        <f t="shared" si="14"/>
        <v>7.2433445423452994E-3</v>
      </c>
    </row>
    <row r="948" spans="1:9">
      <c r="A948" s="12">
        <v>44722</v>
      </c>
      <c r="B948" s="13">
        <v>1.7879235929415184E-2</v>
      </c>
      <c r="C948" s="14">
        <v>1.5010014192748613E-2</v>
      </c>
      <c r="D948" s="13">
        <v>2.8135852278896301E-2</v>
      </c>
      <c r="E948" s="14">
        <v>2.2308865978065737E-2</v>
      </c>
      <c r="F948" s="13">
        <v>2.3674263359476592E-2</v>
      </c>
      <c r="G948" s="14">
        <v>2.7999048034191192E-5</v>
      </c>
      <c r="H948" s="13">
        <v>3.6792232289612321E-2</v>
      </c>
      <c r="I948" s="15">
        <f t="shared" si="14"/>
        <v>1.7072164437336713E-2</v>
      </c>
    </row>
    <row r="949" spans="1:9">
      <c r="A949" s="12">
        <v>44721</v>
      </c>
      <c r="B949" s="13">
        <v>-8.1363794578593052E-3</v>
      </c>
      <c r="C949" s="14">
        <v>5.9904361382811123E-4</v>
      </c>
      <c r="D949" s="13">
        <v>-1.721291298219518E-2</v>
      </c>
      <c r="E949" s="14">
        <v>2.10249748935523E-3</v>
      </c>
      <c r="F949" s="13">
        <v>-2.2667180086910323E-3</v>
      </c>
      <c r="G949" s="14">
        <v>-1.7093781747029831E-3</v>
      </c>
      <c r="H949" s="13">
        <v>-1.0262589303994532E-3</v>
      </c>
      <c r="I949" s="15">
        <f t="shared" si="14"/>
        <v>-5.9038907638144667E-3</v>
      </c>
    </row>
    <row r="950" spans="1:9">
      <c r="A950" s="12">
        <v>44720</v>
      </c>
      <c r="B950" s="13">
        <v>6.8249523080752871E-3</v>
      </c>
      <c r="C950" s="14">
        <v>-3.5111997303931676E-4</v>
      </c>
      <c r="D950" s="13">
        <v>1.6408775449903981E-4</v>
      </c>
      <c r="E950" s="14">
        <v>4.4905213354694403E-3</v>
      </c>
      <c r="F950" s="13">
        <v>2.5393448088709313E-2</v>
      </c>
      <c r="G950" s="14">
        <v>6.7289093295100615E-4</v>
      </c>
      <c r="H950" s="13">
        <v>-6.1348512048879505E-3</v>
      </c>
      <c r="I950" s="15">
        <f t="shared" si="14"/>
        <v>5.0434214880345947E-3</v>
      </c>
    </row>
    <row r="951" spans="1:9">
      <c r="A951" s="12">
        <v>44719</v>
      </c>
      <c r="B951" s="13">
        <v>1.4495932652814363E-2</v>
      </c>
      <c r="C951" s="14">
        <v>8.2627556337093547E-5</v>
      </c>
      <c r="D951" s="13">
        <v>-7.2218760319683699E-4</v>
      </c>
      <c r="E951" s="14">
        <v>1.6184639336070276E-2</v>
      </c>
      <c r="F951" s="13">
        <v>1.8419603660614532E-3</v>
      </c>
      <c r="G951" s="14">
        <v>-3.5939951643741055E-3</v>
      </c>
      <c r="H951" s="13">
        <v>2.870600760193829E-3</v>
      </c>
      <c r="I951" s="15">
        <f t="shared" si="14"/>
        <v>1.100117717983023E-2</v>
      </c>
    </row>
    <row r="952" spans="1:9">
      <c r="A952" s="12">
        <v>44718</v>
      </c>
      <c r="B952" s="13">
        <v>2.6160441173939678E-2</v>
      </c>
      <c r="C952" s="14">
        <v>1.5291883511375148E-2</v>
      </c>
      <c r="D952" s="13">
        <v>1.1914812320211153E-2</v>
      </c>
      <c r="E952" s="14">
        <v>1.215942536915959E-2</v>
      </c>
      <c r="F952" s="13">
        <v>1.5702349284847882E-2</v>
      </c>
      <c r="G952" s="14">
        <v>4.1824035367494742E-3</v>
      </c>
      <c r="H952" s="13">
        <v>1.6480106462647165E-2</v>
      </c>
      <c r="I952" s="15">
        <f t="shared" si="14"/>
        <v>2.233659619830802E-2</v>
      </c>
    </row>
    <row r="953" spans="1:9">
      <c r="A953" s="12">
        <v>44715</v>
      </c>
      <c r="B953" s="13">
        <v>2.4351041502926007E-2</v>
      </c>
      <c r="C953" s="14">
        <v>3.1714369640407532E-2</v>
      </c>
      <c r="D953" s="13">
        <v>1.9696365045299064E-2</v>
      </c>
      <c r="E953" s="14">
        <v>-1.0894038407653771E-3</v>
      </c>
      <c r="F953" s="13">
        <v>1.3674196514230904E-2</v>
      </c>
      <c r="G953" s="14">
        <v>5.9765028341127648E-3</v>
      </c>
      <c r="H953" s="13">
        <v>-5.876781599982667E-3</v>
      </c>
      <c r="I953" s="15">
        <f t="shared" si="14"/>
        <v>2.3156716257846786E-2</v>
      </c>
    </row>
    <row r="954" spans="1:9">
      <c r="A954" s="12">
        <v>44714</v>
      </c>
      <c r="B954" s="13">
        <v>7.4714131645081975E-3</v>
      </c>
      <c r="C954" s="14">
        <v>2.2005897115979146E-2</v>
      </c>
      <c r="D954" s="13">
        <v>5.6474022996133985E-3</v>
      </c>
      <c r="E954" s="14">
        <v>-1.5635513975655519E-3</v>
      </c>
      <c r="F954" s="13">
        <v>2.7843208326121357E-2</v>
      </c>
      <c r="G954" s="14">
        <v>2.3917468364038812E-3</v>
      </c>
      <c r="H954" s="13">
        <v>1.7353538172401036E-2</v>
      </c>
      <c r="I954" s="15">
        <f t="shared" si="14"/>
        <v>9.3224981681955376E-3</v>
      </c>
    </row>
    <row r="955" spans="1:9">
      <c r="A955" s="12">
        <v>44713</v>
      </c>
      <c r="B955" s="13">
        <v>-1.9458872458742383E-2</v>
      </c>
      <c r="C955" s="14">
        <v>-3.5078237993103868E-2</v>
      </c>
      <c r="D955" s="13">
        <v>-8.1959860301600192E-3</v>
      </c>
      <c r="E955" s="14">
        <v>-2.2708592250229639E-2</v>
      </c>
      <c r="F955" s="13">
        <v>-1.5411863721031229E-2</v>
      </c>
      <c r="G955" s="14">
        <v>1.8685445746994593E-2</v>
      </c>
      <c r="H955" s="13">
        <v>-2.8270433938255474E-2</v>
      </c>
      <c r="I955" s="15">
        <f t="shared" si="14"/>
        <v>-2.0400949014860888E-2</v>
      </c>
    </row>
    <row r="956" spans="1:9">
      <c r="A956" s="12">
        <v>44712</v>
      </c>
      <c r="B956" s="13">
        <v>2.5034369665377135E-3</v>
      </c>
      <c r="C956" s="14">
        <v>2.2877879122034143E-2</v>
      </c>
      <c r="D956" s="13">
        <v>2.0740361798504199E-2</v>
      </c>
      <c r="E956" s="14">
        <v>-6.8356540564959009E-3</v>
      </c>
      <c r="F956" s="13">
        <v>7.7356222595939472E-3</v>
      </c>
      <c r="G956" s="14">
        <v>5.0039537662739412E-3</v>
      </c>
      <c r="H956" s="13">
        <v>5.7183858469949016E-3</v>
      </c>
      <c r="I956" s="15">
        <f t="shared" si="14"/>
        <v>5.8574340147144249E-3</v>
      </c>
    </row>
    <row r="957" spans="1:9">
      <c r="A957" s="12">
        <v>44711</v>
      </c>
      <c r="B957" s="13">
        <v>-5.4877277796369969E-3</v>
      </c>
      <c r="C957" s="14">
        <v>-1.5913785554018345E-2</v>
      </c>
      <c r="D957" s="13">
        <v>-1.5808365483415052E-2</v>
      </c>
      <c r="E957" s="14">
        <v>1.0069076307583138E-2</v>
      </c>
      <c r="F957" s="13">
        <v>1.3913267916985082E-2</v>
      </c>
      <c r="G957" s="14">
        <v>-4.4147241415664652E-2</v>
      </c>
      <c r="H957" s="13">
        <v>8.6492300302793649E-3</v>
      </c>
      <c r="I957" s="15">
        <f t="shared" si="14"/>
        <v>-8.2717265309454526E-3</v>
      </c>
    </row>
    <row r="958" spans="1:9">
      <c r="A958" s="12">
        <v>44708</v>
      </c>
      <c r="B958" s="13">
        <v>-3.2224862139753085E-3</v>
      </c>
      <c r="C958" s="14">
        <v>-5.0758073893670111E-2</v>
      </c>
      <c r="D958" s="13">
        <v>1.3956293698057934E-3</v>
      </c>
      <c r="E958" s="14">
        <v>1.4831296749070627E-3</v>
      </c>
      <c r="F958" s="13">
        <v>-1.5666116744399463E-2</v>
      </c>
      <c r="G958" s="14">
        <v>-1.4478727978500095E-2</v>
      </c>
      <c r="H958" s="13">
        <v>-1.0209605728610587E-2</v>
      </c>
      <c r="I958" s="15">
        <f t="shared" si="14"/>
        <v>-1.1550712282022866E-2</v>
      </c>
    </row>
    <row r="959" spans="1:9">
      <c r="A959" s="12">
        <v>44707</v>
      </c>
      <c r="B959" s="13">
        <v>1.8678419527406861E-3</v>
      </c>
      <c r="C959" s="14">
        <v>-1.2595418103719568E-2</v>
      </c>
      <c r="D959" s="13">
        <v>-8.7228364108497616E-3</v>
      </c>
      <c r="E959" s="14">
        <v>-2.593889551905021E-4</v>
      </c>
      <c r="F959" s="13">
        <v>-5.7777800666811367E-2</v>
      </c>
      <c r="G959" s="14">
        <v>-4.6130862570857535E-3</v>
      </c>
      <c r="H959" s="13">
        <v>-5.7528540671675253E-2</v>
      </c>
      <c r="I959" s="15">
        <f t="shared" si="14"/>
        <v>-1.6735562482330353E-3</v>
      </c>
    </row>
    <row r="960" spans="1:9">
      <c r="A960" s="12">
        <v>44706</v>
      </c>
      <c r="B960" s="13">
        <v>-7.3967105623077255E-4</v>
      </c>
      <c r="C960" s="14">
        <v>-3.34335238852769E-3</v>
      </c>
      <c r="D960" s="13">
        <v>2.535138056221134E-2</v>
      </c>
      <c r="E960" s="14">
        <v>8.7449591485972422E-3</v>
      </c>
      <c r="F960" s="13">
        <v>-2.3318092991383644E-2</v>
      </c>
      <c r="G960" s="14">
        <v>-6.9380206298342293E-4</v>
      </c>
      <c r="H960" s="13">
        <v>-1.5718351717217877E-2</v>
      </c>
      <c r="I960" s="15">
        <f t="shared" si="14"/>
        <v>-5.3043187365461571E-4</v>
      </c>
    </row>
    <row r="961" spans="1:9">
      <c r="A961" s="12">
        <v>44705</v>
      </c>
      <c r="B961" s="13">
        <v>8.4033956851001609E-2</v>
      </c>
      <c r="C961" s="14">
        <v>7.4852578333849853E-2</v>
      </c>
      <c r="D961" s="13">
        <v>2.8579519413709849E-2</v>
      </c>
      <c r="E961" s="14">
        <v>6.2259860516667778E-3</v>
      </c>
      <c r="F961" s="13">
        <v>3.844474186920397E-2</v>
      </c>
      <c r="G961" s="14">
        <v>2.7383342471360747E-2</v>
      </c>
      <c r="H961" s="13">
        <v>3.8380225621063233E-2</v>
      </c>
      <c r="I961" s="15">
        <f t="shared" si="14"/>
        <v>7.4863036022180876E-2</v>
      </c>
    </row>
    <row r="962" spans="1:9">
      <c r="A962" s="12">
        <v>44704</v>
      </c>
      <c r="B962" s="13">
        <v>2.7904478616790643E-2</v>
      </c>
      <c r="C962" s="14">
        <v>2.5801996296300655E-2</v>
      </c>
      <c r="D962" s="13">
        <v>2.4745813355292665E-2</v>
      </c>
      <c r="E962" s="14">
        <v>-1.7048482582645148E-2</v>
      </c>
      <c r="F962" s="13">
        <v>2.8516640854086433E-2</v>
      </c>
      <c r="G962" s="14">
        <v>-8.444757715087844E-4</v>
      </c>
      <c r="H962" s="13">
        <v>3.8829713254936303E-2</v>
      </c>
      <c r="I962" s="15">
        <f t="shared" si="14"/>
        <v>2.4033655589991355E-2</v>
      </c>
    </row>
    <row r="963" spans="1:9">
      <c r="A963" s="12">
        <v>44701</v>
      </c>
      <c r="B963" s="13">
        <v>-2.0448983199835416E-2</v>
      </c>
      <c r="C963" s="14">
        <v>6.7619450804945512E-3</v>
      </c>
      <c r="D963" s="13">
        <v>-4.3306483164663817E-2</v>
      </c>
      <c r="E963" s="14">
        <v>-1.2970447407242144E-2</v>
      </c>
      <c r="F963" s="13">
        <v>-2.3767773482015666E-2</v>
      </c>
      <c r="G963" s="14">
        <v>5.2523046861294252E-3</v>
      </c>
      <c r="H963" s="13">
        <v>-2.3016389582210334E-2</v>
      </c>
      <c r="I963" s="15">
        <f t="shared" si="14"/>
        <v>-1.4599270105388808E-2</v>
      </c>
    </row>
    <row r="964" spans="1:9">
      <c r="A964" s="12">
        <v>44700</v>
      </c>
      <c r="B964" s="13">
        <v>-2.0481968592867422E-2</v>
      </c>
      <c r="C964" s="14">
        <v>-5.4020651532474791E-3</v>
      </c>
      <c r="D964" s="13">
        <v>-3.4507293251214405E-2</v>
      </c>
      <c r="E964" s="14">
        <v>4.7666500446007665E-3</v>
      </c>
      <c r="F964" s="13">
        <v>-7.68249617201617E-3</v>
      </c>
      <c r="G964" s="14">
        <v>-8.7221305858662893E-3</v>
      </c>
      <c r="H964" s="13">
        <v>-1.5489975631938383E-2</v>
      </c>
      <c r="I964" s="15">
        <f t="shared" si="14"/>
        <v>-1.6258247587496853E-2</v>
      </c>
    </row>
    <row r="965" spans="1:9">
      <c r="A965" s="12">
        <v>44699</v>
      </c>
      <c r="B965" s="13">
        <v>1.7309688736718318E-2</v>
      </c>
      <c r="C965" s="14">
        <v>2.1772503902974399E-2</v>
      </c>
      <c r="D965" s="13">
        <v>-6.7110879274484363E-4</v>
      </c>
      <c r="E965" s="14">
        <v>-3.6386183401022837E-3</v>
      </c>
      <c r="F965" s="13">
        <v>3.9248962139850595E-2</v>
      </c>
      <c r="G965" s="14">
        <v>6.590830527850546E-3</v>
      </c>
      <c r="H965" s="13">
        <v>2.2649370025989261E-2</v>
      </c>
      <c r="I965" s="15">
        <f t="shared" si="14"/>
        <v>1.6370200303019018E-2</v>
      </c>
    </row>
    <row r="966" spans="1:9">
      <c r="A966" s="12">
        <v>44698</v>
      </c>
      <c r="B966" s="13">
        <v>-1.6292778416016226E-2</v>
      </c>
      <c r="C966" s="14">
        <v>1.0108006775683123E-3</v>
      </c>
      <c r="D966" s="13">
        <v>-2.0671903060034986E-2</v>
      </c>
      <c r="E966" s="14">
        <v>1.1842415702743638E-2</v>
      </c>
      <c r="F966" s="13">
        <v>2.4687016593607091E-3</v>
      </c>
      <c r="G966" s="14">
        <v>-4.2762760340242668E-3</v>
      </c>
      <c r="H966" s="13">
        <v>-2.0757571099796198E-2</v>
      </c>
      <c r="I966" s="15">
        <f t="shared" ref="I966:I1029" si="15">SUMPRODUCT($B$2:$H$2,B966:H966)</f>
        <v>-1.1488611890967414E-2</v>
      </c>
    </row>
    <row r="967" spans="1:9">
      <c r="A967" s="12">
        <v>44697</v>
      </c>
      <c r="B967" s="13">
        <v>-1.6562635840111799E-2</v>
      </c>
      <c r="C967" s="14">
        <v>-1.2083943084584462E-2</v>
      </c>
      <c r="D967" s="13">
        <v>-2.3678147405372284E-2</v>
      </c>
      <c r="E967" s="14">
        <v>2.3369263375716308E-3</v>
      </c>
      <c r="F967" s="13">
        <v>-4.6134306974305477E-2</v>
      </c>
      <c r="G967" s="14">
        <v>-8.181336239673884E-3</v>
      </c>
      <c r="H967" s="13">
        <v>-5.3616953036764482E-3</v>
      </c>
      <c r="I967" s="15">
        <f t="shared" si="15"/>
        <v>-1.4512804056667248E-2</v>
      </c>
    </row>
    <row r="968" spans="1:9">
      <c r="A968" s="12">
        <v>44694</v>
      </c>
      <c r="B968" s="13">
        <v>2.1142297099136287E-2</v>
      </c>
      <c r="C968" s="14">
        <v>3.5347256632834993E-2</v>
      </c>
      <c r="D968" s="13">
        <v>-3.5615403497581744E-2</v>
      </c>
      <c r="E968" s="14">
        <v>-1.681339812585186E-2</v>
      </c>
      <c r="F968" s="13">
        <v>-3.4143252743523027E-2</v>
      </c>
      <c r="G968" s="14">
        <v>3.1218983777665326E-3</v>
      </c>
      <c r="H968" s="13">
        <v>3.3775218912508419E-3</v>
      </c>
      <c r="I968" s="15">
        <f t="shared" si="15"/>
        <v>1.9894905500446508E-2</v>
      </c>
    </row>
    <row r="969" spans="1:9">
      <c r="A969" s="12">
        <v>44693</v>
      </c>
      <c r="B969" s="13">
        <v>-7.8801839638950617E-3</v>
      </c>
      <c r="C969" s="14">
        <v>5.6322773635028743E-3</v>
      </c>
      <c r="D969" s="13">
        <v>-2.8629082540772687E-2</v>
      </c>
      <c r="E969" s="14">
        <v>-1.1304331455027836E-4</v>
      </c>
      <c r="F969" s="13">
        <v>-4.8084306475369334E-2</v>
      </c>
      <c r="G969" s="14">
        <v>-3.3777582816513795E-3</v>
      </c>
      <c r="H969" s="13">
        <v>-2.0768451521944804E-2</v>
      </c>
      <c r="I969" s="15">
        <f t="shared" si="15"/>
        <v>-5.4200133859797547E-3</v>
      </c>
    </row>
    <row r="970" spans="1:9">
      <c r="A970" s="12">
        <v>44692</v>
      </c>
      <c r="B970" s="13">
        <v>4.4965285161764606E-3</v>
      </c>
      <c r="C970" s="14">
        <v>4.8232187791970903E-3</v>
      </c>
      <c r="D970" s="13">
        <v>5.6854676637646956E-3</v>
      </c>
      <c r="E970" s="14">
        <v>3.3935466011839575E-2</v>
      </c>
      <c r="F970" s="13">
        <v>2.8037374530078613E-2</v>
      </c>
      <c r="G970" s="14">
        <v>1.5348889201408571E-2</v>
      </c>
      <c r="H970" s="13">
        <v>3.9166297800883106E-2</v>
      </c>
      <c r="I970" s="15">
        <f t="shared" si="15"/>
        <v>6.843704630270982E-3</v>
      </c>
    </row>
    <row r="971" spans="1:9">
      <c r="A971" s="12">
        <v>44691</v>
      </c>
      <c r="B971" s="13">
        <v>1.0651566503797434E-2</v>
      </c>
      <c r="C971" s="14">
        <v>1.9702247466624002E-2</v>
      </c>
      <c r="D971" s="13">
        <v>3.8781788430002295E-2</v>
      </c>
      <c r="E971" s="14">
        <v>4.5814429049528115E-2</v>
      </c>
      <c r="F971" s="13">
        <v>6.6653689133779212E-2</v>
      </c>
      <c r="G971" s="14">
        <v>1.4923783585599506E-2</v>
      </c>
      <c r="H971" s="13">
        <v>5.9119023590742281E-2</v>
      </c>
      <c r="I971" s="15">
        <f t="shared" si="15"/>
        <v>1.4937371500519004E-2</v>
      </c>
    </row>
    <row r="972" spans="1:9">
      <c r="A972" s="12">
        <v>44690</v>
      </c>
      <c r="B972" s="13">
        <v>-2.6628403732197221E-2</v>
      </c>
      <c r="C972" s="14">
        <v>-1.8346511139446447E-2</v>
      </c>
      <c r="D972" s="13">
        <v>7.0986117901037805E-3</v>
      </c>
      <c r="E972" s="14">
        <v>1.6905698472275715E-2</v>
      </c>
      <c r="F972" s="13">
        <v>2.1834069809435813E-3</v>
      </c>
      <c r="G972" s="14">
        <v>6.9820784480572459E-3</v>
      </c>
      <c r="H972" s="13">
        <v>4.0524743526419871E-3</v>
      </c>
      <c r="I972" s="15">
        <f t="shared" si="15"/>
        <v>-2.0797096471070878E-2</v>
      </c>
    </row>
    <row r="973" spans="1:9">
      <c r="A973" s="12">
        <v>44687</v>
      </c>
      <c r="B973" s="13">
        <v>3.653578754877893E-3</v>
      </c>
      <c r="C973" s="14">
        <v>3.6063366288185223E-3</v>
      </c>
      <c r="D973" s="13">
        <v>9.1635583780454305E-3</v>
      </c>
      <c r="E973" s="14">
        <v>2.8897605651026299E-2</v>
      </c>
      <c r="F973" s="13">
        <v>9.7667623897144083E-3</v>
      </c>
      <c r="G973" s="14">
        <v>2.9540502882304514E-3</v>
      </c>
      <c r="H973" s="13">
        <v>1.3404856409550305E-2</v>
      </c>
      <c r="I973" s="15">
        <f t="shared" si="15"/>
        <v>5.0190616918545554E-3</v>
      </c>
    </row>
    <row r="974" spans="1:9">
      <c r="A974" s="12">
        <v>44686</v>
      </c>
      <c r="B974" s="13">
        <v>1.9794501343919597E-2</v>
      </c>
      <c r="C974" s="14">
        <v>3.0209707338772495E-2</v>
      </c>
      <c r="D974" s="13">
        <v>2.2515333459100173E-2</v>
      </c>
      <c r="E974" s="14">
        <v>-7.9800502987951495E-4</v>
      </c>
      <c r="F974" s="13">
        <v>-2.5229784513106568E-3</v>
      </c>
      <c r="G974" s="14">
        <v>9.1620296986339514E-3</v>
      </c>
      <c r="H974" s="13">
        <v>1.1941686794063096E-2</v>
      </c>
      <c r="I974" s="15">
        <f t="shared" si="15"/>
        <v>1.9979148843401111E-2</v>
      </c>
    </row>
    <row r="975" spans="1:9">
      <c r="A975" s="12">
        <v>44685</v>
      </c>
      <c r="B975" s="13">
        <v>7.8674281542825721E-3</v>
      </c>
      <c r="C975" s="14">
        <v>0</v>
      </c>
      <c r="D975" s="13">
        <v>6.3083443115320601E-3</v>
      </c>
      <c r="E975" s="14">
        <v>1.5414627002485106E-2</v>
      </c>
      <c r="F975" s="13">
        <v>-1.9311950151889419E-2</v>
      </c>
      <c r="G975" s="14">
        <v>-5.9171770280885072E-3</v>
      </c>
      <c r="H975" s="13">
        <v>1.4102034688749075E-3</v>
      </c>
      <c r="I975" s="15">
        <f t="shared" si="15"/>
        <v>6.1646188046072126E-3</v>
      </c>
    </row>
    <row r="976" spans="1:9">
      <c r="A976" s="12">
        <v>44683</v>
      </c>
      <c r="B976" s="13">
        <v>3.1474542350374203E-2</v>
      </c>
      <c r="C976" s="14">
        <v>3.7431109984930912E-2</v>
      </c>
      <c r="D976" s="13">
        <v>5.7505965910041234E-3</v>
      </c>
      <c r="E976" s="14">
        <v>1.4728860222387117E-2</v>
      </c>
      <c r="F976" s="13">
        <v>3.4710642963245303E-2</v>
      </c>
      <c r="G976" s="14">
        <v>1.7567271798756674E-2</v>
      </c>
      <c r="H976" s="13">
        <v>1.6565312927088138E-2</v>
      </c>
      <c r="I976" s="15">
        <f t="shared" si="15"/>
        <v>3.0560122446097886E-2</v>
      </c>
    </row>
    <row r="977" spans="1:9">
      <c r="A977" s="12">
        <v>44680</v>
      </c>
      <c r="B977" s="13">
        <v>1.15579488337289E-2</v>
      </c>
      <c r="C977" s="14">
        <v>6.4221557974898742E-3</v>
      </c>
      <c r="D977" s="13">
        <v>8.1306507148341239E-3</v>
      </c>
      <c r="E977" s="14">
        <v>1.027527262930502E-2</v>
      </c>
      <c r="F977" s="13">
        <v>1.4464884415776386E-2</v>
      </c>
      <c r="G977" s="14">
        <v>4.9364368518800411E-3</v>
      </c>
      <c r="H977" s="13">
        <v>1.569357560627363E-2</v>
      </c>
      <c r="I977" s="15">
        <f t="shared" si="15"/>
        <v>1.0313243064522248E-2</v>
      </c>
    </row>
    <row r="978" spans="1:9">
      <c r="A978" s="12">
        <v>44679</v>
      </c>
      <c r="B978" s="13">
        <v>3.2382948621359196E-3</v>
      </c>
      <c r="C978" s="14">
        <v>1.6033504095020645E-2</v>
      </c>
      <c r="D978" s="13">
        <v>1.315220388747093E-2</v>
      </c>
      <c r="E978" s="14">
        <v>-3.6164089787668581E-3</v>
      </c>
      <c r="F978" s="13">
        <v>1.1838578376124516E-2</v>
      </c>
      <c r="G978" s="14">
        <v>2.4458339987449974E-3</v>
      </c>
      <c r="H978" s="13">
        <v>1.9237477205456276E-2</v>
      </c>
      <c r="I978" s="15">
        <f t="shared" si="15"/>
        <v>5.2873983891264433E-3</v>
      </c>
    </row>
    <row r="979" spans="1:9">
      <c r="A979" s="12">
        <v>44678</v>
      </c>
      <c r="B979" s="13">
        <v>-3.1068547423947983E-2</v>
      </c>
      <c r="C979" s="14">
        <v>-1.6167227455019216E-2</v>
      </c>
      <c r="D979" s="13">
        <v>-6.3429640692312523E-5</v>
      </c>
      <c r="E979" s="14">
        <v>7.7607658414920342E-3</v>
      </c>
      <c r="F979" s="13">
        <v>-5.5536414869455713E-3</v>
      </c>
      <c r="G979" s="14">
        <v>-2.1264727185855634E-3</v>
      </c>
      <c r="H979" s="13">
        <v>3.1694567253426009E-2</v>
      </c>
      <c r="I979" s="15">
        <f t="shared" si="15"/>
        <v>-2.434526123200036E-2</v>
      </c>
    </row>
    <row r="980" spans="1:9">
      <c r="A980" s="12">
        <v>44677</v>
      </c>
      <c r="B980" s="13">
        <v>-7.2362445182336758E-3</v>
      </c>
      <c r="C980" s="14">
        <v>2.5710388465626285E-3</v>
      </c>
      <c r="D980" s="13">
        <v>-7.932101629506131E-4</v>
      </c>
      <c r="E980" s="14">
        <v>-5.1031909939705097E-3</v>
      </c>
      <c r="F980" s="13">
        <v>2.3392879574705594E-2</v>
      </c>
      <c r="G980" s="14">
        <v>6.4452182534685525E-3</v>
      </c>
      <c r="H980" s="13">
        <v>2.4301845845231013E-2</v>
      </c>
      <c r="I980" s="15">
        <f t="shared" si="15"/>
        <v>-4.4600714524751627E-3</v>
      </c>
    </row>
    <row r="981" spans="1:9">
      <c r="A981" s="12">
        <v>44676</v>
      </c>
      <c r="B981" s="13">
        <v>1.5824179126213344E-3</v>
      </c>
      <c r="C981" s="14">
        <v>-5.5007202676951089E-3</v>
      </c>
      <c r="D981" s="13">
        <v>-1.6288099492315088E-2</v>
      </c>
      <c r="E981" s="14">
        <v>-9.5933997483488106E-5</v>
      </c>
      <c r="F981" s="13">
        <v>1.1494379425734991E-2</v>
      </c>
      <c r="G981" s="14">
        <v>-1.0257590404495595E-2</v>
      </c>
      <c r="H981" s="13">
        <v>-2.3920530302002408E-2</v>
      </c>
      <c r="I981" s="15">
        <f t="shared" si="15"/>
        <v>-6.7068642453581794E-4</v>
      </c>
    </row>
    <row r="982" spans="1:9">
      <c r="A982" s="12">
        <v>44673</v>
      </c>
      <c r="B982" s="13">
        <v>1.073878469311876E-2</v>
      </c>
      <c r="C982" s="14">
        <v>1.256628881843049E-3</v>
      </c>
      <c r="D982" s="13">
        <v>4.5707743657792269E-3</v>
      </c>
      <c r="E982" s="14">
        <v>1.5976996528525064E-3</v>
      </c>
      <c r="F982" s="13">
        <v>4.1803025756753938E-2</v>
      </c>
      <c r="G982" s="14">
        <v>8.8289053452280698E-3</v>
      </c>
      <c r="H982" s="13">
        <v>2.8377362191823782E-2</v>
      </c>
      <c r="I982" s="15">
        <f t="shared" si="15"/>
        <v>8.7021567489277852E-3</v>
      </c>
    </row>
    <row r="983" spans="1:9">
      <c r="A983" s="12">
        <v>44672</v>
      </c>
      <c r="B983" s="13">
        <v>-1.9453874370944637E-3</v>
      </c>
      <c r="C983" s="14">
        <v>-2.2462878657737101E-3</v>
      </c>
      <c r="D983" s="13">
        <v>1.3619973552106006E-2</v>
      </c>
      <c r="E983" s="14">
        <v>8.1721363589698278E-3</v>
      </c>
      <c r="F983" s="13">
        <v>7.3872184340177767E-3</v>
      </c>
      <c r="G983" s="14">
        <v>6.4130697605154522E-3</v>
      </c>
      <c r="H983" s="13">
        <v>-1.0992192654173533E-2</v>
      </c>
      <c r="I983" s="15">
        <f t="shared" si="15"/>
        <v>-9.7315366401096951E-4</v>
      </c>
    </row>
    <row r="984" spans="1:9">
      <c r="A984" s="12">
        <v>44671</v>
      </c>
      <c r="B984" s="13">
        <v>-2.4114927823996438E-2</v>
      </c>
      <c r="C984" s="14">
        <v>-3.0758653054336746E-3</v>
      </c>
      <c r="D984" s="13">
        <v>1.0651137436508163E-2</v>
      </c>
      <c r="E984" s="14">
        <v>-4.3480399205663841E-3</v>
      </c>
      <c r="F984" s="13">
        <v>-3.8823991857581959E-2</v>
      </c>
      <c r="G984" s="14">
        <v>-1.4787994085034756E-2</v>
      </c>
      <c r="H984" s="13">
        <v>-3.6242761248452222E-2</v>
      </c>
      <c r="I984" s="15">
        <f t="shared" si="15"/>
        <v>-1.8832293469713553E-2</v>
      </c>
    </row>
    <row r="985" spans="1:9">
      <c r="A985" s="12">
        <v>44670</v>
      </c>
      <c r="B985" s="13">
        <v>-3.0228504223246494E-2</v>
      </c>
      <c r="C985" s="14">
        <v>-1.4343848104334133E-2</v>
      </c>
      <c r="D985" s="13">
        <v>-1.5370864265076578E-3</v>
      </c>
      <c r="E985" s="14">
        <v>3.0804921385976527E-3</v>
      </c>
      <c r="F985" s="13">
        <v>-1.2048338516174593E-2</v>
      </c>
      <c r="G985" s="14">
        <v>2.1336186251194105E-3</v>
      </c>
      <c r="H985" s="13">
        <v>-1.7044197501939189E-2</v>
      </c>
      <c r="I985" s="15">
        <f t="shared" si="15"/>
        <v>-2.3898524361520679E-2</v>
      </c>
    </row>
    <row r="986" spans="1:9">
      <c r="A986" s="12">
        <v>44669</v>
      </c>
      <c r="B986" s="13">
        <v>1.0095300073941214E-2</v>
      </c>
      <c r="C986" s="14">
        <v>2.2859102882701439E-2</v>
      </c>
      <c r="D986" s="13">
        <v>2.5079975974983706E-2</v>
      </c>
      <c r="E986" s="14">
        <v>-9.2380881254877038E-3</v>
      </c>
      <c r="F986" s="13">
        <v>4.6703653501536858E-2</v>
      </c>
      <c r="G986" s="14">
        <v>5.6056787909818445E-3</v>
      </c>
      <c r="H986" s="13">
        <v>8.5780017604509817E-3</v>
      </c>
      <c r="I986" s="15">
        <f t="shared" si="15"/>
        <v>1.1301999530142425E-2</v>
      </c>
    </row>
    <row r="987" spans="1:9">
      <c r="A987" s="12">
        <v>44664</v>
      </c>
      <c r="B987" s="13">
        <v>1.9370668926225132E-2</v>
      </c>
      <c r="C987" s="14">
        <v>7.2178463667162121E-3</v>
      </c>
      <c r="D987" s="13">
        <v>-6.974021722262286E-3</v>
      </c>
      <c r="E987" s="14">
        <v>-7.8393975777412729E-3</v>
      </c>
      <c r="F987" s="13">
        <v>-8.1650683578771185E-2</v>
      </c>
      <c r="G987" s="14">
        <v>4.2299010881609225E-3</v>
      </c>
      <c r="H987" s="13">
        <v>-9.487326353126482E-3</v>
      </c>
      <c r="I987" s="15">
        <f t="shared" si="15"/>
        <v>1.4577344838146331E-2</v>
      </c>
    </row>
    <row r="988" spans="1:9">
      <c r="A988" s="12">
        <v>44663</v>
      </c>
      <c r="B988" s="13">
        <v>1.5460987926104872E-2</v>
      </c>
      <c r="C988" s="14">
        <v>-2.5552121951623145E-3</v>
      </c>
      <c r="D988" s="13">
        <v>1.1738698889356056E-2</v>
      </c>
      <c r="E988" s="14">
        <v>6.2379623498310648E-3</v>
      </c>
      <c r="F988" s="13">
        <v>1.1785231724622126E-2</v>
      </c>
      <c r="G988" s="14">
        <v>9.896522515840625E-3</v>
      </c>
      <c r="H988" s="13">
        <v>4.0657683259918741E-3</v>
      </c>
      <c r="I988" s="15">
        <f t="shared" si="15"/>
        <v>1.1559823710973879E-2</v>
      </c>
    </row>
    <row r="989" spans="1:9">
      <c r="A989" s="12">
        <v>44662</v>
      </c>
      <c r="B989" s="13">
        <v>9.1631381973437866E-3</v>
      </c>
      <c r="C989" s="14">
        <v>1.3465549996588206E-2</v>
      </c>
      <c r="D989" s="13">
        <v>-9.6136923152347967E-3</v>
      </c>
      <c r="E989" s="14">
        <v>7.3697874108056161E-4</v>
      </c>
      <c r="F989" s="13">
        <v>-4.0075661563718529E-2</v>
      </c>
      <c r="G989" s="14">
        <v>-8.3622969829742961E-4</v>
      </c>
      <c r="H989" s="13">
        <v>-3.9401103740618524E-4</v>
      </c>
      <c r="I989" s="15">
        <f t="shared" si="15"/>
        <v>8.6320282121986943E-3</v>
      </c>
    </row>
    <row r="990" spans="1:9">
      <c r="A990" s="12">
        <v>44659</v>
      </c>
      <c r="B990" s="13">
        <v>1.5337290132560782E-2</v>
      </c>
      <c r="C990" s="14">
        <v>3.419925607746109E-3</v>
      </c>
      <c r="D990" s="13">
        <v>2.9345220056772474E-2</v>
      </c>
      <c r="E990" s="14">
        <v>-8.7828511878663817E-3</v>
      </c>
      <c r="F990" s="13">
        <v>-7.5607920934886302E-3</v>
      </c>
      <c r="G990" s="14">
        <v>1.1757483685562297E-3</v>
      </c>
      <c r="H990" s="13">
        <v>1.128582847571202E-2</v>
      </c>
      <c r="I990" s="15">
        <f t="shared" si="15"/>
        <v>1.1586353686006278E-2</v>
      </c>
    </row>
    <row r="991" spans="1:9">
      <c r="A991" s="12">
        <v>44658</v>
      </c>
      <c r="B991" s="13">
        <v>-1.611353394376612E-2</v>
      </c>
      <c r="C991" s="14">
        <v>-1.4744626911334338E-2</v>
      </c>
      <c r="D991" s="13">
        <v>-3.1470226630893758E-2</v>
      </c>
      <c r="E991" s="14">
        <v>-4.0148993546142908E-3</v>
      </c>
      <c r="F991" s="13">
        <v>-3.1946906282023499E-2</v>
      </c>
      <c r="G991" s="14">
        <v>-1.1555964294231631E-2</v>
      </c>
      <c r="H991" s="13">
        <v>-1.2863426909790376E-2</v>
      </c>
      <c r="I991" s="15">
        <f t="shared" si="15"/>
        <v>-1.5255872395766482E-2</v>
      </c>
    </row>
    <row r="992" spans="1:9">
      <c r="A992" s="12">
        <v>44657</v>
      </c>
      <c r="B992" s="13">
        <v>-3.1700745232980773E-4</v>
      </c>
      <c r="C992" s="14">
        <v>4.1359288682952791E-3</v>
      </c>
      <c r="D992" s="13">
        <v>-7.5509426050368537E-3</v>
      </c>
      <c r="E992" s="14">
        <v>-7.5880063819931893E-3</v>
      </c>
      <c r="F992" s="13">
        <v>-6.3634876909700443E-3</v>
      </c>
      <c r="G992" s="14">
        <v>1.473661196874386E-2</v>
      </c>
      <c r="H992" s="13">
        <v>-1.9737491428921785E-4</v>
      </c>
      <c r="I992" s="15">
        <f t="shared" si="15"/>
        <v>6.8024970065707377E-4</v>
      </c>
    </row>
    <row r="993" spans="1:9">
      <c r="A993" s="12">
        <v>44656</v>
      </c>
      <c r="B993" s="13">
        <v>-4.1939440007870629E-3</v>
      </c>
      <c r="C993" s="14">
        <v>-4.0033138660289175E-3</v>
      </c>
      <c r="D993" s="13">
        <v>2.3580525974539537E-3</v>
      </c>
      <c r="E993" s="14">
        <v>1.9841085876293726E-2</v>
      </c>
      <c r="F993" s="13">
        <v>8.2274211290328005E-3</v>
      </c>
      <c r="G993" s="14">
        <v>-1.0156647617125339E-3</v>
      </c>
      <c r="H993" s="13">
        <v>-2.4781444013065205E-2</v>
      </c>
      <c r="I993" s="15">
        <f t="shared" si="15"/>
        <v>-2.8960639613323353E-3</v>
      </c>
    </row>
    <row r="994" spans="1:9">
      <c r="A994" s="12">
        <v>44655</v>
      </c>
      <c r="B994" s="13">
        <v>-7.2857739044748827E-3</v>
      </c>
      <c r="C994" s="14">
        <v>-2.2070118894140373E-3</v>
      </c>
      <c r="D994" s="13">
        <v>5.8401092988179578E-3</v>
      </c>
      <c r="E994" s="14">
        <v>-1.257756518732874E-2</v>
      </c>
      <c r="F994" s="13">
        <v>-2.0696881771154862E-2</v>
      </c>
      <c r="G994" s="14">
        <v>1.5361186092053376E-3</v>
      </c>
      <c r="H994" s="13">
        <v>-2.7151354997713211E-3</v>
      </c>
      <c r="I994" s="15">
        <f t="shared" si="15"/>
        <v>-6.0926820763502476E-3</v>
      </c>
    </row>
    <row r="995" spans="1:9">
      <c r="A995" s="12">
        <v>44652</v>
      </c>
      <c r="B995" s="13">
        <v>-1.2355288270539649E-3</v>
      </c>
      <c r="C995" s="14">
        <v>-1.4996598920792477E-2</v>
      </c>
      <c r="D995" s="13">
        <v>-3.7349757122808499E-3</v>
      </c>
      <c r="E995" s="14">
        <v>1.6320192270825339E-2</v>
      </c>
      <c r="F995" s="13">
        <v>-1.8806925453196226E-2</v>
      </c>
      <c r="G995" s="14">
        <v>4.1616813793176249E-4</v>
      </c>
      <c r="H995" s="13">
        <v>-1.6571234954451723E-2</v>
      </c>
      <c r="I995" s="15">
        <f t="shared" si="15"/>
        <v>-2.7901489282471065E-3</v>
      </c>
    </row>
    <row r="996" spans="1:9">
      <c r="A996" s="12">
        <v>44651</v>
      </c>
      <c r="B996" s="13">
        <v>-1.1042878721050555E-2</v>
      </c>
      <c r="C996" s="14">
        <v>-1.6870000791913451E-2</v>
      </c>
      <c r="D996" s="13">
        <v>-6.7956756956666555E-3</v>
      </c>
      <c r="E996" s="14">
        <v>-4.3837965986173802E-3</v>
      </c>
      <c r="F996" s="13">
        <v>-9.6318049021710719E-2</v>
      </c>
      <c r="G996" s="14">
        <v>-7.3866567509070285E-3</v>
      </c>
      <c r="H996" s="13">
        <v>-4.1917638114005423E-2</v>
      </c>
      <c r="I996" s="15">
        <f t="shared" si="15"/>
        <v>-1.1828878033964723E-2</v>
      </c>
    </row>
    <row r="997" spans="1:9">
      <c r="A997" s="12">
        <v>44650</v>
      </c>
      <c r="B997" s="13">
        <v>5.1935406506996816E-4</v>
      </c>
      <c r="C997" s="14">
        <v>-8.8197360804014267E-3</v>
      </c>
      <c r="D997" s="13">
        <v>-3.3368084658822607E-2</v>
      </c>
      <c r="E997" s="14">
        <v>-3.8775697862162763E-2</v>
      </c>
      <c r="F997" s="13">
        <v>-3.8469805939055218E-3</v>
      </c>
      <c r="G997" s="14">
        <v>2.0022973579729354E-2</v>
      </c>
      <c r="H997" s="13">
        <v>-2.8142604645235745E-2</v>
      </c>
      <c r="I997" s="15">
        <f t="shared" si="15"/>
        <v>-2.7570456047362299E-3</v>
      </c>
    </row>
    <row r="998" spans="1:9">
      <c r="A998" s="12">
        <v>44649</v>
      </c>
      <c r="B998" s="13">
        <v>-1.2720304105658916E-2</v>
      </c>
      <c r="C998" s="14">
        <v>-8.9855047319278656E-3</v>
      </c>
      <c r="D998" s="13">
        <v>-2.9732979596063299E-2</v>
      </c>
      <c r="E998" s="14">
        <v>-4.8120393606873963E-3</v>
      </c>
      <c r="F998" s="13">
        <v>-1.076436658715843E-2</v>
      </c>
      <c r="G998" s="14">
        <v>-2.546069631072136E-2</v>
      </c>
      <c r="H998" s="13">
        <v>9.1184033766094144E-3</v>
      </c>
      <c r="I998" s="15">
        <f t="shared" si="15"/>
        <v>-1.232487494354321E-2</v>
      </c>
    </row>
    <row r="999" spans="1:9">
      <c r="A999" s="12">
        <v>44648</v>
      </c>
      <c r="B999" s="13">
        <v>-4.9917320147906613E-3</v>
      </c>
      <c r="C999" s="14">
        <v>-1.0830272349651048E-2</v>
      </c>
      <c r="D999" s="13">
        <v>6.3143836758853076E-3</v>
      </c>
      <c r="E999" s="14">
        <v>-5.4750485254662605E-3</v>
      </c>
      <c r="F999" s="13">
        <v>1.8018505502678212E-2</v>
      </c>
      <c r="G999" s="14">
        <v>6.2757042920617472E-3</v>
      </c>
      <c r="H999" s="13">
        <v>6.4252685153999775E-3</v>
      </c>
      <c r="I999" s="15">
        <f t="shared" si="15"/>
        <v>-5.2114858477591511E-3</v>
      </c>
    </row>
    <row r="1000" spans="1:9">
      <c r="A1000" s="12">
        <v>44645</v>
      </c>
      <c r="B1000" s="13">
        <v>6.4204092536360958E-3</v>
      </c>
      <c r="C1000" s="14">
        <v>1.2644300162167504E-2</v>
      </c>
      <c r="D1000" s="13">
        <v>9.3158188642791639E-3</v>
      </c>
      <c r="E1000" s="14">
        <v>1.9776210183172476E-2</v>
      </c>
      <c r="F1000" s="13">
        <v>4.0005334613699206E-2</v>
      </c>
      <c r="G1000" s="14">
        <v>1.8028788860606087E-2</v>
      </c>
      <c r="H1000" s="13">
        <v>1.4275451146985436E-2</v>
      </c>
      <c r="I1000" s="15">
        <f t="shared" si="15"/>
        <v>8.8148225139324174E-3</v>
      </c>
    </row>
    <row r="1001" spans="1:9">
      <c r="A1001" s="12">
        <v>44644</v>
      </c>
      <c r="B1001" s="13">
        <v>-7.1143030166087211E-3</v>
      </c>
      <c r="C1001" s="14">
        <v>-6.6266514009877663E-3</v>
      </c>
      <c r="D1001" s="13">
        <v>-1.3722353249454747E-3</v>
      </c>
      <c r="E1001" s="14">
        <v>6.812262041322569E-3</v>
      </c>
      <c r="F1001" s="13">
        <v>7.7314728971399705E-3</v>
      </c>
      <c r="G1001" s="14">
        <v>-7.6128417629334087E-3</v>
      </c>
      <c r="H1001" s="13">
        <v>-9.0174270830228019E-3</v>
      </c>
      <c r="I1001" s="15">
        <f t="shared" si="15"/>
        <v>-6.2918143026052548E-3</v>
      </c>
    </row>
    <row r="1002" spans="1:9">
      <c r="A1002" s="12">
        <v>44643</v>
      </c>
      <c r="B1002" s="13">
        <v>-2.8301203071175946E-3</v>
      </c>
      <c r="C1002" s="14">
        <v>-1.5273745299520087E-3</v>
      </c>
      <c r="D1002" s="13">
        <v>1.9202403348462755E-2</v>
      </c>
      <c r="E1002" s="14">
        <v>4.8096678514561245E-3</v>
      </c>
      <c r="F1002" s="13">
        <v>0</v>
      </c>
      <c r="G1002" s="14">
        <v>8.6920062860732592E-3</v>
      </c>
      <c r="H1002" s="13">
        <v>-5.998974693891092E-3</v>
      </c>
      <c r="I1002" s="15">
        <f t="shared" si="15"/>
        <v>-1.4405456439553512E-3</v>
      </c>
    </row>
    <row r="1003" spans="1:9">
      <c r="A1003" s="12">
        <v>44642</v>
      </c>
      <c r="B1003" s="13">
        <v>1.1321901772458353E-2</v>
      </c>
      <c r="C1003" s="14">
        <v>2.1208227931208336E-2</v>
      </c>
      <c r="D1003" s="13">
        <v>1.8525815414060422E-2</v>
      </c>
      <c r="E1003" s="14">
        <v>-3.1711290611331298E-3</v>
      </c>
      <c r="F1003" s="13">
        <v>1.0483966994201181E-2</v>
      </c>
      <c r="G1003" s="14">
        <v>0</v>
      </c>
      <c r="H1003" s="13">
        <v>8.0339157550414157E-3</v>
      </c>
      <c r="I1003" s="15">
        <f t="shared" si="15"/>
        <v>1.1806570323380002E-2</v>
      </c>
    </row>
    <row r="1004" spans="1:9">
      <c r="A1004" s="12">
        <v>44641</v>
      </c>
      <c r="B1004" s="13">
        <v>-1.7713924820889162E-3</v>
      </c>
      <c r="C1004" s="14">
        <v>-5.8827250808572299E-3</v>
      </c>
      <c r="D1004" s="13">
        <v>-6.0316289787852835E-3</v>
      </c>
      <c r="E1004" s="14">
        <v>3.0219820615228571E-2</v>
      </c>
      <c r="F1004" s="13">
        <v>1.9464368225841484E-2</v>
      </c>
      <c r="G1004" s="14">
        <v>6.858807663192747E-3</v>
      </c>
      <c r="H1004" s="13">
        <v>-6.2913755624259453E-3</v>
      </c>
      <c r="I1004" s="15">
        <f t="shared" si="15"/>
        <v>-5.4401414260752898E-4</v>
      </c>
    </row>
    <row r="1005" spans="1:9">
      <c r="A1005" s="12">
        <v>44637</v>
      </c>
      <c r="B1005" s="13">
        <v>2.9392234465807441E-2</v>
      </c>
      <c r="C1005" s="14">
        <v>3.4570924107829207E-2</v>
      </c>
      <c r="D1005" s="13">
        <v>3.6175315374022708E-2</v>
      </c>
      <c r="E1005" s="14">
        <v>7.7848494423515269E-3</v>
      </c>
      <c r="F1005" s="13">
        <v>3.593200922606337E-2</v>
      </c>
      <c r="G1005" s="14">
        <v>-9.9709901157428605E-3</v>
      </c>
      <c r="H1005" s="13">
        <v>1.1253094295190816E-2</v>
      </c>
      <c r="I1005" s="15">
        <f t="shared" si="15"/>
        <v>2.7302740698602609E-2</v>
      </c>
    </row>
    <row r="1006" spans="1:9">
      <c r="A1006" s="12">
        <v>44636</v>
      </c>
      <c r="B1006" s="13">
        <v>-3.0624216881086026E-2</v>
      </c>
      <c r="C1006" s="14">
        <v>-1.7059564474229159E-2</v>
      </c>
      <c r="D1006" s="13">
        <v>-7.2357441031076272E-3</v>
      </c>
      <c r="E1006" s="14">
        <v>-5.8949403139389858E-2</v>
      </c>
      <c r="F1006" s="13">
        <v>2.8065452898283973E-2</v>
      </c>
      <c r="G1006" s="14">
        <v>1.2391034348139835E-2</v>
      </c>
      <c r="H1006" s="13">
        <v>-6.0436186543730026E-3</v>
      </c>
      <c r="I1006" s="15">
        <f t="shared" si="15"/>
        <v>-2.7163114907834941E-2</v>
      </c>
    </row>
    <row r="1007" spans="1:9">
      <c r="A1007" s="12">
        <v>44635</v>
      </c>
      <c r="B1007" s="13">
        <v>-1.819543825434846E-2</v>
      </c>
      <c r="C1007" s="14">
        <v>-1.4781336339751178E-2</v>
      </c>
      <c r="D1007" s="13">
        <v>-7.3877981566192283E-4</v>
      </c>
      <c r="E1007" s="14">
        <v>2.0846496429635885E-2</v>
      </c>
      <c r="F1007" s="13">
        <v>-1.449570076378563E-2</v>
      </c>
      <c r="G1007" s="14">
        <v>-1.916318595381554E-2</v>
      </c>
      <c r="H1007" s="13">
        <v>-1.6150503819026118E-2</v>
      </c>
      <c r="I1007" s="15">
        <f t="shared" si="15"/>
        <v>-1.5491907248083919E-2</v>
      </c>
    </row>
    <row r="1008" spans="1:9">
      <c r="A1008" s="12">
        <v>44634</v>
      </c>
      <c r="B1008" s="13">
        <v>-8.1849884257554715E-3</v>
      </c>
      <c r="C1008" s="14">
        <v>-2.6365163507576891E-2</v>
      </c>
      <c r="D1008" s="13">
        <v>6.7823918483165668E-3</v>
      </c>
      <c r="E1008" s="14">
        <v>-2.0746190496455763E-2</v>
      </c>
      <c r="F1008" s="13">
        <v>1.6339019258074947E-2</v>
      </c>
      <c r="G1008" s="14">
        <v>4.1152854010142875E-3</v>
      </c>
      <c r="H1008" s="13">
        <v>-3.9682591756206222E-3</v>
      </c>
      <c r="I1008" s="15">
        <f t="shared" si="15"/>
        <v>-1.1048329926922939E-2</v>
      </c>
    </row>
    <row r="1009" spans="1:9">
      <c r="A1009" s="12">
        <v>44631</v>
      </c>
      <c r="B1009" s="13">
        <v>-1.044998313259209E-2</v>
      </c>
      <c r="C1009" s="14">
        <v>2.7952251724880431E-3</v>
      </c>
      <c r="D1009" s="13">
        <v>3.6330925794514405E-3</v>
      </c>
      <c r="E1009" s="14">
        <v>3.2378151356435396E-3</v>
      </c>
      <c r="F1009" s="13">
        <v>1.9694290802925944E-2</v>
      </c>
      <c r="G1009" s="14">
        <v>8.4106515679757531E-3</v>
      </c>
      <c r="H1009" s="13">
        <v>0</v>
      </c>
      <c r="I1009" s="15">
        <f t="shared" si="15"/>
        <v>-6.3582272834888064E-3</v>
      </c>
    </row>
    <row r="1010" spans="1:9">
      <c r="A1010" s="12">
        <v>44630</v>
      </c>
      <c r="B1010" s="13">
        <v>-6.5699661453183312E-3</v>
      </c>
      <c r="C1010" s="14">
        <v>-3.0964433364488544E-3</v>
      </c>
      <c r="D1010" s="13">
        <v>4.2573960425490174E-3</v>
      </c>
      <c r="E1010" s="14">
        <v>3.4266547161422886E-3</v>
      </c>
      <c r="F1010" s="13">
        <v>-7.9768370756879634E-3</v>
      </c>
      <c r="G1010" s="14">
        <v>-1.7570149432478661E-2</v>
      </c>
      <c r="H1010" s="13">
        <v>2.2281393595312005E-2</v>
      </c>
      <c r="I1010" s="15">
        <f t="shared" si="15"/>
        <v>-5.6311169905334463E-3</v>
      </c>
    </row>
    <row r="1011" spans="1:9">
      <c r="A1011" s="12">
        <v>44629</v>
      </c>
      <c r="B1011" s="13">
        <v>-1.3079535085351337E-2</v>
      </c>
      <c r="C1011" s="14">
        <v>-2.8836916449724092E-2</v>
      </c>
      <c r="D1011" s="13">
        <v>-7.2904220783620369E-2</v>
      </c>
      <c r="E1011" s="14">
        <v>-1.5833761763195901E-2</v>
      </c>
      <c r="F1011" s="13">
        <v>-1.4571951576705601E-3</v>
      </c>
      <c r="G1011" s="14">
        <v>-2.7617669447281824E-2</v>
      </c>
      <c r="H1011" s="13">
        <v>-8.4246100023795956E-2</v>
      </c>
      <c r="I1011" s="15">
        <f t="shared" si="15"/>
        <v>-1.7875444577515463E-2</v>
      </c>
    </row>
    <row r="1012" spans="1:9">
      <c r="A1012" s="12">
        <v>44628</v>
      </c>
      <c r="B1012" s="13">
        <v>-5.4154183085397475E-2</v>
      </c>
      <c r="C1012" s="14">
        <v>-2.8285012852628022E-2</v>
      </c>
      <c r="D1012" s="13">
        <v>-2.6023589013008261E-2</v>
      </c>
      <c r="E1012" s="14">
        <v>-2.7953990159070637E-2</v>
      </c>
      <c r="F1012" s="13">
        <v>7.2886300602766237E-4</v>
      </c>
      <c r="G1012" s="14">
        <v>-2.249234456565799E-2</v>
      </c>
      <c r="H1012" s="13">
        <v>-6.3702208195043158E-2</v>
      </c>
      <c r="I1012" s="15">
        <f t="shared" si="15"/>
        <v>-4.6673956668163395E-2</v>
      </c>
    </row>
    <row r="1013" spans="1:9">
      <c r="A1013" s="12">
        <v>44627</v>
      </c>
      <c r="B1013" s="13">
        <v>-5.5045841653535961E-3</v>
      </c>
      <c r="C1013" s="14">
        <v>-1.703102891592136E-2</v>
      </c>
      <c r="D1013" s="13">
        <v>1.84551175200331E-2</v>
      </c>
      <c r="E1013" s="14">
        <v>-3.4758463913525414E-3</v>
      </c>
      <c r="F1013" s="13">
        <v>-2.0611697674766442E-2</v>
      </c>
      <c r="G1013" s="14">
        <v>1.259894445092795E-3</v>
      </c>
      <c r="H1013" s="13">
        <v>-5.1228076473681739E-3</v>
      </c>
      <c r="I1013" s="15">
        <f t="shared" si="15"/>
        <v>-6.7477664133611705E-3</v>
      </c>
    </row>
    <row r="1014" spans="1:9">
      <c r="A1014" s="12">
        <v>44624</v>
      </c>
      <c r="B1014" s="13">
        <v>1.090599433690002E-2</v>
      </c>
      <c r="C1014" s="14">
        <v>3.7919856248075548E-2</v>
      </c>
      <c r="D1014" s="13">
        <v>8.0715425453344022E-2</v>
      </c>
      <c r="E1014" s="14">
        <v>3.2441572775940071E-2</v>
      </c>
      <c r="F1014" s="13">
        <v>9.9908324097222074E-3</v>
      </c>
      <c r="G1014" s="14">
        <v>5.4866452177486169E-3</v>
      </c>
      <c r="H1014" s="13">
        <v>2.7170320629922116E-2</v>
      </c>
      <c r="I1014" s="15">
        <f t="shared" si="15"/>
        <v>1.7285672944814309E-2</v>
      </c>
    </row>
    <row r="1015" spans="1:9">
      <c r="A1015" s="12">
        <v>44623</v>
      </c>
      <c r="B1015" s="13">
        <v>4.769132175839582E-2</v>
      </c>
      <c r="C1015" s="14">
        <v>1.5498249896027052E-2</v>
      </c>
      <c r="D1015" s="13">
        <v>6.2560806783135553E-2</v>
      </c>
      <c r="E1015" s="14">
        <v>4.2381496333678027E-3</v>
      </c>
      <c r="F1015" s="13">
        <v>1.353101646402052E-2</v>
      </c>
      <c r="G1015" s="14">
        <v>9.3747299780534456E-3</v>
      </c>
      <c r="H1015" s="13">
        <v>6.1203840003365234E-2</v>
      </c>
      <c r="I1015" s="15">
        <f t="shared" si="15"/>
        <v>3.8576310751737238E-2</v>
      </c>
    </row>
    <row r="1016" spans="1:9">
      <c r="A1016" s="12">
        <v>44622</v>
      </c>
      <c r="B1016" s="13">
        <v>5.3242193172524224E-2</v>
      </c>
      <c r="C1016" s="14">
        <v>2.0876613100758196E-2</v>
      </c>
      <c r="D1016" s="13">
        <v>-4.112176678277079E-3</v>
      </c>
      <c r="E1016" s="14">
        <v>-1.9865060017390648E-2</v>
      </c>
      <c r="F1016" s="13">
        <v>3.0760651330363702E-2</v>
      </c>
      <c r="G1016" s="14">
        <v>-5.4081957620431519E-3</v>
      </c>
      <c r="H1016" s="13">
        <v>-8.8893589670623677E-3</v>
      </c>
      <c r="I1016" s="15">
        <f t="shared" si="15"/>
        <v>4.0166800546241735E-2</v>
      </c>
    </row>
    <row r="1017" spans="1:9">
      <c r="A1017" s="12">
        <v>44620</v>
      </c>
      <c r="B1017" s="13">
        <v>4.6981365236919537E-2</v>
      </c>
      <c r="C1017" s="14">
        <v>1.9303247340545806E-2</v>
      </c>
      <c r="D1017" s="13">
        <v>2.450694306623415E-2</v>
      </c>
      <c r="E1017" s="14">
        <v>3.7069284497771325E-2</v>
      </c>
      <c r="F1017" s="13">
        <v>-0.125562424252982</v>
      </c>
      <c r="G1017" s="14">
        <v>2.2546965340728E-2</v>
      </c>
      <c r="H1017" s="13">
        <v>3.0637771274306537E-2</v>
      </c>
      <c r="I1017" s="15">
        <f t="shared" si="15"/>
        <v>4.0056285362114558E-2</v>
      </c>
    </row>
    <row r="1018" spans="1:9">
      <c r="A1018" s="12">
        <v>44617</v>
      </c>
      <c r="B1018" s="13">
        <v>-1.7620831361473323E-2</v>
      </c>
      <c r="C1018" s="14">
        <v>-6.8888211806416681E-3</v>
      </c>
      <c r="D1018" s="13">
        <v>-2.4392487303261393E-2</v>
      </c>
      <c r="E1018" s="14">
        <v>-8.3821121244762216E-3</v>
      </c>
      <c r="F1018" s="13">
        <v>1.1973659383041648E-3</v>
      </c>
      <c r="G1018" s="14">
        <v>-8.2519700566744559E-3</v>
      </c>
      <c r="H1018" s="13">
        <v>-4.8231056562727206E-2</v>
      </c>
      <c r="I1018" s="15">
        <f t="shared" si="15"/>
        <v>-1.5229450296243128E-2</v>
      </c>
    </row>
    <row r="1019" spans="1:9">
      <c r="A1019" s="12">
        <v>44616</v>
      </c>
      <c r="B1019" s="13">
        <v>-1.620849122958784E-2</v>
      </c>
      <c r="C1019" s="14">
        <v>-9.1594568087045684E-3</v>
      </c>
      <c r="D1019" s="13">
        <v>2.7236566846945726E-2</v>
      </c>
      <c r="E1019" s="14">
        <v>5.6399857552082381E-3</v>
      </c>
      <c r="F1019" s="13">
        <v>-4.8630623645800578E-2</v>
      </c>
      <c r="G1019" s="14">
        <v>-1.0560214217510975E-2</v>
      </c>
      <c r="H1019" s="13">
        <v>-4.7047552388708502E-2</v>
      </c>
      <c r="I1019" s="15">
        <f t="shared" si="15"/>
        <v>-1.3421540331429917E-2</v>
      </c>
    </row>
    <row r="1020" spans="1:9">
      <c r="A1020" s="12">
        <v>44615</v>
      </c>
      <c r="B1020" s="13">
        <v>5.3340691182747084E-2</v>
      </c>
      <c r="C1020" s="14">
        <v>7.2097611556550242E-2</v>
      </c>
      <c r="D1020" s="13">
        <v>2.2272335067997383E-4</v>
      </c>
      <c r="E1020" s="14">
        <v>2.3314280444476306E-2</v>
      </c>
      <c r="F1020" s="13">
        <v>8.5824184559957703E-2</v>
      </c>
      <c r="G1020" s="14">
        <v>2.76537414953281E-2</v>
      </c>
      <c r="H1020" s="13">
        <v>0.11408850118120188</v>
      </c>
      <c r="I1020" s="15">
        <f t="shared" si="15"/>
        <v>5.3692765796669963E-2</v>
      </c>
    </row>
    <row r="1021" spans="1:9">
      <c r="A1021" s="12">
        <v>44614</v>
      </c>
      <c r="B1021" s="13">
        <v>-3.1093638485133798E-3</v>
      </c>
      <c r="C1021" s="14">
        <v>-4.3972040779076526E-3</v>
      </c>
      <c r="D1021" s="13">
        <v>-1.950815182639104E-2</v>
      </c>
      <c r="E1021" s="14">
        <v>3.306086226088821E-2</v>
      </c>
      <c r="F1021" s="13">
        <v>1.2223223230775722E-2</v>
      </c>
      <c r="G1021" s="14">
        <v>7.7998615611379251E-3</v>
      </c>
      <c r="H1021" s="13">
        <v>-8.8024041280610511E-3</v>
      </c>
      <c r="I1021" s="15">
        <f t="shared" si="15"/>
        <v>-1.2613265377543934E-3</v>
      </c>
    </row>
    <row r="1022" spans="1:9">
      <c r="A1022" s="12">
        <v>44613</v>
      </c>
      <c r="B1022" s="13">
        <v>7.563165026305379E-3</v>
      </c>
      <c r="C1022" s="14">
        <v>-5.448196864196364E-4</v>
      </c>
      <c r="D1022" s="13">
        <v>4.1074799615481699E-3</v>
      </c>
      <c r="E1022" s="14">
        <v>2.4799380941283072E-2</v>
      </c>
      <c r="F1022" s="13">
        <v>3.1760562329244457E-2</v>
      </c>
      <c r="G1022" s="14">
        <v>5.4602319747029384E-3</v>
      </c>
      <c r="H1022" s="13">
        <v>2.6873863948168663E-2</v>
      </c>
      <c r="I1022" s="15">
        <f t="shared" si="15"/>
        <v>7.0944756736866631E-3</v>
      </c>
    </row>
    <row r="1023" spans="1:9">
      <c r="A1023" s="12">
        <v>44610</v>
      </c>
      <c r="B1023" s="13">
        <v>2.0890623717103405E-3</v>
      </c>
      <c r="C1023" s="14">
        <v>1.5225184912744492E-2</v>
      </c>
      <c r="D1023" s="13">
        <v>-4.8173745010366368E-3</v>
      </c>
      <c r="E1023" s="14">
        <v>5.9002604261260668E-3</v>
      </c>
      <c r="F1023" s="13">
        <v>1.4700480412889706E-3</v>
      </c>
      <c r="G1023" s="14">
        <v>5.507946122850862E-3</v>
      </c>
      <c r="H1023" s="13">
        <v>2.4263133340607632E-2</v>
      </c>
      <c r="I1023" s="15">
        <f t="shared" si="15"/>
        <v>4.7489210371665881E-3</v>
      </c>
    </row>
    <row r="1024" spans="1:9">
      <c r="A1024" s="12">
        <v>44609</v>
      </c>
      <c r="B1024" s="13">
        <v>2.2684435642952687E-3</v>
      </c>
      <c r="C1024" s="14">
        <v>-1.6662952159536663E-2</v>
      </c>
      <c r="D1024" s="13">
        <v>1.5474469191609913E-2</v>
      </c>
      <c r="E1024" s="14">
        <v>1.8192844198137718E-4</v>
      </c>
      <c r="F1024" s="13">
        <v>-8.4824406813392237E-3</v>
      </c>
      <c r="G1024" s="14">
        <v>2.1123684404805061E-3</v>
      </c>
      <c r="H1024" s="13">
        <v>3.4485456972372701E-2</v>
      </c>
      <c r="I1024" s="15">
        <f t="shared" si="15"/>
        <v>-6.1880770064879406E-4</v>
      </c>
    </row>
    <row r="1025" spans="1:9">
      <c r="A1025" s="12">
        <v>44608</v>
      </c>
      <c r="B1025" s="13">
        <v>-3.9885306070443277E-3</v>
      </c>
      <c r="C1025" s="14">
        <v>-2.4837739620174517E-3</v>
      </c>
      <c r="D1025" s="13">
        <v>3.2200481401721201E-2</v>
      </c>
      <c r="E1025" s="14">
        <v>-3.9492122534670977E-3</v>
      </c>
      <c r="F1025" s="13">
        <v>5.1717884023940053E-3</v>
      </c>
      <c r="G1025" s="14">
        <v>1.6969638710891658E-3</v>
      </c>
      <c r="H1025" s="13">
        <v>-1.6614698610203663E-2</v>
      </c>
      <c r="I1025" s="15">
        <f t="shared" si="15"/>
        <v>-3.1061365921332415E-3</v>
      </c>
    </row>
    <row r="1026" spans="1:9">
      <c r="A1026" s="12">
        <v>44607</v>
      </c>
      <c r="B1026" s="13">
        <v>3.6057085916347373E-3</v>
      </c>
      <c r="C1026" s="14">
        <v>-1.5264392139412756E-3</v>
      </c>
      <c r="D1026" s="13">
        <v>2.5298172333937829E-2</v>
      </c>
      <c r="E1026" s="14">
        <v>1.3384032416179368E-3</v>
      </c>
      <c r="F1026" s="13">
        <v>-6.311482370276035E-2</v>
      </c>
      <c r="G1026" s="14">
        <v>-9.5766145354592835E-3</v>
      </c>
      <c r="H1026" s="13">
        <v>-9.5899271427000868E-4</v>
      </c>
      <c r="I1026" s="15">
        <f t="shared" si="15"/>
        <v>2.1666278072160544E-3</v>
      </c>
    </row>
    <row r="1027" spans="1:9">
      <c r="A1027" s="12">
        <v>44606</v>
      </c>
      <c r="B1027" s="13">
        <v>-3.781632086076047E-2</v>
      </c>
      <c r="C1027" s="14">
        <v>-3.219390245284965E-2</v>
      </c>
      <c r="D1027" s="13">
        <v>2.4001383028927317E-3</v>
      </c>
      <c r="E1027" s="14">
        <v>-1.3280488945728322E-2</v>
      </c>
      <c r="F1027" s="13">
        <v>-4.9477213320470462E-2</v>
      </c>
      <c r="G1027" s="14">
        <v>-7.9422330123790907E-3</v>
      </c>
      <c r="H1027" s="13">
        <v>-2.4022263321653047E-2</v>
      </c>
      <c r="I1027" s="15">
        <f t="shared" si="15"/>
        <v>-3.365456999926468E-2</v>
      </c>
    </row>
    <row r="1028" spans="1:9">
      <c r="A1028" s="12">
        <v>44603</v>
      </c>
      <c r="B1028" s="13">
        <v>2.2910707671129626E-2</v>
      </c>
      <c r="C1028" s="14">
        <v>2.5596847191108742E-2</v>
      </c>
      <c r="D1028" s="13">
        <v>1.860870838735033E-2</v>
      </c>
      <c r="E1028" s="14">
        <v>2.1454426439569067E-2</v>
      </c>
      <c r="F1028" s="13">
        <v>0.10704980964642104</v>
      </c>
      <c r="G1028" s="14">
        <v>-1.1596390749080469E-2</v>
      </c>
      <c r="H1028" s="13">
        <v>3.1627178732084184E-2</v>
      </c>
      <c r="I1028" s="15">
        <f t="shared" si="15"/>
        <v>2.1799640545030523E-2</v>
      </c>
    </row>
    <row r="1029" spans="1:9">
      <c r="A1029" s="12">
        <v>44602</v>
      </c>
      <c r="B1029" s="13">
        <v>6.9558223460159264E-3</v>
      </c>
      <c r="C1029" s="14">
        <v>1.2177140443757818E-2</v>
      </c>
      <c r="D1029" s="13">
        <v>5.945533916046614E-4</v>
      </c>
      <c r="E1029" s="14">
        <v>2.295045892342347E-2</v>
      </c>
      <c r="F1029" s="13">
        <v>2.4520899206699073E-2</v>
      </c>
      <c r="G1029" s="14">
        <v>-2.4892762178702591E-3</v>
      </c>
      <c r="H1029" s="13">
        <v>4.8681731562655102E-2</v>
      </c>
      <c r="I1029" s="15">
        <f t="shared" si="15"/>
        <v>8.4720983163243946E-3</v>
      </c>
    </row>
    <row r="1030" spans="1:9">
      <c r="A1030" s="12">
        <v>44601</v>
      </c>
      <c r="B1030" s="13">
        <v>-3.2162820940472322E-3</v>
      </c>
      <c r="C1030" s="14">
        <v>-7.3084355366447992E-3</v>
      </c>
      <c r="D1030" s="13">
        <v>-5.9455339160460166E-4</v>
      </c>
      <c r="E1030" s="14">
        <v>2.0605211576255511E-3</v>
      </c>
      <c r="F1030" s="13">
        <v>8.6393625907076402E-3</v>
      </c>
      <c r="G1030" s="14">
        <v>6.8964879434227919E-3</v>
      </c>
      <c r="H1030" s="13">
        <v>-2.4873179414665598E-3</v>
      </c>
      <c r="I1030" s="15">
        <f t="shared" ref="I1030:I1093" si="16">SUMPRODUCT($B$2:$H$2,B1030:H1030)</f>
        <v>-3.1204097048708273E-3</v>
      </c>
    </row>
    <row r="1031" spans="1:9">
      <c r="A1031" s="12">
        <v>44600</v>
      </c>
      <c r="B1031" s="13">
        <v>-3.7239945592913186E-3</v>
      </c>
      <c r="C1031" s="14">
        <v>-4.2337630330882012E-3</v>
      </c>
      <c r="D1031" s="13">
        <v>3.9999537209023453E-3</v>
      </c>
      <c r="E1031" s="14">
        <v>1.6709094476905068E-2</v>
      </c>
      <c r="F1031" s="13">
        <v>-1.8083675433295351E-2</v>
      </c>
      <c r="G1031" s="14">
        <v>4.7387127384051304E-4</v>
      </c>
      <c r="H1031" s="13">
        <v>5.2437678064698205E-3</v>
      </c>
      <c r="I1031" s="15">
        <f t="shared" si="16"/>
        <v>-2.4492756957357228E-3</v>
      </c>
    </row>
    <row r="1032" spans="1:9">
      <c r="A1032" s="12">
        <v>44599</v>
      </c>
      <c r="B1032" s="13">
        <v>-1.3034036549455829E-2</v>
      </c>
      <c r="C1032" s="14">
        <v>9.6834520722893433E-4</v>
      </c>
      <c r="D1032" s="13">
        <v>1.6601918870815819E-2</v>
      </c>
      <c r="E1032" s="14">
        <v>2.9716016406864547E-2</v>
      </c>
      <c r="F1032" s="13">
        <v>1.3773323932173292E-2</v>
      </c>
      <c r="G1032" s="14">
        <v>1.3489695303960008E-2</v>
      </c>
      <c r="H1032" s="13">
        <v>9.1986165782381377E-3</v>
      </c>
      <c r="I1032" s="15">
        <f t="shared" si="16"/>
        <v>-6.7303183423346276E-3</v>
      </c>
    </row>
    <row r="1033" spans="1:9">
      <c r="A1033" s="12">
        <v>44596</v>
      </c>
      <c r="B1033" s="13">
        <v>1.9325704599890692E-2</v>
      </c>
      <c r="C1033" s="14">
        <v>2.2147581614637538E-2</v>
      </c>
      <c r="D1033" s="13">
        <v>1.8474236232839144E-3</v>
      </c>
      <c r="E1033" s="14">
        <v>1.1832145853039218E-2</v>
      </c>
      <c r="F1033" s="13">
        <v>-3.9675435273632109E-3</v>
      </c>
      <c r="G1033" s="14">
        <v>-1.20431450734153E-2</v>
      </c>
      <c r="H1033" s="13">
        <v>-5.4698319615370961E-3</v>
      </c>
      <c r="I1033" s="15">
        <f t="shared" si="16"/>
        <v>1.7515380183831319E-2</v>
      </c>
    </row>
    <row r="1034" spans="1:9">
      <c r="A1034" s="12">
        <v>44595</v>
      </c>
      <c r="B1034" s="13">
        <v>-1.045097366425796E-2</v>
      </c>
      <c r="C1034" s="14">
        <v>2.1684732180111896E-3</v>
      </c>
      <c r="D1034" s="13">
        <v>3.8357732446717674E-3</v>
      </c>
      <c r="E1034" s="14">
        <v>2.663466463030334E-2</v>
      </c>
      <c r="F1034" s="13">
        <v>8.2778950284853759E-3</v>
      </c>
      <c r="G1034" s="14">
        <v>5.2164685703999835E-3</v>
      </c>
      <c r="H1034" s="13">
        <v>6.8326278504449358E-3</v>
      </c>
      <c r="I1034" s="15">
        <f t="shared" si="16"/>
        <v>-5.4107413023452046E-3</v>
      </c>
    </row>
    <row r="1035" spans="1:9">
      <c r="A1035" s="12">
        <v>44594</v>
      </c>
      <c r="B1035" s="13">
        <v>-1.656069245957368E-3</v>
      </c>
      <c r="C1035" s="14">
        <v>7.9003063258838713E-3</v>
      </c>
      <c r="D1035" s="13">
        <v>4.4481935048861256E-3</v>
      </c>
      <c r="E1035" s="14">
        <v>4.5910583195651005E-4</v>
      </c>
      <c r="F1035" s="13">
        <v>-3.5906681307285959E-3</v>
      </c>
      <c r="G1035" s="14">
        <v>1.4715498533841463E-2</v>
      </c>
      <c r="H1035" s="13">
        <v>1.4984446585843799E-2</v>
      </c>
      <c r="I1035" s="15">
        <f t="shared" si="16"/>
        <v>1.0365990684982301E-3</v>
      </c>
    </row>
    <row r="1036" spans="1:9">
      <c r="A1036" s="12">
        <v>44593</v>
      </c>
      <c r="B1036" s="13">
        <v>-4.5355375780430324E-4</v>
      </c>
      <c r="C1036" s="14">
        <v>-1.4780598872619132E-2</v>
      </c>
      <c r="D1036" s="13">
        <v>1.2536826945534741E-4</v>
      </c>
      <c r="E1036" s="14">
        <v>6.807781213421309E-3</v>
      </c>
      <c r="F1036" s="13">
        <v>-1.4858037421604702E-2</v>
      </c>
      <c r="G1036" s="14">
        <v>-6.5394342404395912E-3</v>
      </c>
      <c r="H1036" s="13">
        <v>-1.2846655469469356E-2</v>
      </c>
      <c r="I1036" s="15">
        <f t="shared" si="16"/>
        <v>-2.9077871938347566E-3</v>
      </c>
    </row>
    <row r="1037" spans="1:9">
      <c r="A1037" s="12">
        <v>44592</v>
      </c>
      <c r="B1037" s="13">
        <v>-1.3861764052060591E-2</v>
      </c>
      <c r="C1037" s="14">
        <v>-1.2857190291586187E-2</v>
      </c>
      <c r="D1037" s="13">
        <v>1.4115772676831015E-2</v>
      </c>
      <c r="E1037" s="14">
        <v>1.3583908434812589E-2</v>
      </c>
      <c r="F1037" s="13">
        <v>1.1615375599900319E-2</v>
      </c>
      <c r="G1037" s="14">
        <v>1.3993627409876726E-3</v>
      </c>
      <c r="H1037" s="13">
        <v>-1.554303790669164E-3</v>
      </c>
      <c r="I1037" s="15">
        <f t="shared" si="16"/>
        <v>-1.1138610969650343E-2</v>
      </c>
    </row>
    <row r="1038" spans="1:9">
      <c r="A1038" s="12">
        <v>44589</v>
      </c>
      <c r="B1038" s="13">
        <v>-1.3220482825842398E-2</v>
      </c>
      <c r="C1038" s="14">
        <v>5.5163185612170382E-3</v>
      </c>
      <c r="D1038" s="13">
        <v>-3.1771026898837387E-2</v>
      </c>
      <c r="E1038" s="14">
        <v>5.9873311123160291E-3</v>
      </c>
      <c r="F1038" s="13">
        <v>7.1916886733437531E-3</v>
      </c>
      <c r="G1038" s="14">
        <v>1.7852296432260932E-3</v>
      </c>
      <c r="H1038" s="13">
        <v>1.1483490780025885E-2</v>
      </c>
      <c r="I1038" s="15">
        <f t="shared" si="16"/>
        <v>-8.4126330409159383E-3</v>
      </c>
    </row>
    <row r="1039" spans="1:9">
      <c r="A1039" s="12">
        <v>44588</v>
      </c>
      <c r="B1039" s="13">
        <v>1.9589588460576001E-3</v>
      </c>
      <c r="C1039" s="14">
        <v>-1.6926684847247672E-2</v>
      </c>
      <c r="D1039" s="13">
        <v>-3.8607618618718997E-3</v>
      </c>
      <c r="E1039" s="14">
        <v>-1.3157204150570704E-3</v>
      </c>
      <c r="F1039" s="13">
        <v>-2.1732112062617159E-2</v>
      </c>
      <c r="G1039" s="14">
        <v>1.807851732057014E-3</v>
      </c>
      <c r="H1039" s="13">
        <v>-2.7717911186076289E-3</v>
      </c>
      <c r="I1039" s="15">
        <f t="shared" si="16"/>
        <v>-1.537289787940196E-3</v>
      </c>
    </row>
    <row r="1040" spans="1:9">
      <c r="A1040" s="12">
        <v>44586</v>
      </c>
      <c r="B1040" s="13">
        <v>9.6264342808840535E-3</v>
      </c>
      <c r="C1040" s="14">
        <v>1.7818362581361023E-2</v>
      </c>
      <c r="D1040" s="13">
        <v>2.8139488011174473E-3</v>
      </c>
      <c r="E1040" s="14">
        <v>9.6955845726962326E-3</v>
      </c>
      <c r="F1040" s="13">
        <v>-1.9597595222587187E-2</v>
      </c>
      <c r="G1040" s="14">
        <v>1.0447109147660521E-2</v>
      </c>
      <c r="H1040" s="13">
        <v>-3.2048215549258423E-3</v>
      </c>
      <c r="I1040" s="15">
        <f t="shared" si="16"/>
        <v>1.0824403881376394E-2</v>
      </c>
    </row>
    <row r="1041" spans="1:9">
      <c r="A1041" s="12">
        <v>44585</v>
      </c>
      <c r="B1041" s="13">
        <v>2.5546445723346888E-3</v>
      </c>
      <c r="C1041" s="14">
        <v>-1.8877444305288382E-2</v>
      </c>
      <c r="D1041" s="13">
        <v>-1.6821839499341094E-2</v>
      </c>
      <c r="E1041" s="14">
        <v>-3.7622513351897517E-3</v>
      </c>
      <c r="F1041" s="13">
        <v>-1.4670189747793855E-2</v>
      </c>
      <c r="G1041" s="14">
        <v>-6.6612256966349604E-3</v>
      </c>
      <c r="H1041" s="13">
        <v>-2.3636396788387401E-2</v>
      </c>
      <c r="I1041" s="15">
        <f t="shared" si="16"/>
        <v>-2.2838918060492513E-3</v>
      </c>
    </row>
    <row r="1042" spans="1:9">
      <c r="A1042" s="12">
        <v>44582</v>
      </c>
      <c r="B1042" s="13">
        <v>3.7236028066942935E-2</v>
      </c>
      <c r="C1042" s="14">
        <v>4.2930981073357771E-2</v>
      </c>
      <c r="D1042" s="13">
        <v>4.5453137145427473E-2</v>
      </c>
      <c r="E1042" s="14">
        <v>4.6224440192464966E-3</v>
      </c>
      <c r="F1042" s="13">
        <v>2.5071472227409557E-2</v>
      </c>
      <c r="G1042" s="14">
        <v>1.2872425789275815E-2</v>
      </c>
      <c r="H1042" s="13">
        <v>9.3028822326783583E-2</v>
      </c>
      <c r="I1042" s="15">
        <f t="shared" si="16"/>
        <v>3.5992874170601104E-2</v>
      </c>
    </row>
    <row r="1043" spans="1:9">
      <c r="A1043" s="12">
        <v>44581</v>
      </c>
      <c r="B1043" s="13">
        <v>9.5879177038098885E-3</v>
      </c>
      <c r="C1043" s="14">
        <v>-6.4453754453410012E-5</v>
      </c>
      <c r="D1043" s="13">
        <v>4.5572834292338825E-3</v>
      </c>
      <c r="E1043" s="14">
        <v>2.8181733256559371E-2</v>
      </c>
      <c r="F1043" s="13">
        <v>1.4673777597183109E-2</v>
      </c>
      <c r="G1043" s="14">
        <v>4.6837307290260744E-3</v>
      </c>
      <c r="H1043" s="13">
        <v>-1.0445853207196636E-2</v>
      </c>
      <c r="I1043" s="15">
        <f t="shared" si="16"/>
        <v>8.4287070865902199E-3</v>
      </c>
    </row>
    <row r="1044" spans="1:9">
      <c r="A1044" s="12">
        <v>44580</v>
      </c>
      <c r="B1044" s="13">
        <v>-7.8946180352664468E-3</v>
      </c>
      <c r="C1044" s="14">
        <v>5.0309921351435376E-3</v>
      </c>
      <c r="D1044" s="13">
        <v>-1.1732380854867087E-2</v>
      </c>
      <c r="E1044" s="14">
        <v>5.6329638570314661E-3</v>
      </c>
      <c r="F1044" s="13">
        <v>2.4816954245874379E-2</v>
      </c>
      <c r="G1044" s="14">
        <v>-2.832934738961256E-3</v>
      </c>
      <c r="H1044" s="13">
        <v>-2.1709135985805292E-2</v>
      </c>
      <c r="I1044" s="15">
        <f t="shared" si="16"/>
        <v>-4.9302506213603301E-3</v>
      </c>
    </row>
    <row r="1045" spans="1:9">
      <c r="A1045" s="12">
        <v>44579</v>
      </c>
      <c r="B1045" s="13">
        <v>2.8044698756320176E-2</v>
      </c>
      <c r="C1045" s="14">
        <v>1.6820746351976126E-2</v>
      </c>
      <c r="D1045" s="13">
        <v>2.871246466506366E-2</v>
      </c>
      <c r="E1045" s="14">
        <v>1.1196530107215536E-2</v>
      </c>
      <c r="F1045" s="13">
        <v>-4.3935183603481517E-2</v>
      </c>
      <c r="G1045" s="14">
        <v>6.3304763898303236E-4</v>
      </c>
      <c r="H1045" s="13">
        <v>9.9732034355462743E-3</v>
      </c>
      <c r="I1045" s="15">
        <f t="shared" si="16"/>
        <v>2.3810560128224731E-2</v>
      </c>
    </row>
    <row r="1046" spans="1:9">
      <c r="A1046" s="12">
        <v>44578</v>
      </c>
      <c r="B1046" s="13">
        <v>1.4661564897306811E-3</v>
      </c>
      <c r="C1046" s="14">
        <v>1.9190670684254785E-2</v>
      </c>
      <c r="D1046" s="13">
        <v>7.8408997616389343E-3</v>
      </c>
      <c r="E1046" s="14">
        <v>6.8512121037264742E-3</v>
      </c>
      <c r="F1046" s="13">
        <v>4.8139326439918771E-3</v>
      </c>
      <c r="G1046" s="14">
        <v>1.0626186958141855E-3</v>
      </c>
      <c r="H1046" s="13">
        <v>2.0918133635156572E-2</v>
      </c>
      <c r="I1046" s="15">
        <f t="shared" si="16"/>
        <v>4.9486924941439664E-3</v>
      </c>
    </row>
    <row r="1047" spans="1:9">
      <c r="A1047" s="12">
        <v>44575</v>
      </c>
      <c r="B1047" s="13">
        <v>-4.226580320024681E-3</v>
      </c>
      <c r="C1047" s="14">
        <v>-5.878856985189404E-3</v>
      </c>
      <c r="D1047" s="13">
        <v>-1.0129513925969471E-3</v>
      </c>
      <c r="E1047" s="14">
        <v>6.6571575804667072E-3</v>
      </c>
      <c r="F1047" s="13">
        <v>-2.0149935476561444E-2</v>
      </c>
      <c r="G1047" s="14">
        <v>1.2382963637380298E-3</v>
      </c>
      <c r="H1047" s="13">
        <v>4.1053181667279399E-2</v>
      </c>
      <c r="I1047" s="15">
        <f t="shared" si="16"/>
        <v>-3.3178867404907923E-3</v>
      </c>
    </row>
    <row r="1048" spans="1:9">
      <c r="A1048" s="12">
        <v>44574</v>
      </c>
      <c r="B1048" s="13">
        <v>2.6934545182362733E-2</v>
      </c>
      <c r="C1048" s="14">
        <v>1.3643493129998699E-2</v>
      </c>
      <c r="D1048" s="13">
        <v>2.4127198708006356E-4</v>
      </c>
      <c r="E1048" s="14">
        <v>1.036557380240675E-2</v>
      </c>
      <c r="F1048" s="13">
        <v>-2.9065143485374631E-2</v>
      </c>
      <c r="G1048" s="14">
        <v>2.5255395185209946E-5</v>
      </c>
      <c r="H1048" s="13">
        <v>-0.1202653095122678</v>
      </c>
      <c r="I1048" s="15">
        <f t="shared" si="16"/>
        <v>2.1002562702975038E-2</v>
      </c>
    </row>
    <row r="1049" spans="1:9">
      <c r="A1049" s="12">
        <v>44573</v>
      </c>
      <c r="B1049" s="13">
        <v>2.5015411453323991E-2</v>
      </c>
      <c r="C1049" s="14">
        <v>8.8615137114054689E-3</v>
      </c>
      <c r="D1049" s="13">
        <v>-3.6494185730549934E-3</v>
      </c>
      <c r="E1049" s="14">
        <v>-5.6094971734746441E-3</v>
      </c>
      <c r="F1049" s="13">
        <v>-7.3242700807349431E-2</v>
      </c>
      <c r="G1049" s="14">
        <v>-2.4021150152446248E-3</v>
      </c>
      <c r="H1049" s="13">
        <v>6.7424305936243526E-3</v>
      </c>
      <c r="I1049" s="15">
        <f t="shared" si="16"/>
        <v>1.8866086523902956E-2</v>
      </c>
    </row>
    <row r="1050" spans="1:9">
      <c r="A1050" s="12">
        <v>44572</v>
      </c>
      <c r="B1050" s="13">
        <v>-1.4260402978597184E-3</v>
      </c>
      <c r="C1050" s="14">
        <v>-3.4283397005664975E-3</v>
      </c>
      <c r="D1050" s="13">
        <v>-6.2176869486864654E-3</v>
      </c>
      <c r="E1050" s="14">
        <v>-2.0858287398283964E-2</v>
      </c>
      <c r="F1050" s="13">
        <v>-3.2247172589483925E-2</v>
      </c>
      <c r="G1050" s="14">
        <v>2.5031302181184748E-3</v>
      </c>
      <c r="H1050" s="13">
        <v>-6.9940941613933806E-4</v>
      </c>
      <c r="I1050" s="15">
        <f t="shared" si="16"/>
        <v>-2.6333769018896192E-3</v>
      </c>
    </row>
    <row r="1051" spans="1:9">
      <c r="A1051" s="12">
        <v>44571</v>
      </c>
      <c r="B1051" s="13">
        <v>4.1594758408404122E-3</v>
      </c>
      <c r="C1051" s="14">
        <v>-2.8736091186510903E-3</v>
      </c>
      <c r="D1051" s="13">
        <v>1.1096687980314475E-2</v>
      </c>
      <c r="E1051" s="14">
        <v>-9.0309923177217689E-3</v>
      </c>
      <c r="F1051" s="13">
        <v>-5.6216364265273553E-3</v>
      </c>
      <c r="G1051" s="14">
        <v>2.5976333283165218E-3</v>
      </c>
      <c r="H1051" s="13">
        <v>3.2984759916278869E-3</v>
      </c>
      <c r="I1051" s="15">
        <f t="shared" si="16"/>
        <v>2.3151535776452323E-3</v>
      </c>
    </row>
    <row r="1052" spans="1:9">
      <c r="A1052" s="12">
        <v>44568</v>
      </c>
      <c r="B1052" s="13">
        <v>6.3957131251158169E-3</v>
      </c>
      <c r="C1052" s="14">
        <v>8.6416998068539527E-3</v>
      </c>
      <c r="D1052" s="13">
        <v>-6.090358869454267E-3</v>
      </c>
      <c r="E1052" s="14">
        <v>4.4504303871688595E-3</v>
      </c>
      <c r="F1052" s="13">
        <v>-6.5260183755088694E-3</v>
      </c>
      <c r="G1052" s="14">
        <v>7.3276947120336916E-3</v>
      </c>
      <c r="H1052" s="13">
        <v>4.2911054537787428E-3</v>
      </c>
      <c r="I1052" s="15">
        <f t="shared" si="16"/>
        <v>6.5324772823849905E-3</v>
      </c>
    </row>
    <row r="1053" spans="1:9">
      <c r="A1053" s="12">
        <v>44567</v>
      </c>
      <c r="B1053" s="13">
        <v>-1.7388799362514296E-2</v>
      </c>
      <c r="C1053" s="14">
        <v>-1.2921536680433389E-2</v>
      </c>
      <c r="D1053" s="13">
        <v>-7.9831027319967104E-3</v>
      </c>
      <c r="E1053" s="14">
        <v>-9.832425109892998E-3</v>
      </c>
      <c r="F1053" s="13">
        <v>-4.8129605050090006E-3</v>
      </c>
      <c r="G1053" s="14">
        <v>5.2866635186679355E-3</v>
      </c>
      <c r="H1053" s="13">
        <v>4.810384292757942E-3</v>
      </c>
      <c r="I1053" s="15">
        <f t="shared" si="16"/>
        <v>-1.4886720101061438E-2</v>
      </c>
    </row>
    <row r="1054" spans="1:9">
      <c r="A1054" s="12">
        <v>44566</v>
      </c>
      <c r="B1054" s="13">
        <v>3.4509971833206754E-3</v>
      </c>
      <c r="C1054" s="14">
        <v>1.1645987565889417E-2</v>
      </c>
      <c r="D1054" s="13">
        <v>2.2256165302421409E-2</v>
      </c>
      <c r="E1054" s="14">
        <v>8.7530670975523948E-3</v>
      </c>
      <c r="F1054" s="13">
        <v>-2.576775174891123E-2</v>
      </c>
      <c r="G1054" s="14">
        <v>5.1598933663546103E-3</v>
      </c>
      <c r="H1054" s="13">
        <v>4.3669864459053871E-3</v>
      </c>
      <c r="I1054" s="15">
        <f t="shared" si="16"/>
        <v>5.3844167532542423E-3</v>
      </c>
    </row>
    <row r="1055" spans="1:9">
      <c r="A1055" s="12">
        <v>44565</v>
      </c>
      <c r="B1055" s="13">
        <v>-1.9324687767691792E-2</v>
      </c>
      <c r="C1055" s="14">
        <v>-6.7234574796749807E-3</v>
      </c>
      <c r="D1055" s="13">
        <v>7.0964506131012718E-3</v>
      </c>
      <c r="E1055" s="14">
        <v>-9.0064561778387033E-3</v>
      </c>
      <c r="F1055" s="13">
        <v>1.3854970232669224E-2</v>
      </c>
      <c r="G1055" s="14">
        <v>-4.7023302149717521E-4</v>
      </c>
      <c r="H1055" s="13">
        <v>1.1817369402860016E-2</v>
      </c>
      <c r="I1055" s="15">
        <f t="shared" si="16"/>
        <v>-1.518002045368024E-2</v>
      </c>
    </row>
    <row r="1056" spans="1:9">
      <c r="A1056" s="12">
        <v>44564</v>
      </c>
      <c r="B1056" s="13">
        <v>-1.072419711703905E-2</v>
      </c>
      <c r="C1056" s="14">
        <v>-1.0317533537873723E-2</v>
      </c>
      <c r="D1056" s="13">
        <v>3.2929444725646336E-3</v>
      </c>
      <c r="E1056" s="14">
        <v>3.2132809410790634E-3</v>
      </c>
      <c r="F1056" s="13">
        <v>8.8378834202987918E-3</v>
      </c>
      <c r="G1056" s="14">
        <v>8.675988563509594E-3</v>
      </c>
      <c r="H1056" s="13">
        <v>1.0596026094372529E-2</v>
      </c>
      <c r="I1056" s="15">
        <f t="shared" si="16"/>
        <v>-8.685377023657688E-3</v>
      </c>
    </row>
    <row r="1057" spans="1:9">
      <c r="A1057" s="12">
        <v>44561</v>
      </c>
      <c r="B1057" s="13">
        <v>-1.1593949437914055E-2</v>
      </c>
      <c r="C1057" s="14">
        <v>-6.0149624811951545E-3</v>
      </c>
      <c r="D1057" s="13">
        <v>7.8684914070805516E-3</v>
      </c>
      <c r="E1057" s="14">
        <v>-4.4050704143611813E-3</v>
      </c>
      <c r="F1057" s="13">
        <v>1.9172700579832919E-2</v>
      </c>
      <c r="G1057" s="14">
        <v>3.9433290134835057E-3</v>
      </c>
      <c r="H1057" s="13">
        <v>1.2326542845356909E-3</v>
      </c>
      <c r="I1057" s="15">
        <f t="shared" si="16"/>
        <v>-9.1848204458997232E-3</v>
      </c>
    </row>
    <row r="1058" spans="1:9">
      <c r="A1058" s="12">
        <v>44560</v>
      </c>
      <c r="B1058" s="13">
        <v>-5.1121446711985489E-3</v>
      </c>
      <c r="C1058" s="14">
        <v>-1.5924103025412684E-2</v>
      </c>
      <c r="D1058" s="13">
        <v>-9.2060742433424131E-2</v>
      </c>
      <c r="E1058" s="14">
        <v>-1.652634184936605E-2</v>
      </c>
      <c r="F1058" s="13">
        <v>-6.003135803936005E-2</v>
      </c>
      <c r="G1058" s="14">
        <v>-1.0097497564225883E-2</v>
      </c>
      <c r="H1058" s="13">
        <v>-5.3677404603580142E-2</v>
      </c>
      <c r="I1058" s="15">
        <f t="shared" si="16"/>
        <v>-9.2903946789450811E-3</v>
      </c>
    </row>
    <row r="1059" spans="1:9">
      <c r="A1059" s="12">
        <v>44559</v>
      </c>
      <c r="B1059" s="13">
        <v>5.1981614531242863E-4</v>
      </c>
      <c r="C1059" s="14">
        <v>-9.7318575007954485E-3</v>
      </c>
      <c r="D1059" s="13">
        <v>1.4153107695566332E-2</v>
      </c>
      <c r="E1059" s="14">
        <v>-1.4550624373504187E-2</v>
      </c>
      <c r="F1059" s="13">
        <v>1.6364001517296216E-2</v>
      </c>
      <c r="G1059" s="14">
        <v>-1.4725901646738555E-2</v>
      </c>
      <c r="H1059" s="13">
        <v>1.7840537203778862E-2</v>
      </c>
      <c r="I1059" s="15">
        <f t="shared" si="16"/>
        <v>-2.3351647922124864E-3</v>
      </c>
    </row>
    <row r="1060" spans="1:9">
      <c r="A1060" s="12">
        <v>44558</v>
      </c>
      <c r="B1060" s="13">
        <v>2.2269565761282007E-4</v>
      </c>
      <c r="C1060" s="14">
        <v>5.4226476607879533E-4</v>
      </c>
      <c r="D1060" s="13">
        <v>-7.2048071943891095E-3</v>
      </c>
      <c r="E1060" s="14">
        <v>-1.7079090558254843E-2</v>
      </c>
      <c r="F1060" s="13">
        <v>9.0130695601266665E-4</v>
      </c>
      <c r="G1060" s="14">
        <v>4.2509628666773415E-3</v>
      </c>
      <c r="H1060" s="13">
        <v>-1.2576333336217981E-2</v>
      </c>
      <c r="I1060" s="15">
        <f t="shared" si="16"/>
        <v>-5.8931881515143488E-4</v>
      </c>
    </row>
    <row r="1061" spans="1:9">
      <c r="A1061" s="12">
        <v>44557</v>
      </c>
      <c r="B1061" s="13">
        <v>-2.885481638241064E-2</v>
      </c>
      <c r="C1061" s="14">
        <v>-8.486568580046391E-3</v>
      </c>
      <c r="D1061" s="13">
        <v>-8.4416835481739769E-3</v>
      </c>
      <c r="E1061" s="14">
        <v>8.6683909920805113E-3</v>
      </c>
      <c r="F1061" s="13">
        <v>2.3593348986218163E-2</v>
      </c>
      <c r="G1061" s="14">
        <v>-6.8604891128952036E-3</v>
      </c>
      <c r="H1061" s="13">
        <v>-4.5948202660893705E-3</v>
      </c>
      <c r="I1061" s="15">
        <f t="shared" si="16"/>
        <v>-2.2015331871903899E-2</v>
      </c>
    </row>
    <row r="1062" spans="1:9">
      <c r="A1062" s="12">
        <v>44554</v>
      </c>
      <c r="B1062" s="13">
        <v>3.7821066251260888E-3</v>
      </c>
      <c r="C1062" s="14">
        <v>-7.1815622261971702E-3</v>
      </c>
      <c r="D1062" s="13">
        <v>-1.3646245073890931E-2</v>
      </c>
      <c r="E1062" s="14">
        <v>1.3110815276705077E-2</v>
      </c>
      <c r="F1062" s="13">
        <v>-3.9027155116059413E-2</v>
      </c>
      <c r="G1062" s="14">
        <v>-8.0722904406452765E-3</v>
      </c>
      <c r="H1062" s="13">
        <v>-3.4303998310587338E-3</v>
      </c>
      <c r="I1062" s="15">
        <f t="shared" si="16"/>
        <v>1.5110773981155999E-3</v>
      </c>
    </row>
    <row r="1063" spans="1:9">
      <c r="A1063" s="12">
        <v>44553</v>
      </c>
      <c r="B1063" s="13">
        <v>-5.1581905081597114E-3</v>
      </c>
      <c r="C1063" s="14">
        <v>1.2937873567891856E-2</v>
      </c>
      <c r="D1063" s="13">
        <v>2.0656069517802574E-2</v>
      </c>
      <c r="E1063" s="14">
        <v>1.4226094764883927E-2</v>
      </c>
      <c r="F1063" s="13">
        <v>-1.9866673262906732E-2</v>
      </c>
      <c r="G1063" s="14">
        <v>2.3430358452580631E-2</v>
      </c>
      <c r="H1063" s="13">
        <v>1.0217001796491642E-2</v>
      </c>
      <c r="I1063" s="15">
        <f t="shared" si="16"/>
        <v>6.2205639814389118E-4</v>
      </c>
    </row>
    <row r="1064" spans="1:9">
      <c r="A1064" s="12">
        <v>44552</v>
      </c>
      <c r="B1064" s="13">
        <v>3.7263329618143553E-3</v>
      </c>
      <c r="C1064" s="14">
        <v>-5.8206355356543275E-3</v>
      </c>
      <c r="D1064" s="13">
        <v>-1.3161304167530252E-2</v>
      </c>
      <c r="E1064" s="14">
        <v>9.7120399446187968E-3</v>
      </c>
      <c r="F1064" s="13">
        <v>1.9866673262906843E-2</v>
      </c>
      <c r="G1064" s="14">
        <v>-8.9218629261199819E-3</v>
      </c>
      <c r="H1064" s="13">
        <v>-5.7243834026267431E-3</v>
      </c>
      <c r="I1064" s="15">
        <f t="shared" si="16"/>
        <v>1.5509313153532405E-3</v>
      </c>
    </row>
    <row r="1065" spans="1:9">
      <c r="A1065" s="12">
        <v>44551</v>
      </c>
      <c r="B1065" s="13">
        <v>-2.671165986978924E-3</v>
      </c>
      <c r="C1065" s="14">
        <v>-3.7540424163728841E-3</v>
      </c>
      <c r="D1065" s="13">
        <v>2.3565067292786392E-3</v>
      </c>
      <c r="E1065" s="14">
        <v>2.7938654767878713E-3</v>
      </c>
      <c r="F1065" s="13">
        <v>-2.8772286374654357E-2</v>
      </c>
      <c r="G1065" s="14">
        <v>-1.2332656590876229E-2</v>
      </c>
      <c r="H1065" s="13">
        <v>-2.0337529689249182E-2</v>
      </c>
      <c r="I1065" s="15">
        <f t="shared" si="16"/>
        <v>-3.1480051889908717E-3</v>
      </c>
    </row>
    <row r="1066" spans="1:9">
      <c r="A1066" s="12">
        <v>44550</v>
      </c>
      <c r="B1066" s="13">
        <v>-9.7991814410754267E-3</v>
      </c>
      <c r="C1066" s="14">
        <v>-5.3248865410690247E-3</v>
      </c>
      <c r="D1066" s="13">
        <v>2.7123506923279639E-2</v>
      </c>
      <c r="E1066" s="14">
        <v>-5.8506475395830419E-3</v>
      </c>
      <c r="F1066" s="13">
        <v>-1.2793351459909582E-2</v>
      </c>
      <c r="G1066" s="14">
        <v>-6.3382814936455536E-3</v>
      </c>
      <c r="H1066" s="13">
        <v>-1.5773835648854314E-2</v>
      </c>
      <c r="I1066" s="15">
        <f t="shared" si="16"/>
        <v>-8.2767350501340778E-3</v>
      </c>
    </row>
    <row r="1067" spans="1:9">
      <c r="A1067" s="12">
        <v>44547</v>
      </c>
      <c r="B1067" s="13">
        <v>1.3110912469395625E-3</v>
      </c>
      <c r="C1067" s="14">
        <v>1.8490461845772077E-2</v>
      </c>
      <c r="D1067" s="13">
        <v>2.5131509952216243E-2</v>
      </c>
      <c r="E1067" s="14">
        <v>3.2093761627860363E-3</v>
      </c>
      <c r="F1067" s="13">
        <v>2.3815205349764119E-3</v>
      </c>
      <c r="G1067" s="14">
        <v>1.2636642072189876E-2</v>
      </c>
      <c r="H1067" s="13">
        <v>4.5815620551362429E-2</v>
      </c>
      <c r="I1067" s="15">
        <f t="shared" si="16"/>
        <v>5.4988338486464941E-3</v>
      </c>
    </row>
    <row r="1068" spans="1:9">
      <c r="A1068" s="12">
        <v>44546</v>
      </c>
      <c r="B1068" s="13">
        <v>1.6783482476842863E-2</v>
      </c>
      <c r="C1068" s="14">
        <v>9.9706780633256973E-3</v>
      </c>
      <c r="D1068" s="13">
        <v>2.2803908613109555E-3</v>
      </c>
      <c r="E1068" s="14">
        <v>-1.2178735663528612E-2</v>
      </c>
      <c r="F1068" s="13">
        <v>1.1353007464996784E-2</v>
      </c>
      <c r="G1068" s="14">
        <v>2.4191426705479736E-2</v>
      </c>
      <c r="H1068" s="13">
        <v>4.8085272563699405E-2</v>
      </c>
      <c r="I1068" s="15">
        <f t="shared" si="16"/>
        <v>1.461528958502138E-2</v>
      </c>
    </row>
    <row r="1069" spans="1:9">
      <c r="A1069" s="12">
        <v>44545</v>
      </c>
      <c r="B1069" s="13">
        <v>1.0150670133980285E-3</v>
      </c>
      <c r="C1069" s="14">
        <v>-2.0367731303262216E-3</v>
      </c>
      <c r="D1069" s="13">
        <v>5.6905063742657136E-3</v>
      </c>
      <c r="E1069" s="14">
        <v>1.0906406111258904E-2</v>
      </c>
      <c r="F1069" s="13">
        <v>6.0961501805125509E-3</v>
      </c>
      <c r="G1069" s="14">
        <v>6.9378560929961829E-3</v>
      </c>
      <c r="H1069" s="13">
        <v>4.1152984457769062E-2</v>
      </c>
      <c r="I1069" s="15">
        <f t="shared" si="16"/>
        <v>1.6610951971082234E-3</v>
      </c>
    </row>
    <row r="1070" spans="1:9">
      <c r="A1070" s="12">
        <v>44544</v>
      </c>
      <c r="B1070" s="13">
        <v>-1.3485974359803013E-3</v>
      </c>
      <c r="C1070" s="14">
        <v>-3.1660123642264109E-3</v>
      </c>
      <c r="D1070" s="13">
        <v>-4.1409381034305848E-4</v>
      </c>
      <c r="E1070" s="14">
        <v>-2.0391004440021847E-3</v>
      </c>
      <c r="F1070" s="13">
        <v>1.8527625862214174E-2</v>
      </c>
      <c r="G1070" s="14">
        <v>-6.8888292753171146E-3</v>
      </c>
      <c r="H1070" s="13">
        <v>1.4426897089130017E-2</v>
      </c>
      <c r="I1070" s="15">
        <f t="shared" si="16"/>
        <v>-1.782743141963829E-3</v>
      </c>
    </row>
    <row r="1071" spans="1:9">
      <c r="A1071" s="12">
        <v>44543</v>
      </c>
      <c r="B1071" s="13">
        <v>-5.3669159663237327E-3</v>
      </c>
      <c r="C1071" s="14">
        <v>-1.7932385447986131E-3</v>
      </c>
      <c r="D1071" s="13">
        <v>2.4363206686461271E-5</v>
      </c>
      <c r="E1071" s="14">
        <v>1.2853028271075175E-2</v>
      </c>
      <c r="F1071" s="13">
        <v>-1.8995243359629318E-2</v>
      </c>
      <c r="G1071" s="14">
        <v>6.4505318104257402E-3</v>
      </c>
      <c r="H1071" s="13">
        <v>9.0862061428953044E-3</v>
      </c>
      <c r="I1071" s="15">
        <f t="shared" si="16"/>
        <v>-3.1402443871746807E-3</v>
      </c>
    </row>
    <row r="1072" spans="1:9">
      <c r="A1072" s="12">
        <v>44540</v>
      </c>
      <c r="B1072" s="13">
        <v>1.005637750452386E-3</v>
      </c>
      <c r="C1072" s="14">
        <v>9.2332671776170216E-3</v>
      </c>
      <c r="D1072" s="13">
        <v>9.4325452940898606E-3</v>
      </c>
      <c r="E1072" s="14">
        <v>2.5910986409747386E-3</v>
      </c>
      <c r="F1072" s="13">
        <v>1.6237888671439136E-2</v>
      </c>
      <c r="G1072" s="14">
        <v>3.2825579910965956E-3</v>
      </c>
      <c r="H1072" s="13">
        <v>-4.523548626990819E-4</v>
      </c>
      <c r="I1072" s="15">
        <f t="shared" si="16"/>
        <v>2.6907328414430528E-3</v>
      </c>
    </row>
    <row r="1073" spans="1:9">
      <c r="A1073" s="12">
        <v>44539</v>
      </c>
      <c r="B1073" s="13">
        <v>-3.2331019216379632E-2</v>
      </c>
      <c r="C1073" s="14">
        <v>-2.6649532246910714E-2</v>
      </c>
      <c r="D1073" s="13">
        <v>-9.1751986347882294E-4</v>
      </c>
      <c r="E1073" s="14">
        <v>-9.491425538981052E-3</v>
      </c>
      <c r="F1073" s="13">
        <v>-1.9986721552958917E-2</v>
      </c>
      <c r="G1073" s="14">
        <v>1.2568161671752082E-2</v>
      </c>
      <c r="H1073" s="13">
        <v>1.694458624437311E-2</v>
      </c>
      <c r="I1073" s="15">
        <f t="shared" si="16"/>
        <v>-2.7331582901642476E-2</v>
      </c>
    </row>
    <row r="1074" spans="1:9">
      <c r="A1074" s="12">
        <v>44538</v>
      </c>
      <c r="B1074" s="13">
        <v>-2.2332013449826438E-2</v>
      </c>
      <c r="C1074" s="14">
        <v>7.3110570750864259E-3</v>
      </c>
      <c r="D1074" s="13">
        <v>-4.8915246699737149E-3</v>
      </c>
      <c r="E1074" s="14">
        <v>-9.5311628764338224E-3</v>
      </c>
      <c r="F1074" s="13">
        <v>4.6937339514641551E-4</v>
      </c>
      <c r="G1074" s="14">
        <v>-5.2637393049387521E-3</v>
      </c>
      <c r="H1074" s="13">
        <v>-2.2073965740993608E-2</v>
      </c>
      <c r="I1074" s="15">
        <f t="shared" si="16"/>
        <v>-1.5651380966858759E-2</v>
      </c>
    </row>
    <row r="1075" spans="1:9">
      <c r="A1075" s="12">
        <v>44537</v>
      </c>
      <c r="B1075" s="13">
        <v>-2.546217032576777E-2</v>
      </c>
      <c r="C1075" s="14">
        <v>-1.5767458252701098E-2</v>
      </c>
      <c r="D1075" s="13">
        <v>4.0940475551751541E-3</v>
      </c>
      <c r="E1075" s="14">
        <v>-8.382666726022614E-3</v>
      </c>
      <c r="F1075" s="13">
        <v>-4.6937339514628774E-4</v>
      </c>
      <c r="G1075" s="14">
        <v>-1.1091554677951656E-3</v>
      </c>
      <c r="H1075" s="13">
        <v>4.2800096258110661E-2</v>
      </c>
      <c r="I1075" s="15">
        <f t="shared" si="16"/>
        <v>-2.0881743776070234E-2</v>
      </c>
    </row>
    <row r="1076" spans="1:9">
      <c r="A1076" s="12">
        <v>44536</v>
      </c>
      <c r="B1076" s="13">
        <v>2.6200240738049208E-3</v>
      </c>
      <c r="C1076" s="14">
        <v>-1.423283734123644E-2</v>
      </c>
      <c r="D1076" s="13">
        <v>1.0006818805691162E-2</v>
      </c>
      <c r="E1076" s="14">
        <v>2.6248895032694092E-2</v>
      </c>
      <c r="F1076" s="13">
        <v>-3.7307052412810709E-2</v>
      </c>
      <c r="G1076" s="14">
        <v>3.2516437393467594E-3</v>
      </c>
      <c r="H1076" s="13">
        <v>-0.12763533209939501</v>
      </c>
      <c r="I1076" s="15">
        <f t="shared" si="16"/>
        <v>-5.1490832240455109E-5</v>
      </c>
    </row>
    <row r="1077" spans="1:9">
      <c r="A1077" s="12">
        <v>44533</v>
      </c>
      <c r="B1077" s="13">
        <v>2.3469261782367992E-2</v>
      </c>
      <c r="C1077" s="14">
        <v>5.7043151248582554E-3</v>
      </c>
      <c r="D1077" s="13">
        <v>5.5718624582857111E-2</v>
      </c>
      <c r="E1077" s="14">
        <v>-2.518448960003773E-3</v>
      </c>
      <c r="F1077" s="13">
        <v>1.0664182498812567E-2</v>
      </c>
      <c r="G1077" s="14">
        <v>-9.7139754760108086E-3</v>
      </c>
      <c r="H1077" s="13">
        <v>5.7816147895898187E-2</v>
      </c>
      <c r="I1077" s="15">
        <f t="shared" si="16"/>
        <v>1.8307982804629676E-2</v>
      </c>
    </row>
    <row r="1078" spans="1:9">
      <c r="A1078" s="12">
        <v>44532</v>
      </c>
      <c r="B1078" s="13">
        <v>2.2302447982017998E-2</v>
      </c>
      <c r="C1078" s="14">
        <v>1.8454644976779712E-2</v>
      </c>
      <c r="D1078" s="13">
        <v>6.1385884480000871E-3</v>
      </c>
      <c r="E1078" s="14">
        <v>8.5369740359233521E-3</v>
      </c>
      <c r="F1078" s="13">
        <v>1.436118506812778E-2</v>
      </c>
      <c r="G1078" s="14">
        <v>1.0507216145947894E-2</v>
      </c>
      <c r="H1078" s="13">
        <v>3.0092896645918042E-2</v>
      </c>
      <c r="I1078" s="15">
        <f t="shared" si="16"/>
        <v>2.02729914800205E-2</v>
      </c>
    </row>
    <row r="1079" spans="1:9">
      <c r="A1079" s="12">
        <v>44531</v>
      </c>
      <c r="B1079" s="13">
        <v>-1.3436403924048332E-2</v>
      </c>
      <c r="C1079" s="14">
        <v>-3.4920978353122417E-3</v>
      </c>
      <c r="D1079" s="13">
        <v>1.7153921033166427E-2</v>
      </c>
      <c r="E1079" s="14">
        <v>-8.2092167750569926E-3</v>
      </c>
      <c r="F1079" s="13">
        <v>-3.531201227721583E-2</v>
      </c>
      <c r="G1079" s="14">
        <v>6.2517419807293318E-3</v>
      </c>
      <c r="H1079" s="13">
        <v>-4.2989773144471331E-3</v>
      </c>
      <c r="I1079" s="15">
        <f t="shared" si="16"/>
        <v>-1.0147885436693319E-2</v>
      </c>
    </row>
    <row r="1080" spans="1:9">
      <c r="A1080" s="12">
        <v>44530</v>
      </c>
      <c r="B1080" s="13">
        <v>1.7510908992315825E-3</v>
      </c>
      <c r="C1080" s="14">
        <v>1.4470636454018606E-2</v>
      </c>
      <c r="D1080" s="13">
        <v>-1.7108923620510124E-2</v>
      </c>
      <c r="E1080" s="14">
        <v>2.0146065741021386E-3</v>
      </c>
      <c r="F1080" s="13">
        <v>4.4215252578774771E-3</v>
      </c>
      <c r="G1080" s="14">
        <v>-1.6977518784200799E-2</v>
      </c>
      <c r="H1080" s="13">
        <v>-0.14210443869470255</v>
      </c>
      <c r="I1080" s="15">
        <f t="shared" si="16"/>
        <v>1.6193289728452123E-3</v>
      </c>
    </row>
    <row r="1081" spans="1:9">
      <c r="A1081" s="12">
        <v>44529</v>
      </c>
      <c r="B1081" s="13">
        <v>2.0674464724289659E-4</v>
      </c>
      <c r="C1081" s="14">
        <v>-1.5426620744984229E-2</v>
      </c>
      <c r="D1081" s="13">
        <v>-3.0727366316140814E-2</v>
      </c>
      <c r="E1081" s="14">
        <v>-4.5471149894115132E-2</v>
      </c>
      <c r="F1081" s="13">
        <v>0</v>
      </c>
      <c r="G1081" s="14">
        <v>-4.7228463763628438E-3</v>
      </c>
      <c r="H1081" s="13">
        <v>-0.11669351312260293</v>
      </c>
      <c r="I1081" s="15">
        <f t="shared" si="16"/>
        <v>-6.2721318928709363E-3</v>
      </c>
    </row>
    <row r="1082" spans="1:9">
      <c r="A1082" s="12">
        <v>44526</v>
      </c>
      <c r="B1082" s="13">
        <v>-3.8171581721247209E-4</v>
      </c>
      <c r="C1082" s="14">
        <v>2.9092670424221E-2</v>
      </c>
      <c r="D1082" s="13">
        <v>3.5978135700771005E-2</v>
      </c>
      <c r="E1082" s="14">
        <v>1.766678257395906E-2</v>
      </c>
      <c r="F1082" s="13">
        <v>3.2315326965926844E-2</v>
      </c>
      <c r="G1082" s="14">
        <v>2.0314462907672498E-2</v>
      </c>
      <c r="H1082" s="13">
        <v>8.5486470203445117E-2</v>
      </c>
      <c r="I1082" s="15">
        <f t="shared" si="16"/>
        <v>7.6530090281918678E-3</v>
      </c>
    </row>
    <row r="1083" spans="1:9">
      <c r="A1083" s="12">
        <v>44525</v>
      </c>
      <c r="B1083" s="13">
        <v>3.6581390023606114E-4</v>
      </c>
      <c r="C1083" s="14">
        <v>-6.048994619741223E-3</v>
      </c>
      <c r="D1083" s="13">
        <v>1.4883541065439099E-2</v>
      </c>
      <c r="E1083" s="14">
        <v>1.6597146282418679E-2</v>
      </c>
      <c r="F1083" s="13">
        <v>2.6231012148869904E-2</v>
      </c>
      <c r="G1083" s="14">
        <v>4.4932994283831851E-2</v>
      </c>
      <c r="H1083" s="13">
        <v>1.9837747154952557E-2</v>
      </c>
      <c r="I1083" s="15">
        <f t="shared" si="16"/>
        <v>2.5406373916081076E-3</v>
      </c>
    </row>
    <row r="1084" spans="1:9">
      <c r="A1084" s="12">
        <v>44524</v>
      </c>
      <c r="B1084" s="13">
        <v>4.0468216307267034E-3</v>
      </c>
      <c r="C1084" s="14">
        <v>8.5494873713846831E-3</v>
      </c>
      <c r="D1084" s="13">
        <v>-2.2737065677776659E-3</v>
      </c>
      <c r="E1084" s="14">
        <v>-2.4708037583632166E-3</v>
      </c>
      <c r="F1084" s="13">
        <v>-9.2506944617282941E-4</v>
      </c>
      <c r="G1084" s="14">
        <v>9.1439021666124383E-5</v>
      </c>
      <c r="H1084" s="13">
        <v>1.3949942357696881E-2</v>
      </c>
      <c r="I1084" s="15">
        <f t="shared" si="16"/>
        <v>4.295574355045525E-3</v>
      </c>
    </row>
    <row r="1085" spans="1:9">
      <c r="A1085" s="12">
        <v>44523</v>
      </c>
      <c r="B1085" s="13">
        <v>9.0027489984259423E-3</v>
      </c>
      <c r="C1085" s="14">
        <v>6.8403895088607423E-3</v>
      </c>
      <c r="D1085" s="13">
        <v>9.2391602910016895E-3</v>
      </c>
      <c r="E1085" s="14">
        <v>2.9794895795414128E-3</v>
      </c>
      <c r="F1085" s="13">
        <v>3.232696699431549E-2</v>
      </c>
      <c r="G1085" s="14">
        <v>-7.5950022628203098E-3</v>
      </c>
      <c r="H1085" s="13">
        <v>-3.0336327374028225E-2</v>
      </c>
      <c r="I1085" s="15">
        <f t="shared" si="16"/>
        <v>7.2722426144579463E-3</v>
      </c>
    </row>
    <row r="1086" spans="1:9">
      <c r="A1086" s="12">
        <v>44522</v>
      </c>
      <c r="B1086" s="13">
        <v>2.3485598894520582E-2</v>
      </c>
      <c r="C1086" s="14">
        <v>1.1832255340968285E-2</v>
      </c>
      <c r="D1086" s="13">
        <v>1.5836624109726818E-2</v>
      </c>
      <c r="E1086" s="14">
        <v>7.6280559936273151E-5</v>
      </c>
      <c r="F1086" s="13">
        <v>-4.9404996067740356E-3</v>
      </c>
      <c r="G1086" s="14">
        <v>6.4285279702455738E-3</v>
      </c>
      <c r="H1086" s="13">
        <v>1.8100041643617937E-2</v>
      </c>
      <c r="I1086" s="15">
        <f t="shared" si="16"/>
        <v>1.9389929021439632E-2</v>
      </c>
    </row>
    <row r="1087" spans="1:9">
      <c r="A1087" s="12">
        <v>44518</v>
      </c>
      <c r="B1087" s="13">
        <v>-1.0604128280698781E-2</v>
      </c>
      <c r="C1087" s="14">
        <v>1.244021987657116E-2</v>
      </c>
      <c r="D1087" s="13">
        <v>-8.3106568441763205E-3</v>
      </c>
      <c r="E1087" s="14">
        <v>1.6005491012595751E-3</v>
      </c>
      <c r="F1087" s="13">
        <v>-4.7485297733075631E-2</v>
      </c>
      <c r="G1087" s="14">
        <v>8.5227141225464598E-3</v>
      </c>
      <c r="H1087" s="13">
        <v>-4.9428362067097456E-2</v>
      </c>
      <c r="I1087" s="15">
        <f t="shared" si="16"/>
        <v>-5.5534892754817754E-3</v>
      </c>
    </row>
    <row r="1088" spans="1:9">
      <c r="A1088" s="12">
        <v>44517</v>
      </c>
      <c r="B1088" s="13">
        <v>1.0531044320901744E-3</v>
      </c>
      <c r="C1088" s="14">
        <v>5.0573039880125147E-3</v>
      </c>
      <c r="D1088" s="13">
        <v>-3.6359322014419722E-3</v>
      </c>
      <c r="E1088" s="14">
        <v>4.0544749481089208E-2</v>
      </c>
      <c r="F1088" s="13">
        <v>3.6165276468069357E-2</v>
      </c>
      <c r="G1088" s="14">
        <v>-7.5619893877642771E-3</v>
      </c>
      <c r="H1088" s="13">
        <v>4.3909697064499868E-2</v>
      </c>
      <c r="I1088" s="15">
        <f t="shared" si="16"/>
        <v>3.6170520902592696E-3</v>
      </c>
    </row>
    <row r="1089" spans="1:9">
      <c r="A1089" s="12">
        <v>44516</v>
      </c>
      <c r="B1089" s="13">
        <v>-2.4617543819215972E-2</v>
      </c>
      <c r="C1089" s="14">
        <v>-1.758802042373688E-3</v>
      </c>
      <c r="D1089" s="13">
        <v>1.0674173333221029E-2</v>
      </c>
      <c r="E1089" s="14">
        <v>6.5601090501846643E-3</v>
      </c>
      <c r="F1089" s="13">
        <v>-2.7702602549335823E-2</v>
      </c>
      <c r="G1089" s="14">
        <v>-3.4399940596529087E-2</v>
      </c>
      <c r="H1089" s="13">
        <v>1.6344484844013085E-2</v>
      </c>
      <c r="I1089" s="15">
        <f t="shared" si="16"/>
        <v>-1.8897915013679677E-2</v>
      </c>
    </row>
    <row r="1090" spans="1:9">
      <c r="A1090" s="12">
        <v>44515</v>
      </c>
      <c r="B1090" s="13">
        <v>5.3794193391861226E-3</v>
      </c>
      <c r="C1090" s="14">
        <v>1.0131217613441558E-2</v>
      </c>
      <c r="D1090" s="13">
        <v>-1.4761298040906664E-2</v>
      </c>
      <c r="E1090" s="14">
        <v>-2.9102923555890245E-3</v>
      </c>
      <c r="F1090" s="13">
        <v>-9.1105548522292898E-2</v>
      </c>
      <c r="G1090" s="14">
        <v>-2.0845678518636671E-3</v>
      </c>
      <c r="H1090" s="13">
        <v>-0.11415008963175115</v>
      </c>
      <c r="I1090" s="15">
        <f t="shared" si="16"/>
        <v>4.0708075165093007E-3</v>
      </c>
    </row>
    <row r="1091" spans="1:9">
      <c r="A1091" s="12">
        <v>44512</v>
      </c>
      <c r="B1091" s="13">
        <v>-1.4559351845003822E-2</v>
      </c>
      <c r="C1091" s="14">
        <v>-5.4076576892565778E-3</v>
      </c>
      <c r="D1091" s="13">
        <v>6.853378200575716E-3</v>
      </c>
      <c r="E1091" s="14">
        <v>-3.4669842501063246E-2</v>
      </c>
      <c r="F1091" s="13">
        <v>-1.44630620275547E-2</v>
      </c>
      <c r="G1091" s="14">
        <v>3.5270065323053513E-3</v>
      </c>
      <c r="H1091" s="13">
        <v>-4.7536542903760561E-2</v>
      </c>
      <c r="I1091" s="15">
        <f t="shared" si="16"/>
        <v>-1.3168648660171596E-2</v>
      </c>
    </row>
    <row r="1092" spans="1:9">
      <c r="A1092" s="12">
        <v>44511</v>
      </c>
      <c r="B1092" s="13">
        <v>-1.9204004111586837E-2</v>
      </c>
      <c r="C1092" s="14">
        <v>-1.9506936362630727E-2</v>
      </c>
      <c r="D1092" s="13">
        <v>1.193527681562717E-2</v>
      </c>
      <c r="E1092" s="14">
        <v>-2.8747213137538682E-2</v>
      </c>
      <c r="F1092" s="13">
        <v>1.0352059321032432E-2</v>
      </c>
      <c r="G1092" s="14">
        <v>4.7382839914599994E-3</v>
      </c>
      <c r="H1092" s="13">
        <v>6.0023338750966925E-3</v>
      </c>
      <c r="I1092" s="15">
        <f t="shared" si="16"/>
        <v>-1.7976287667806467E-2</v>
      </c>
    </row>
    <row r="1093" spans="1:9">
      <c r="A1093" s="12">
        <v>44510</v>
      </c>
      <c r="B1093" s="13">
        <v>1.4517899760106649E-2</v>
      </c>
      <c r="C1093" s="14">
        <v>-5.4050846604380845E-3</v>
      </c>
      <c r="D1093" s="13">
        <v>2.9188328230088309E-3</v>
      </c>
      <c r="E1093" s="14">
        <v>2.5548741646226111E-2</v>
      </c>
      <c r="F1093" s="13">
        <v>-5.1626340788069429E-3</v>
      </c>
      <c r="G1093" s="14">
        <v>1.3161298287523498E-3</v>
      </c>
      <c r="H1093" s="13">
        <v>3.8095284166676487E-3</v>
      </c>
      <c r="I1093" s="15">
        <f t="shared" si="16"/>
        <v>1.0828535113283858E-2</v>
      </c>
    </row>
    <row r="1094" spans="1:9">
      <c r="A1094" s="12">
        <v>44509</v>
      </c>
      <c r="B1094" s="13">
        <v>1.1785630824943667E-2</v>
      </c>
      <c r="C1094" s="14">
        <v>0</v>
      </c>
      <c r="D1094" s="13">
        <v>5.7696166205162174E-3</v>
      </c>
      <c r="E1094" s="14">
        <v>1.1711292053675031E-2</v>
      </c>
      <c r="F1094" s="13">
        <v>-6.7515187647633618E-3</v>
      </c>
      <c r="G1094" s="14">
        <v>-7.6151774922133776E-3</v>
      </c>
      <c r="H1094" s="13">
        <v>5.103604663068648E-3</v>
      </c>
      <c r="I1094" s="15">
        <f t="shared" ref="I1094:I1157" si="17">SUMPRODUCT($B$2:$H$2,B1094:H1094)</f>
        <v>8.7348594666510296E-3</v>
      </c>
    </row>
    <row r="1095" spans="1:9">
      <c r="A1095" s="12">
        <v>44508</v>
      </c>
      <c r="B1095" s="13">
        <v>-2.2759294577815747E-3</v>
      </c>
      <c r="C1095" s="14">
        <v>-2.5612064562660294E-2</v>
      </c>
      <c r="D1095" s="13">
        <v>1.5665454337231786E-2</v>
      </c>
      <c r="E1095" s="14">
        <v>-7.1810449581378791E-3</v>
      </c>
      <c r="F1095" s="13">
        <v>-5.0772325373423258E-2</v>
      </c>
      <c r="G1095" s="14">
        <v>-4.8158565290123976E-3</v>
      </c>
      <c r="H1095" s="13">
        <v>-0.10644045179734164</v>
      </c>
      <c r="I1095" s="15">
        <f t="shared" si="17"/>
        <v>-7.2650116625601804E-3</v>
      </c>
    </row>
    <row r="1096" spans="1:9">
      <c r="A1096" s="12">
        <v>44504</v>
      </c>
      <c r="B1096" s="13">
        <v>6.7490033458121636E-3</v>
      </c>
      <c r="C1096" s="14">
        <v>1.0068923041353319E-2</v>
      </c>
      <c r="D1096" s="13">
        <v>-1.428143001299215E-2</v>
      </c>
      <c r="E1096" s="14">
        <v>-3.8394396685308474E-2</v>
      </c>
      <c r="F1096" s="13">
        <v>1.0958905206371096E-3</v>
      </c>
      <c r="G1096" s="14">
        <v>1.0997308322304998E-2</v>
      </c>
      <c r="H1096" s="13">
        <v>2.7413014103594292E-2</v>
      </c>
      <c r="I1096" s="15">
        <f t="shared" si="17"/>
        <v>5.1725663764157059E-3</v>
      </c>
    </row>
    <row r="1097" spans="1:9">
      <c r="A1097" s="12">
        <v>44503</v>
      </c>
      <c r="B1097" s="13">
        <v>3.6019565318199435E-3</v>
      </c>
      <c r="C1097" s="14">
        <v>-1.904837444786063E-3</v>
      </c>
      <c r="D1097" s="13">
        <v>-1.4164573122365669E-2</v>
      </c>
      <c r="E1097" s="14">
        <v>-8.4640784121294728E-3</v>
      </c>
      <c r="F1097" s="13">
        <v>-6.5934304798318452E-3</v>
      </c>
      <c r="G1097" s="14">
        <v>-1.7175542017369524E-2</v>
      </c>
      <c r="H1097" s="13">
        <v>-2.5596483177196445E-2</v>
      </c>
      <c r="I1097" s="15">
        <f t="shared" si="17"/>
        <v>6.3025925130943646E-4</v>
      </c>
    </row>
    <row r="1098" spans="1:9">
      <c r="A1098" s="12">
        <v>44502</v>
      </c>
      <c r="B1098" s="13">
        <v>-2.1454441012748213E-2</v>
      </c>
      <c r="C1098" s="14">
        <v>-7.7669986213614681E-3</v>
      </c>
      <c r="D1098" s="13">
        <v>1.1245236316398319E-2</v>
      </c>
      <c r="E1098" s="14">
        <v>-1.9229002197743265E-3</v>
      </c>
      <c r="F1098" s="13">
        <v>3.3021493957590318E-3</v>
      </c>
      <c r="G1098" s="14">
        <v>1.2271259811840629E-2</v>
      </c>
      <c r="H1098" s="13">
        <v>-3.7925078576130883E-3</v>
      </c>
      <c r="I1098" s="15">
        <f t="shared" si="17"/>
        <v>-1.601846312603222E-2</v>
      </c>
    </row>
    <row r="1099" spans="1:9">
      <c r="A1099" s="12">
        <v>44501</v>
      </c>
      <c r="B1099" s="13">
        <v>5.927585366450972E-3</v>
      </c>
      <c r="C1099" s="14">
        <v>-2.3848904715128836E-3</v>
      </c>
      <c r="D1099" s="13">
        <v>9.2824354596447809E-3</v>
      </c>
      <c r="E1099" s="14">
        <v>-2.8617699616811192E-2</v>
      </c>
      <c r="F1099" s="13">
        <v>-5.496015527187791E-4</v>
      </c>
      <c r="G1099" s="14">
        <v>-1.7621496300084069E-2</v>
      </c>
      <c r="H1099" s="13">
        <v>-3.9495579157835393E-2</v>
      </c>
      <c r="I1099" s="15">
        <f t="shared" si="17"/>
        <v>1.3764304327804292E-3</v>
      </c>
    </row>
    <row r="1100" spans="1:9">
      <c r="A1100" s="12">
        <v>44498</v>
      </c>
      <c r="B1100" s="13">
        <v>-6.9753895068393528E-3</v>
      </c>
      <c r="C1100" s="14">
        <v>-1.6515506234992625E-2</v>
      </c>
      <c r="D1100" s="13">
        <v>1.0725203750955474E-2</v>
      </c>
      <c r="E1100" s="14">
        <v>-1.4209053989394971E-2</v>
      </c>
      <c r="F1100" s="13">
        <v>-1.1001101219511602E-3</v>
      </c>
      <c r="G1100" s="14">
        <v>1.0743400735713424E-2</v>
      </c>
      <c r="H1100" s="13">
        <v>-1.836117156613977E-2</v>
      </c>
      <c r="I1100" s="15">
        <f t="shared" si="17"/>
        <v>-7.980597720671747E-3</v>
      </c>
    </row>
    <row r="1101" spans="1:9">
      <c r="A1101" s="12">
        <v>44497</v>
      </c>
      <c r="B1101" s="13">
        <v>5.2120316173678554E-3</v>
      </c>
      <c r="C1101" s="14">
        <v>-5.1433181438475762E-3</v>
      </c>
      <c r="D1101" s="13">
        <v>-8.3673255984274126E-5</v>
      </c>
      <c r="E1101" s="14">
        <v>6.3917262608845522E-3</v>
      </c>
      <c r="F1101" s="13">
        <v>3.8451022381056398E-3</v>
      </c>
      <c r="G1101" s="14">
        <v>1.3803102628656912E-2</v>
      </c>
      <c r="H1101" s="13">
        <v>3.1486696203275079E-2</v>
      </c>
      <c r="I1101" s="15">
        <f t="shared" si="17"/>
        <v>4.0721851699590094E-3</v>
      </c>
    </row>
    <row r="1102" spans="1:9">
      <c r="A1102" s="12">
        <v>44496</v>
      </c>
      <c r="B1102" s="13">
        <v>-6.9715865327769329E-3</v>
      </c>
      <c r="C1102" s="14">
        <v>-2.03541694533583E-3</v>
      </c>
      <c r="D1102" s="13">
        <v>9.8668577333800335E-3</v>
      </c>
      <c r="E1102" s="14">
        <v>2.0649421854406436E-2</v>
      </c>
      <c r="F1102" s="13">
        <v>2.437163682128617E-2</v>
      </c>
      <c r="G1102" s="14">
        <v>-5.2246476899395688E-3</v>
      </c>
      <c r="H1102" s="13">
        <v>1.8059540207069642E-2</v>
      </c>
      <c r="I1102" s="15">
        <f t="shared" si="17"/>
        <v>-4.2352649036294203E-3</v>
      </c>
    </row>
    <row r="1103" spans="1:9">
      <c r="A1103" s="12">
        <v>44495</v>
      </c>
      <c r="B1103" s="13">
        <v>-4.1180203640103323E-2</v>
      </c>
      <c r="C1103" s="14">
        <v>-3.9523806534439926E-3</v>
      </c>
      <c r="D1103" s="13">
        <v>-1.2317403001430232E-2</v>
      </c>
      <c r="E1103" s="14">
        <v>1.4545614302181304E-2</v>
      </c>
      <c r="F1103" s="13">
        <v>-2.2728251077556175E-2</v>
      </c>
      <c r="G1103" s="14">
        <v>-1.2059207052363028E-2</v>
      </c>
      <c r="H1103" s="13">
        <v>9.2469901117410141E-3</v>
      </c>
      <c r="I1103" s="15">
        <f t="shared" si="17"/>
        <v>-2.9981726145728985E-2</v>
      </c>
    </row>
    <row r="1104" spans="1:9">
      <c r="A1104" s="12">
        <v>44494</v>
      </c>
      <c r="B1104" s="13">
        <v>-1.7579025502043922E-2</v>
      </c>
      <c r="C1104" s="14">
        <v>-2.1436480781879211E-2</v>
      </c>
      <c r="D1104" s="13">
        <v>7.8123765421075006E-3</v>
      </c>
      <c r="E1104" s="14">
        <v>-4.5170798014007037E-2</v>
      </c>
      <c r="F1104" s="13">
        <v>-1.4888612493750637E-2</v>
      </c>
      <c r="G1104" s="14">
        <v>6.7122333270653988E-3</v>
      </c>
      <c r="H1104" s="13">
        <v>-2.1976595517886867E-2</v>
      </c>
      <c r="I1104" s="15">
        <f t="shared" si="17"/>
        <v>-1.81759775680254E-2</v>
      </c>
    </row>
    <row r="1105" spans="1:9">
      <c r="A1105" s="12">
        <v>44491</v>
      </c>
      <c r="B1105" s="13">
        <v>2.1812760531354915E-2</v>
      </c>
      <c r="C1105" s="14">
        <v>2.5731101153138061E-2</v>
      </c>
      <c r="D1105" s="13">
        <v>7.3801072976226803E-3</v>
      </c>
      <c r="E1105" s="14">
        <v>1.2351935698624378E-2</v>
      </c>
      <c r="F1105" s="13">
        <v>1.8167303955448934E-2</v>
      </c>
      <c r="G1105" s="14">
        <v>2.5089452454498805E-2</v>
      </c>
      <c r="H1105" s="13">
        <v>5.5973479796090408E-2</v>
      </c>
      <c r="I1105" s="15">
        <f t="shared" si="17"/>
        <v>2.2254235930900118E-2</v>
      </c>
    </row>
    <row r="1106" spans="1:9">
      <c r="A1106" s="12">
        <v>44490</v>
      </c>
      <c r="B1106" s="13">
        <v>6.5503877021352176E-3</v>
      </c>
      <c r="C1106" s="14">
        <v>1.829314381970791E-2</v>
      </c>
      <c r="D1106" s="13">
        <v>1.1520462552661885E-2</v>
      </c>
      <c r="E1106" s="14">
        <v>1.5591058812998855E-2</v>
      </c>
      <c r="F1106" s="13">
        <v>7.0671672230923528E-3</v>
      </c>
      <c r="G1106" s="14">
        <v>6.3189177552971541E-3</v>
      </c>
      <c r="H1106" s="13">
        <v>-6.4039751925829618E-3</v>
      </c>
      <c r="I1106" s="15">
        <f t="shared" si="17"/>
        <v>8.9249255930383183E-3</v>
      </c>
    </row>
    <row r="1107" spans="1:9">
      <c r="A1107" s="12">
        <v>44489</v>
      </c>
      <c r="B1107" s="13">
        <v>5.4326663750879217E-2</v>
      </c>
      <c r="C1107" s="14">
        <v>6.396939563003852E-2</v>
      </c>
      <c r="D1107" s="13">
        <v>1.3123787512208907E-2</v>
      </c>
      <c r="E1107" s="14">
        <v>3.1903119286597934E-2</v>
      </c>
      <c r="F1107" s="13">
        <v>1.3451911211292182E-2</v>
      </c>
      <c r="G1107" s="14">
        <v>1.0473934023998334E-2</v>
      </c>
      <c r="H1107" s="13">
        <v>1.7749275183549882E-2</v>
      </c>
      <c r="I1107" s="15">
        <f t="shared" si="17"/>
        <v>5.192991004559281E-2</v>
      </c>
    </row>
    <row r="1108" spans="1:9">
      <c r="A1108" s="12">
        <v>44488</v>
      </c>
      <c r="B1108" s="13">
        <v>4.4543503493803746E-3</v>
      </c>
      <c r="C1108" s="14">
        <v>2.9762913622380413E-2</v>
      </c>
      <c r="D1108" s="13">
        <v>-2.7039587070215899E-3</v>
      </c>
      <c r="E1108" s="14">
        <v>-2.8657047096278974E-3</v>
      </c>
      <c r="F1108" s="13">
        <v>4.7987295499054118E-3</v>
      </c>
      <c r="G1108" s="14">
        <v>3.7013110366518752E-3</v>
      </c>
      <c r="H1108" s="13">
        <v>6.5879327847950756E-3</v>
      </c>
      <c r="I1108" s="15">
        <f t="shared" si="17"/>
        <v>8.2556332931921911E-3</v>
      </c>
    </row>
    <row r="1109" spans="1:9">
      <c r="A1109" s="12">
        <v>44487</v>
      </c>
      <c r="B1109" s="13">
        <v>1.7976438321383546E-2</v>
      </c>
      <c r="C1109" s="14">
        <v>1.7029247884378564E-2</v>
      </c>
      <c r="D1109" s="13">
        <v>7.7893456928658875E-3</v>
      </c>
      <c r="E1109" s="14">
        <v>3.7458138032348431E-2</v>
      </c>
      <c r="F1109" s="13">
        <v>2.4692612590371414E-2</v>
      </c>
      <c r="G1109" s="14">
        <v>5.3573373158159838E-3</v>
      </c>
      <c r="H1109" s="13">
        <v>2.9431772917972481E-2</v>
      </c>
      <c r="I1109" s="15">
        <f t="shared" si="17"/>
        <v>1.8166231321974226E-2</v>
      </c>
    </row>
    <row r="1110" spans="1:9">
      <c r="A1110" s="12">
        <v>44483</v>
      </c>
      <c r="B1110" s="13">
        <v>1.7219393851817675E-2</v>
      </c>
      <c r="C1110" s="14">
        <v>6.5857292495985638E-4</v>
      </c>
      <c r="D1110" s="13">
        <v>5.6579216680047902E-3</v>
      </c>
      <c r="E1110" s="14">
        <v>1.711700755439793E-2</v>
      </c>
      <c r="F1110" s="13">
        <v>7.2389147546438812E-3</v>
      </c>
      <c r="G1110" s="14">
        <v>1.4868216300634612E-3</v>
      </c>
      <c r="H1110" s="13">
        <v>1.5807250674874413E-3</v>
      </c>
      <c r="I1110" s="15">
        <f t="shared" si="17"/>
        <v>1.3399732268327004E-2</v>
      </c>
    </row>
    <row r="1111" spans="1:9">
      <c r="A1111" s="12">
        <v>44482</v>
      </c>
      <c r="B1111" s="13">
        <v>7.7628650147685508E-3</v>
      </c>
      <c r="C1111" s="14">
        <v>-1.115384277821569E-2</v>
      </c>
      <c r="D1111" s="13">
        <v>5.6855609094180592E-3</v>
      </c>
      <c r="E1111" s="14">
        <v>-1.4607155071034304E-2</v>
      </c>
      <c r="F1111" s="13">
        <v>2.5726795769401719E-3</v>
      </c>
      <c r="G1111" s="14">
        <v>1.0680441417027434E-2</v>
      </c>
      <c r="H1111" s="13">
        <v>8.3411269810289793E-3</v>
      </c>
      <c r="I1111" s="15">
        <f t="shared" si="17"/>
        <v>3.5723358175152888E-3</v>
      </c>
    </row>
    <row r="1112" spans="1:9">
      <c r="A1112" s="12">
        <v>44481</v>
      </c>
      <c r="B1112" s="13">
        <v>-7.522473392796858E-5</v>
      </c>
      <c r="C1112" s="14">
        <v>-1.0182498591637905E-2</v>
      </c>
      <c r="D1112" s="13">
        <v>5.71255049696288E-3</v>
      </c>
      <c r="E1112" s="14">
        <v>3.4104574205613247E-2</v>
      </c>
      <c r="F1112" s="13">
        <v>-4.119470295238725E-3</v>
      </c>
      <c r="G1112" s="14">
        <v>-5.0461178368435954E-3</v>
      </c>
      <c r="H1112" s="13">
        <v>1.5869237975766552E-2</v>
      </c>
      <c r="I1112" s="15">
        <f t="shared" si="17"/>
        <v>-1.2216176045042707E-4</v>
      </c>
    </row>
    <row r="1113" spans="1:9">
      <c r="A1113" s="12">
        <v>44480</v>
      </c>
      <c r="B1113" s="13">
        <v>-5.1890964641669287E-3</v>
      </c>
      <c r="C1113" s="14">
        <v>3.9543910922744093E-3</v>
      </c>
      <c r="D1113" s="13">
        <v>2.4607522629273926E-3</v>
      </c>
      <c r="E1113" s="14">
        <v>-2.0560236689546773E-2</v>
      </c>
      <c r="F1113" s="13">
        <v>1.5467907182987329E-3</v>
      </c>
      <c r="G1113" s="14">
        <v>-2.5775231958596661E-3</v>
      </c>
      <c r="H1113" s="13">
        <v>-2.3636174788381047E-2</v>
      </c>
      <c r="I1113" s="15">
        <f t="shared" si="17"/>
        <v>-4.3327904681416283E-3</v>
      </c>
    </row>
    <row r="1114" spans="1:9">
      <c r="A1114" s="12">
        <v>44477</v>
      </c>
      <c r="B1114" s="13">
        <v>2.5707135383775775E-4</v>
      </c>
      <c r="C1114" s="14">
        <v>7.674323006110143E-3</v>
      </c>
      <c r="D1114" s="13">
        <v>-3.8216857971094696E-3</v>
      </c>
      <c r="E1114" s="14">
        <v>4.0611274197281132E-2</v>
      </c>
      <c r="F1114" s="13">
        <v>5.1387574541008462E-3</v>
      </c>
      <c r="G1114" s="14">
        <v>4.9697886037071946E-3</v>
      </c>
      <c r="H1114" s="13">
        <v>-2.2152192347611219E-2</v>
      </c>
      <c r="I1114" s="15">
        <f t="shared" si="17"/>
        <v>3.4963217494609323E-3</v>
      </c>
    </row>
    <row r="1115" spans="1:9">
      <c r="A1115" s="12">
        <v>44476</v>
      </c>
      <c r="B1115" s="13">
        <v>-4.8653045841999679E-3</v>
      </c>
      <c r="C1115" s="14">
        <v>-9.6873313196674466E-4</v>
      </c>
      <c r="D1115" s="13">
        <v>-6.9915811792636033E-3</v>
      </c>
      <c r="E1115" s="14">
        <v>1.3444232875973509E-2</v>
      </c>
      <c r="F1115" s="13">
        <v>0</v>
      </c>
      <c r="G1115" s="14">
        <v>-8.0423568439088483E-4</v>
      </c>
      <c r="H1115" s="13">
        <v>3.1739082773424156E-3</v>
      </c>
      <c r="I1115" s="15">
        <f t="shared" si="17"/>
        <v>-3.0666945171288966E-3</v>
      </c>
    </row>
    <row r="1116" spans="1:9">
      <c r="A1116" s="12">
        <v>44475</v>
      </c>
      <c r="B1116" s="13">
        <v>-2.4174263889589449E-2</v>
      </c>
      <c r="C1116" s="14">
        <v>-1.0236069426021387E-2</v>
      </c>
      <c r="D1116" s="13">
        <v>-5.7006333369876705E-3</v>
      </c>
      <c r="E1116" s="14">
        <v>8.6312003594076741E-3</v>
      </c>
      <c r="F1116" s="13">
        <v>-7.2016772161153141E-3</v>
      </c>
      <c r="G1116" s="14">
        <v>4.1260164472470369E-3</v>
      </c>
      <c r="H1116" s="13">
        <v>1.7542189998659558E-2</v>
      </c>
      <c r="I1116" s="15">
        <f t="shared" si="17"/>
        <v>-1.8282193905443014E-2</v>
      </c>
    </row>
    <row r="1117" spans="1:9">
      <c r="A1117" s="12">
        <v>44474</v>
      </c>
      <c r="B1117" s="13">
        <v>1.3143841613916336E-2</v>
      </c>
      <c r="C1117" s="14">
        <v>5.2765186702235451E-3</v>
      </c>
      <c r="D1117" s="13">
        <v>1.3165792803645179E-2</v>
      </c>
      <c r="E1117" s="14">
        <v>8.5573397905214371E-3</v>
      </c>
      <c r="F1117" s="13">
        <v>-5.16395570473542E-4</v>
      </c>
      <c r="G1117" s="14">
        <v>8.7309704362513747E-3</v>
      </c>
      <c r="H1117" s="13">
        <v>2.6706065465682022E-2</v>
      </c>
      <c r="I1117" s="15">
        <f t="shared" si="17"/>
        <v>1.1478744425558129E-2</v>
      </c>
    </row>
    <row r="1118" spans="1:9">
      <c r="A1118" s="12">
        <v>44473</v>
      </c>
      <c r="B1118" s="13">
        <v>-1.6464782948037587E-2</v>
      </c>
      <c r="C1118" s="14">
        <v>-5.6419489684617005E-3</v>
      </c>
      <c r="D1118" s="13">
        <v>4.4682035227523193E-3</v>
      </c>
      <c r="E1118" s="14">
        <v>-2.999184627138286E-2</v>
      </c>
      <c r="F1118" s="13">
        <v>1.4868256466839386E-2</v>
      </c>
      <c r="G1118" s="14">
        <v>-6.0193153328699433E-3</v>
      </c>
      <c r="H1118" s="13">
        <v>-3.6446935350975462E-3</v>
      </c>
      <c r="I1118" s="15">
        <f t="shared" si="17"/>
        <v>-1.4414760325198334E-2</v>
      </c>
    </row>
    <row r="1119" spans="1:9">
      <c r="A1119" s="12">
        <v>44470</v>
      </c>
      <c r="B1119" s="13">
        <v>-7.445817343277661E-3</v>
      </c>
      <c r="C1119" s="14">
        <v>-1.2756457328368593E-2</v>
      </c>
      <c r="D1119" s="13">
        <v>-7.7088007311000659E-3</v>
      </c>
      <c r="E1119" s="14">
        <v>7.965344594900562E-3</v>
      </c>
      <c r="F1119" s="13">
        <v>-4.7950821859273067E-2</v>
      </c>
      <c r="G1119" s="14">
        <v>-1.3104560707060864E-3</v>
      </c>
      <c r="H1119" s="13">
        <v>-0.18224666024477817</v>
      </c>
      <c r="I1119" s="15">
        <f t="shared" si="17"/>
        <v>-8.7825895842028965E-3</v>
      </c>
    </row>
    <row r="1120" spans="1:9">
      <c r="A1120" s="12">
        <v>44469</v>
      </c>
      <c r="B1120" s="13">
        <v>2.0802618591428942E-2</v>
      </c>
      <c r="C1120" s="14">
        <v>-1.7191556660956793E-3</v>
      </c>
      <c r="D1120" s="13">
        <v>1.334912825149074E-2</v>
      </c>
      <c r="E1120" s="14">
        <v>-6.1397694467803564E-3</v>
      </c>
      <c r="F1120" s="13">
        <v>-8.0407830703046624E-3</v>
      </c>
      <c r="G1120" s="14">
        <v>1.530687142291948E-2</v>
      </c>
      <c r="H1120" s="13">
        <v>-2.81246669806495E-3</v>
      </c>
      <c r="I1120" s="15">
        <f t="shared" si="17"/>
        <v>1.5089856718848499E-2</v>
      </c>
    </row>
    <row r="1121" spans="1:9">
      <c r="A1121" s="12">
        <v>44468</v>
      </c>
      <c r="B1121" s="13">
        <v>2.3875549808372691E-2</v>
      </c>
      <c r="C1121" s="14">
        <v>1.0021262645084036E-2</v>
      </c>
      <c r="D1121" s="13">
        <v>-6.6421820055531829E-4</v>
      </c>
      <c r="E1121" s="14">
        <v>1.893178027170712E-3</v>
      </c>
      <c r="F1121" s="13">
        <v>2.6874512278045339E-3</v>
      </c>
      <c r="G1121" s="14">
        <v>-1.1469202142551024E-2</v>
      </c>
      <c r="H1121" s="13">
        <v>-4.5107436478525727E-2</v>
      </c>
      <c r="I1121" s="15">
        <f t="shared" si="17"/>
        <v>1.7899001120642546E-2</v>
      </c>
    </row>
    <row r="1122" spans="1:9">
      <c r="A1122" s="12">
        <v>44467</v>
      </c>
      <c r="B1122" s="13">
        <v>1.6903912255450855E-2</v>
      </c>
      <c r="C1122" s="14">
        <v>2.6251930806441477E-3</v>
      </c>
      <c r="D1122" s="13">
        <v>-1.3734425489006769E-2</v>
      </c>
      <c r="E1122" s="14">
        <v>2.1963238132118789E-3</v>
      </c>
      <c r="F1122" s="13">
        <v>8.0192891666197967E-3</v>
      </c>
      <c r="G1122" s="14">
        <v>-2.8908745673472444E-2</v>
      </c>
      <c r="H1122" s="13">
        <v>-1.3646014184805632E-2</v>
      </c>
      <c r="I1122" s="15">
        <f t="shared" si="17"/>
        <v>1.0981536657315391E-2</v>
      </c>
    </row>
    <row r="1123" spans="1:9">
      <c r="A1123" s="12">
        <v>44466</v>
      </c>
      <c r="B1123" s="13">
        <v>1.4962799438033898E-2</v>
      </c>
      <c r="C1123" s="14">
        <v>1.3818401697256837E-2</v>
      </c>
      <c r="D1123" s="13">
        <v>2.2758541798911422E-3</v>
      </c>
      <c r="E1123" s="14">
        <v>-4.0895018403825948E-3</v>
      </c>
      <c r="F1123" s="13">
        <v>2.1276603771166066E-3</v>
      </c>
      <c r="G1123" s="14">
        <v>1.1308005422584927E-2</v>
      </c>
      <c r="H1123" s="13">
        <v>1.081348544097979E-2</v>
      </c>
      <c r="I1123" s="15">
        <f t="shared" si="17"/>
        <v>1.3447402359582288E-2</v>
      </c>
    </row>
    <row r="1124" spans="1:9">
      <c r="A1124" s="12">
        <v>44463</v>
      </c>
      <c r="B1124" s="13">
        <v>5.2186039865533716E-3</v>
      </c>
      <c r="C1124" s="14">
        <v>1.1247452176504483E-2</v>
      </c>
      <c r="D1124" s="13">
        <v>2.2845294680651513E-2</v>
      </c>
      <c r="E1124" s="14">
        <v>-7.2985215871828411E-3</v>
      </c>
      <c r="F1124" s="13">
        <v>2.8805343261670995E-2</v>
      </c>
      <c r="G1124" s="14">
        <v>-5.3547953842213161E-3</v>
      </c>
      <c r="H1124" s="13">
        <v>1.6469236712593063E-2</v>
      </c>
      <c r="I1124" s="15">
        <f t="shared" si="17"/>
        <v>5.4647522947137029E-3</v>
      </c>
    </row>
    <row r="1125" spans="1:9">
      <c r="A1125" s="12">
        <v>44462</v>
      </c>
      <c r="B1125" s="13">
        <v>-3.7807804685983167E-2</v>
      </c>
      <c r="C1125" s="14">
        <v>-2.2871266306787298E-2</v>
      </c>
      <c r="D1125" s="13">
        <v>-4.1626794152531546E-3</v>
      </c>
      <c r="E1125" s="14">
        <v>-5.7430165026181122E-3</v>
      </c>
      <c r="F1125" s="13">
        <v>-4.002640676474508E-2</v>
      </c>
      <c r="G1125" s="14">
        <v>-3.4949200424902235E-3</v>
      </c>
      <c r="H1125" s="13">
        <v>-9.1095520461143952E-3</v>
      </c>
      <c r="I1125" s="15">
        <f t="shared" si="17"/>
        <v>-3.1443029129105814E-2</v>
      </c>
    </row>
    <row r="1126" spans="1:9">
      <c r="A1126" s="12">
        <v>44461</v>
      </c>
      <c r="B1126" s="13">
        <v>-9.4905967368541923E-4</v>
      </c>
      <c r="C1126" s="14">
        <v>-1.1139638456824053E-2</v>
      </c>
      <c r="D1126" s="13">
        <v>6.3435790801804172E-3</v>
      </c>
      <c r="E1126" s="14">
        <v>-1.0057608025444784E-2</v>
      </c>
      <c r="F1126" s="13">
        <v>-1.0752689208066546E-3</v>
      </c>
      <c r="G1126" s="14">
        <v>1.1360539256923786E-3</v>
      </c>
      <c r="H1126" s="13">
        <v>-1.566735172091022E-2</v>
      </c>
      <c r="I1126" s="15">
        <f t="shared" si="17"/>
        <v>-3.0518442521960537E-3</v>
      </c>
    </row>
    <row r="1127" spans="1:9">
      <c r="A1127" s="12">
        <v>44460</v>
      </c>
      <c r="B1127" s="13">
        <v>-2.5050188903347637E-3</v>
      </c>
      <c r="C1127" s="14">
        <v>4.0557835684189927E-3</v>
      </c>
      <c r="D1127" s="13">
        <v>-1.2434810415321752E-2</v>
      </c>
      <c r="E1127" s="14">
        <v>1.792201981284978E-3</v>
      </c>
      <c r="F1127" s="13">
        <v>-2.8370697129215576E-2</v>
      </c>
      <c r="G1127" s="14">
        <v>7.5784502332072769E-3</v>
      </c>
      <c r="H1127" s="13">
        <v>-1.1808211048861882E-2</v>
      </c>
      <c r="I1127" s="15">
        <f t="shared" si="17"/>
        <v>-9.4665269205626026E-4</v>
      </c>
    </row>
    <row r="1128" spans="1:9">
      <c r="A1128" s="12">
        <v>44459</v>
      </c>
      <c r="B1128" s="13">
        <v>-1.1442589613932238E-2</v>
      </c>
      <c r="C1128" s="14">
        <v>-2.1512038825296461E-3</v>
      </c>
      <c r="D1128" s="13">
        <v>7.6227884911432529E-3</v>
      </c>
      <c r="E1128" s="14">
        <v>-7.7732555515766825E-3</v>
      </c>
      <c r="F1128" s="13">
        <v>3.6407172206139114E-2</v>
      </c>
      <c r="G1128" s="14">
        <v>-8.100874749069998E-3</v>
      </c>
      <c r="H1128" s="13">
        <v>4.822472816349507E-4</v>
      </c>
      <c r="I1128" s="15">
        <f t="shared" si="17"/>
        <v>-9.1424676981558886E-3</v>
      </c>
    </row>
    <row r="1129" spans="1:9">
      <c r="A1129" s="12">
        <v>44456</v>
      </c>
      <c r="B1129" s="13">
        <v>9.5824053276768115E-3</v>
      </c>
      <c r="C1129" s="14">
        <v>6.3664982545781268E-3</v>
      </c>
      <c r="D1129" s="13">
        <v>9.3707303008548955E-3</v>
      </c>
      <c r="E1129" s="14">
        <v>-1.8794933343139766E-3</v>
      </c>
      <c r="F1129" s="13">
        <v>2.2164495732438404E-2</v>
      </c>
      <c r="G1129" s="14">
        <v>4.7372506059077035E-3</v>
      </c>
      <c r="H1129" s="13">
        <v>1.9988135995238205E-2</v>
      </c>
      <c r="I1129" s="15">
        <f t="shared" si="17"/>
        <v>8.3443001878219878E-3</v>
      </c>
    </row>
    <row r="1130" spans="1:9">
      <c r="A1130" s="12">
        <v>44455</v>
      </c>
      <c r="B1130" s="13">
        <v>1.1753067880180509E-2</v>
      </c>
      <c r="C1130" s="14">
        <v>1.8097281218181289E-2</v>
      </c>
      <c r="D1130" s="13">
        <v>-1.1270986825512223E-2</v>
      </c>
      <c r="E1130" s="14">
        <v>1.5587627584724744E-2</v>
      </c>
      <c r="F1130" s="13">
        <v>1.2963624638204298E-2</v>
      </c>
      <c r="G1130" s="14">
        <v>-5.8966446682835304E-3</v>
      </c>
      <c r="H1130" s="13">
        <v>3.1058035712726986E-2</v>
      </c>
      <c r="I1130" s="15">
        <f t="shared" si="17"/>
        <v>1.2060849053424387E-2</v>
      </c>
    </row>
    <row r="1131" spans="1:9">
      <c r="A1131" s="12">
        <v>44454</v>
      </c>
      <c r="B1131" s="13">
        <v>3.0473254939242054E-3</v>
      </c>
      <c r="C1131" s="14">
        <v>4.4807703754032825E-3</v>
      </c>
      <c r="D1131" s="13">
        <v>1.1250777102349411E-3</v>
      </c>
      <c r="E1131" s="14">
        <v>3.0502107157192619E-3</v>
      </c>
      <c r="F1131" s="13">
        <v>-5.1533111163642954E-4</v>
      </c>
      <c r="G1131" s="14">
        <v>6.2583819153380488E-3</v>
      </c>
      <c r="H1131" s="13">
        <v>1.7178687017940038E-4</v>
      </c>
      <c r="I1131" s="15">
        <f t="shared" si="17"/>
        <v>3.3872092751764953E-3</v>
      </c>
    </row>
    <row r="1132" spans="1:9">
      <c r="A1132" s="12">
        <v>44453</v>
      </c>
      <c r="B1132" s="13">
        <v>3.0380675062175763E-3</v>
      </c>
      <c r="C1132" s="14">
        <v>-3.0999321599391766E-3</v>
      </c>
      <c r="D1132" s="13">
        <v>-1.6492528743932029E-3</v>
      </c>
      <c r="E1132" s="14">
        <v>-2.0031430448041874E-2</v>
      </c>
      <c r="F1132" s="13">
        <v>-7.242659699302924E-3</v>
      </c>
      <c r="G1132" s="14">
        <v>-5.5762226274360688E-3</v>
      </c>
      <c r="H1132" s="13">
        <v>-2.006018726865743E-3</v>
      </c>
      <c r="I1132" s="15">
        <f t="shared" si="17"/>
        <v>3.4575024925396521E-4</v>
      </c>
    </row>
    <row r="1133" spans="1:9">
      <c r="A1133" s="12">
        <v>44452</v>
      </c>
      <c r="B1133" s="13">
        <v>1.3522451555697044E-3</v>
      </c>
      <c r="C1133" s="14">
        <v>5.3185133217187076E-3</v>
      </c>
      <c r="D1133" s="13">
        <v>5.1521545721818617E-3</v>
      </c>
      <c r="E1133" s="14">
        <v>-1.5036765272935331E-2</v>
      </c>
      <c r="F1133" s="13">
        <v>4.6620131058113714E-3</v>
      </c>
      <c r="G1133" s="14">
        <v>2.2024690169770819E-3</v>
      </c>
      <c r="H1133" s="13">
        <v>-3.3248906958220213E-2</v>
      </c>
      <c r="I1133" s="15">
        <f t="shared" si="17"/>
        <v>1.0170453008946758E-3</v>
      </c>
    </row>
    <row r="1134" spans="1:9">
      <c r="A1134" s="12">
        <v>44448</v>
      </c>
      <c r="B1134" s="13">
        <v>-6.1667904788958068E-3</v>
      </c>
      <c r="C1134" s="14">
        <v>-3.2938577906638962E-3</v>
      </c>
      <c r="D1134" s="13">
        <v>7.9177332384349907E-4</v>
      </c>
      <c r="E1134" s="14">
        <v>1.1949284261133297E-2</v>
      </c>
      <c r="F1134" s="13">
        <v>9.7712271388459004E-3</v>
      </c>
      <c r="G1134" s="14">
        <v>-3.9315105124618993E-3</v>
      </c>
      <c r="H1134" s="13">
        <v>-2.037218448087744E-2</v>
      </c>
      <c r="I1134" s="15">
        <f t="shared" si="17"/>
        <v>-4.691456073720188E-3</v>
      </c>
    </row>
    <row r="1135" spans="1:9">
      <c r="A1135" s="12">
        <v>44447</v>
      </c>
      <c r="B1135" s="13">
        <v>-2.9178751651950793E-3</v>
      </c>
      <c r="C1135" s="14">
        <v>-6.4038670701102151E-3</v>
      </c>
      <c r="D1135" s="13">
        <v>-3.475306054981105E-4</v>
      </c>
      <c r="E1135" s="14">
        <v>6.9944036675425123E-3</v>
      </c>
      <c r="F1135" s="13">
        <v>1.3723214095822753E-2</v>
      </c>
      <c r="G1135" s="14">
        <v>1.3210171972433066E-2</v>
      </c>
      <c r="H1135" s="13">
        <v>8.4388686458646035E-3</v>
      </c>
      <c r="I1135" s="15">
        <f t="shared" si="17"/>
        <v>-2.116949871770421E-3</v>
      </c>
    </row>
    <row r="1136" spans="1:9">
      <c r="A1136" s="12">
        <v>44446</v>
      </c>
      <c r="B1136" s="13">
        <v>-1.0490270283938295E-4</v>
      </c>
      <c r="C1136" s="14">
        <v>3.2430357266769612E-3</v>
      </c>
      <c r="D1136" s="13">
        <v>9.360322817872184E-3</v>
      </c>
      <c r="E1136" s="14">
        <v>9.6286350768561412E-3</v>
      </c>
      <c r="F1136" s="13">
        <v>1.054491317661504E-2</v>
      </c>
      <c r="G1136" s="14">
        <v>8.658837618853471E-3</v>
      </c>
      <c r="H1136" s="13">
        <v>6.7001925698195654E-3</v>
      </c>
      <c r="I1136" s="15">
        <f t="shared" si="17"/>
        <v>1.5384077589372905E-3</v>
      </c>
    </row>
    <row r="1137" spans="1:9">
      <c r="A1137" s="12">
        <v>44445</v>
      </c>
      <c r="B1137" s="13">
        <v>-6.2238993418770698E-3</v>
      </c>
      <c r="C1137" s="14">
        <v>1.2511596429039882E-3</v>
      </c>
      <c r="D1137" s="13">
        <v>-1.4358328860255511E-3</v>
      </c>
      <c r="E1137" s="14">
        <v>6.9753740432611606E-3</v>
      </c>
      <c r="F1137" s="13">
        <v>-1.5605652722445667E-2</v>
      </c>
      <c r="G1137" s="14">
        <v>-3.2354905444128791E-3</v>
      </c>
      <c r="H1137" s="13">
        <v>-4.0027534997962525E-3</v>
      </c>
      <c r="I1137" s="15">
        <f t="shared" si="17"/>
        <v>-4.1026714108064908E-3</v>
      </c>
    </row>
    <row r="1138" spans="1:9">
      <c r="A1138" s="12">
        <v>44442</v>
      </c>
      <c r="B1138" s="13">
        <v>6.9879385997247212E-3</v>
      </c>
      <c r="C1138" s="14">
        <v>-4.3209677046896862E-3</v>
      </c>
      <c r="D1138" s="13">
        <v>6.1880676462163359E-3</v>
      </c>
      <c r="E1138" s="14">
        <v>-1.0045493578503855E-2</v>
      </c>
      <c r="F1138" s="13">
        <v>1.0141988698952537E-3</v>
      </c>
      <c r="G1138" s="14">
        <v>7.7698392780267541E-3</v>
      </c>
      <c r="H1138" s="13">
        <v>1.1191259131871254E-2</v>
      </c>
      <c r="I1138" s="15">
        <f t="shared" si="17"/>
        <v>4.2904883920140179E-3</v>
      </c>
    </row>
    <row r="1139" spans="1:9">
      <c r="A1139" s="12">
        <v>44441</v>
      </c>
      <c r="B1139" s="13">
        <v>-1.1204261538209619E-2</v>
      </c>
      <c r="C1139" s="14">
        <v>3.242474901548254E-3</v>
      </c>
      <c r="D1139" s="13">
        <v>-1.2279730170661887E-2</v>
      </c>
      <c r="E1139" s="14">
        <v>-1.4527845061853957E-4</v>
      </c>
      <c r="F1139" s="13">
        <v>-1.8931238186093158E-2</v>
      </c>
      <c r="G1139" s="14">
        <v>6.6530609552585265E-3</v>
      </c>
      <c r="H1139" s="13">
        <v>-5.3418930447862315E-3</v>
      </c>
      <c r="I1139" s="15">
        <f t="shared" si="17"/>
        <v>-7.3600445358520776E-3</v>
      </c>
    </row>
    <row r="1140" spans="1:9">
      <c r="A1140" s="12">
        <v>44440</v>
      </c>
      <c r="B1140" s="13">
        <v>3.4825532009144213E-4</v>
      </c>
      <c r="C1140" s="14">
        <v>-6.4954976570065848E-3</v>
      </c>
      <c r="D1140" s="13">
        <v>-6.7691971081101799E-3</v>
      </c>
      <c r="E1140" s="14">
        <v>4.903569133203411E-3</v>
      </c>
      <c r="F1140" s="13">
        <v>-1.8243925348093173E-2</v>
      </c>
      <c r="G1140" s="14">
        <v>3.1233528822385377E-3</v>
      </c>
      <c r="H1140" s="13">
        <v>-7.9467451331023918E-3</v>
      </c>
      <c r="I1140" s="15">
        <f t="shared" si="17"/>
        <v>-6.3137634747840641E-4</v>
      </c>
    </row>
    <row r="1141" spans="1:9">
      <c r="A1141" s="12">
        <v>44439</v>
      </c>
      <c r="B1141" s="13">
        <v>-3.1182858934883071E-2</v>
      </c>
      <c r="C1141" s="14">
        <v>-9.515982585904189E-3</v>
      </c>
      <c r="D1141" s="13">
        <v>3.6610564964787949E-3</v>
      </c>
      <c r="E1141" s="14">
        <v>-4.7582906825847605E-3</v>
      </c>
      <c r="F1141" s="13">
        <v>-2.1063725534150256E-3</v>
      </c>
      <c r="G1141" s="14">
        <v>-2.9100578483989639E-2</v>
      </c>
      <c r="H1141" s="13">
        <v>3.1145209651636751E-3</v>
      </c>
      <c r="I1141" s="15">
        <f t="shared" si="17"/>
        <v>-2.5367568582057028E-2</v>
      </c>
    </row>
    <row r="1142" spans="1:9">
      <c r="A1142" s="12">
        <v>44438</v>
      </c>
      <c r="B1142" s="13">
        <v>-2.9351879705965967E-2</v>
      </c>
      <c r="C1142" s="14">
        <v>-1.2445546579456311E-2</v>
      </c>
      <c r="D1142" s="13">
        <v>-9.8708661167629334E-3</v>
      </c>
      <c r="E1142" s="14">
        <v>-3.1479665606906545E-4</v>
      </c>
      <c r="F1142" s="13">
        <v>3.1578973611354013E-3</v>
      </c>
      <c r="G1142" s="14">
        <v>-1.4707049589018088E-3</v>
      </c>
      <c r="H1142" s="13">
        <v>3.4624833111940785E-3</v>
      </c>
      <c r="I1142" s="15">
        <f t="shared" si="17"/>
        <v>-2.3206997916540951E-2</v>
      </c>
    </row>
    <row r="1143" spans="1:9">
      <c r="A1143" s="12">
        <v>44435</v>
      </c>
      <c r="B1143" s="13">
        <v>-2.341638670200567E-2</v>
      </c>
      <c r="C1143" s="14">
        <v>-3.1075628388713285E-2</v>
      </c>
      <c r="D1143" s="13">
        <v>1.1667429948160807E-2</v>
      </c>
      <c r="E1143" s="14">
        <v>4.5187168362485529E-3</v>
      </c>
      <c r="F1143" s="13">
        <v>-1.4289737729979598E-2</v>
      </c>
      <c r="G1143" s="14">
        <v>-3.1750378194328826E-3</v>
      </c>
      <c r="H1143" s="13">
        <v>3.1789668869792849E-2</v>
      </c>
      <c r="I1143" s="15">
        <f t="shared" si="17"/>
        <v>-2.1476022595446797E-2</v>
      </c>
    </row>
    <row r="1144" spans="1:9">
      <c r="A1144" s="12">
        <v>44434</v>
      </c>
      <c r="B1144" s="13">
        <v>9.3804777756219325E-4</v>
      </c>
      <c r="C1144" s="14">
        <v>9.0053656692972231E-4</v>
      </c>
      <c r="D1144" s="13">
        <v>-2.5232691240686229E-2</v>
      </c>
      <c r="E1144" s="14">
        <v>7.6855098859214838E-3</v>
      </c>
      <c r="F1144" s="13">
        <v>0</v>
      </c>
      <c r="G1144" s="14">
        <v>-2.9533708398903405E-4</v>
      </c>
      <c r="H1144" s="13">
        <v>-6.5609024260700019E-2</v>
      </c>
      <c r="I1144" s="15">
        <f t="shared" si="17"/>
        <v>3.3123296937086026E-4</v>
      </c>
    </row>
    <row r="1145" spans="1:9">
      <c r="A1145" s="12">
        <v>44433</v>
      </c>
      <c r="B1145" s="13">
        <v>-5.2651497670577762E-4</v>
      </c>
      <c r="C1145" s="14">
        <v>-2.6122638421778996E-3</v>
      </c>
      <c r="D1145" s="13">
        <v>2.8123590781346373E-2</v>
      </c>
      <c r="E1145" s="14">
        <v>2.2474450861592745E-2</v>
      </c>
      <c r="F1145" s="13">
        <v>-7.4906717291576257E-3</v>
      </c>
      <c r="G1145" s="14">
        <v>2.541585773711393E-3</v>
      </c>
      <c r="H1145" s="13">
        <v>-2.0804238345336235E-2</v>
      </c>
      <c r="I1145" s="15">
        <f t="shared" si="17"/>
        <v>5.8743689443362113E-4</v>
      </c>
    </row>
    <row r="1146" spans="1:9">
      <c r="A1146" s="12">
        <v>44432</v>
      </c>
      <c r="B1146" s="13">
        <v>2.5969771334616487E-3</v>
      </c>
      <c r="C1146" s="14">
        <v>8.1805966282018725E-3</v>
      </c>
      <c r="D1146" s="13">
        <v>-7.3786817554710397E-3</v>
      </c>
      <c r="E1146" s="14">
        <v>-1.5726449052307096E-2</v>
      </c>
      <c r="F1146" s="13">
        <v>8.0235787494964197E-3</v>
      </c>
      <c r="G1146" s="14">
        <v>-9.6788539833467732E-3</v>
      </c>
      <c r="H1146" s="13">
        <v>-2.7955103959062314E-2</v>
      </c>
      <c r="I1146" s="15">
        <f t="shared" si="17"/>
        <v>1.6892064332138025E-3</v>
      </c>
    </row>
    <row r="1147" spans="1:9">
      <c r="A1147" s="12">
        <v>44431</v>
      </c>
      <c r="B1147" s="13">
        <v>1.028849262300215E-2</v>
      </c>
      <c r="C1147" s="14">
        <v>5.6732805212664442E-3</v>
      </c>
      <c r="D1147" s="13">
        <v>-5.3068053435198171E-3</v>
      </c>
      <c r="E1147" s="14">
        <v>9.2960114984530322E-3</v>
      </c>
      <c r="F1147" s="13">
        <v>0</v>
      </c>
      <c r="G1147" s="14">
        <v>1.4635264446263411E-3</v>
      </c>
      <c r="H1147" s="13">
        <v>2.9967177072482459E-2</v>
      </c>
      <c r="I1147" s="15">
        <f t="shared" si="17"/>
        <v>9.0025105189638129E-3</v>
      </c>
    </row>
    <row r="1148" spans="1:9">
      <c r="A1148" s="12">
        <v>44428</v>
      </c>
      <c r="B1148" s="13">
        <v>1.1469497662849871E-2</v>
      </c>
      <c r="C1148" s="14">
        <v>2.9491279510635928E-2</v>
      </c>
      <c r="D1148" s="13">
        <v>-5.2969857754302289E-2</v>
      </c>
      <c r="E1148" s="14">
        <v>-1.8367451123151697E-2</v>
      </c>
      <c r="F1148" s="13">
        <v>4.071543583295744E-2</v>
      </c>
      <c r="G1148" s="14">
        <v>1.1947899086744896E-2</v>
      </c>
      <c r="H1148" s="13">
        <v>2.2668258311959892E-2</v>
      </c>
      <c r="I1148" s="15">
        <f t="shared" si="17"/>
        <v>1.237488813544874E-2</v>
      </c>
    </row>
    <row r="1149" spans="1:9">
      <c r="A1149" s="12">
        <v>44426</v>
      </c>
      <c r="B1149" s="13">
        <v>-3.644200774513174E-2</v>
      </c>
      <c r="C1149" s="14">
        <v>-6.804896959302662E-3</v>
      </c>
      <c r="D1149" s="13">
        <v>-1.7329731813794536E-2</v>
      </c>
      <c r="E1149" s="14">
        <v>1.4593238636915282E-2</v>
      </c>
      <c r="F1149" s="13">
        <v>1.9752478102317547E-2</v>
      </c>
      <c r="G1149" s="14">
        <v>4.84284263498905E-3</v>
      </c>
      <c r="H1149" s="13">
        <v>5.8166396967266453E-3</v>
      </c>
      <c r="I1149" s="15">
        <f t="shared" si="17"/>
        <v>-2.6332930323585444E-2</v>
      </c>
    </row>
    <row r="1150" spans="1:9">
      <c r="A1150" s="12">
        <v>44425</v>
      </c>
      <c r="B1150" s="13">
        <v>4.5705058081566934E-3</v>
      </c>
      <c r="C1150" s="14">
        <v>1.5325673497779888E-3</v>
      </c>
      <c r="D1150" s="13">
        <v>8.5365610322968247E-3</v>
      </c>
      <c r="E1150" s="14">
        <v>-2.2003250214965484E-3</v>
      </c>
      <c r="F1150" s="13">
        <v>3.837165285759004E-2</v>
      </c>
      <c r="G1150" s="14">
        <v>3.3201008580920062E-3</v>
      </c>
      <c r="H1150" s="13">
        <v>1.2256691269103552E-2</v>
      </c>
      <c r="I1150" s="15">
        <f t="shared" si="17"/>
        <v>3.8179230687834949E-3</v>
      </c>
    </row>
    <row r="1151" spans="1:9">
      <c r="A1151" s="12">
        <v>44424</v>
      </c>
      <c r="B1151" s="13">
        <v>-1.4666105495551383E-2</v>
      </c>
      <c r="C1151" s="14">
        <v>1.3251566280910137E-4</v>
      </c>
      <c r="D1151" s="13">
        <v>-4.654844031029671E-3</v>
      </c>
      <c r="E1151" s="14">
        <v>-7.0594400825357883E-3</v>
      </c>
      <c r="F1151" s="13">
        <v>-4.3399315534555484E-2</v>
      </c>
      <c r="G1151" s="14">
        <v>-3.4099864787005539E-3</v>
      </c>
      <c r="H1151" s="13">
        <v>-3.2618573167441742E-3</v>
      </c>
      <c r="I1151" s="15">
        <f t="shared" si="17"/>
        <v>-1.1082079794522501E-2</v>
      </c>
    </row>
    <row r="1152" spans="1:9">
      <c r="A1152" s="12">
        <v>44421</v>
      </c>
      <c r="B1152" s="13">
        <v>5.8052880274200164E-3</v>
      </c>
      <c r="C1152" s="14">
        <v>-4.7964553978985178E-3</v>
      </c>
      <c r="D1152" s="13">
        <v>8.978526511683349E-3</v>
      </c>
      <c r="E1152" s="14">
        <v>-1.1933745270401067E-3</v>
      </c>
      <c r="F1152" s="13">
        <v>2.1935076866255714E-2</v>
      </c>
      <c r="G1152" s="14">
        <v>-2.7228658653600623E-3</v>
      </c>
      <c r="H1152" s="13">
        <v>3.214945294847079E-2</v>
      </c>
      <c r="I1152" s="15">
        <f t="shared" si="17"/>
        <v>3.5476959198690924E-3</v>
      </c>
    </row>
    <row r="1153" spans="1:9">
      <c r="A1153" s="12">
        <v>44420</v>
      </c>
      <c r="B1153" s="13">
        <v>-4.4264181457657646E-3</v>
      </c>
      <c r="C1153" s="14">
        <v>4.6639397350894344E-3</v>
      </c>
      <c r="D1153" s="13">
        <v>-6.1930369640907291E-5</v>
      </c>
      <c r="E1153" s="14">
        <v>-4.5478559883342547E-3</v>
      </c>
      <c r="F1153" s="13">
        <v>3.1070460473739677E-2</v>
      </c>
      <c r="G1153" s="14">
        <v>-3.3196262913044484E-2</v>
      </c>
      <c r="H1153" s="13">
        <v>-3.9920212695374498E-3</v>
      </c>
      <c r="I1153" s="15">
        <f t="shared" si="17"/>
        <v>-4.1406942191920945E-3</v>
      </c>
    </row>
    <row r="1154" spans="1:9">
      <c r="A1154" s="12">
        <v>44419</v>
      </c>
      <c r="B1154" s="13">
        <v>-9.7510137011217943E-4</v>
      </c>
      <c r="C1154" s="14">
        <v>4.2318154137496438E-3</v>
      </c>
      <c r="D1154" s="13">
        <v>-2.0251706617775899E-3</v>
      </c>
      <c r="E1154" s="14">
        <v>-1.4571986761906767E-2</v>
      </c>
      <c r="F1154" s="13">
        <v>-2.1256839025415038E-2</v>
      </c>
      <c r="G1154" s="14">
        <v>-6.9424432366992266E-3</v>
      </c>
      <c r="H1154" s="13">
        <v>-4.5305067708602778E-2</v>
      </c>
      <c r="I1154" s="15">
        <f t="shared" si="17"/>
        <v>-1.4502050171049494E-3</v>
      </c>
    </row>
    <row r="1155" spans="1:9">
      <c r="A1155" s="12">
        <v>44418</v>
      </c>
      <c r="B1155" s="13">
        <v>1.5294763265630013E-3</v>
      </c>
      <c r="C1155" s="14">
        <v>-9.0880927166577963E-3</v>
      </c>
      <c r="D1155" s="13">
        <v>1.5436079717714483E-2</v>
      </c>
      <c r="E1155" s="14">
        <v>1.3299676146526591E-2</v>
      </c>
      <c r="F1155" s="13">
        <v>4.8816207950135119E-4</v>
      </c>
      <c r="G1155" s="14">
        <v>2.1970237953077284E-2</v>
      </c>
      <c r="H1155" s="13">
        <v>-9.2367382409972516E-4</v>
      </c>
      <c r="I1155" s="15">
        <f t="shared" si="17"/>
        <v>1.427704545309158E-3</v>
      </c>
    </row>
    <row r="1156" spans="1:9">
      <c r="A1156" s="12">
        <v>44417</v>
      </c>
      <c r="B1156" s="13">
        <v>5.1593996889473699E-3</v>
      </c>
      <c r="C1156" s="14">
        <v>2.2760872965417664E-3</v>
      </c>
      <c r="D1156" s="13">
        <v>2.3034884709521503E-2</v>
      </c>
      <c r="E1156" s="14">
        <v>1.7926277235507014E-2</v>
      </c>
      <c r="F1156" s="13">
        <v>4.2518943346090757E-2</v>
      </c>
      <c r="G1156" s="14">
        <v>2.3001513087768617E-2</v>
      </c>
      <c r="H1156" s="13">
        <v>3.3798868565936009E-2</v>
      </c>
      <c r="I1156" s="15">
        <f t="shared" si="17"/>
        <v>6.6423565627989995E-3</v>
      </c>
    </row>
    <row r="1157" spans="1:9">
      <c r="A1157" s="12">
        <v>44414</v>
      </c>
      <c r="B1157" s="13">
        <v>-8.7599150531397479E-3</v>
      </c>
      <c r="C1157" s="14">
        <v>1.8227538000612043E-2</v>
      </c>
      <c r="D1157" s="13">
        <v>4.3812859592226527E-2</v>
      </c>
      <c r="E1157" s="14">
        <v>1.1790229624614556E-3</v>
      </c>
      <c r="F1157" s="13">
        <v>1.2087548381381572E-2</v>
      </c>
      <c r="G1157" s="14">
        <v>-1.8405463985605888E-3</v>
      </c>
      <c r="H1157" s="13">
        <v>4.0731460344733329E-2</v>
      </c>
      <c r="I1157" s="15">
        <f t="shared" si="17"/>
        <v>-2.2994363960159481E-3</v>
      </c>
    </row>
    <row r="1158" spans="1:9">
      <c r="A1158" s="12">
        <v>44413</v>
      </c>
      <c r="B1158" s="13">
        <v>7.3721754244810414E-3</v>
      </c>
      <c r="C1158" s="14">
        <v>1.2489988273058205E-2</v>
      </c>
      <c r="D1158" s="13">
        <v>-6.9974475367379834E-3</v>
      </c>
      <c r="E1158" s="14">
        <v>2.1187446129312744E-3</v>
      </c>
      <c r="F1158" s="13">
        <v>4.620004702180313E-4</v>
      </c>
      <c r="G1158" s="14">
        <v>-2.5869743470331602E-3</v>
      </c>
      <c r="H1158" s="13">
        <v>-4.9284911422308897E-2</v>
      </c>
      <c r="I1158" s="15">
        <f t="shared" ref="I1158:I1221" si="18">SUMPRODUCT($B$2:$H$2,B1158:H1158)</f>
        <v>6.8561801409310931E-3</v>
      </c>
    </row>
    <row r="1159" spans="1:9">
      <c r="A1159" s="12">
        <v>44412</v>
      </c>
      <c r="B1159" s="13">
        <v>1.0055020623681641E-2</v>
      </c>
      <c r="C1159" s="14">
        <v>4.7560307598925582E-3</v>
      </c>
      <c r="D1159" s="13">
        <v>2.031625039953714E-3</v>
      </c>
      <c r="E1159" s="14">
        <v>-8.3360382593151428E-3</v>
      </c>
      <c r="F1159" s="13">
        <v>1.3847221229466983E-3</v>
      </c>
      <c r="G1159" s="14">
        <v>7.6291713216119434E-3</v>
      </c>
      <c r="H1159" s="13">
        <v>-1.2816812895691164E-2</v>
      </c>
      <c r="I1159" s="15">
        <f t="shared" si="18"/>
        <v>7.8381607727229571E-3</v>
      </c>
    </row>
    <row r="1160" spans="1:9">
      <c r="A1160" s="12">
        <v>44411</v>
      </c>
      <c r="B1160" s="13">
        <v>2.7788822963908562E-3</v>
      </c>
      <c r="C1160" s="14">
        <v>4.2654295259278779E-3</v>
      </c>
      <c r="D1160" s="13">
        <v>2.7724418098817988E-3</v>
      </c>
      <c r="E1160" s="14">
        <v>4.1885125777909498E-3</v>
      </c>
      <c r="F1160" s="13">
        <v>1.0552977035929688E-2</v>
      </c>
      <c r="G1160" s="14">
        <v>1.5306081737879434E-2</v>
      </c>
      <c r="H1160" s="13">
        <v>7.8788286356764221E-3</v>
      </c>
      <c r="I1160" s="15">
        <f t="shared" si="18"/>
        <v>3.7355077289841733E-3</v>
      </c>
    </row>
    <row r="1161" spans="1:9">
      <c r="A1161" s="12">
        <v>44410</v>
      </c>
      <c r="B1161" s="13">
        <v>-1.7647369769037382E-2</v>
      </c>
      <c r="C1161" s="14">
        <v>-5.6342185041651817E-3</v>
      </c>
      <c r="D1161" s="13">
        <v>1.9093625593471962E-5</v>
      </c>
      <c r="E1161" s="14">
        <v>-9.4906636870651356E-3</v>
      </c>
      <c r="F1161" s="13">
        <v>-5.4920046508465745E-3</v>
      </c>
      <c r="G1161" s="14">
        <v>3.9985113800562163E-3</v>
      </c>
      <c r="H1161" s="13">
        <v>2.356559461189783E-2</v>
      </c>
      <c r="I1161" s="15">
        <f t="shared" si="18"/>
        <v>-1.3630807910686214E-2</v>
      </c>
    </row>
    <row r="1162" spans="1:9">
      <c r="A1162" s="12">
        <v>44407</v>
      </c>
      <c r="B1162" s="13">
        <v>-5.2591777350592559E-3</v>
      </c>
      <c r="C1162" s="14">
        <v>2.9775707089161377E-3</v>
      </c>
      <c r="D1162" s="13">
        <v>-5.2069492428050319E-3</v>
      </c>
      <c r="E1162" s="14">
        <v>-5.1866220457331309E-3</v>
      </c>
      <c r="F1162" s="13">
        <v>-1.8373914218354323E-3</v>
      </c>
      <c r="G1162" s="14">
        <v>-3.8004065819704468E-3</v>
      </c>
      <c r="H1162" s="13">
        <v>-5.897965372977257E-4</v>
      </c>
      <c r="I1162" s="15">
        <f t="shared" si="18"/>
        <v>-3.7544422097062005E-3</v>
      </c>
    </row>
    <row r="1163" spans="1:9">
      <c r="A1163" s="12">
        <v>44406</v>
      </c>
      <c r="B1163" s="13">
        <v>1.3096444677785665E-2</v>
      </c>
      <c r="C1163" s="14">
        <v>2.3018894174570885E-3</v>
      </c>
      <c r="D1163" s="13">
        <v>-1.5532076929121128E-2</v>
      </c>
      <c r="E1163" s="14">
        <v>-9.8010489217433099E-3</v>
      </c>
      <c r="F1163" s="13">
        <v>1.4152256290663282E-2</v>
      </c>
      <c r="G1163" s="14">
        <v>-7.4448335199904896E-3</v>
      </c>
      <c r="H1163" s="13">
        <v>7.054702979889812E-3</v>
      </c>
      <c r="I1163" s="15">
        <f t="shared" si="18"/>
        <v>8.7751455957338822E-3</v>
      </c>
    </row>
    <row r="1164" spans="1:9">
      <c r="A1164" s="12">
        <v>44405</v>
      </c>
      <c r="B1164" s="13">
        <v>2.2160950826220554E-3</v>
      </c>
      <c r="C1164" s="14">
        <v>5.7175360963784292E-3</v>
      </c>
      <c r="D1164" s="13">
        <v>7.2254368925646342E-3</v>
      </c>
      <c r="E1164" s="14">
        <v>-1.6100657616009165E-2</v>
      </c>
      <c r="F1164" s="13">
        <v>-3.0375091797550553E-2</v>
      </c>
      <c r="G1164" s="14">
        <v>1.1086351603917934E-4</v>
      </c>
      <c r="H1164" s="13">
        <v>-1.8745190094953838E-2</v>
      </c>
      <c r="I1164" s="15">
        <f t="shared" si="18"/>
        <v>1.6533837523470939E-3</v>
      </c>
    </row>
    <row r="1165" spans="1:9">
      <c r="A1165" s="12">
        <v>44404</v>
      </c>
      <c r="B1165" s="13">
        <v>8.138953386463128E-3</v>
      </c>
      <c r="C1165" s="14">
        <v>-7.9625248907584673E-3</v>
      </c>
      <c r="D1165" s="13">
        <v>-9.1001506836746883E-4</v>
      </c>
      <c r="E1165" s="14">
        <v>9.1555107097081485E-3</v>
      </c>
      <c r="F1165" s="13">
        <v>1.1152531950475107E-2</v>
      </c>
      <c r="G1165" s="14">
        <v>4.3582693456293686E-3</v>
      </c>
      <c r="H1165" s="13">
        <v>2.5168569844713974E-2</v>
      </c>
      <c r="I1165" s="15">
        <f t="shared" si="18"/>
        <v>5.3259868156881815E-3</v>
      </c>
    </row>
    <row r="1166" spans="1:9">
      <c r="A1166" s="12">
        <v>44403</v>
      </c>
      <c r="B1166" s="13">
        <v>1.0690020271273014E-2</v>
      </c>
      <c r="C1166" s="14">
        <v>7.2566790464128651E-3</v>
      </c>
      <c r="D1166" s="13">
        <v>4.9659538795177186E-3</v>
      </c>
      <c r="E1166" s="14">
        <v>3.8913393949035449E-3</v>
      </c>
      <c r="F1166" s="13">
        <v>2.7349015404100764E-2</v>
      </c>
      <c r="G1166" s="14">
        <v>1.986557633258821E-4</v>
      </c>
      <c r="H1166" s="13">
        <v>7.3651273867527409E-3</v>
      </c>
      <c r="I1166" s="15">
        <f t="shared" si="18"/>
        <v>9.2052288314338933E-3</v>
      </c>
    </row>
    <row r="1167" spans="1:9">
      <c r="A1167" s="12">
        <v>44400</v>
      </c>
      <c r="B1167" s="13">
        <v>7.339392907800538E-3</v>
      </c>
      <c r="C1167" s="14">
        <v>5.2817396146980933E-3</v>
      </c>
      <c r="D1167" s="13">
        <v>2.1372260789915766E-3</v>
      </c>
      <c r="E1167" s="14">
        <v>9.8068418813230928E-3</v>
      </c>
      <c r="F1167" s="13">
        <v>8.506879149735436E-3</v>
      </c>
      <c r="G1167" s="14">
        <v>1.0276093325393991E-2</v>
      </c>
      <c r="H1167" s="13">
        <v>4.6692691836836926E-3</v>
      </c>
      <c r="I1167" s="15">
        <f t="shared" si="18"/>
        <v>7.1655795192802673E-3</v>
      </c>
    </row>
    <row r="1168" spans="1:9">
      <c r="A1168" s="12">
        <v>44399</v>
      </c>
      <c r="B1168" s="13">
        <v>7.430774842537579E-3</v>
      </c>
      <c r="C1168" s="14">
        <v>1.6983056118850717E-3</v>
      </c>
      <c r="D1168" s="13">
        <v>-3.950708074624153E-3</v>
      </c>
      <c r="E1168" s="14">
        <v>1.1290885612080853E-3</v>
      </c>
      <c r="F1168" s="13">
        <v>-8.9206071928136588E-4</v>
      </c>
      <c r="G1168" s="14">
        <v>-8.1375266722745702E-3</v>
      </c>
      <c r="H1168" s="13">
        <v>1.2289028937289592E-2</v>
      </c>
      <c r="I1168" s="15">
        <f t="shared" si="18"/>
        <v>5.311989968997885E-3</v>
      </c>
    </row>
    <row r="1169" spans="1:9">
      <c r="A1169" s="12">
        <v>44397</v>
      </c>
      <c r="B1169" s="13">
        <v>1.6694185784328564E-2</v>
      </c>
      <c r="C1169" s="14">
        <v>1.0754216640311759E-2</v>
      </c>
      <c r="D1169" s="13">
        <v>1.4968417078143141E-2</v>
      </c>
      <c r="E1169" s="14">
        <v>-1.0547628047165665E-2</v>
      </c>
      <c r="F1169" s="13">
        <v>4.4523671058051524E-3</v>
      </c>
      <c r="G1169" s="14">
        <v>7.7052630756442033E-4</v>
      </c>
      <c r="H1169" s="13">
        <v>-1.0163385417247608E-2</v>
      </c>
      <c r="I1169" s="15">
        <f t="shared" si="18"/>
        <v>1.3342906142010976E-2</v>
      </c>
    </row>
    <row r="1170" spans="1:9">
      <c r="A1170" s="12">
        <v>44396</v>
      </c>
      <c r="B1170" s="13">
        <v>-5.7693900556609619E-2</v>
      </c>
      <c r="C1170" s="14">
        <v>-3.4883236466203726E-2</v>
      </c>
      <c r="D1170" s="13">
        <v>-1.2750244520730685E-2</v>
      </c>
      <c r="E1170" s="14">
        <v>-2.8625067051317812E-2</v>
      </c>
      <c r="F1170" s="13">
        <v>-1.0270239859557573E-2</v>
      </c>
      <c r="G1170" s="14">
        <v>-3.3726844786392302E-3</v>
      </c>
      <c r="H1170" s="13">
        <v>7.4577635903569329E-4</v>
      </c>
      <c r="I1170" s="15">
        <f t="shared" si="18"/>
        <v>-4.8768707072798533E-2</v>
      </c>
    </row>
    <row r="1171" spans="1:9">
      <c r="A1171" s="12">
        <v>44393</v>
      </c>
      <c r="B1171" s="13">
        <v>2.4617973496414104E-3</v>
      </c>
      <c r="C1171" s="14">
        <v>1.0190970717432036E-2</v>
      </c>
      <c r="D1171" s="13">
        <v>5.840105737106467E-3</v>
      </c>
      <c r="E1171" s="14">
        <v>-1.4242347147186256E-3</v>
      </c>
      <c r="F1171" s="13">
        <v>1.1602093552546979E-2</v>
      </c>
      <c r="G1171" s="14">
        <v>7.5452133713442117E-3</v>
      </c>
      <c r="H1171" s="13">
        <v>-1.2289916105900949E-2</v>
      </c>
      <c r="I1171" s="15">
        <f t="shared" si="18"/>
        <v>3.7429923048373083E-3</v>
      </c>
    </row>
    <row r="1172" spans="1:9">
      <c r="A1172" s="12">
        <v>44392</v>
      </c>
      <c r="B1172" s="13">
        <v>-1.9086211824563661E-3</v>
      </c>
      <c r="C1172" s="14">
        <v>-3.2047429096126261E-3</v>
      </c>
      <c r="D1172" s="13">
        <v>-4.2999260017408045E-3</v>
      </c>
      <c r="E1172" s="14">
        <v>5.9992502736701454E-4</v>
      </c>
      <c r="F1172" s="13">
        <v>1.7590603089594484E-2</v>
      </c>
      <c r="G1172" s="14">
        <v>3.6312766856684588E-3</v>
      </c>
      <c r="H1172" s="13">
        <v>-5.4583400266799816E-2</v>
      </c>
      <c r="I1172" s="15">
        <f t="shared" si="18"/>
        <v>-2.184467534949872E-3</v>
      </c>
    </row>
    <row r="1173" spans="1:9">
      <c r="A1173" s="12">
        <v>44391</v>
      </c>
      <c r="B1173" s="13">
        <v>6.1314524107354959E-3</v>
      </c>
      <c r="C1173" s="14">
        <v>-2.9145375947507717E-3</v>
      </c>
      <c r="D1173" s="13">
        <v>8.1808274936597206E-3</v>
      </c>
      <c r="E1173" s="14">
        <v>-9.9962514140557659E-5</v>
      </c>
      <c r="F1173" s="13">
        <v>-4.806651159520477E-3</v>
      </c>
      <c r="G1173" s="14">
        <v>2.8999115463306233E-3</v>
      </c>
      <c r="H1173" s="13">
        <v>5.6858282974261935E-3</v>
      </c>
      <c r="I1173" s="15">
        <f t="shared" si="18"/>
        <v>4.1546694548605257E-3</v>
      </c>
    </row>
    <row r="1174" spans="1:9">
      <c r="A1174" s="12">
        <v>44390</v>
      </c>
      <c r="B1174" s="13">
        <v>-2.701892967627816E-3</v>
      </c>
      <c r="C1174" s="14">
        <v>-1.2598787601672029E-3</v>
      </c>
      <c r="D1174" s="13">
        <v>-3.1989390203348414E-2</v>
      </c>
      <c r="E1174" s="14">
        <v>2.994537211402071E-3</v>
      </c>
      <c r="F1174" s="13">
        <v>-4.5706880328166506E-2</v>
      </c>
      <c r="G1174" s="14">
        <v>-3.8392787441105768E-3</v>
      </c>
      <c r="H1174" s="13">
        <v>-1.9577084239359079E-2</v>
      </c>
      <c r="I1174" s="15">
        <f t="shared" si="18"/>
        <v>-2.787544476002447E-3</v>
      </c>
    </row>
    <row r="1175" spans="1:9">
      <c r="A1175" s="12">
        <v>44389</v>
      </c>
      <c r="B1175" s="13">
        <v>1.8520841234637257E-3</v>
      </c>
      <c r="C1175" s="14">
        <v>2.3895557784130222E-3</v>
      </c>
      <c r="D1175" s="13">
        <v>-1.5065936672366878E-2</v>
      </c>
      <c r="E1175" s="14">
        <v>4.2350186849238452E-4</v>
      </c>
      <c r="F1175" s="13">
        <v>9.1659034831488475E-4</v>
      </c>
      <c r="G1175" s="14">
        <v>-3.4372947111576801E-3</v>
      </c>
      <c r="H1175" s="13">
        <v>2.2976381704194727E-3</v>
      </c>
      <c r="I1175" s="15">
        <f t="shared" si="18"/>
        <v>1.4154486919726401E-3</v>
      </c>
    </row>
    <row r="1176" spans="1:9">
      <c r="A1176" s="12">
        <v>44386</v>
      </c>
      <c r="B1176" s="13">
        <v>3.7271257788237377E-3</v>
      </c>
      <c r="C1176" s="14">
        <v>5.2881894704347888E-3</v>
      </c>
      <c r="D1176" s="13">
        <v>7.5514161528343797E-3</v>
      </c>
      <c r="E1176" s="14">
        <v>8.2158021874529903E-4</v>
      </c>
      <c r="F1176" s="13">
        <v>1.9056838050396638E-2</v>
      </c>
      <c r="G1176" s="14">
        <v>6.8410333786969677E-3</v>
      </c>
      <c r="H1176" s="13">
        <v>2.0566119751836604E-2</v>
      </c>
      <c r="I1176" s="15">
        <f t="shared" si="18"/>
        <v>4.1969883212741692E-3</v>
      </c>
    </row>
    <row r="1177" spans="1:9">
      <c r="A1177" s="12">
        <v>44385</v>
      </c>
      <c r="B1177" s="13">
        <v>5.8620115205287281E-3</v>
      </c>
      <c r="C1177" s="14">
        <v>-2.9185877678293277E-3</v>
      </c>
      <c r="D1177" s="13">
        <v>1.5227170736505119E-2</v>
      </c>
      <c r="E1177" s="14">
        <v>-4.4895693099391122E-3</v>
      </c>
      <c r="F1177" s="13">
        <v>-2.2497197340154416E-3</v>
      </c>
      <c r="G1177" s="14">
        <v>6.2102559917103211E-3</v>
      </c>
      <c r="H1177" s="13">
        <v>-1.7593245024230274E-2</v>
      </c>
      <c r="I1177" s="15">
        <f t="shared" si="18"/>
        <v>3.7990881979019318E-3</v>
      </c>
    </row>
    <row r="1178" spans="1:9">
      <c r="A1178" s="12">
        <v>44384</v>
      </c>
      <c r="B1178" s="13">
        <v>3.8890036491573006E-3</v>
      </c>
      <c r="C1178" s="14">
        <v>5.3324359019878871E-3</v>
      </c>
      <c r="D1178" s="13">
        <v>-1.5842695888227093E-2</v>
      </c>
      <c r="E1178" s="14">
        <v>1.1779460259364867E-2</v>
      </c>
      <c r="F1178" s="13">
        <v>1.7415041601678071E-2</v>
      </c>
      <c r="G1178" s="14">
        <v>8.9862579309575238E-3</v>
      </c>
      <c r="H1178" s="13">
        <v>2.6967652179491725E-2</v>
      </c>
      <c r="I1178" s="15">
        <f t="shared" si="18"/>
        <v>4.7196045609849751E-3</v>
      </c>
    </row>
    <row r="1179" spans="1:9">
      <c r="A1179" s="12">
        <v>44383</v>
      </c>
      <c r="B1179" s="13">
        <v>-1.2445134641950852E-2</v>
      </c>
      <c r="C1179" s="14">
        <v>-3.8601435918468173E-2</v>
      </c>
      <c r="D1179" s="13">
        <v>9.0358785085860593E-3</v>
      </c>
      <c r="E1179" s="14">
        <v>1.0396151487814217E-2</v>
      </c>
      <c r="F1179" s="13">
        <v>-6.0679957566110054E-2</v>
      </c>
      <c r="G1179" s="14">
        <v>-1.266543043931499E-3</v>
      </c>
      <c r="H1179" s="13">
        <v>8.6907556500800068E-3</v>
      </c>
      <c r="I1179" s="15">
        <f t="shared" si="18"/>
        <v>-1.4820900420033912E-2</v>
      </c>
    </row>
    <row r="1180" spans="1:9">
      <c r="A1180" s="12">
        <v>44382</v>
      </c>
      <c r="B1180" s="13">
        <v>4.0882180151763526E-3</v>
      </c>
      <c r="C1180" s="14">
        <v>3.0024748800854804E-3</v>
      </c>
      <c r="D1180" s="13">
        <v>-6.8914597854181328E-4</v>
      </c>
      <c r="E1180" s="14">
        <v>-3.0358388328983632E-2</v>
      </c>
      <c r="F1180" s="13">
        <v>3.1939766607378538E-2</v>
      </c>
      <c r="G1180" s="14">
        <v>1.1362787782891218E-2</v>
      </c>
      <c r="H1180" s="13">
        <v>-6.1056097729440244E-3</v>
      </c>
      <c r="I1180" s="15">
        <f t="shared" si="18"/>
        <v>2.4293224305486096E-3</v>
      </c>
    </row>
    <row r="1181" spans="1:9">
      <c r="A1181" s="12">
        <v>44379</v>
      </c>
      <c r="B1181" s="13">
        <v>-3.25592500000695E-3</v>
      </c>
      <c r="C1181" s="14">
        <v>-1.1885894763302554E-2</v>
      </c>
      <c r="D1181" s="13">
        <v>-5.8869018907946619E-3</v>
      </c>
      <c r="E1181" s="14">
        <v>-1.3447883571552901E-2</v>
      </c>
      <c r="F1181" s="13">
        <v>6.3578779108454872E-3</v>
      </c>
      <c r="G1181" s="14">
        <v>-2.4453269252627946E-3</v>
      </c>
      <c r="H1181" s="13">
        <v>-8.6230823464907465E-3</v>
      </c>
      <c r="I1181" s="15">
        <f t="shared" si="18"/>
        <v>-5.2443763092621222E-3</v>
      </c>
    </row>
    <row r="1182" spans="1:9">
      <c r="A1182" s="12">
        <v>44378</v>
      </c>
      <c r="B1182" s="13">
        <v>5.5089244289390459E-3</v>
      </c>
      <c r="C1182" s="14">
        <v>2.5991593360945933E-3</v>
      </c>
      <c r="D1182" s="13">
        <v>-3.0757348955445804E-3</v>
      </c>
      <c r="E1182" s="14">
        <v>-2.5981536491944967E-2</v>
      </c>
      <c r="F1182" s="13">
        <v>2.9000470890364099E-2</v>
      </c>
      <c r="G1182" s="14">
        <v>-9.4116328610243608E-3</v>
      </c>
      <c r="H1182" s="13">
        <v>-1.8767552705641517E-2</v>
      </c>
      <c r="I1182" s="15">
        <f t="shared" si="18"/>
        <v>2.4835625146401473E-3</v>
      </c>
    </row>
    <row r="1183" spans="1:9">
      <c r="A1183" s="12">
        <v>44377</v>
      </c>
      <c r="B1183" s="13">
        <v>-9.6105024483503203E-3</v>
      </c>
      <c r="C1183" s="14">
        <v>-4.8323998015320389E-3</v>
      </c>
      <c r="D1183" s="13">
        <v>-1.3125449342783473E-3</v>
      </c>
      <c r="E1183" s="14">
        <v>5.33404323922251E-3</v>
      </c>
      <c r="F1183" s="13">
        <v>-1.9987340924612493E-2</v>
      </c>
      <c r="G1183" s="14">
        <v>1.1984378079479089E-2</v>
      </c>
      <c r="H1183" s="13">
        <v>1.0863334499899456E-2</v>
      </c>
      <c r="I1183" s="15">
        <f t="shared" si="18"/>
        <v>-6.7963693017142847E-3</v>
      </c>
    </row>
    <row r="1184" spans="1:9">
      <c r="A1184" s="12">
        <v>44376</v>
      </c>
      <c r="B1184" s="13">
        <v>2.9361737420010806E-3</v>
      </c>
      <c r="C1184" s="14">
        <v>-9.3945026704953395E-4</v>
      </c>
      <c r="D1184" s="13">
        <v>1.2557389368932768E-2</v>
      </c>
      <c r="E1184" s="14">
        <v>1.5679493278081488E-2</v>
      </c>
      <c r="F1184" s="13">
        <v>-5.155306225100377E-2</v>
      </c>
      <c r="G1184" s="14">
        <v>-1.4308109142102168E-2</v>
      </c>
      <c r="H1184" s="13">
        <v>9.5985185021349555E-3</v>
      </c>
      <c r="I1184" s="15">
        <f t="shared" si="18"/>
        <v>2.2180296983859748E-3</v>
      </c>
    </row>
    <row r="1185" spans="1:9">
      <c r="A1185" s="12">
        <v>44375</v>
      </c>
      <c r="B1185" s="13">
        <v>-6.1994199669736126E-3</v>
      </c>
      <c r="C1185" s="14">
        <v>4.9220306607041105E-4</v>
      </c>
      <c r="D1185" s="13">
        <v>1.0847683257205934E-2</v>
      </c>
      <c r="E1185" s="14">
        <v>7.6720832549955304E-3</v>
      </c>
      <c r="F1185" s="13">
        <v>2.9783495066763862E-2</v>
      </c>
      <c r="G1185" s="14">
        <v>-1.366378506263922E-2</v>
      </c>
      <c r="H1185" s="13">
        <v>-5.8818348634562291E-3</v>
      </c>
      <c r="I1185" s="15">
        <f t="shared" si="18"/>
        <v>-4.4725405217301744E-3</v>
      </c>
    </row>
    <row r="1186" spans="1:9">
      <c r="A1186" s="12">
        <v>44372</v>
      </c>
      <c r="B1186" s="13">
        <v>6.9987006569427112E-3</v>
      </c>
      <c r="C1186" s="14">
        <v>1.6240421350547781E-3</v>
      </c>
      <c r="D1186" s="13">
        <v>-2.1039760107264868E-2</v>
      </c>
      <c r="E1186" s="14">
        <v>6.1123139557398465E-4</v>
      </c>
      <c r="F1186" s="13">
        <v>-4.2141066772995492E-2</v>
      </c>
      <c r="G1186" s="14">
        <v>9.1299027764560597E-3</v>
      </c>
      <c r="H1186" s="13">
        <v>-1.4580018138578293E-2</v>
      </c>
      <c r="I1186" s="15">
        <f t="shared" si="18"/>
        <v>5.2869229965976762E-3</v>
      </c>
    </row>
    <row r="1187" spans="1:9">
      <c r="A1187" s="12">
        <v>44371</v>
      </c>
      <c r="B1187" s="13">
        <v>1.301457890783885E-2</v>
      </c>
      <c r="C1187" s="14">
        <v>8.8337440266634086E-3</v>
      </c>
      <c r="D1187" s="13">
        <v>1.2116098254433759E-2</v>
      </c>
      <c r="E1187" s="14">
        <v>1.3484806195700886E-3</v>
      </c>
      <c r="F1187" s="13">
        <v>4.2949242828808709E-3</v>
      </c>
      <c r="G1187" s="14">
        <v>1.3604482383053064E-2</v>
      </c>
      <c r="H1187" s="13">
        <v>-7.7435728426903721E-3</v>
      </c>
      <c r="I1187" s="15">
        <f t="shared" si="18"/>
        <v>1.156674220634127E-2</v>
      </c>
    </row>
    <row r="1188" spans="1:9">
      <c r="A1188" s="12">
        <v>44370</v>
      </c>
      <c r="B1188" s="13">
        <v>-1.8539316515484884E-2</v>
      </c>
      <c r="C1188" s="14">
        <v>-8.7741962916928276E-3</v>
      </c>
      <c r="D1188" s="13">
        <v>1.3597700403942323E-2</v>
      </c>
      <c r="E1188" s="14">
        <v>-9.1954670931003856E-3</v>
      </c>
      <c r="F1188" s="13">
        <v>2.8530689824064807E-3</v>
      </c>
      <c r="G1188" s="14">
        <v>-7.1767824133240031E-3</v>
      </c>
      <c r="H1188" s="13">
        <v>1.1131840368844199E-2</v>
      </c>
      <c r="I1188" s="15">
        <f t="shared" si="18"/>
        <v>-1.5225728299136291E-2</v>
      </c>
    </row>
    <row r="1189" spans="1:9">
      <c r="A1189" s="12">
        <v>44369</v>
      </c>
      <c r="B1189" s="13">
        <v>7.8191173861562289E-3</v>
      </c>
      <c r="C1189" s="14">
        <v>2.8541292731910852E-3</v>
      </c>
      <c r="D1189" s="13">
        <v>-1.0073398678788528E-2</v>
      </c>
      <c r="E1189" s="14">
        <v>-5.7387859031333586E-3</v>
      </c>
      <c r="F1189" s="13">
        <v>5.2095784409443516E-3</v>
      </c>
      <c r="G1189" s="14">
        <v>-1.6715655162759059E-2</v>
      </c>
      <c r="H1189" s="13">
        <v>1.9790568279351217E-2</v>
      </c>
      <c r="I1189" s="15">
        <f t="shared" si="18"/>
        <v>5.0357941446834073E-3</v>
      </c>
    </row>
    <row r="1190" spans="1:9">
      <c r="A1190" s="12">
        <v>44368</v>
      </c>
      <c r="B1190" s="13">
        <v>1.8999313142504273E-2</v>
      </c>
      <c r="C1190" s="14">
        <v>2.3646826673227449E-2</v>
      </c>
      <c r="D1190" s="13">
        <v>5.5159918049731051E-3</v>
      </c>
      <c r="E1190" s="14">
        <v>-7.8767086861696763E-3</v>
      </c>
      <c r="F1190" s="13">
        <v>8.4666545278597686E-3</v>
      </c>
      <c r="G1190" s="14">
        <v>-1.8513122379515308E-2</v>
      </c>
      <c r="H1190" s="13">
        <v>8.7048425997169315E-3</v>
      </c>
      <c r="I1190" s="15">
        <f t="shared" si="18"/>
        <v>1.6435631388222741E-2</v>
      </c>
    </row>
    <row r="1191" spans="1:9">
      <c r="A1191" s="12">
        <v>44365</v>
      </c>
      <c r="B1191" s="13">
        <v>-6.9820011384871348E-3</v>
      </c>
      <c r="C1191" s="14">
        <v>-2.5983655086756719E-3</v>
      </c>
      <c r="D1191" s="13">
        <v>3.9767654422854341E-3</v>
      </c>
      <c r="E1191" s="14">
        <v>-3.9095129027729133E-3</v>
      </c>
      <c r="F1191" s="13">
        <v>-9.8847592325419734E-3</v>
      </c>
      <c r="G1191" s="14">
        <v>-5.8073469592808272E-3</v>
      </c>
      <c r="H1191" s="13">
        <v>1.0701647911756276E-2</v>
      </c>
      <c r="I1191" s="15">
        <f t="shared" si="18"/>
        <v>-5.7559316263246186E-3</v>
      </c>
    </row>
    <row r="1192" spans="1:9">
      <c r="A1192" s="12">
        <v>44364</v>
      </c>
      <c r="B1192" s="13">
        <v>4.2898141921886932E-3</v>
      </c>
      <c r="C1192" s="14">
        <v>-6.4451439952642603E-3</v>
      </c>
      <c r="D1192" s="13">
        <v>3.8453039082368633E-3</v>
      </c>
      <c r="E1192" s="14">
        <v>-1.1821089633519015E-2</v>
      </c>
      <c r="F1192" s="13">
        <v>2.6606003448108803E-2</v>
      </c>
      <c r="G1192" s="14">
        <v>1.5933847480831192E-2</v>
      </c>
      <c r="H1192" s="13">
        <v>1.1826621739299935E-4</v>
      </c>
      <c r="I1192" s="15">
        <f t="shared" si="18"/>
        <v>2.211460581359495E-3</v>
      </c>
    </row>
    <row r="1193" spans="1:9">
      <c r="A1193" s="12">
        <v>44363</v>
      </c>
      <c r="B1193" s="13">
        <v>-1.368667523986857E-2</v>
      </c>
      <c r="C1193" s="14">
        <v>-2.9300615764842465E-3</v>
      </c>
      <c r="D1193" s="13">
        <v>2.1955427796557254E-2</v>
      </c>
      <c r="E1193" s="14">
        <v>1.5054047735570128E-2</v>
      </c>
      <c r="F1193" s="13">
        <v>1.9161170172757896E-2</v>
      </c>
      <c r="G1193" s="14">
        <v>1.3424196162247354E-2</v>
      </c>
      <c r="H1193" s="13">
        <v>-1.3813032197281062E-2</v>
      </c>
      <c r="I1193" s="15">
        <f t="shared" si="18"/>
        <v>-8.6979596092926943E-3</v>
      </c>
    </row>
    <row r="1194" spans="1:9">
      <c r="A1194" s="12">
        <v>44362</v>
      </c>
      <c r="B1194" s="13">
        <v>7.7546627609281918E-3</v>
      </c>
      <c r="C1194" s="14">
        <v>7.1343245793124149E-3</v>
      </c>
      <c r="D1194" s="13">
        <v>1.030482216652041E-2</v>
      </c>
      <c r="E1194" s="14">
        <v>7.9078440063805912E-3</v>
      </c>
      <c r="F1194" s="13">
        <v>8.1008543814828551E-3</v>
      </c>
      <c r="G1194" s="14">
        <v>9.6119199529783126E-3</v>
      </c>
      <c r="H1194" s="13">
        <v>3.360174654676807E-2</v>
      </c>
      <c r="I1194" s="15">
        <f t="shared" si="18"/>
        <v>7.9893029769925895E-3</v>
      </c>
    </row>
    <row r="1195" spans="1:9">
      <c r="A1195" s="12">
        <v>44361</v>
      </c>
      <c r="B1195" s="13">
        <v>-3.0809666423422269E-2</v>
      </c>
      <c r="C1195" s="14">
        <v>-1.7264988015259133E-2</v>
      </c>
      <c r="D1195" s="13">
        <v>-3.1701111407476376E-2</v>
      </c>
      <c r="E1195" s="14">
        <v>-1.2342788142878676E-2</v>
      </c>
      <c r="F1195" s="13">
        <v>-1.0362787035546547E-2</v>
      </c>
      <c r="G1195" s="14">
        <v>-7.4389980402302614E-3</v>
      </c>
      <c r="H1195" s="13">
        <v>-6.688988150796652E-3</v>
      </c>
      <c r="I1195" s="15">
        <f t="shared" si="18"/>
        <v>-2.630732506684158E-2</v>
      </c>
    </row>
    <row r="1196" spans="1:9">
      <c r="A1196" s="12">
        <v>44358</v>
      </c>
      <c r="B1196" s="13">
        <v>2.1503017860228994E-3</v>
      </c>
      <c r="C1196" s="14">
        <v>-4.3967214300478855E-3</v>
      </c>
      <c r="D1196" s="13">
        <v>1.5226584399730564E-2</v>
      </c>
      <c r="E1196" s="14">
        <v>1.2265309804491824E-2</v>
      </c>
      <c r="F1196" s="13">
        <v>2.4604238236551366E-2</v>
      </c>
      <c r="G1196" s="14">
        <v>-4.1979854797294224E-3</v>
      </c>
      <c r="H1196" s="13">
        <v>1.0623267699037328E-2</v>
      </c>
      <c r="I1196" s="15">
        <f t="shared" si="18"/>
        <v>1.5105084033838919E-3</v>
      </c>
    </row>
    <row r="1197" spans="1:9">
      <c r="A1197" s="12">
        <v>44357</v>
      </c>
      <c r="B1197" s="13">
        <v>-1.9130337567765572E-3</v>
      </c>
      <c r="C1197" s="14">
        <v>3.7147145242388342E-3</v>
      </c>
      <c r="D1197" s="13">
        <v>-1.2377908646479384E-2</v>
      </c>
      <c r="E1197" s="14">
        <v>-3.6223486528261517E-3</v>
      </c>
      <c r="F1197" s="13">
        <v>-2.415144221342019E-2</v>
      </c>
      <c r="G1197" s="14">
        <v>-4.1281306235426436E-3</v>
      </c>
      <c r="H1197" s="13">
        <v>4.3612876381594251E-2</v>
      </c>
      <c r="I1197" s="15">
        <f t="shared" si="18"/>
        <v>-9.3487018959222189E-4</v>
      </c>
    </row>
    <row r="1198" spans="1:9">
      <c r="A1198" s="12">
        <v>44356</v>
      </c>
      <c r="B1198" s="13">
        <v>-2.3922035788193907E-3</v>
      </c>
      <c r="C1198" s="14">
        <v>-8.1906638096229927E-3</v>
      </c>
      <c r="D1198" s="13">
        <v>-2.3747894834364583E-2</v>
      </c>
      <c r="E1198" s="14">
        <v>1.4871118967472199E-2</v>
      </c>
      <c r="F1198" s="13">
        <v>-2.6607074152387181E-2</v>
      </c>
      <c r="G1198" s="14">
        <v>-6.1252235985338639E-3</v>
      </c>
      <c r="H1198" s="13">
        <v>8.2884381040069046E-4</v>
      </c>
      <c r="I1198" s="15">
        <f t="shared" si="18"/>
        <v>-2.9609304793316023E-3</v>
      </c>
    </row>
    <row r="1199" spans="1:9">
      <c r="A1199" s="12">
        <v>44355</v>
      </c>
      <c r="B1199" s="13">
        <v>-5.8945960995265417E-3</v>
      </c>
      <c r="C1199" s="14">
        <v>5.5323319428958557E-3</v>
      </c>
      <c r="D1199" s="13">
        <v>-1.0665448614231592E-2</v>
      </c>
      <c r="E1199" s="14">
        <v>2.8816626466854102E-3</v>
      </c>
      <c r="F1199" s="13">
        <v>3.2024694626697436E-2</v>
      </c>
      <c r="G1199" s="14">
        <v>4.0657162757691667E-3</v>
      </c>
      <c r="H1199" s="13">
        <v>1.3798815491552691E-3</v>
      </c>
      <c r="I1199" s="15">
        <f t="shared" si="18"/>
        <v>-3.0215696169816333E-3</v>
      </c>
    </row>
    <row r="1200" spans="1:9">
      <c r="A1200" s="12">
        <v>44354</v>
      </c>
      <c r="B1200" s="13">
        <v>2.3381443746145866E-3</v>
      </c>
      <c r="C1200" s="14">
        <v>4.5697408899819303E-3</v>
      </c>
      <c r="D1200" s="13">
        <v>-1.8517970704963022E-3</v>
      </c>
      <c r="E1200" s="14">
        <v>-2.9582802355672382E-3</v>
      </c>
      <c r="F1200" s="13">
        <v>2.4901242169312127E-2</v>
      </c>
      <c r="G1200" s="14">
        <v>-1.1191697368482041E-3</v>
      </c>
      <c r="H1200" s="13">
        <v>-1.4556621276887491E-2</v>
      </c>
      <c r="I1200" s="15">
        <f t="shared" si="18"/>
        <v>2.1266858239987131E-3</v>
      </c>
    </row>
    <row r="1201" spans="1:9">
      <c r="A1201" s="12">
        <v>44351</v>
      </c>
      <c r="B1201" s="13">
        <v>-2.7995921323904793E-3</v>
      </c>
      <c r="C1201" s="14">
        <v>-1.7802674543230722E-2</v>
      </c>
      <c r="D1201" s="13">
        <v>-9.9144570571785204E-3</v>
      </c>
      <c r="E1201" s="14">
        <v>-1.658464052753339E-2</v>
      </c>
      <c r="F1201" s="13">
        <v>1.135383375694571E-2</v>
      </c>
      <c r="G1201" s="14">
        <v>-5.6588760626425537E-3</v>
      </c>
      <c r="H1201" s="13">
        <v>-1.8485846790174203E-3</v>
      </c>
      <c r="I1201" s="15">
        <f t="shared" si="18"/>
        <v>-6.2114364570414592E-3</v>
      </c>
    </row>
    <row r="1202" spans="1:9">
      <c r="A1202" s="12">
        <v>44350</v>
      </c>
      <c r="B1202" s="13">
        <v>3.5664045309795576E-3</v>
      </c>
      <c r="C1202" s="14">
        <v>5.2602432788664407E-3</v>
      </c>
      <c r="D1202" s="13">
        <v>2.3356344509124861E-2</v>
      </c>
      <c r="E1202" s="14">
        <v>-7.7160072095338803E-3</v>
      </c>
      <c r="F1202" s="13">
        <v>8.2162624371515201E-3</v>
      </c>
      <c r="G1202" s="14">
        <v>2.2277373426047862E-3</v>
      </c>
      <c r="H1202" s="13">
        <v>3.7418395554721311E-2</v>
      </c>
      <c r="I1202" s="15">
        <f t="shared" si="18"/>
        <v>3.7636296139750853E-3</v>
      </c>
    </row>
    <row r="1203" spans="1:9">
      <c r="A1203" s="12">
        <v>44349</v>
      </c>
      <c r="B1203" s="13">
        <v>-1.0840910755171813E-2</v>
      </c>
      <c r="C1203" s="14">
        <v>-8.2785667800877386E-3</v>
      </c>
      <c r="D1203" s="13">
        <v>-7.4751650967766383E-4</v>
      </c>
      <c r="E1203" s="14">
        <v>1.1500061695065967E-2</v>
      </c>
      <c r="F1203" s="13">
        <v>6.8669797741769756E-3</v>
      </c>
      <c r="G1203" s="14">
        <v>6.2814552806570384E-3</v>
      </c>
      <c r="H1203" s="13">
        <v>-5.2527670664007523E-3</v>
      </c>
      <c r="I1203" s="15">
        <f t="shared" si="18"/>
        <v>-8.3096148135792074E-3</v>
      </c>
    </row>
    <row r="1204" spans="1:9">
      <c r="A1204" s="12">
        <v>44348</v>
      </c>
      <c r="B1204" s="13">
        <v>9.3578758877399353E-3</v>
      </c>
      <c r="C1204" s="14">
        <v>5.4114072798950013E-3</v>
      </c>
      <c r="D1204" s="13">
        <v>1.9468417011510208E-2</v>
      </c>
      <c r="E1204" s="14">
        <v>-9.9311878244764361E-3</v>
      </c>
      <c r="F1204" s="13">
        <v>-1.2048338516174593E-2</v>
      </c>
      <c r="G1204" s="14">
        <v>-1.3334559461003787E-2</v>
      </c>
      <c r="H1204" s="13">
        <v>2.7110573455672621E-3</v>
      </c>
      <c r="I1204" s="15">
        <f t="shared" si="18"/>
        <v>6.7243552089118778E-3</v>
      </c>
    </row>
    <row r="1205" spans="1:9">
      <c r="A1205" s="12">
        <v>44347</v>
      </c>
      <c r="B1205" s="13">
        <v>1.5740360518562837E-2</v>
      </c>
      <c r="C1205" s="14">
        <v>9.0984540856783314E-3</v>
      </c>
      <c r="D1205" s="13">
        <v>-2.7152936716813948E-2</v>
      </c>
      <c r="E1205" s="14">
        <v>-7.4215249182712807E-3</v>
      </c>
      <c r="F1205" s="13">
        <v>7.3025135014889817E-2</v>
      </c>
      <c r="G1205" s="14">
        <v>1.0659881787285566E-2</v>
      </c>
      <c r="H1205" s="13">
        <v>-1.379407418421536E-2</v>
      </c>
      <c r="I1205" s="15">
        <f t="shared" si="18"/>
        <v>1.2523711881670918E-2</v>
      </c>
    </row>
    <row r="1206" spans="1:9">
      <c r="A1206" s="12">
        <v>44344</v>
      </c>
      <c r="B1206" s="13">
        <v>-1.2436373998805495E-2</v>
      </c>
      <c r="C1206" s="14">
        <v>-4.1050041597814708E-3</v>
      </c>
      <c r="D1206" s="13">
        <v>-6.2263357471803614E-3</v>
      </c>
      <c r="E1206" s="14">
        <v>7.8934909113489136E-4</v>
      </c>
      <c r="F1206" s="13">
        <v>-5.8840500022933347E-2</v>
      </c>
      <c r="G1206" s="14">
        <v>5.9255359405736851E-4</v>
      </c>
      <c r="H1206" s="13">
        <v>3.5751792442225462E-2</v>
      </c>
      <c r="I1206" s="15">
        <f t="shared" si="18"/>
        <v>-9.3490538008289322E-3</v>
      </c>
    </row>
    <row r="1207" spans="1:9">
      <c r="A1207" s="12">
        <v>44343</v>
      </c>
      <c r="B1207" s="13">
        <v>2.9371588419649735E-3</v>
      </c>
      <c r="C1207" s="14">
        <v>-4.933320346635549E-3</v>
      </c>
      <c r="D1207" s="13">
        <v>1.516950885968024E-2</v>
      </c>
      <c r="E1207" s="14">
        <v>2.8265118688014547E-2</v>
      </c>
      <c r="F1207" s="13">
        <v>-4.7638458878649717E-2</v>
      </c>
      <c r="G1207" s="14">
        <v>-3.0720618164889029E-4</v>
      </c>
      <c r="H1207" s="13">
        <v>-2.6298944958771168E-2</v>
      </c>
      <c r="I1207" s="15">
        <f t="shared" si="18"/>
        <v>2.5635036023467636E-3</v>
      </c>
    </row>
    <row r="1208" spans="1:9">
      <c r="A1208" s="12">
        <v>44342</v>
      </c>
      <c r="B1208" s="13">
        <v>-2.63115608555231E-3</v>
      </c>
      <c r="C1208" s="14">
        <v>4.1761350256248296E-2</v>
      </c>
      <c r="D1208" s="13">
        <v>1.0965600832957388E-2</v>
      </c>
      <c r="E1208" s="14">
        <v>-1.0925979868845357E-2</v>
      </c>
      <c r="F1208" s="13">
        <v>1.6866800211895797E-2</v>
      </c>
      <c r="G1208" s="14">
        <v>1.5721266180908383E-2</v>
      </c>
      <c r="H1208" s="13">
        <v>-1.1486206247402932E-2</v>
      </c>
      <c r="I1208" s="15">
        <f t="shared" si="18"/>
        <v>5.4269831352966955E-3</v>
      </c>
    </row>
    <row r="1209" spans="1:9">
      <c r="A1209" s="12">
        <v>44341</v>
      </c>
      <c r="B1209" s="13">
        <v>-9.2896842927081662E-3</v>
      </c>
      <c r="C1209" s="14">
        <v>-1.4887819552685012E-2</v>
      </c>
      <c r="D1209" s="13">
        <v>-1.2007810411401127E-2</v>
      </c>
      <c r="E1209" s="14">
        <v>-1.3139767801886271E-2</v>
      </c>
      <c r="F1209" s="13">
        <v>-9.9898153265986223E-2</v>
      </c>
      <c r="G1209" s="14">
        <v>-2.8020892381497388E-2</v>
      </c>
      <c r="H1209" s="13">
        <v>-2.1182167928730105E-2</v>
      </c>
      <c r="I1209" s="15">
        <f t="shared" si="18"/>
        <v>-1.1539945562123821E-2</v>
      </c>
    </row>
    <row r="1210" spans="1:9">
      <c r="A1210" s="12">
        <v>44340</v>
      </c>
      <c r="B1210" s="13">
        <v>-3.3210809952493814E-2</v>
      </c>
      <c r="C1210" s="14">
        <v>-1.4058586982548431E-2</v>
      </c>
      <c r="D1210" s="13">
        <v>9.6723156848415488E-3</v>
      </c>
      <c r="E1210" s="14">
        <v>-1.6052302335156324E-2</v>
      </c>
      <c r="F1210" s="13">
        <v>3.8640628744091972E-2</v>
      </c>
      <c r="G1210" s="14">
        <v>1.5097023426019036E-3</v>
      </c>
      <c r="H1210" s="13">
        <v>-1.6308171757221713E-3</v>
      </c>
      <c r="I1210" s="15">
        <f t="shared" si="18"/>
        <v>-2.6624971425314132E-2</v>
      </c>
    </row>
    <row r="1211" spans="1:9">
      <c r="A1211" s="12">
        <v>44337</v>
      </c>
      <c r="B1211" s="13">
        <v>4.7065571603010815E-3</v>
      </c>
      <c r="C1211" s="14">
        <v>-2.2254319076306119E-2</v>
      </c>
      <c r="D1211" s="13">
        <v>-1.4682188096245229E-2</v>
      </c>
      <c r="E1211" s="14">
        <v>-1.1295018640971728E-2</v>
      </c>
      <c r="F1211" s="13">
        <v>-4.9398678710642303E-2</v>
      </c>
      <c r="G1211" s="14">
        <v>5.9940681329476962E-3</v>
      </c>
      <c r="H1211" s="13">
        <v>-4.4362228696911893E-2</v>
      </c>
      <c r="I1211" s="15">
        <f t="shared" si="18"/>
        <v>-1.2865037428770015E-3</v>
      </c>
    </row>
    <row r="1212" spans="1:9">
      <c r="A1212" s="12">
        <v>44336</v>
      </c>
      <c r="B1212" s="13">
        <v>-1.3649662745063289E-2</v>
      </c>
      <c r="C1212" s="14">
        <v>-3.2374046985489016E-3</v>
      </c>
      <c r="D1212" s="13">
        <v>-2.3244765571109698E-2</v>
      </c>
      <c r="E1212" s="14">
        <v>-2.1556959117286661E-3</v>
      </c>
      <c r="F1212" s="13">
        <v>3.9995694526359829E-2</v>
      </c>
      <c r="G1212" s="14">
        <v>-2.1510040389265132E-2</v>
      </c>
      <c r="H1212" s="13">
        <v>-7.0258591594395629E-3</v>
      </c>
      <c r="I1212" s="15">
        <f t="shared" si="18"/>
        <v>-1.1692285098117644E-2</v>
      </c>
    </row>
    <row r="1213" spans="1:9">
      <c r="A1213" s="12">
        <v>44335</v>
      </c>
      <c r="B1213" s="13">
        <v>7.7541186566409412E-3</v>
      </c>
      <c r="C1213" s="14">
        <v>2.5998722311075693E-3</v>
      </c>
      <c r="D1213" s="13">
        <v>-2.9794802887651859E-3</v>
      </c>
      <c r="E1213" s="14">
        <v>7.0694468202419335E-3</v>
      </c>
      <c r="F1213" s="13">
        <v>-4.1964199099032082E-2</v>
      </c>
      <c r="G1213" s="14">
        <v>-7.4632275310880522E-3</v>
      </c>
      <c r="H1213" s="13">
        <v>2.012430392106938E-3</v>
      </c>
      <c r="I1213" s="15">
        <f t="shared" si="18"/>
        <v>5.8985680032972157E-3</v>
      </c>
    </row>
    <row r="1214" spans="1:9">
      <c r="A1214" s="12">
        <v>44334</v>
      </c>
      <c r="B1214" s="13">
        <v>2.1108093653182565E-3</v>
      </c>
      <c r="C1214" s="14">
        <v>-1.1576359826496758E-2</v>
      </c>
      <c r="D1214" s="13">
        <v>-4.4347505996232162E-2</v>
      </c>
      <c r="E1214" s="14">
        <v>-1.0284666482100852E-2</v>
      </c>
      <c r="F1214" s="13">
        <v>-9.2309759462335605E-2</v>
      </c>
      <c r="G1214" s="14">
        <v>1.0343128725065447E-2</v>
      </c>
      <c r="H1214" s="13">
        <v>1.5838895087982939E-2</v>
      </c>
      <c r="I1214" s="15">
        <f t="shared" si="18"/>
        <v>-1.0111205351053477E-3</v>
      </c>
    </row>
    <row r="1215" spans="1:9">
      <c r="A1215" s="12">
        <v>44333</v>
      </c>
      <c r="B1215" s="13">
        <v>-1.3935331805722118E-2</v>
      </c>
      <c r="C1215" s="14">
        <v>-1.6978967807895415E-2</v>
      </c>
      <c r="D1215" s="13">
        <v>-1.698983142770288E-3</v>
      </c>
      <c r="E1215" s="14">
        <v>1.1629952492100339E-3</v>
      </c>
      <c r="F1215" s="13">
        <v>2.1908437038326036E-2</v>
      </c>
      <c r="G1215" s="14">
        <v>-1.2251786427878811E-2</v>
      </c>
      <c r="H1215" s="13">
        <v>7.5631966836481475E-4</v>
      </c>
      <c r="I1215" s="15">
        <f t="shared" si="18"/>
        <v>-1.3305676796049161E-2</v>
      </c>
    </row>
    <row r="1216" spans="1:9">
      <c r="A1216" s="12">
        <v>44330</v>
      </c>
      <c r="B1216" s="13">
        <v>-2.9690966073792524E-3</v>
      </c>
      <c r="C1216" s="14">
        <v>-2.0121720760924756E-2</v>
      </c>
      <c r="D1216" s="13">
        <v>5.5380833103024274E-2</v>
      </c>
      <c r="E1216" s="14">
        <v>-3.5146059271984559E-4</v>
      </c>
      <c r="F1216" s="13">
        <v>-2.4071769412583616E-2</v>
      </c>
      <c r="G1216" s="14">
        <v>-8.198545528640383E-3</v>
      </c>
      <c r="H1216" s="13">
        <v>-2.3418344849363535E-2</v>
      </c>
      <c r="I1216" s="15">
        <f t="shared" si="18"/>
        <v>-5.4395456420234575E-3</v>
      </c>
    </row>
    <row r="1217" spans="1:9">
      <c r="A1217" s="12">
        <v>44328</v>
      </c>
      <c r="B1217" s="13">
        <v>-8.1948770068342017E-2</v>
      </c>
      <c r="C1217" s="14">
        <v>-2.5019867267383727E-2</v>
      </c>
      <c r="D1217" s="13">
        <v>-2.7131432545114395E-2</v>
      </c>
      <c r="E1217" s="14">
        <v>4.8285164553782921E-3</v>
      </c>
      <c r="F1217" s="13">
        <v>-5.4518505180637812E-2</v>
      </c>
      <c r="G1217" s="14">
        <v>-4.3578482094249507E-4</v>
      </c>
      <c r="H1217" s="13">
        <v>-2.5444517513550275E-2</v>
      </c>
      <c r="I1217" s="15">
        <f t="shared" si="18"/>
        <v>-6.3056831711733652E-2</v>
      </c>
    </row>
    <row r="1218" spans="1:9">
      <c r="A1218" s="12">
        <v>44327</v>
      </c>
      <c r="B1218" s="13">
        <v>1.9560093498005419E-5</v>
      </c>
      <c r="C1218" s="14">
        <v>2.448820892660645E-3</v>
      </c>
      <c r="D1218" s="13">
        <v>8.7025947077208066E-3</v>
      </c>
      <c r="E1218" s="14">
        <v>-1.0686319179492634E-2</v>
      </c>
      <c r="F1218" s="13">
        <v>-2.9593108147309397E-2</v>
      </c>
      <c r="G1218" s="14">
        <v>1.2176085856833855E-2</v>
      </c>
      <c r="H1218" s="13">
        <v>-2.1396920894587767E-3</v>
      </c>
      <c r="I1218" s="15">
        <f t="shared" si="18"/>
        <v>5.2274693463631825E-4</v>
      </c>
    </row>
    <row r="1219" spans="1:9">
      <c r="A1219" s="12">
        <v>44326</v>
      </c>
      <c r="B1219" s="13">
        <v>2.7380114385233337E-4</v>
      </c>
      <c r="C1219" s="14">
        <v>-1.7551091607470683E-2</v>
      </c>
      <c r="D1219" s="13">
        <v>-5.2417325137349334E-2</v>
      </c>
      <c r="E1219" s="14">
        <v>2.2776230260100783E-2</v>
      </c>
      <c r="F1219" s="13">
        <v>1.4615869656637099E-2</v>
      </c>
      <c r="G1219" s="14">
        <v>6.2130945548855045E-3</v>
      </c>
      <c r="H1219" s="13">
        <v>5.6145637543456028E-3</v>
      </c>
      <c r="I1219" s="15">
        <f t="shared" si="18"/>
        <v>-1.9428335961485998E-3</v>
      </c>
    </row>
    <row r="1220" spans="1:9">
      <c r="A1220" s="12">
        <v>44323</v>
      </c>
      <c r="B1220" s="13">
        <v>-2.0749332112626547E-3</v>
      </c>
      <c r="C1220" s="14">
        <v>-1.0693861659245969E-2</v>
      </c>
      <c r="D1220" s="13">
        <v>1.7469890457517893E-3</v>
      </c>
      <c r="E1220" s="14">
        <v>4.3365748165484268E-2</v>
      </c>
      <c r="F1220" s="13">
        <v>1.7396351154435371E-3</v>
      </c>
      <c r="G1220" s="14">
        <v>-6.5077622059095622E-3</v>
      </c>
      <c r="H1220" s="13">
        <v>2.7905438192310335E-2</v>
      </c>
      <c r="I1220" s="15">
        <f t="shared" si="18"/>
        <v>-1.1880276879635589E-3</v>
      </c>
    </row>
    <row r="1221" spans="1:9">
      <c r="A1221" s="12">
        <v>44322</v>
      </c>
      <c r="B1221" s="13">
        <v>-1.0194680044640313E-3</v>
      </c>
      <c r="C1221" s="14">
        <v>1.9437329131119932E-3</v>
      </c>
      <c r="D1221" s="13">
        <v>-1.0941857895623195E-2</v>
      </c>
      <c r="E1221" s="14">
        <v>2.5425897247143554E-3</v>
      </c>
      <c r="F1221" s="13">
        <v>1.1580777206278686E-3</v>
      </c>
      <c r="G1221" s="14">
        <v>-6.3222260980538882E-3</v>
      </c>
      <c r="H1221" s="13">
        <v>1.4453835646831375E-2</v>
      </c>
      <c r="I1221" s="15">
        <f t="shared" si="18"/>
        <v>-5.8528444898105485E-4</v>
      </c>
    </row>
    <row r="1222" spans="1:9">
      <c r="A1222" s="12">
        <v>44321</v>
      </c>
      <c r="B1222" s="13">
        <v>7.2703429670108437E-3</v>
      </c>
      <c r="C1222" s="14">
        <v>-7.5615362301566869E-3</v>
      </c>
      <c r="D1222" s="13">
        <v>-1.1117046190782759E-3</v>
      </c>
      <c r="E1222" s="14">
        <v>-1.0162602500665902E-3</v>
      </c>
      <c r="F1222" s="13">
        <v>2.8524466709848893E-2</v>
      </c>
      <c r="G1222" s="14">
        <v>3.3025505185217486E-3</v>
      </c>
      <c r="H1222" s="13">
        <v>2.0395683186888672E-3</v>
      </c>
      <c r="I1222" s="15">
        <f t="shared" ref="I1222:I1243" si="19">SUMPRODUCT($B$2:$H$2,B1222:H1222)</f>
        <v>4.0495494571885894E-3</v>
      </c>
    </row>
    <row r="1223" spans="1:9">
      <c r="A1223" s="12">
        <v>44320</v>
      </c>
      <c r="B1223" s="13">
        <v>7.5658000376629952E-3</v>
      </c>
      <c r="C1223" s="14">
        <v>-7.2622943922505548E-3</v>
      </c>
      <c r="D1223" s="13">
        <v>1.1770605365350767E-3</v>
      </c>
      <c r="E1223" s="14">
        <v>-3.6367644170874715E-2</v>
      </c>
      <c r="F1223" s="13">
        <v>-6.7720349099446965E-3</v>
      </c>
      <c r="G1223" s="14">
        <v>7.1597188210746204E-3</v>
      </c>
      <c r="H1223" s="13">
        <v>-7.3033540132557374E-3</v>
      </c>
      <c r="I1223" s="15">
        <f t="shared" si="19"/>
        <v>2.6506197536737643E-3</v>
      </c>
    </row>
    <row r="1224" spans="1:9">
      <c r="A1224" s="12">
        <v>44319</v>
      </c>
      <c r="B1224" s="13">
        <v>-1.9344985043565233E-3</v>
      </c>
      <c r="C1224" s="14">
        <v>8.4591422741722381E-3</v>
      </c>
      <c r="D1224" s="13">
        <v>-6.5355917456835655E-5</v>
      </c>
      <c r="E1224" s="14">
        <v>-1.6344792810895219E-2</v>
      </c>
      <c r="F1224" s="13">
        <v>2.7919177997333233E-2</v>
      </c>
      <c r="G1224" s="14">
        <v>1.510189800212039E-2</v>
      </c>
      <c r="H1224" s="13">
        <v>-7.1208186720999938E-3</v>
      </c>
      <c r="I1224" s="15">
        <f t="shared" si="19"/>
        <v>-8.1978585248288302E-5</v>
      </c>
    </row>
    <row r="1225" spans="1:9">
      <c r="A1225" s="12">
        <v>44316</v>
      </c>
      <c r="B1225" s="13">
        <v>-1.7876632393678375E-2</v>
      </c>
      <c r="C1225" s="14">
        <v>-1.170951739705821E-2</v>
      </c>
      <c r="D1225" s="13">
        <v>8.8710171711085962E-3</v>
      </c>
      <c r="E1225" s="14">
        <v>-1.0721796630765255E-2</v>
      </c>
      <c r="F1225" s="13">
        <v>-2.2272635609123178E-2</v>
      </c>
      <c r="G1225" s="14">
        <v>-2.3377241223707114E-3</v>
      </c>
      <c r="H1225" s="13">
        <v>5.1838004865507751E-3</v>
      </c>
      <c r="I1225" s="15">
        <f t="shared" si="19"/>
        <v>-1.5236475870800736E-2</v>
      </c>
    </row>
    <row r="1226" spans="1:9">
      <c r="A1226" s="12">
        <v>44315</v>
      </c>
      <c r="B1226" s="13">
        <v>2.9925434711147263E-2</v>
      </c>
      <c r="C1226" s="14">
        <v>1.5073239496306035E-2</v>
      </c>
      <c r="D1226" s="13">
        <v>9.0284362196741998E-3</v>
      </c>
      <c r="E1226" s="14">
        <v>2.4612017561191395E-2</v>
      </c>
      <c r="F1226" s="13">
        <v>1.6877641137198365E-3</v>
      </c>
      <c r="G1226" s="14">
        <v>-8.1466845678182503E-3</v>
      </c>
      <c r="H1226" s="13">
        <v>1.8165380732434892E-2</v>
      </c>
      <c r="I1226" s="15">
        <f t="shared" si="19"/>
        <v>2.4986165105703194E-2</v>
      </c>
    </row>
    <row r="1227" spans="1:9">
      <c r="A1227" s="12">
        <v>44314</v>
      </c>
      <c r="B1227" s="13">
        <v>4.2081102380741643E-4</v>
      </c>
      <c r="C1227" s="14">
        <v>4.3392738244835589E-3</v>
      </c>
      <c r="D1227" s="13">
        <v>1.1997080845132312E-2</v>
      </c>
      <c r="E1227" s="14">
        <v>-9.9590513605114193E-3</v>
      </c>
      <c r="F1227" s="13">
        <v>1.7827770217578146E-2</v>
      </c>
      <c r="G1227" s="14">
        <v>7.0092436868918482E-3</v>
      </c>
      <c r="H1227" s="13">
        <v>-1.1546012135919238E-3</v>
      </c>
      <c r="I1227" s="15">
        <f t="shared" si="19"/>
        <v>1.0289884277938533E-3</v>
      </c>
    </row>
    <row r="1228" spans="1:9">
      <c r="A1228" s="12">
        <v>44313</v>
      </c>
      <c r="B1228" s="13">
        <v>-1.5494923512565293E-2</v>
      </c>
      <c r="C1228" s="14">
        <v>-6.995675124272697E-3</v>
      </c>
      <c r="D1228" s="13">
        <v>-1.8437635525636813E-2</v>
      </c>
      <c r="E1228" s="14">
        <v>-1.5113502327042144E-2</v>
      </c>
      <c r="F1228" s="13">
        <v>-5.3883177835505822E-2</v>
      </c>
      <c r="G1228" s="14">
        <v>-5.1457705777362825E-3</v>
      </c>
      <c r="H1228" s="13">
        <v>-4.6317822500383252E-3</v>
      </c>
      <c r="I1228" s="15">
        <f t="shared" si="19"/>
        <v>-1.355234765276696E-2</v>
      </c>
    </row>
    <row r="1229" spans="1:9">
      <c r="A1229" s="12">
        <v>44312</v>
      </c>
      <c r="B1229" s="13">
        <v>-6.4104657150696664E-3</v>
      </c>
      <c r="C1229" s="14">
        <v>1.337812594617605E-2</v>
      </c>
      <c r="D1229" s="13">
        <v>6.61173626178445E-3</v>
      </c>
      <c r="E1229" s="14">
        <v>-3.2297052134097454E-3</v>
      </c>
      <c r="F1229" s="13">
        <v>-9.3677500036001594E-3</v>
      </c>
      <c r="G1229" s="14">
        <v>-6.6390098582253289E-3</v>
      </c>
      <c r="H1229" s="13">
        <v>1.9310944913087522E-2</v>
      </c>
      <c r="I1229" s="15">
        <f t="shared" si="19"/>
        <v>-2.5531653786885406E-3</v>
      </c>
    </row>
    <row r="1230" spans="1:9">
      <c r="A1230" s="12">
        <v>44309</v>
      </c>
      <c r="B1230" s="13">
        <v>-1.5741530955445917E-2</v>
      </c>
      <c r="C1230" s="14">
        <v>-1.7731020403418462E-2</v>
      </c>
      <c r="D1230" s="13">
        <v>-9.3723815900938028E-3</v>
      </c>
      <c r="E1230" s="14">
        <v>-6.9013762920164578E-3</v>
      </c>
      <c r="F1230" s="13">
        <v>-1.7662648100811933E-3</v>
      </c>
      <c r="G1230" s="14">
        <v>2.3906190907313852E-3</v>
      </c>
      <c r="H1230" s="13">
        <v>3.9837236960850084E-4</v>
      </c>
      <c r="I1230" s="15">
        <f t="shared" si="19"/>
        <v>-1.4563785113960519E-2</v>
      </c>
    </row>
    <row r="1231" spans="1:9">
      <c r="A1231" s="12">
        <v>44308</v>
      </c>
      <c r="B1231" s="13">
        <v>-2.6644412486064501E-3</v>
      </c>
      <c r="C1231" s="14">
        <v>7.4960975627756214E-3</v>
      </c>
      <c r="D1231" s="13">
        <v>-6.4568074731861146E-3</v>
      </c>
      <c r="E1231" s="14">
        <v>-8.1076697026737487E-3</v>
      </c>
      <c r="F1231" s="13">
        <v>6.4611091142890622E-3</v>
      </c>
      <c r="G1231" s="14">
        <v>-2.9326857330276425E-3</v>
      </c>
      <c r="H1231" s="13">
        <v>2.8328917267301811E-2</v>
      </c>
      <c r="I1231" s="15">
        <f t="shared" si="19"/>
        <v>-1.0135498703270239E-3</v>
      </c>
    </row>
    <row r="1232" spans="1:9">
      <c r="A1232" s="12">
        <v>44306</v>
      </c>
      <c r="B1232" s="13">
        <v>1.6743071135157033E-2</v>
      </c>
      <c r="C1232" s="14">
        <v>-7.7835826620353101E-3</v>
      </c>
      <c r="D1232" s="13">
        <v>3.1902799561410759E-3</v>
      </c>
      <c r="E1232" s="14">
        <v>5.394112594721381E-3</v>
      </c>
      <c r="F1232" s="13">
        <v>-2.3098450686680178E-2</v>
      </c>
      <c r="G1232" s="14">
        <v>-1.9448219608032367E-3</v>
      </c>
      <c r="H1232" s="13">
        <v>1.7163802484630074E-2</v>
      </c>
      <c r="I1232" s="15">
        <f t="shared" si="19"/>
        <v>1.0955947828076467E-2</v>
      </c>
    </row>
    <row r="1233" spans="1:9">
      <c r="A1233" s="12">
        <v>44305</v>
      </c>
      <c r="B1233" s="13">
        <v>7.1212170885187583E-3</v>
      </c>
      <c r="C1233" s="14">
        <v>8.8403017318280045E-3</v>
      </c>
      <c r="D1233" s="13">
        <v>-2.3863253254083876E-3</v>
      </c>
      <c r="E1233" s="14">
        <v>-1.3401137240147893E-2</v>
      </c>
      <c r="F1233" s="13">
        <v>4.7818381613735838E-3</v>
      </c>
      <c r="G1233" s="14">
        <v>-4.6739659441423255E-3</v>
      </c>
      <c r="H1233" s="13">
        <v>-1.1098164918629656E-2</v>
      </c>
      <c r="I1233" s="15">
        <f t="shared" si="19"/>
        <v>5.5729546820155662E-3</v>
      </c>
    </row>
    <row r="1234" spans="1:9">
      <c r="A1234" s="12">
        <v>44302</v>
      </c>
      <c r="B1234" s="13">
        <v>3.5071208353570797E-2</v>
      </c>
      <c r="C1234" s="14">
        <v>2.6877780870251118E-2</v>
      </c>
      <c r="D1234" s="13">
        <v>6.8400015589167315E-3</v>
      </c>
      <c r="E1234" s="14">
        <v>5.640552108077531E-2</v>
      </c>
      <c r="F1234" s="13">
        <v>5.67939400863074E-2</v>
      </c>
      <c r="G1234" s="14">
        <v>3.0923951308729273E-2</v>
      </c>
      <c r="H1234" s="13">
        <v>1.0989012094855697E-3</v>
      </c>
      <c r="I1234" s="15">
        <f t="shared" si="19"/>
        <v>3.3943402361860373E-2</v>
      </c>
    </row>
    <row r="1235" spans="1:9">
      <c r="A1235" s="12">
        <v>44301</v>
      </c>
      <c r="B1235" s="13">
        <v>-2.8946683433856285E-2</v>
      </c>
      <c r="C1235" s="14">
        <v>-1.0730561714707402E-2</v>
      </c>
      <c r="D1235" s="13">
        <v>-7.4266074092072271E-3</v>
      </c>
      <c r="E1235" s="14">
        <v>-7.7332557423606292E-3</v>
      </c>
      <c r="F1235" s="13">
        <v>-5.6497325421190209E-3</v>
      </c>
      <c r="G1235" s="14">
        <v>-6.8377579230483889E-4</v>
      </c>
      <c r="H1235" s="13">
        <v>-3.977001281004814E-2</v>
      </c>
      <c r="I1235" s="15">
        <f t="shared" si="19"/>
        <v>-2.329463959242941E-2</v>
      </c>
    </row>
    <row r="1236" spans="1:9">
      <c r="A1236" s="12">
        <v>44299</v>
      </c>
      <c r="B1236" s="13">
        <v>-6.5912149293517134E-3</v>
      </c>
      <c r="C1236" s="14">
        <v>-3.1060543417862421E-3</v>
      </c>
      <c r="D1236" s="13">
        <v>-9.7844174662827183E-4</v>
      </c>
      <c r="E1236" s="14">
        <v>-5.8994085688800317E-3</v>
      </c>
      <c r="F1236" s="13">
        <v>1.2946986366062296E-2</v>
      </c>
      <c r="G1236" s="14">
        <v>1.0513589890441519E-2</v>
      </c>
      <c r="H1236" s="13">
        <v>1.6604240595230899E-2</v>
      </c>
      <c r="I1236" s="15">
        <f t="shared" si="19"/>
        <v>-4.8857074922384188E-3</v>
      </c>
    </row>
    <row r="1237" spans="1:9">
      <c r="A1237" s="12">
        <v>44298</v>
      </c>
      <c r="B1237" s="13">
        <v>1.2179005726192776E-2</v>
      </c>
      <c r="C1237" s="14">
        <v>4.1282795841339438E-3</v>
      </c>
      <c r="D1237" s="13">
        <v>-9.8374350529350629E-3</v>
      </c>
      <c r="E1237" s="14">
        <v>2.3443718219789668E-2</v>
      </c>
      <c r="F1237" s="13">
        <v>1.1123585218662302E-2</v>
      </c>
      <c r="G1237" s="14">
        <v>-1.3386139152233677E-2</v>
      </c>
      <c r="H1237" s="13">
        <v>-5.523007727272689E-3</v>
      </c>
      <c r="I1237" s="15">
        <f t="shared" si="19"/>
        <v>9.7615028109305762E-3</v>
      </c>
    </row>
    <row r="1238" spans="1:9">
      <c r="A1238" s="12">
        <v>44295</v>
      </c>
      <c r="B1238" s="13">
        <v>1.0930741357820625E-2</v>
      </c>
      <c r="C1238" s="14">
        <v>3.2968950323713608E-2</v>
      </c>
      <c r="D1238" s="13">
        <v>2.9674611890281123E-2</v>
      </c>
      <c r="E1238" s="14">
        <v>3.0410260699747491E-2</v>
      </c>
      <c r="F1238" s="13">
        <v>4.3296805753324258E-2</v>
      </c>
      <c r="G1238" s="14">
        <v>3.6885154397325648E-2</v>
      </c>
      <c r="H1238" s="13">
        <v>5.1222650468196511E-2</v>
      </c>
      <c r="I1238" s="15">
        <f t="shared" si="19"/>
        <v>1.7430675077918404E-2</v>
      </c>
    </row>
    <row r="1239" spans="1:9">
      <c r="A1239" s="12">
        <v>44294</v>
      </c>
      <c r="B1239" s="13">
        <v>7.5169104949782527E-3</v>
      </c>
      <c r="C1239" s="14">
        <v>1.2989870108043823E-2</v>
      </c>
      <c r="D1239" s="13">
        <v>1.496530093962333E-2</v>
      </c>
      <c r="E1239" s="14">
        <v>-2.5287021009992223E-3</v>
      </c>
      <c r="F1239" s="13">
        <v>6.861995782983063E-3</v>
      </c>
      <c r="G1239" s="14">
        <v>2.3980246398835985E-2</v>
      </c>
      <c r="H1239" s="13">
        <v>1.0732493651607615E-3</v>
      </c>
      <c r="I1239" s="15">
        <f t="shared" si="19"/>
        <v>8.7514362637614116E-3</v>
      </c>
    </row>
    <row r="1240" spans="1:9">
      <c r="A1240" s="12">
        <v>44293</v>
      </c>
      <c r="B1240" s="13">
        <v>-8.3535078742665875E-3</v>
      </c>
      <c r="C1240" s="14">
        <v>-1.3787420076945117E-2</v>
      </c>
      <c r="D1240" s="13">
        <v>1.3729715317981126E-2</v>
      </c>
      <c r="E1240" s="14">
        <v>-1.0132739746278898E-3</v>
      </c>
      <c r="F1240" s="13">
        <v>-8.4522426063179668E-3</v>
      </c>
      <c r="G1240" s="14">
        <v>-7.5240181897274312E-3</v>
      </c>
      <c r="H1240" s="13">
        <v>-1.3879735686802484E-2</v>
      </c>
      <c r="I1240" s="15">
        <f t="shared" si="19"/>
        <v>-8.6369484149566855E-3</v>
      </c>
    </row>
    <row r="1241" spans="1:9">
      <c r="A1241" s="12">
        <v>44292</v>
      </c>
      <c r="B1241" s="13">
        <v>-6.488324735429353E-3</v>
      </c>
      <c r="C1241" s="14">
        <v>-4.6704392249462927E-3</v>
      </c>
      <c r="D1241" s="13">
        <v>-1.6022401814184042E-2</v>
      </c>
      <c r="E1241" s="14">
        <v>-4.6234046538952828E-3</v>
      </c>
      <c r="F1241" s="13">
        <v>6.3458700529029615E-3</v>
      </c>
      <c r="G1241" s="14">
        <v>1.8540218884137951E-2</v>
      </c>
      <c r="H1241" s="13">
        <v>-4.5619212616861353E-2</v>
      </c>
      <c r="I1241" s="15">
        <f t="shared" si="19"/>
        <v>-5.3469508574201779E-3</v>
      </c>
    </row>
    <row r="1242" spans="1:9">
      <c r="A1242" s="12">
        <v>44291</v>
      </c>
      <c r="B1242" s="13">
        <v>-3.9421376568648504E-2</v>
      </c>
      <c r="C1242" s="14">
        <v>-2.3434250395646958E-3</v>
      </c>
      <c r="D1242" s="13">
        <v>-2.1261322075916463E-2</v>
      </c>
      <c r="E1242" s="14">
        <v>-4.3379587789083643E-3</v>
      </c>
      <c r="F1242" s="13">
        <v>-1.3266312897476812E-2</v>
      </c>
      <c r="G1242" s="14">
        <v>-2.3419200613637284E-2</v>
      </c>
      <c r="H1242" s="13">
        <v>-4.5891364288059955E-2</v>
      </c>
      <c r="I1242" s="15">
        <f t="shared" si="19"/>
        <v>-3.0475382243474153E-2</v>
      </c>
    </row>
    <row r="1243" spans="1:9">
      <c r="A1243" s="16">
        <v>44287</v>
      </c>
      <c r="B1243" s="17">
        <v>1.6237714539777844E-2</v>
      </c>
      <c r="C1243" s="18">
        <v>2.7999452374347589E-2</v>
      </c>
      <c r="D1243" s="17">
        <v>2.5401157561876823E-2</v>
      </c>
      <c r="E1243" s="18">
        <v>5.5085317298356655E-3</v>
      </c>
      <c r="F1243" s="17">
        <v>3.7740327982847113E-2</v>
      </c>
      <c r="G1243" s="18">
        <v>-2.9518428147195044E-4</v>
      </c>
      <c r="H1243" s="17">
        <v>-4.1057918255898024E-2</v>
      </c>
      <c r="I1243" s="19">
        <f t="shared" si="19"/>
        <v>1.65889655057803E-2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10DEC-0E68-41E3-AE3E-18566DE32650}">
  <dimension ref="A1:H1242"/>
  <sheetViews>
    <sheetView showGridLines="0" workbookViewId="0">
      <selection activeCell="G13" sqref="G13"/>
    </sheetView>
  </sheetViews>
  <sheetFormatPr defaultRowHeight="13.8"/>
  <cols>
    <col min="1" max="1" width="13.77734375" style="8" customWidth="1"/>
    <col min="2" max="2" width="16.21875" style="8" customWidth="1"/>
    <col min="3" max="4" width="8.88671875" style="8"/>
    <col min="5" max="5" width="29.33203125" style="8" customWidth="1"/>
    <col min="6" max="6" width="13.109375" style="8" customWidth="1"/>
    <col min="7" max="7" width="12.77734375" style="8" customWidth="1"/>
    <col min="8" max="8" width="74.88671875" style="8" customWidth="1"/>
    <col min="9" max="16384" width="8.88671875" style="8"/>
  </cols>
  <sheetData>
    <row r="1" spans="1:8">
      <c r="A1" s="8" t="s">
        <v>3578</v>
      </c>
    </row>
    <row r="3" spans="1:8">
      <c r="A3" s="8" t="s">
        <v>0</v>
      </c>
      <c r="B3" s="30" t="s">
        <v>3577</v>
      </c>
    </row>
    <row r="4" spans="1:8">
      <c r="A4" s="27">
        <v>46111</v>
      </c>
      <c r="B4" s="25">
        <v>-2.6953658776786262E-2</v>
      </c>
      <c r="E4" s="31" t="s">
        <v>3579</v>
      </c>
      <c r="F4" s="32">
        <v>10000000</v>
      </c>
    </row>
    <row r="5" spans="1:8">
      <c r="A5" s="27">
        <v>46108</v>
      </c>
      <c r="B5" s="25">
        <v>1.9101032450748984E-2</v>
      </c>
      <c r="E5" s="33" t="s">
        <v>3580</v>
      </c>
      <c r="F5" s="34">
        <f>AVERAGE(B4:B1242)</f>
        <v>1.6787233454796264E-4</v>
      </c>
    </row>
    <row r="6" spans="1:8">
      <c r="A6" s="27">
        <v>46106</v>
      </c>
      <c r="B6" s="25">
        <v>2.5796888243165738E-2</v>
      </c>
      <c r="E6" s="35" t="s">
        <v>3581</v>
      </c>
      <c r="F6" s="13">
        <f>_xlfn.STDEV.S(B4:B1242)</f>
        <v>1.2401440760181411E-2</v>
      </c>
    </row>
    <row r="7" spans="1:8">
      <c r="A7" s="27">
        <v>46105</v>
      </c>
      <c r="B7" s="25">
        <v>-2.7229138616509975E-2</v>
      </c>
      <c r="E7" s="33" t="s">
        <v>3582</v>
      </c>
      <c r="F7" s="36">
        <f>_xlfn.NORM.S.INV(0.05)</f>
        <v>-1.6448536269514726</v>
      </c>
    </row>
    <row r="8" spans="1:8">
      <c r="A8" s="27">
        <v>46104</v>
      </c>
      <c r="B8" s="25">
        <v>-3.6461673250272851E-2</v>
      </c>
      <c r="E8" s="37" t="s">
        <v>3583</v>
      </c>
      <c r="F8" s="38">
        <f>_xlfn.NORM.S.INV(0.01)</f>
        <v>-2.3263478740408408</v>
      </c>
    </row>
    <row r="9" spans="1:8">
      <c r="A9" s="27">
        <v>46101</v>
      </c>
      <c r="B9" s="25">
        <v>3.330928415554664E-2</v>
      </c>
    </row>
    <row r="10" spans="1:8">
      <c r="A10" s="27">
        <v>46100</v>
      </c>
      <c r="B10" s="25">
        <v>-7.004478532581359E-3</v>
      </c>
    </row>
    <row r="11" spans="1:8">
      <c r="A11" s="27">
        <v>46099</v>
      </c>
      <c r="B11" s="25">
        <v>3.117614742191922E-2</v>
      </c>
      <c r="E11" s="39"/>
      <c r="F11" s="40" t="s">
        <v>3586</v>
      </c>
      <c r="G11" s="41" t="s">
        <v>3587</v>
      </c>
      <c r="H11" s="42" t="s">
        <v>3588</v>
      </c>
    </row>
    <row r="12" spans="1:8">
      <c r="A12" s="27">
        <v>46098</v>
      </c>
      <c r="B12" s="25">
        <v>-8.2110611604325496E-3</v>
      </c>
      <c r="E12" s="43" t="s">
        <v>3585</v>
      </c>
      <c r="F12" s="44">
        <f>F5+F6*F7</f>
        <v>-2.023068247926026E-2</v>
      </c>
      <c r="G12" s="45">
        <f>ABS(F4*F12)</f>
        <v>202306.82479260259</v>
      </c>
      <c r="H12" s="46" t="str">
        <f>"There is a 5% probability that the portfolio will lose more than Rs. "&amp;TEXT(G12,"#,##0.00")&amp;" in one day."</f>
        <v>There is a 5% probability that the portfolio will lose more than Rs. 2,02,306.82 in one day.</v>
      </c>
    </row>
    <row r="13" spans="1:8">
      <c r="A13" s="27">
        <v>46097</v>
      </c>
      <c r="B13" s="25">
        <v>-1.0789094958345636E-2</v>
      </c>
      <c r="E13" s="47" t="s">
        <v>3584</v>
      </c>
      <c r="F13" s="48">
        <f>F5+F6*F8</f>
        <v>-2.8682193012943492E-2</v>
      </c>
      <c r="G13" s="38">
        <f>ABS(F4*F13)</f>
        <v>286821.93012943491</v>
      </c>
      <c r="H13" s="49" t="str">
        <f>"There is a 1% probability that the portfolio will lose more than Rs. "&amp;TEXT(G13,"#,##0.00")&amp;" in one day."</f>
        <v>There is a 1% probability that the portfolio will lose more than Rs. 2,86,821.93 in one day.</v>
      </c>
    </row>
    <row r="14" spans="1:8">
      <c r="A14" s="27">
        <v>46094</v>
      </c>
      <c r="B14" s="25">
        <v>-3.8502505713761547E-3</v>
      </c>
    </row>
    <row r="15" spans="1:8">
      <c r="A15" s="27">
        <v>46093</v>
      </c>
      <c r="B15" s="25">
        <v>1.7158481018372255E-2</v>
      </c>
    </row>
    <row r="16" spans="1:8">
      <c r="A16" s="27">
        <v>46092</v>
      </c>
      <c r="B16" s="25">
        <v>5.9194324541426944E-3</v>
      </c>
    </row>
    <row r="17" spans="1:2">
      <c r="A17" s="27">
        <v>46091</v>
      </c>
      <c r="B17" s="25">
        <v>1.789589633980428E-2</v>
      </c>
    </row>
    <row r="18" spans="1:2">
      <c r="A18" s="27">
        <v>46090</v>
      </c>
      <c r="B18" s="25">
        <v>-2.3059006328040463E-2</v>
      </c>
    </row>
    <row r="19" spans="1:2">
      <c r="A19" s="27">
        <v>46087</v>
      </c>
      <c r="B19" s="25">
        <v>2.3917493073902524E-2</v>
      </c>
    </row>
    <row r="20" spans="1:2">
      <c r="A20" s="27">
        <v>46086</v>
      </c>
      <c r="B20" s="25">
        <v>2.9697159640361464E-3</v>
      </c>
    </row>
    <row r="21" spans="1:2">
      <c r="A21" s="27">
        <v>46085</v>
      </c>
      <c r="B21" s="25">
        <v>1.9121374938665108E-3</v>
      </c>
    </row>
    <row r="22" spans="1:2">
      <c r="A22" s="27">
        <v>46083</v>
      </c>
      <c r="B22" s="25">
        <v>1.0602621843356469E-2</v>
      </c>
    </row>
    <row r="23" spans="1:2">
      <c r="A23" s="27">
        <v>46080</v>
      </c>
      <c r="B23" s="25">
        <v>2.7373052694572415E-2</v>
      </c>
    </row>
    <row r="24" spans="1:2">
      <c r="A24" s="27">
        <v>46079</v>
      </c>
      <c r="B24" s="25">
        <v>7.6469510019204837E-3</v>
      </c>
    </row>
    <row r="25" spans="1:2">
      <c r="A25" s="27">
        <v>46078</v>
      </c>
      <c r="B25" s="25">
        <v>6.2070043547431892E-3</v>
      </c>
    </row>
    <row r="26" spans="1:2">
      <c r="A26" s="27">
        <v>46077</v>
      </c>
      <c r="B26" s="25">
        <v>1.2118161598920758E-3</v>
      </c>
    </row>
    <row r="27" spans="1:2">
      <c r="A27" s="27">
        <v>46076</v>
      </c>
      <c r="B27" s="25">
        <v>5.7962785210843356E-3</v>
      </c>
    </row>
    <row r="28" spans="1:2">
      <c r="A28" s="27">
        <v>46073</v>
      </c>
      <c r="B28" s="25">
        <v>-4.8602714092555082E-3</v>
      </c>
    </row>
    <row r="29" spans="1:2">
      <c r="A29" s="27">
        <v>46072</v>
      </c>
      <c r="B29" s="25">
        <v>-6.6761208446515915E-3</v>
      </c>
    </row>
    <row r="30" spans="1:2">
      <c r="A30" s="27">
        <v>46071</v>
      </c>
      <c r="B30" s="25">
        <v>1.1129255259504162E-2</v>
      </c>
    </row>
    <row r="31" spans="1:2">
      <c r="A31" s="27">
        <v>46070</v>
      </c>
      <c r="B31" s="25">
        <v>2.4488986318159526E-3</v>
      </c>
    </row>
    <row r="32" spans="1:2">
      <c r="A32" s="27">
        <v>46069</v>
      </c>
      <c r="B32" s="25">
        <v>-1.1959983374366115E-2</v>
      </c>
    </row>
    <row r="33" spans="1:2">
      <c r="A33" s="27">
        <v>46066</v>
      </c>
      <c r="B33" s="25">
        <v>-1.1462561397267866E-2</v>
      </c>
    </row>
    <row r="34" spans="1:2">
      <c r="A34" s="27">
        <v>46065</v>
      </c>
      <c r="B34" s="25">
        <v>1.451060895973964E-2</v>
      </c>
    </row>
    <row r="35" spans="1:2">
      <c r="A35" s="27">
        <v>46064</v>
      </c>
      <c r="B35" s="25">
        <v>-5.0061820911823911E-3</v>
      </c>
    </row>
    <row r="36" spans="1:2">
      <c r="A36" s="27">
        <v>46063</v>
      </c>
      <c r="B36" s="25">
        <v>2.3009870879498813E-3</v>
      </c>
    </row>
    <row r="37" spans="1:2">
      <c r="A37" s="27">
        <v>46062</v>
      </c>
      <c r="B37" s="25">
        <v>9.5195003483074039E-3</v>
      </c>
    </row>
    <row r="38" spans="1:2">
      <c r="A38" s="27">
        <v>46059</v>
      </c>
      <c r="B38" s="25">
        <v>-3.9215057491826339E-3</v>
      </c>
    </row>
    <row r="39" spans="1:2">
      <c r="A39" s="27">
        <v>46058</v>
      </c>
      <c r="B39" s="25">
        <v>8.7083991507843593E-3</v>
      </c>
    </row>
    <row r="40" spans="1:2">
      <c r="A40" s="27">
        <v>46057</v>
      </c>
      <c r="B40" s="25">
        <v>1.0932460001390093E-2</v>
      </c>
    </row>
    <row r="41" spans="1:2">
      <c r="A41" s="27">
        <v>46056</v>
      </c>
      <c r="B41" s="25">
        <v>-7.1366825293548881E-3</v>
      </c>
    </row>
    <row r="42" spans="1:2">
      <c r="A42" s="27">
        <v>46055</v>
      </c>
      <c r="B42" s="25">
        <v>-1.1657981711428534E-2</v>
      </c>
    </row>
    <row r="43" spans="1:2">
      <c r="A43" s="27">
        <v>46054</v>
      </c>
      <c r="B43" s="25">
        <v>-1.8129358377274644E-2</v>
      </c>
    </row>
    <row r="44" spans="1:2">
      <c r="A44" s="27">
        <v>46052</v>
      </c>
      <c r="B44" s="25">
        <v>2.3855562832833559E-2</v>
      </c>
    </row>
    <row r="45" spans="1:2">
      <c r="A45" s="27">
        <v>46051</v>
      </c>
      <c r="B45" s="25">
        <v>-4.6760036386475964E-3</v>
      </c>
    </row>
    <row r="46" spans="1:2">
      <c r="A46" s="27">
        <v>46050</v>
      </c>
      <c r="B46" s="25">
        <v>3.4633326398896713E-2</v>
      </c>
    </row>
    <row r="47" spans="1:2">
      <c r="A47" s="27">
        <v>46049</v>
      </c>
      <c r="B47" s="25">
        <v>3.7119577797701898E-2</v>
      </c>
    </row>
    <row r="48" spans="1:2">
      <c r="A48" s="27">
        <v>46045</v>
      </c>
      <c r="B48" s="25">
        <v>2.5579207666221876E-2</v>
      </c>
    </row>
    <row r="49" spans="1:2">
      <c r="A49" s="27">
        <v>46044</v>
      </c>
      <c r="B49" s="25">
        <v>1.9348636705076359E-3</v>
      </c>
    </row>
    <row r="50" spans="1:2">
      <c r="A50" s="27">
        <v>46043</v>
      </c>
      <c r="B50" s="25">
        <v>-8.0480876520095338E-3</v>
      </c>
    </row>
    <row r="51" spans="1:2">
      <c r="A51" s="27">
        <v>46042</v>
      </c>
      <c r="B51" s="25">
        <v>3.993517093825151E-3</v>
      </c>
    </row>
    <row r="52" spans="1:2">
      <c r="A52" s="27">
        <v>46041</v>
      </c>
      <c r="B52" s="25">
        <v>2.5412605215448782E-2</v>
      </c>
    </row>
    <row r="53" spans="1:2">
      <c r="A53" s="27">
        <v>46038</v>
      </c>
      <c r="B53" s="25">
        <v>1.6943040152950068E-3</v>
      </c>
    </row>
    <row r="54" spans="1:2">
      <c r="A54" s="27">
        <v>46036</v>
      </c>
      <c r="B54" s="25">
        <v>1.7280848475854899E-2</v>
      </c>
    </row>
    <row r="55" spans="1:2">
      <c r="A55" s="27">
        <v>46035</v>
      </c>
      <c r="B55" s="25">
        <v>1.5766864181550912E-2</v>
      </c>
    </row>
    <row r="56" spans="1:2">
      <c r="A56" s="27">
        <v>46034</v>
      </c>
      <c r="B56" s="25">
        <v>-1.3157332708209671E-3</v>
      </c>
    </row>
    <row r="57" spans="1:2">
      <c r="A57" s="27">
        <v>46031</v>
      </c>
      <c r="B57" s="25">
        <v>-1.5863030775305074E-2</v>
      </c>
    </row>
    <row r="58" spans="1:2">
      <c r="A58" s="27">
        <v>46030</v>
      </c>
      <c r="B58" s="25">
        <v>-6.7859298713810389E-3</v>
      </c>
    </row>
    <row r="59" spans="1:2">
      <c r="A59" s="27">
        <v>46029</v>
      </c>
      <c r="B59" s="25">
        <v>8.9035546389456387E-3</v>
      </c>
    </row>
    <row r="60" spans="1:2">
      <c r="A60" s="27">
        <v>46028</v>
      </c>
      <c r="B60" s="25">
        <v>9.6952734811688052E-3</v>
      </c>
    </row>
    <row r="61" spans="1:2">
      <c r="A61" s="27">
        <v>46027</v>
      </c>
      <c r="B61" s="25">
        <v>-7.0613586319035818E-3</v>
      </c>
    </row>
    <row r="62" spans="1:2">
      <c r="A62" s="27">
        <v>46024</v>
      </c>
      <c r="B62" s="25">
        <v>-1.1699853652379648E-2</v>
      </c>
    </row>
    <row r="63" spans="1:2">
      <c r="A63" s="27">
        <v>46023</v>
      </c>
      <c r="B63" s="25">
        <v>-3.2859299314173798E-3</v>
      </c>
    </row>
    <row r="64" spans="1:2">
      <c r="A64" s="27">
        <v>46022</v>
      </c>
      <c r="B64" s="25">
        <v>3.9584052005237442E-3</v>
      </c>
    </row>
    <row r="65" spans="1:2">
      <c r="A65" s="27">
        <v>46021</v>
      </c>
      <c r="B65" s="25">
        <v>-6.6120062135432379E-3</v>
      </c>
    </row>
    <row r="66" spans="1:2">
      <c r="A66" s="27">
        <v>46020</v>
      </c>
      <c r="B66" s="25">
        <v>9.6899842639630376E-3</v>
      </c>
    </row>
    <row r="67" spans="1:2">
      <c r="A67" s="27">
        <v>46017</v>
      </c>
      <c r="B67" s="25">
        <v>-7.9535582180469792E-3</v>
      </c>
    </row>
    <row r="68" spans="1:2">
      <c r="A68" s="27">
        <v>46015</v>
      </c>
      <c r="B68" s="25">
        <v>1.5437926284360302E-2</v>
      </c>
    </row>
    <row r="69" spans="1:2">
      <c r="A69" s="27">
        <v>46014</v>
      </c>
      <c r="B69" s="25">
        <v>-9.2266990791691438E-4</v>
      </c>
    </row>
    <row r="70" spans="1:2">
      <c r="A70" s="27">
        <v>46013</v>
      </c>
      <c r="B70" s="25">
        <v>-6.4482162693916016E-4</v>
      </c>
    </row>
    <row r="71" spans="1:2">
      <c r="A71" s="27">
        <v>46010</v>
      </c>
      <c r="B71" s="25">
        <v>-3.6060263875978414E-3</v>
      </c>
    </row>
    <row r="72" spans="1:2">
      <c r="A72" s="27">
        <v>46009</v>
      </c>
      <c r="B72" s="25">
        <v>-1.2057141521611197E-2</v>
      </c>
    </row>
    <row r="73" spans="1:2">
      <c r="A73" s="27">
        <v>46008</v>
      </c>
      <c r="B73" s="25">
        <v>8.3506472614991306E-3</v>
      </c>
    </row>
    <row r="74" spans="1:2">
      <c r="A74" s="27">
        <v>46007</v>
      </c>
      <c r="B74" s="25">
        <v>9.3187052054012308E-3</v>
      </c>
    </row>
    <row r="75" spans="1:2">
      <c r="A75" s="27">
        <v>46006</v>
      </c>
      <c r="B75" s="25">
        <v>-1.9507018838077384E-3</v>
      </c>
    </row>
    <row r="76" spans="1:2">
      <c r="A76" s="27">
        <v>46003</v>
      </c>
      <c r="B76" s="25">
        <v>-4.8118496796636786E-3</v>
      </c>
    </row>
    <row r="77" spans="1:2">
      <c r="A77" s="27">
        <v>46002</v>
      </c>
      <c r="B77" s="25">
        <v>2.4208953999249427E-3</v>
      </c>
    </row>
    <row r="78" spans="1:2">
      <c r="A78" s="27">
        <v>46001</v>
      </c>
      <c r="B78" s="25">
        <v>8.9884455680551509E-3</v>
      </c>
    </row>
    <row r="79" spans="1:2">
      <c r="A79" s="27">
        <v>46000</v>
      </c>
      <c r="B79" s="25">
        <v>-5.0428975081159531E-3</v>
      </c>
    </row>
    <row r="80" spans="1:2">
      <c r="A80" s="27">
        <v>45999</v>
      </c>
      <c r="B80" s="25">
        <v>3.1703063754339025E-2</v>
      </c>
    </row>
    <row r="81" spans="1:2">
      <c r="A81" s="27">
        <v>45996</v>
      </c>
      <c r="B81" s="25">
        <v>1.7072120857810704E-2</v>
      </c>
    </row>
    <row r="82" spans="1:2">
      <c r="A82" s="27">
        <v>45995</v>
      </c>
      <c r="B82" s="25">
        <v>-8.3024349620674381E-4</v>
      </c>
    </row>
    <row r="83" spans="1:2">
      <c r="A83" s="27">
        <v>45994</v>
      </c>
      <c r="B83" s="25">
        <v>1.7642193069845148E-4</v>
      </c>
    </row>
    <row r="84" spans="1:2">
      <c r="A84" s="27">
        <v>45993</v>
      </c>
      <c r="B84" s="25">
        <v>-7.2332508874557808E-4</v>
      </c>
    </row>
    <row r="85" spans="1:2">
      <c r="A85" s="27">
        <v>45992</v>
      </c>
      <c r="B85" s="25">
        <v>-2.4251459381428489E-2</v>
      </c>
    </row>
    <row r="86" spans="1:2">
      <c r="A86" s="27">
        <v>45989</v>
      </c>
      <c r="B86" s="25">
        <v>5.5801850817216369E-3</v>
      </c>
    </row>
    <row r="87" spans="1:2">
      <c r="A87" s="27">
        <v>45988</v>
      </c>
      <c r="B87" s="25">
        <v>4.3661642171398535E-3</v>
      </c>
    </row>
    <row r="88" spans="1:2">
      <c r="A88" s="27">
        <v>45987</v>
      </c>
      <c r="B88" s="25">
        <v>7.2794023861375571E-5</v>
      </c>
    </row>
    <row r="89" spans="1:2">
      <c r="A89" s="27">
        <v>45986</v>
      </c>
      <c r="B89" s="25">
        <v>-2.8626763659368691E-3</v>
      </c>
    </row>
    <row r="90" spans="1:2">
      <c r="A90" s="27">
        <v>45985</v>
      </c>
      <c r="B90" s="25">
        <v>3.532537069477289E-3</v>
      </c>
    </row>
    <row r="91" spans="1:2">
      <c r="A91" s="27">
        <v>45982</v>
      </c>
      <c r="B91" s="25">
        <v>1.3820445129593959E-4</v>
      </c>
    </row>
    <row r="92" spans="1:2">
      <c r="A92" s="27">
        <v>45981</v>
      </c>
      <c r="B92" s="25">
        <v>8.5413423222113467E-4</v>
      </c>
    </row>
    <row r="93" spans="1:2">
      <c r="A93" s="27">
        <v>45980</v>
      </c>
      <c r="B93" s="25">
        <v>8.7263560105099308E-3</v>
      </c>
    </row>
    <row r="94" spans="1:2">
      <c r="A94" s="27">
        <v>45979</v>
      </c>
      <c r="B94" s="25">
        <v>3.2419902315233367E-3</v>
      </c>
    </row>
    <row r="95" spans="1:2">
      <c r="A95" s="27">
        <v>45978</v>
      </c>
      <c r="B95" s="25">
        <v>-7.634852640567155E-3</v>
      </c>
    </row>
    <row r="96" spans="1:2">
      <c r="A96" s="27">
        <v>45975</v>
      </c>
      <c r="B96" s="25">
        <v>5.291530477200242E-3</v>
      </c>
    </row>
    <row r="97" spans="1:2">
      <c r="A97" s="27">
        <v>45974</v>
      </c>
      <c r="B97" s="25">
        <v>-7.3274619089650304E-3</v>
      </c>
    </row>
    <row r="98" spans="1:2">
      <c r="A98" s="27">
        <v>45973</v>
      </c>
      <c r="B98" s="25">
        <v>-3.4787172839765054E-2</v>
      </c>
    </row>
    <row r="99" spans="1:2">
      <c r="A99" s="27">
        <v>45972</v>
      </c>
      <c r="B99" s="25">
        <v>-3.4538924843212186E-2</v>
      </c>
    </row>
    <row r="100" spans="1:2">
      <c r="A100" s="27">
        <v>45971</v>
      </c>
      <c r="B100" s="25">
        <v>-5.1677747688858699E-3</v>
      </c>
    </row>
    <row r="101" spans="1:2">
      <c r="A101" s="27">
        <v>45968</v>
      </c>
      <c r="B101" s="25">
        <v>-1.3779149303591731E-2</v>
      </c>
    </row>
    <row r="102" spans="1:2">
      <c r="A102" s="27">
        <v>45967</v>
      </c>
      <c r="B102" s="25">
        <v>6.7722470775789898E-4</v>
      </c>
    </row>
    <row r="103" spans="1:2">
      <c r="A103" s="27">
        <v>45965</v>
      </c>
      <c r="B103" s="25">
        <v>-3.4223054757271353E-2</v>
      </c>
    </row>
    <row r="104" spans="1:2">
      <c r="A104" s="27">
        <v>45964</v>
      </c>
      <c r="B104" s="25">
        <v>8.5675529659709065E-3</v>
      </c>
    </row>
    <row r="105" spans="1:2">
      <c r="A105" s="27">
        <v>45961</v>
      </c>
      <c r="B105" s="25">
        <v>-4.3846130899105526E-5</v>
      </c>
    </row>
    <row r="106" spans="1:2">
      <c r="A106" s="27">
        <v>45960</v>
      </c>
      <c r="B106" s="25">
        <v>5.3832780216925644E-3</v>
      </c>
    </row>
    <row r="107" spans="1:2">
      <c r="A107" s="27">
        <v>45959</v>
      </c>
      <c r="B107" s="25">
        <v>5.2944295415894276E-3</v>
      </c>
    </row>
    <row r="108" spans="1:2">
      <c r="A108" s="27">
        <v>45958</v>
      </c>
      <c r="B108" s="25">
        <v>-9.4156888741461896E-3</v>
      </c>
    </row>
    <row r="109" spans="1:2">
      <c r="A109" s="27">
        <v>45957</v>
      </c>
      <c r="B109" s="25">
        <v>1.7356077482039538E-3</v>
      </c>
    </row>
    <row r="110" spans="1:2">
      <c r="A110" s="27">
        <v>45954</v>
      </c>
      <c r="B110" s="25">
        <v>-2.5927380372301415E-3</v>
      </c>
    </row>
    <row r="111" spans="1:2">
      <c r="A111" s="27">
        <v>45953</v>
      </c>
      <c r="B111" s="25">
        <v>3.0115290493909393E-4</v>
      </c>
    </row>
    <row r="112" spans="1:2">
      <c r="A112" s="27">
        <v>45951</v>
      </c>
      <c r="B112" s="25">
        <v>1.0358249991755755E-3</v>
      </c>
    </row>
    <row r="113" spans="1:2">
      <c r="A113" s="27">
        <v>45950</v>
      </c>
      <c r="B113" s="25">
        <v>1.5111211939359305E-3</v>
      </c>
    </row>
    <row r="114" spans="1:2">
      <c r="A114" s="27">
        <v>45947</v>
      </c>
      <c r="B114" s="25">
        <v>-5.5765881609083722E-5</v>
      </c>
    </row>
    <row r="115" spans="1:2">
      <c r="A115" s="27">
        <v>45946</v>
      </c>
      <c r="B115" s="25">
        <v>-3.377460132388075E-2</v>
      </c>
    </row>
    <row r="116" spans="1:2">
      <c r="A116" s="27">
        <v>45945</v>
      </c>
      <c r="B116" s="25">
        <v>-1.2382773521957153E-2</v>
      </c>
    </row>
    <row r="117" spans="1:2">
      <c r="A117" s="27">
        <v>45944</v>
      </c>
      <c r="B117" s="25">
        <v>-1.5178065166141447E-2</v>
      </c>
    </row>
    <row r="118" spans="1:2">
      <c r="A118" s="27">
        <v>45943</v>
      </c>
      <c r="B118" s="25">
        <v>7.3396912174648219E-3</v>
      </c>
    </row>
    <row r="119" spans="1:2">
      <c r="A119" s="27">
        <v>45940</v>
      </c>
      <c r="B119" s="25">
        <v>-1.645221399999467E-5</v>
      </c>
    </row>
    <row r="120" spans="1:2">
      <c r="A120" s="27">
        <v>45939</v>
      </c>
      <c r="B120" s="25">
        <v>-2.642864329617751E-3</v>
      </c>
    </row>
    <row r="121" spans="1:2">
      <c r="A121" s="27">
        <v>45938</v>
      </c>
      <c r="B121" s="25">
        <v>-4.5933419789069285E-3</v>
      </c>
    </row>
    <row r="122" spans="1:2">
      <c r="A122" s="27">
        <v>45937</v>
      </c>
      <c r="B122" s="25">
        <v>1.0987451663069501E-2</v>
      </c>
    </row>
    <row r="123" spans="1:2">
      <c r="A123" s="27">
        <v>45936</v>
      </c>
      <c r="B123" s="25">
        <v>4.9413700036044276E-4</v>
      </c>
    </row>
    <row r="124" spans="1:2">
      <c r="A124" s="27">
        <v>45933</v>
      </c>
      <c r="B124" s="25">
        <v>4.8497727942861295E-3</v>
      </c>
    </row>
    <row r="125" spans="1:2">
      <c r="A125" s="27">
        <v>45931</v>
      </c>
      <c r="B125" s="25">
        <v>-1.2040366082106919E-2</v>
      </c>
    </row>
    <row r="126" spans="1:2">
      <c r="A126" s="27">
        <v>45930</v>
      </c>
      <c r="B126" s="25">
        <v>-1.1242898416884328E-3</v>
      </c>
    </row>
    <row r="127" spans="1:2">
      <c r="A127" s="27">
        <v>45929</v>
      </c>
      <c r="B127" s="25">
        <v>-2.2490104669897399E-3</v>
      </c>
    </row>
    <row r="128" spans="1:2">
      <c r="A128" s="27">
        <v>45926</v>
      </c>
      <c r="B128" s="25">
        <v>2.9918675773571868E-3</v>
      </c>
    </row>
    <row r="129" spans="1:2">
      <c r="A129" s="27">
        <v>45925</v>
      </c>
      <c r="B129" s="25">
        <v>2.2220768382622099E-2</v>
      </c>
    </row>
    <row r="130" spans="1:2">
      <c r="A130" s="27">
        <v>45924</v>
      </c>
      <c r="B130" s="25">
        <v>1.7141176195228251E-2</v>
      </c>
    </row>
    <row r="131" spans="1:2">
      <c r="A131" s="27">
        <v>45923</v>
      </c>
      <c r="B131" s="25">
        <v>-3.8769259700780711E-3</v>
      </c>
    </row>
    <row r="132" spans="1:2">
      <c r="A132" s="27">
        <v>45922</v>
      </c>
      <c r="B132" s="25">
        <v>1.0981879813734944E-2</v>
      </c>
    </row>
    <row r="133" spans="1:2">
      <c r="A133" s="27">
        <v>45919</v>
      </c>
      <c r="B133" s="25">
        <v>-2.0263166983155209E-4</v>
      </c>
    </row>
    <row r="134" spans="1:2">
      <c r="A134" s="27">
        <v>45918</v>
      </c>
      <c r="B134" s="25">
        <v>8.9623526494341335E-4</v>
      </c>
    </row>
    <row r="135" spans="1:2">
      <c r="A135" s="27">
        <v>45917</v>
      </c>
      <c r="B135" s="25">
        <v>2.7640375798272205E-3</v>
      </c>
    </row>
    <row r="136" spans="1:2">
      <c r="A136" s="27">
        <v>45916</v>
      </c>
      <c r="B136" s="25">
        <v>-3.6869396941039407E-3</v>
      </c>
    </row>
    <row r="137" spans="1:2">
      <c r="A137" s="27">
        <v>45915</v>
      </c>
      <c r="B137" s="25">
        <v>8.7856796895925352E-3</v>
      </c>
    </row>
    <row r="138" spans="1:2">
      <c r="A138" s="27">
        <v>45912</v>
      </c>
      <c r="B138" s="25">
        <v>1.0688764568013511E-2</v>
      </c>
    </row>
    <row r="139" spans="1:2">
      <c r="A139" s="27">
        <v>45911</v>
      </c>
      <c r="B139" s="25">
        <v>6.0468076550979867E-3</v>
      </c>
    </row>
    <row r="140" spans="1:2">
      <c r="A140" s="27">
        <v>45910</v>
      </c>
      <c r="B140" s="25">
        <v>-8.5677043541455729E-3</v>
      </c>
    </row>
    <row r="141" spans="1:2">
      <c r="A141" s="27">
        <v>45909</v>
      </c>
      <c r="B141" s="25">
        <v>-2.4686973660766956E-3</v>
      </c>
    </row>
    <row r="142" spans="1:2">
      <c r="A142" s="27">
        <v>45908</v>
      </c>
      <c r="B142" s="25">
        <v>5.2541434367109731E-4</v>
      </c>
    </row>
    <row r="143" spans="1:2">
      <c r="A143" s="27">
        <v>45905</v>
      </c>
      <c r="B143" s="25">
        <v>1.2913227743126728E-2</v>
      </c>
    </row>
    <row r="144" spans="1:2">
      <c r="A144" s="27">
        <v>45904</v>
      </c>
      <c r="B144" s="25">
        <v>-1.8109949607567752E-3</v>
      </c>
    </row>
    <row r="145" spans="1:2">
      <c r="A145" s="27">
        <v>45903</v>
      </c>
      <c r="B145" s="25">
        <v>-4.0055783051423472E-3</v>
      </c>
    </row>
    <row r="146" spans="1:2">
      <c r="A146" s="27">
        <v>45902</v>
      </c>
      <c r="B146" s="25">
        <v>-3.6565590137033182E-3</v>
      </c>
    </row>
    <row r="147" spans="1:2">
      <c r="A147" s="27">
        <v>45901</v>
      </c>
      <c r="B147" s="25">
        <v>8.9082836783010346E-3</v>
      </c>
    </row>
    <row r="148" spans="1:2">
      <c r="A148" s="27">
        <v>45898</v>
      </c>
      <c r="B148" s="25">
        <v>-1.9202304986420955E-2</v>
      </c>
    </row>
    <row r="149" spans="1:2">
      <c r="A149" s="27">
        <v>45897</v>
      </c>
      <c r="B149" s="25">
        <v>-9.7487248271749764E-3</v>
      </c>
    </row>
    <row r="150" spans="1:2">
      <c r="A150" s="27">
        <v>45895</v>
      </c>
      <c r="B150" s="25">
        <v>-4.4371648666115728E-3</v>
      </c>
    </row>
    <row r="151" spans="1:2">
      <c r="A151" s="27">
        <v>45894</v>
      </c>
      <c r="B151" s="25">
        <v>6.5885524293078238E-3</v>
      </c>
    </row>
    <row r="152" spans="1:2">
      <c r="A152" s="27">
        <v>45891</v>
      </c>
      <c r="B152" s="25">
        <v>3.202009818131627E-4</v>
      </c>
    </row>
    <row r="153" spans="1:2">
      <c r="A153" s="27">
        <v>45890</v>
      </c>
      <c r="B153" s="25">
        <v>1.9644592790807568E-2</v>
      </c>
    </row>
    <row r="154" spans="1:2">
      <c r="A154" s="27">
        <v>45889</v>
      </c>
      <c r="B154" s="25">
        <v>6.0236195380429618E-3</v>
      </c>
    </row>
    <row r="155" spans="1:2">
      <c r="A155" s="27">
        <v>45888</v>
      </c>
      <c r="B155" s="25">
        <v>4.3282712000444427E-3</v>
      </c>
    </row>
    <row r="156" spans="1:2">
      <c r="A156" s="27">
        <v>45887</v>
      </c>
      <c r="B156" s="25">
        <v>2.6639853517091755E-3</v>
      </c>
    </row>
    <row r="157" spans="1:2">
      <c r="A157" s="27">
        <v>45883</v>
      </c>
      <c r="B157" s="25">
        <v>-2.309896275689427E-2</v>
      </c>
    </row>
    <row r="158" spans="1:2">
      <c r="A158" s="27">
        <v>45882</v>
      </c>
      <c r="B158" s="25">
        <v>-6.548063713592068E-3</v>
      </c>
    </row>
    <row r="159" spans="1:2">
      <c r="A159" s="27">
        <v>45881</v>
      </c>
      <c r="B159" s="25">
        <v>-5.9748880760874101E-3</v>
      </c>
    </row>
    <row r="160" spans="1:2">
      <c r="A160" s="27">
        <v>45880</v>
      </c>
      <c r="B160" s="25">
        <v>5.1992204438754989E-3</v>
      </c>
    </row>
    <row r="161" spans="1:2">
      <c r="A161" s="27">
        <v>45877</v>
      </c>
      <c r="B161" s="25">
        <v>-1.5820996514114497E-3</v>
      </c>
    </row>
    <row r="162" spans="1:2">
      <c r="A162" s="27">
        <v>45876</v>
      </c>
      <c r="B162" s="25">
        <v>7.5823715822295953E-3</v>
      </c>
    </row>
    <row r="163" spans="1:2">
      <c r="A163" s="27">
        <v>45875</v>
      </c>
      <c r="B163" s="25">
        <v>2.794814306587633E-3</v>
      </c>
    </row>
    <row r="164" spans="1:2">
      <c r="A164" s="27">
        <v>45874</v>
      </c>
      <c r="B164" s="25">
        <v>-1.2373095941327836E-2</v>
      </c>
    </row>
    <row r="165" spans="1:2">
      <c r="A165" s="27">
        <v>45873</v>
      </c>
      <c r="B165" s="25">
        <v>3.7890491989729133E-3</v>
      </c>
    </row>
    <row r="166" spans="1:2">
      <c r="A166" s="27">
        <v>45870</v>
      </c>
      <c r="B166" s="25">
        <v>-4.2626890295909626E-3</v>
      </c>
    </row>
    <row r="167" spans="1:2">
      <c r="A167" s="27">
        <v>45869</v>
      </c>
      <c r="B167" s="25">
        <v>-1.0218391488276121E-2</v>
      </c>
    </row>
    <row r="168" spans="1:2">
      <c r="A168" s="27">
        <v>45868</v>
      </c>
      <c r="B168" s="25">
        <v>9.456827892683449E-3</v>
      </c>
    </row>
    <row r="169" spans="1:2">
      <c r="A169" s="27">
        <v>45867</v>
      </c>
      <c r="B169" s="25">
        <v>-6.5380637113860041E-3</v>
      </c>
    </row>
    <row r="170" spans="1:2">
      <c r="A170" s="27">
        <v>45866</v>
      </c>
      <c r="B170" s="25">
        <v>-1.7296391321124441E-2</v>
      </c>
    </row>
    <row r="171" spans="1:2">
      <c r="A171" s="27">
        <v>45863</v>
      </c>
      <c r="B171" s="25">
        <v>-6.7349571088846346E-3</v>
      </c>
    </row>
    <row r="172" spans="1:2">
      <c r="A172" s="27">
        <v>45862</v>
      </c>
      <c r="B172" s="25">
        <v>1.328920252420644E-2</v>
      </c>
    </row>
    <row r="173" spans="1:2">
      <c r="A173" s="27">
        <v>45861</v>
      </c>
      <c r="B173" s="25">
        <v>5.1912360792443985E-3</v>
      </c>
    </row>
    <row r="174" spans="1:2">
      <c r="A174" s="27">
        <v>45860</v>
      </c>
      <c r="B174" s="25">
        <v>-4.1226906641421961E-3</v>
      </c>
    </row>
    <row r="175" spans="1:2">
      <c r="A175" s="27">
        <v>45859</v>
      </c>
      <c r="B175" s="25">
        <v>5.0198180777264172E-4</v>
      </c>
    </row>
    <row r="176" spans="1:2">
      <c r="A176" s="27">
        <v>45856</v>
      </c>
      <c r="B176" s="25">
        <v>4.5384617353963017E-3</v>
      </c>
    </row>
    <row r="177" spans="1:2">
      <c r="A177" s="27">
        <v>45855</v>
      </c>
      <c r="B177" s="25">
        <v>5.8053806564534903E-3</v>
      </c>
    </row>
    <row r="178" spans="1:2">
      <c r="A178" s="27">
        <v>45854</v>
      </c>
      <c r="B178" s="25">
        <v>-2.8726634565415573E-3</v>
      </c>
    </row>
    <row r="179" spans="1:2">
      <c r="A179" s="27">
        <v>45853</v>
      </c>
      <c r="B179" s="25">
        <v>-4.4458178250595089E-3</v>
      </c>
    </row>
    <row r="180" spans="1:2">
      <c r="A180" s="27">
        <v>45852</v>
      </c>
      <c r="B180" s="25">
        <v>8.2853529762239822E-4</v>
      </c>
    </row>
    <row r="181" spans="1:2">
      <c r="A181" s="27">
        <v>45849</v>
      </c>
      <c r="B181" s="25">
        <v>1.6037547848070793E-2</v>
      </c>
    </row>
    <row r="182" spans="1:2">
      <c r="A182" s="27">
        <v>45848</v>
      </c>
      <c r="B182" s="25">
        <v>5.1983629107713947E-3</v>
      </c>
    </row>
    <row r="183" spans="1:2">
      <c r="A183" s="27">
        <v>45847</v>
      </c>
      <c r="B183" s="25">
        <v>1.6426305363721708E-2</v>
      </c>
    </row>
    <row r="184" spans="1:2">
      <c r="A184" s="27">
        <v>45846</v>
      </c>
      <c r="B184" s="25">
        <v>-4.5444533832251274E-3</v>
      </c>
    </row>
    <row r="185" spans="1:2">
      <c r="A185" s="27">
        <v>45845</v>
      </c>
      <c r="B185" s="25">
        <v>-1.2247882522105775E-2</v>
      </c>
    </row>
    <row r="186" spans="1:2">
      <c r="A186" s="27">
        <v>45842</v>
      </c>
      <c r="B186" s="25">
        <v>-5.237489389001434E-3</v>
      </c>
    </row>
    <row r="187" spans="1:2">
      <c r="A187" s="27">
        <v>45841</v>
      </c>
      <c r="B187" s="25">
        <v>2.6664174047308421E-3</v>
      </c>
    </row>
    <row r="188" spans="1:2">
      <c r="A188" s="27">
        <v>45840</v>
      </c>
      <c r="B188" s="25">
        <v>-5.1129736909477806E-3</v>
      </c>
    </row>
    <row r="189" spans="1:2">
      <c r="A189" s="27">
        <v>45839</v>
      </c>
      <c r="B189" s="25">
        <v>-1.4997831251580636E-2</v>
      </c>
    </row>
    <row r="190" spans="1:2">
      <c r="A190" s="27">
        <v>45838</v>
      </c>
      <c r="B190" s="25">
        <v>-8.7325876557412894E-3</v>
      </c>
    </row>
    <row r="191" spans="1:2">
      <c r="A191" s="27">
        <v>45835</v>
      </c>
      <c r="B191" s="25">
        <v>2.0955865540215721E-3</v>
      </c>
    </row>
    <row r="192" spans="1:2">
      <c r="A192" s="27">
        <v>45834</v>
      </c>
      <c r="B192" s="25">
        <v>-2.9220304528830916E-2</v>
      </c>
    </row>
    <row r="193" spans="1:2">
      <c r="A193" s="27">
        <v>45833</v>
      </c>
      <c r="B193" s="25">
        <v>-2.7580363117153651E-3</v>
      </c>
    </row>
    <row r="194" spans="1:2">
      <c r="A194" s="27">
        <v>45832</v>
      </c>
      <c r="B194" s="25">
        <v>-6.7130605494631944E-3</v>
      </c>
    </row>
    <row r="195" spans="1:2">
      <c r="A195" s="27">
        <v>45831</v>
      </c>
      <c r="B195" s="25">
        <v>-3.7631676252508576E-3</v>
      </c>
    </row>
    <row r="196" spans="1:2">
      <c r="A196" s="27">
        <v>45828</v>
      </c>
      <c r="B196" s="25">
        <v>-1.5543620329842825E-3</v>
      </c>
    </row>
    <row r="197" spans="1:2">
      <c r="A197" s="27">
        <v>45827</v>
      </c>
      <c r="B197" s="25">
        <v>-1.3070818003380854E-3</v>
      </c>
    </row>
    <row r="198" spans="1:2">
      <c r="A198" s="27">
        <v>45826</v>
      </c>
      <c r="B198" s="25">
        <v>9.4434609874702365E-3</v>
      </c>
    </row>
    <row r="199" spans="1:2">
      <c r="A199" s="27">
        <v>45825</v>
      </c>
      <c r="B199" s="25">
        <v>-4.74463532900018E-3</v>
      </c>
    </row>
    <row r="200" spans="1:2">
      <c r="A200" s="27">
        <v>45824</v>
      </c>
      <c r="B200" s="25">
        <v>-3.6427108542107269E-3</v>
      </c>
    </row>
    <row r="201" spans="1:2">
      <c r="A201" s="27">
        <v>45821</v>
      </c>
      <c r="B201" s="25">
        <v>-9.2002807592880664E-3</v>
      </c>
    </row>
    <row r="202" spans="1:2">
      <c r="A202" s="27">
        <v>45820</v>
      </c>
      <c r="B202" s="25">
        <v>2.7711277885414248E-3</v>
      </c>
    </row>
    <row r="203" spans="1:2">
      <c r="A203" s="27">
        <v>45819</v>
      </c>
      <c r="B203" s="25">
        <v>-3.4431246293156435E-3</v>
      </c>
    </row>
    <row r="204" spans="1:2">
      <c r="A204" s="27">
        <v>45818</v>
      </c>
      <c r="B204" s="25">
        <v>5.4309239183273194E-3</v>
      </c>
    </row>
    <row r="205" spans="1:2">
      <c r="A205" s="27">
        <v>45817</v>
      </c>
      <c r="B205" s="25">
        <v>7.9796927389825332E-3</v>
      </c>
    </row>
    <row r="206" spans="1:2">
      <c r="A206" s="27">
        <v>45814</v>
      </c>
      <c r="B206" s="25">
        <v>1.285680194958097E-3</v>
      </c>
    </row>
    <row r="207" spans="1:2">
      <c r="A207" s="27">
        <v>45813</v>
      </c>
      <c r="B207" s="25">
        <v>1.4426998869509737E-4</v>
      </c>
    </row>
    <row r="208" spans="1:2">
      <c r="A208" s="27">
        <v>45812</v>
      </c>
      <c r="B208" s="25">
        <v>-1.8388942277544659E-3</v>
      </c>
    </row>
    <row r="209" spans="1:2">
      <c r="A209" s="27">
        <v>45811</v>
      </c>
      <c r="B209" s="25">
        <v>-8.5436332509694103E-4</v>
      </c>
    </row>
    <row r="210" spans="1:2">
      <c r="A210" s="27">
        <v>45810</v>
      </c>
      <c r="B210" s="25">
        <v>3.2792299729031112E-3</v>
      </c>
    </row>
    <row r="211" spans="1:2">
      <c r="A211" s="27">
        <v>45807</v>
      </c>
      <c r="B211" s="25">
        <v>1.8419077527895942E-3</v>
      </c>
    </row>
    <row r="212" spans="1:2">
      <c r="A212" s="27">
        <v>45806</v>
      </c>
      <c r="B212" s="25">
        <v>8.5257104813058048E-3</v>
      </c>
    </row>
    <row r="213" spans="1:2">
      <c r="A213" s="27">
        <v>45805</v>
      </c>
      <c r="B213" s="25">
        <v>7.1404925741721669E-4</v>
      </c>
    </row>
    <row r="214" spans="1:2">
      <c r="A214" s="27">
        <v>45804</v>
      </c>
      <c r="B214" s="25">
        <v>8.2267191451372446E-3</v>
      </c>
    </row>
    <row r="215" spans="1:2">
      <c r="A215" s="27">
        <v>45803</v>
      </c>
      <c r="B215" s="25">
        <v>-1.4381330236765369E-3</v>
      </c>
    </row>
    <row r="216" spans="1:2">
      <c r="A216" s="27">
        <v>45800</v>
      </c>
      <c r="B216" s="25">
        <v>7.7173247580628523E-4</v>
      </c>
    </row>
    <row r="217" spans="1:2">
      <c r="A217" s="27">
        <v>45799</v>
      </c>
      <c r="B217" s="25">
        <v>-1.6846222792847379E-3</v>
      </c>
    </row>
    <row r="218" spans="1:2">
      <c r="A218" s="27">
        <v>45798</v>
      </c>
      <c r="B218" s="25">
        <v>-8.9486807548580147E-4</v>
      </c>
    </row>
    <row r="219" spans="1:2">
      <c r="A219" s="27">
        <v>45797</v>
      </c>
      <c r="B219" s="25">
        <v>-2.9805129574337385E-3</v>
      </c>
    </row>
    <row r="220" spans="1:2">
      <c r="A220" s="27">
        <v>45796</v>
      </c>
      <c r="B220" s="25">
        <v>1.3393171609423967E-2</v>
      </c>
    </row>
    <row r="221" spans="1:2">
      <c r="A221" s="27">
        <v>45793</v>
      </c>
      <c r="B221" s="25">
        <v>9.5861605097967463E-3</v>
      </c>
    </row>
    <row r="222" spans="1:2">
      <c r="A222" s="27">
        <v>45792</v>
      </c>
      <c r="B222" s="25">
        <v>-9.9263340177099813E-3</v>
      </c>
    </row>
    <row r="223" spans="1:2">
      <c r="A223" s="27">
        <v>45791</v>
      </c>
      <c r="B223" s="25">
        <v>-2.1392838371063202E-2</v>
      </c>
    </row>
    <row r="224" spans="1:2">
      <c r="A224" s="27">
        <v>45790</v>
      </c>
      <c r="B224" s="25">
        <v>9.7354913877007315E-3</v>
      </c>
    </row>
    <row r="225" spans="1:2">
      <c r="A225" s="27">
        <v>45789</v>
      </c>
      <c r="B225" s="25">
        <v>8.9907659011621479E-3</v>
      </c>
    </row>
    <row r="226" spans="1:2">
      <c r="A226" s="27">
        <v>45786</v>
      </c>
      <c r="B226" s="25">
        <v>-2.0752718444158495E-2</v>
      </c>
    </row>
    <row r="227" spans="1:2">
      <c r="A227" s="27">
        <v>45785</v>
      </c>
      <c r="B227" s="25">
        <v>7.7299029053488574E-4</v>
      </c>
    </row>
    <row r="228" spans="1:2">
      <c r="A228" s="27">
        <v>45784</v>
      </c>
      <c r="B228" s="25">
        <v>1.2010060893070305E-2</v>
      </c>
    </row>
    <row r="229" spans="1:2">
      <c r="A229" s="27">
        <v>45783</v>
      </c>
      <c r="B229" s="25">
        <v>2.5619772532589458E-2</v>
      </c>
    </row>
    <row r="230" spans="1:2">
      <c r="A230" s="27">
        <v>45782</v>
      </c>
      <c r="B230" s="25">
        <v>1.0282078083477508E-2</v>
      </c>
    </row>
    <row r="231" spans="1:2">
      <c r="A231" s="27">
        <v>45779</v>
      </c>
      <c r="B231" s="25">
        <v>-1.2123321455080749E-2</v>
      </c>
    </row>
    <row r="232" spans="1:2">
      <c r="A232" s="27">
        <v>45777</v>
      </c>
      <c r="B232" s="25">
        <v>5.3947474227716164E-3</v>
      </c>
    </row>
    <row r="233" spans="1:2">
      <c r="A233" s="27">
        <v>45776</v>
      </c>
      <c r="B233" s="25">
        <v>1.1340488089291398E-2</v>
      </c>
    </row>
    <row r="234" spans="1:2">
      <c r="A234" s="27">
        <v>45775</v>
      </c>
      <c r="B234" s="25">
        <v>1.8803035126418867E-3</v>
      </c>
    </row>
    <row r="235" spans="1:2">
      <c r="A235" s="27">
        <v>45772</v>
      </c>
      <c r="B235" s="25">
        <v>-6.1975272606220426E-3</v>
      </c>
    </row>
    <row r="236" spans="1:2">
      <c r="A236" s="27">
        <v>45771</v>
      </c>
      <c r="B236" s="25">
        <v>1.977779695777962E-2</v>
      </c>
    </row>
    <row r="237" spans="1:2">
      <c r="A237" s="27">
        <v>45770</v>
      </c>
      <c r="B237" s="25">
        <v>-2.5667397145837747E-3</v>
      </c>
    </row>
    <row r="238" spans="1:2">
      <c r="A238" s="27">
        <v>45769</v>
      </c>
      <c r="B238" s="25">
        <v>-7.8611874917224097E-3</v>
      </c>
    </row>
    <row r="239" spans="1:2">
      <c r="A239" s="27">
        <v>45768</v>
      </c>
      <c r="B239" s="25">
        <v>-4.6470032402390789E-3</v>
      </c>
    </row>
    <row r="240" spans="1:2">
      <c r="A240" s="27">
        <v>45764</v>
      </c>
      <c r="B240" s="25">
        <v>1.7751283730334535E-3</v>
      </c>
    </row>
    <row r="241" spans="1:2">
      <c r="A241" s="27">
        <v>45763</v>
      </c>
      <c r="B241" s="25">
        <v>-2.3505267361828741E-3</v>
      </c>
    </row>
    <row r="242" spans="1:2">
      <c r="A242" s="27">
        <v>45762</v>
      </c>
      <c r="B242" s="25">
        <v>-1.9603928549092056E-2</v>
      </c>
    </row>
    <row r="243" spans="1:2">
      <c r="A243" s="27">
        <v>45758</v>
      </c>
      <c r="B243" s="25">
        <v>-6.7943816935148857E-3</v>
      </c>
    </row>
    <row r="244" spans="1:2">
      <c r="A244" s="27">
        <v>45756</v>
      </c>
      <c r="B244" s="25">
        <v>3.939931840887697E-3</v>
      </c>
    </row>
    <row r="245" spans="1:2">
      <c r="A245" s="27">
        <v>45755</v>
      </c>
      <c r="B245" s="25">
        <v>-4.0955107213314999E-3</v>
      </c>
    </row>
    <row r="246" spans="1:2">
      <c r="A246" s="27">
        <v>45754</v>
      </c>
      <c r="B246" s="25">
        <v>-2.7493650211907878E-2</v>
      </c>
    </row>
    <row r="247" spans="1:2">
      <c r="A247" s="27">
        <v>45751</v>
      </c>
      <c r="B247" s="25">
        <v>7.8790493162678513E-3</v>
      </c>
    </row>
    <row r="248" spans="1:2">
      <c r="A248" s="27">
        <v>45750</v>
      </c>
      <c r="B248" s="25">
        <v>-7.5878845586330656E-4</v>
      </c>
    </row>
    <row r="249" spans="1:2">
      <c r="A249" s="27">
        <v>45749</v>
      </c>
      <c r="B249" s="25">
        <v>-1.6424859280104231E-2</v>
      </c>
    </row>
    <row r="250" spans="1:2">
      <c r="A250" s="27">
        <v>45748</v>
      </c>
      <c r="B250" s="25">
        <v>-1.4911250998939306E-3</v>
      </c>
    </row>
    <row r="251" spans="1:2">
      <c r="A251" s="27">
        <v>45744</v>
      </c>
      <c r="B251" s="25">
        <v>9.0339660829036762E-3</v>
      </c>
    </row>
    <row r="252" spans="1:2">
      <c r="A252" s="27">
        <v>45743</v>
      </c>
      <c r="B252" s="25">
        <v>1.2235303294085573E-3</v>
      </c>
    </row>
    <row r="253" spans="1:2">
      <c r="A253" s="27">
        <v>45742</v>
      </c>
      <c r="B253" s="25">
        <v>-8.3309796026855773E-3</v>
      </c>
    </row>
    <row r="254" spans="1:2">
      <c r="A254" s="27">
        <v>45741</v>
      </c>
      <c r="B254" s="25">
        <v>3.2043378588071064E-3</v>
      </c>
    </row>
    <row r="255" spans="1:2">
      <c r="A255" s="27">
        <v>45740</v>
      </c>
      <c r="B255" s="25">
        <v>2.8724662757673679E-3</v>
      </c>
    </row>
    <row r="256" spans="1:2">
      <c r="A256" s="27">
        <v>45737</v>
      </c>
      <c r="B256" s="25">
        <v>-1.0117156764008617E-2</v>
      </c>
    </row>
    <row r="257" spans="1:2">
      <c r="A257" s="27">
        <v>45736</v>
      </c>
      <c r="B257" s="25">
        <v>-4.0838164955992453E-3</v>
      </c>
    </row>
    <row r="258" spans="1:2">
      <c r="A258" s="27">
        <v>45735</v>
      </c>
      <c r="B258" s="25">
        <v>-6.4990696067699916E-3</v>
      </c>
    </row>
    <row r="259" spans="1:2">
      <c r="A259" s="27">
        <v>45734</v>
      </c>
      <c r="B259" s="25">
        <v>-1.9275007407166119E-3</v>
      </c>
    </row>
    <row r="260" spans="1:2">
      <c r="A260" s="27">
        <v>45733</v>
      </c>
      <c r="B260" s="25">
        <v>-2.093392006060479E-2</v>
      </c>
    </row>
    <row r="261" spans="1:2">
      <c r="A261" s="27">
        <v>45729</v>
      </c>
      <c r="B261" s="25">
        <v>-8.8687296312583118E-4</v>
      </c>
    </row>
    <row r="262" spans="1:2">
      <c r="A262" s="27">
        <v>45728</v>
      </c>
      <c r="B262" s="25">
        <v>5.827886401778018E-3</v>
      </c>
    </row>
    <row r="263" spans="1:2">
      <c r="A263" s="27">
        <v>45727</v>
      </c>
      <c r="B263" s="25">
        <v>1.8679454523633145E-2</v>
      </c>
    </row>
    <row r="264" spans="1:2">
      <c r="A264" s="27">
        <v>45726</v>
      </c>
      <c r="B264" s="25">
        <v>4.5160730882079259E-4</v>
      </c>
    </row>
    <row r="265" spans="1:2">
      <c r="A265" s="27">
        <v>45723</v>
      </c>
      <c r="B265" s="25">
        <v>4.9497933555506311E-4</v>
      </c>
    </row>
    <row r="266" spans="1:2">
      <c r="A266" s="27">
        <v>45722</v>
      </c>
      <c r="B266" s="25">
        <v>-4.6958183044477656E-3</v>
      </c>
    </row>
    <row r="267" spans="1:2">
      <c r="A267" s="27">
        <v>45721</v>
      </c>
      <c r="B267" s="25">
        <v>-4.1727909629586585E-2</v>
      </c>
    </row>
    <row r="268" spans="1:2">
      <c r="A268" s="27">
        <v>45720</v>
      </c>
      <c r="B268" s="25">
        <v>-1.3502474018776927E-2</v>
      </c>
    </row>
    <row r="269" spans="1:2">
      <c r="A269" s="27">
        <v>45719</v>
      </c>
      <c r="B269" s="25">
        <v>1.2984266362775602E-2</v>
      </c>
    </row>
    <row r="270" spans="1:2">
      <c r="A270" s="27">
        <v>45716</v>
      </c>
      <c r="B270" s="25">
        <v>6.0580466997193329E-3</v>
      </c>
    </row>
    <row r="271" spans="1:2">
      <c r="A271" s="27">
        <v>45715</v>
      </c>
      <c r="B271" s="25">
        <v>2.0054535566235404E-2</v>
      </c>
    </row>
    <row r="272" spans="1:2">
      <c r="A272" s="27">
        <v>45713</v>
      </c>
      <c r="B272" s="25">
        <v>3.5976332731426195E-3</v>
      </c>
    </row>
    <row r="273" spans="1:2">
      <c r="A273" s="27">
        <v>45712</v>
      </c>
      <c r="B273" s="25">
        <v>7.9253027647799706E-3</v>
      </c>
    </row>
    <row r="274" spans="1:2">
      <c r="A274" s="27">
        <v>45709</v>
      </c>
      <c r="B274" s="25">
        <v>6.7820957352505312E-4</v>
      </c>
    </row>
    <row r="275" spans="1:2">
      <c r="A275" s="27">
        <v>45708</v>
      </c>
      <c r="B275" s="25">
        <v>-3.3574033146730395E-3</v>
      </c>
    </row>
    <row r="276" spans="1:2">
      <c r="A276" s="27">
        <v>45707</v>
      </c>
      <c r="B276" s="25">
        <v>-5.3097469068038279E-3</v>
      </c>
    </row>
    <row r="277" spans="1:2">
      <c r="A277" s="27">
        <v>45706</v>
      </c>
      <c r="B277" s="25">
        <v>1.9648373694400366E-4</v>
      </c>
    </row>
    <row r="278" spans="1:2">
      <c r="A278" s="27">
        <v>45705</v>
      </c>
      <c r="B278" s="25">
        <v>2.2941482487417899E-3</v>
      </c>
    </row>
    <row r="279" spans="1:2">
      <c r="A279" s="27">
        <v>45702</v>
      </c>
      <c r="B279" s="25">
        <v>-8.5440732662585266E-3</v>
      </c>
    </row>
    <row r="280" spans="1:2">
      <c r="A280" s="27">
        <v>45701</v>
      </c>
      <c r="B280" s="25">
        <v>5.9446198614835945E-3</v>
      </c>
    </row>
    <row r="281" spans="1:2">
      <c r="A281" s="27">
        <v>45700</v>
      </c>
      <c r="B281" s="25">
        <v>-9.6448830301519117E-4</v>
      </c>
    </row>
    <row r="282" spans="1:2">
      <c r="A282" s="27">
        <v>45699</v>
      </c>
      <c r="B282" s="25">
        <v>2.4780902637934303E-3</v>
      </c>
    </row>
    <row r="283" spans="1:2">
      <c r="A283" s="27">
        <v>45698</v>
      </c>
      <c r="B283" s="25">
        <v>1.6774957171378502E-2</v>
      </c>
    </row>
    <row r="284" spans="1:2">
      <c r="A284" s="27">
        <v>45695</v>
      </c>
      <c r="B284" s="25">
        <v>-1.3686448937074753E-4</v>
      </c>
    </row>
    <row r="285" spans="1:2">
      <c r="A285" s="27">
        <v>45694</v>
      </c>
      <c r="B285" s="25">
        <v>-2.1997478199076753E-3</v>
      </c>
    </row>
    <row r="286" spans="1:2">
      <c r="A286" s="27">
        <v>45693</v>
      </c>
      <c r="B286" s="25">
        <v>4.2967342706231515E-3</v>
      </c>
    </row>
    <row r="287" spans="1:2">
      <c r="A287" s="27">
        <v>45692</v>
      </c>
      <c r="B287" s="25">
        <v>2.9283770396186983E-2</v>
      </c>
    </row>
    <row r="288" spans="1:2">
      <c r="A288" s="27">
        <v>45691</v>
      </c>
      <c r="B288" s="25">
        <v>-2.0688215450406191E-2</v>
      </c>
    </row>
    <row r="289" spans="1:2">
      <c r="A289" s="27">
        <v>45689</v>
      </c>
      <c r="B289" s="25">
        <v>1.9454989707087061E-2</v>
      </c>
    </row>
    <row r="290" spans="1:2">
      <c r="A290" s="27">
        <v>45688</v>
      </c>
      <c r="B290" s="25">
        <v>-2.3890847662228244E-2</v>
      </c>
    </row>
    <row r="291" spans="1:2">
      <c r="A291" s="27">
        <v>45687</v>
      </c>
      <c r="B291" s="25">
        <v>-1.5024594033133148E-2</v>
      </c>
    </row>
    <row r="292" spans="1:2">
      <c r="A292" s="27">
        <v>45686</v>
      </c>
      <c r="B292" s="25">
        <v>-1.6241209760150303E-2</v>
      </c>
    </row>
    <row r="293" spans="1:2">
      <c r="A293" s="27">
        <v>45685</v>
      </c>
      <c r="B293" s="25">
        <v>9.108187617205759E-3</v>
      </c>
    </row>
    <row r="294" spans="1:2">
      <c r="A294" s="27">
        <v>45684</v>
      </c>
      <c r="B294" s="25">
        <v>9.0342017273429137E-3</v>
      </c>
    </row>
    <row r="295" spans="1:2">
      <c r="A295" s="27">
        <v>45681</v>
      </c>
      <c r="B295" s="25">
        <v>5.7741681263204772E-3</v>
      </c>
    </row>
    <row r="296" spans="1:2">
      <c r="A296" s="27">
        <v>45680</v>
      </c>
      <c r="B296" s="25">
        <v>3.7392308030460061E-3</v>
      </c>
    </row>
    <row r="297" spans="1:2">
      <c r="A297" s="27">
        <v>45679</v>
      </c>
      <c r="B297" s="25">
        <v>-6.428158769653255E-3</v>
      </c>
    </row>
    <row r="298" spans="1:2">
      <c r="A298" s="27">
        <v>45678</v>
      </c>
      <c r="B298" s="25">
        <v>9.1422695614431701E-4</v>
      </c>
    </row>
    <row r="299" spans="1:2">
      <c r="A299" s="27">
        <v>45677</v>
      </c>
      <c r="B299" s="25">
        <v>4.2646451328262917E-3</v>
      </c>
    </row>
    <row r="300" spans="1:2">
      <c r="A300" s="27">
        <v>45674</v>
      </c>
      <c r="B300" s="25">
        <v>-6.3367130205486807E-3</v>
      </c>
    </row>
    <row r="301" spans="1:2">
      <c r="A301" s="27">
        <v>45673</v>
      </c>
      <c r="B301" s="25">
        <v>-1.7040106972642449E-2</v>
      </c>
    </row>
    <row r="302" spans="1:2">
      <c r="A302" s="27">
        <v>45672</v>
      </c>
      <c r="B302" s="25">
        <v>2.6900060989455696E-3</v>
      </c>
    </row>
    <row r="303" spans="1:2">
      <c r="A303" s="27">
        <v>45671</v>
      </c>
      <c r="B303" s="25">
        <v>3.5156582878532439E-3</v>
      </c>
    </row>
    <row r="304" spans="1:2">
      <c r="A304" s="27">
        <v>45670</v>
      </c>
      <c r="B304" s="25">
        <v>-2.129859176144773E-5</v>
      </c>
    </row>
    <row r="305" spans="1:2">
      <c r="A305" s="27">
        <v>45667</v>
      </c>
      <c r="B305" s="25">
        <v>2.7319823191588644E-2</v>
      </c>
    </row>
    <row r="306" spans="1:2">
      <c r="A306" s="27">
        <v>45666</v>
      </c>
      <c r="B306" s="25">
        <v>1.3127133711728252E-2</v>
      </c>
    </row>
    <row r="307" spans="1:2">
      <c r="A307" s="27">
        <v>45665</v>
      </c>
      <c r="B307" s="25">
        <v>-8.5157063105065593E-3</v>
      </c>
    </row>
    <row r="308" spans="1:2">
      <c r="A308" s="27">
        <v>45664</v>
      </c>
      <c r="B308" s="25">
        <v>-1.5862220737239301E-2</v>
      </c>
    </row>
    <row r="309" spans="1:2">
      <c r="A309" s="27">
        <v>45663</v>
      </c>
      <c r="B309" s="25">
        <v>-1.293377936765625E-2</v>
      </c>
    </row>
    <row r="310" spans="1:2">
      <c r="A310" s="27">
        <v>45660</v>
      </c>
      <c r="B310" s="25">
        <v>2.7955431825566708E-2</v>
      </c>
    </row>
    <row r="311" spans="1:2">
      <c r="A311" s="27">
        <v>45659</v>
      </c>
      <c r="B311" s="25">
        <v>2.9591196735884763E-3</v>
      </c>
    </row>
    <row r="312" spans="1:2">
      <c r="A312" s="27">
        <v>45658</v>
      </c>
      <c r="B312" s="25">
        <v>-1.1139897867921234E-2</v>
      </c>
    </row>
    <row r="313" spans="1:2">
      <c r="A313" s="27">
        <v>45657</v>
      </c>
      <c r="B313" s="25">
        <v>-1.0103145575702055E-2</v>
      </c>
    </row>
    <row r="314" spans="1:2">
      <c r="A314" s="27">
        <v>45656</v>
      </c>
      <c r="B314" s="25">
        <v>-1.7541972006844295E-3</v>
      </c>
    </row>
    <row r="315" spans="1:2">
      <c r="A315" s="27">
        <v>45653</v>
      </c>
      <c r="B315" s="25">
        <v>-7.5321176927302331E-3</v>
      </c>
    </row>
    <row r="316" spans="1:2">
      <c r="A316" s="27">
        <v>45652</v>
      </c>
      <c r="B316" s="25">
        <v>-2.5967387791365724E-3</v>
      </c>
    </row>
    <row r="317" spans="1:2">
      <c r="A317" s="27">
        <v>45650</v>
      </c>
      <c r="B317" s="25">
        <v>8.5760652821457173E-3</v>
      </c>
    </row>
    <row r="318" spans="1:2">
      <c r="A318" s="27">
        <v>45649</v>
      </c>
      <c r="B318" s="25">
        <v>-1.0890809661061539E-3</v>
      </c>
    </row>
    <row r="319" spans="1:2">
      <c r="A319" s="27">
        <v>45646</v>
      </c>
      <c r="B319" s="25">
        <v>2.4331656754191856E-3</v>
      </c>
    </row>
    <row r="320" spans="1:2">
      <c r="A320" s="27">
        <v>45645</v>
      </c>
      <c r="B320" s="25">
        <v>2.727132261863397E-3</v>
      </c>
    </row>
    <row r="321" spans="1:2">
      <c r="A321" s="27">
        <v>45644</v>
      </c>
      <c r="B321" s="25">
        <v>2.1525120923422274E-2</v>
      </c>
    </row>
    <row r="322" spans="1:2">
      <c r="A322" s="27">
        <v>45643</v>
      </c>
      <c r="B322" s="25">
        <v>4.0309557093392593E-3</v>
      </c>
    </row>
    <row r="323" spans="1:2">
      <c r="A323" s="27">
        <v>45642</v>
      </c>
      <c r="B323" s="25">
        <v>2.0235666111445012E-2</v>
      </c>
    </row>
    <row r="324" spans="1:2">
      <c r="A324" s="27">
        <v>45639</v>
      </c>
      <c r="B324" s="25">
        <v>8.0977548409795095E-4</v>
      </c>
    </row>
    <row r="325" spans="1:2">
      <c r="A325" s="27">
        <v>45638</v>
      </c>
      <c r="B325" s="25">
        <v>-6.0196078699419897E-3</v>
      </c>
    </row>
    <row r="326" spans="1:2">
      <c r="A326" s="27">
        <v>45637</v>
      </c>
      <c r="B326" s="25">
        <v>1.0071136870360785E-2</v>
      </c>
    </row>
    <row r="327" spans="1:2">
      <c r="A327" s="27">
        <v>45636</v>
      </c>
      <c r="B327" s="25">
        <v>-8.2828975505025142E-3</v>
      </c>
    </row>
    <row r="328" spans="1:2">
      <c r="A328" s="27">
        <v>45635</v>
      </c>
      <c r="B328" s="25">
        <v>3.1006479891241574E-3</v>
      </c>
    </row>
    <row r="329" spans="1:2">
      <c r="A329" s="27">
        <v>45632</v>
      </c>
      <c r="B329" s="25">
        <v>1.3831114334542673E-2</v>
      </c>
    </row>
    <row r="330" spans="1:2">
      <c r="A330" s="27">
        <v>45631</v>
      </c>
      <c r="B330" s="25">
        <v>7.1429424381711341E-3</v>
      </c>
    </row>
    <row r="331" spans="1:2">
      <c r="A331" s="27">
        <v>45630</v>
      </c>
      <c r="B331" s="25">
        <v>1.4382960725754046E-3</v>
      </c>
    </row>
    <row r="332" spans="1:2">
      <c r="A332" s="27">
        <v>45629</v>
      </c>
      <c r="B332" s="25">
        <v>4.9118219947636675E-3</v>
      </c>
    </row>
    <row r="333" spans="1:2">
      <c r="A333" s="27">
        <v>45628</v>
      </c>
      <c r="B333" s="25">
        <v>3.1732179938923667E-3</v>
      </c>
    </row>
    <row r="334" spans="1:2">
      <c r="A334" s="27">
        <v>45625</v>
      </c>
      <c r="B334" s="25">
        <v>3.2525845175031647E-3</v>
      </c>
    </row>
    <row r="335" spans="1:2">
      <c r="A335" s="27">
        <v>45624</v>
      </c>
      <c r="B335" s="25">
        <v>-8.7190865962197585E-3</v>
      </c>
    </row>
    <row r="336" spans="1:2">
      <c r="A336" s="27">
        <v>45623</v>
      </c>
      <c r="B336" s="25">
        <v>1.0336427023320301E-2</v>
      </c>
    </row>
    <row r="337" spans="1:2">
      <c r="A337" s="27">
        <v>45622</v>
      </c>
      <c r="B337" s="25">
        <v>1.2595138364939406E-3</v>
      </c>
    </row>
    <row r="338" spans="1:2">
      <c r="A338" s="27">
        <v>45621</v>
      </c>
      <c r="B338" s="25">
        <v>-1.8578511529837007E-2</v>
      </c>
    </row>
    <row r="339" spans="1:2">
      <c r="A339" s="27">
        <v>45618</v>
      </c>
      <c r="B339" s="25">
        <v>4.0930045581417567E-3</v>
      </c>
    </row>
    <row r="340" spans="1:2">
      <c r="A340" s="27">
        <v>45617</v>
      </c>
      <c r="B340" s="25">
        <v>-1.8937973415117736E-2</v>
      </c>
    </row>
    <row r="341" spans="1:2">
      <c r="A341" s="27">
        <v>45615</v>
      </c>
      <c r="B341" s="25">
        <v>2.1674102791144345E-2</v>
      </c>
    </row>
    <row r="342" spans="1:2">
      <c r="A342" s="27">
        <v>45614</v>
      </c>
      <c r="B342" s="25">
        <v>1.7056077310542298E-3</v>
      </c>
    </row>
    <row r="343" spans="1:2">
      <c r="A343" s="27">
        <v>45610</v>
      </c>
      <c r="B343" s="25">
        <v>3.3923444790869054E-3</v>
      </c>
    </row>
    <row r="344" spans="1:2">
      <c r="A344" s="27">
        <v>45609</v>
      </c>
      <c r="B344" s="25">
        <v>-3.6189335147490329E-3</v>
      </c>
    </row>
    <row r="345" spans="1:2">
      <c r="A345" s="27">
        <v>45608</v>
      </c>
      <c r="B345" s="25">
        <v>5.9740132237961173E-3</v>
      </c>
    </row>
    <row r="346" spans="1:2">
      <c r="A346" s="27">
        <v>45607</v>
      </c>
      <c r="B346" s="25">
        <v>1.8844758474211576E-2</v>
      </c>
    </row>
    <row r="347" spans="1:2">
      <c r="A347" s="27">
        <v>45604</v>
      </c>
      <c r="B347" s="25">
        <v>6.9338428869749502E-2</v>
      </c>
    </row>
    <row r="348" spans="1:2">
      <c r="A348" s="27">
        <v>45603</v>
      </c>
      <c r="B348" s="25">
        <v>2.6094359788636452E-2</v>
      </c>
    </row>
    <row r="349" spans="1:2">
      <c r="A349" s="27">
        <v>45602</v>
      </c>
      <c r="B349" s="25">
        <v>1.8287176642649752E-2</v>
      </c>
    </row>
    <row r="350" spans="1:2">
      <c r="A350" s="27">
        <v>45601</v>
      </c>
      <c r="B350" s="25">
        <v>-6.6794704955553006E-3</v>
      </c>
    </row>
    <row r="351" spans="1:2">
      <c r="A351" s="27">
        <v>45600</v>
      </c>
      <c r="B351" s="25">
        <v>1.1048988892430164E-2</v>
      </c>
    </row>
    <row r="352" spans="1:2">
      <c r="A352" s="27">
        <v>45597</v>
      </c>
      <c r="B352" s="25">
        <v>1.0857023765352957E-2</v>
      </c>
    </row>
    <row r="353" spans="1:2">
      <c r="A353" s="27">
        <v>45596</v>
      </c>
      <c r="B353" s="25">
        <v>-1.200311183664995E-3</v>
      </c>
    </row>
    <row r="354" spans="1:2">
      <c r="A354" s="27">
        <v>45595</v>
      </c>
      <c r="B354" s="25">
        <v>1.0698032209306632E-2</v>
      </c>
    </row>
    <row r="355" spans="1:2">
      <c r="A355" s="27">
        <v>45594</v>
      </c>
      <c r="B355" s="25">
        <v>-1.9438737230865158E-3</v>
      </c>
    </row>
    <row r="356" spans="1:2">
      <c r="A356" s="27">
        <v>45593</v>
      </c>
      <c r="B356" s="25">
        <v>-9.3892590232283208E-4</v>
      </c>
    </row>
    <row r="357" spans="1:2">
      <c r="A357" s="27">
        <v>45590</v>
      </c>
      <c r="B357" s="25">
        <v>-1.2763705501754645E-2</v>
      </c>
    </row>
    <row r="358" spans="1:2">
      <c r="A358" s="27">
        <v>45589</v>
      </c>
      <c r="B358" s="25">
        <v>4.712884911934825E-3</v>
      </c>
    </row>
    <row r="359" spans="1:2">
      <c r="A359" s="27">
        <v>45588</v>
      </c>
      <c r="B359" s="25">
        <v>1.8986557960936755E-3</v>
      </c>
    </row>
    <row r="360" spans="1:2">
      <c r="A360" s="27">
        <v>45587</v>
      </c>
      <c r="B360" s="25">
        <v>5.4624605552160196E-3</v>
      </c>
    </row>
    <row r="361" spans="1:2">
      <c r="A361" s="27">
        <v>45586</v>
      </c>
      <c r="B361" s="25">
        <v>1.8169708492425628E-2</v>
      </c>
    </row>
    <row r="362" spans="1:2">
      <c r="A362" s="27">
        <v>45583</v>
      </c>
      <c r="B362" s="25">
        <v>-1.171383672167961E-2</v>
      </c>
    </row>
    <row r="363" spans="1:2">
      <c r="A363" s="27">
        <v>45582</v>
      </c>
      <c r="B363" s="25">
        <v>1.6553933404282135E-2</v>
      </c>
    </row>
    <row r="364" spans="1:2">
      <c r="A364" s="27">
        <v>45581</v>
      </c>
      <c r="B364" s="25">
        <v>1.242007218168285E-2</v>
      </c>
    </row>
    <row r="365" spans="1:2">
      <c r="A365" s="27">
        <v>45580</v>
      </c>
      <c r="B365" s="25">
        <v>-1.0533422437275515E-3</v>
      </c>
    </row>
    <row r="366" spans="1:2">
      <c r="A366" s="27">
        <v>45579</v>
      </c>
      <c r="B366" s="25">
        <v>-1.1788401283847692E-2</v>
      </c>
    </row>
    <row r="367" spans="1:2">
      <c r="A367" s="27">
        <v>45576</v>
      </c>
      <c r="B367" s="25">
        <v>1.2870919439378938E-3</v>
      </c>
    </row>
    <row r="368" spans="1:2">
      <c r="A368" s="27">
        <v>45575</v>
      </c>
      <c r="B368" s="25">
        <v>6.9915357255774576E-3</v>
      </c>
    </row>
    <row r="369" spans="1:2">
      <c r="A369" s="27">
        <v>45574</v>
      </c>
      <c r="B369" s="25">
        <v>6.6812561529015812E-3</v>
      </c>
    </row>
    <row r="370" spans="1:2">
      <c r="A370" s="27">
        <v>45573</v>
      </c>
      <c r="B370" s="25">
        <v>-4.2365826398721813E-3</v>
      </c>
    </row>
    <row r="371" spans="1:2">
      <c r="A371" s="27">
        <v>45572</v>
      </c>
      <c r="B371" s="25">
        <v>-1.0648355914032874E-2</v>
      </c>
    </row>
    <row r="372" spans="1:2">
      <c r="A372" s="27">
        <v>45569</v>
      </c>
      <c r="B372" s="25">
        <v>7.9457652700749976E-3</v>
      </c>
    </row>
    <row r="373" spans="1:2">
      <c r="A373" s="27">
        <v>45568</v>
      </c>
      <c r="B373" s="25">
        <v>2.5303461224205334E-2</v>
      </c>
    </row>
    <row r="374" spans="1:2">
      <c r="A374" s="27">
        <v>45566</v>
      </c>
      <c r="B374" s="25">
        <v>3.799369508009167E-2</v>
      </c>
    </row>
    <row r="375" spans="1:2">
      <c r="A375" s="27">
        <v>45565</v>
      </c>
      <c r="B375" s="25">
        <v>9.051271196461019E-3</v>
      </c>
    </row>
    <row r="376" spans="1:2">
      <c r="A376" s="27">
        <v>45562</v>
      </c>
      <c r="B376" s="25">
        <v>-4.890696140893905E-3</v>
      </c>
    </row>
    <row r="377" spans="1:2">
      <c r="A377" s="27">
        <v>45561</v>
      </c>
      <c r="B377" s="25">
        <v>-1.0788165686197971E-2</v>
      </c>
    </row>
    <row r="378" spans="1:2">
      <c r="A378" s="27">
        <v>45560</v>
      </c>
      <c r="B378" s="25">
        <v>-5.3146263781347711E-3</v>
      </c>
    </row>
    <row r="379" spans="1:2">
      <c r="A379" s="27">
        <v>45559</v>
      </c>
      <c r="B379" s="25">
        <v>-8.9318268164170257E-4</v>
      </c>
    </row>
    <row r="380" spans="1:2">
      <c r="A380" s="27">
        <v>45558</v>
      </c>
      <c r="B380" s="25">
        <v>7.2131286496385175E-3</v>
      </c>
    </row>
    <row r="381" spans="1:2">
      <c r="A381" s="27">
        <v>45555</v>
      </c>
      <c r="B381" s="25">
        <v>8.5322678954042469E-3</v>
      </c>
    </row>
    <row r="382" spans="1:2">
      <c r="A382" s="27">
        <v>45554</v>
      </c>
      <c r="B382" s="25">
        <v>-3.3426287413834575E-3</v>
      </c>
    </row>
    <row r="383" spans="1:2">
      <c r="A383" s="27">
        <v>45553</v>
      </c>
      <c r="B383" s="25">
        <v>-3.2803847919542829E-3</v>
      </c>
    </row>
    <row r="384" spans="1:2">
      <c r="A384" s="27">
        <v>45552</v>
      </c>
      <c r="B384" s="25">
        <v>9.0126549261579352E-3</v>
      </c>
    </row>
    <row r="385" spans="1:2">
      <c r="A385" s="27">
        <v>45551</v>
      </c>
      <c r="B385" s="25">
        <v>5.5929438654089393E-3</v>
      </c>
    </row>
    <row r="386" spans="1:2">
      <c r="A386" s="27">
        <v>45548</v>
      </c>
      <c r="B386" s="25">
        <v>4.4535785489901933E-3</v>
      </c>
    </row>
    <row r="387" spans="1:2">
      <c r="A387" s="27">
        <v>45547</v>
      </c>
      <c r="B387" s="25">
        <v>6.8524264950428574E-3</v>
      </c>
    </row>
    <row r="388" spans="1:2">
      <c r="A388" s="27">
        <v>45546</v>
      </c>
      <c r="B388" s="25">
        <v>-4.4124594943645316E-3</v>
      </c>
    </row>
    <row r="389" spans="1:2">
      <c r="A389" s="27">
        <v>45545</v>
      </c>
      <c r="B389" s="25">
        <v>-2.0707584452982812E-2</v>
      </c>
    </row>
    <row r="390" spans="1:2">
      <c r="A390" s="27">
        <v>45544</v>
      </c>
      <c r="B390" s="25">
        <v>-4.7860592364464948E-3</v>
      </c>
    </row>
    <row r="391" spans="1:2">
      <c r="A391" s="27">
        <v>45541</v>
      </c>
      <c r="B391" s="25">
        <v>-2.9175911493676517E-3</v>
      </c>
    </row>
    <row r="392" spans="1:2">
      <c r="A392" s="27">
        <v>45540</v>
      </c>
      <c r="B392" s="25">
        <v>-7.642655180829707E-3</v>
      </c>
    </row>
    <row r="393" spans="1:2">
      <c r="A393" s="27">
        <v>45539</v>
      </c>
      <c r="B393" s="25">
        <v>-3.8348810980183175E-3</v>
      </c>
    </row>
    <row r="394" spans="1:2">
      <c r="A394" s="27">
        <v>45538</v>
      </c>
      <c r="B394" s="25">
        <v>-2.5853631771923246E-2</v>
      </c>
    </row>
    <row r="395" spans="1:2">
      <c r="A395" s="27">
        <v>45537</v>
      </c>
      <c r="B395" s="25">
        <v>-2.1911694682112703E-3</v>
      </c>
    </row>
    <row r="396" spans="1:2">
      <c r="A396" s="27">
        <v>45534</v>
      </c>
      <c r="B396" s="25">
        <v>-6.5741606979064331E-3</v>
      </c>
    </row>
    <row r="397" spans="1:2">
      <c r="A397" s="27">
        <v>45533</v>
      </c>
      <c r="B397" s="25">
        <v>-1.8508459483900224E-3</v>
      </c>
    </row>
    <row r="398" spans="1:2">
      <c r="A398" s="27">
        <v>45532</v>
      </c>
      <c r="B398" s="25">
        <v>3.8391722926160179E-3</v>
      </c>
    </row>
    <row r="399" spans="1:2">
      <c r="A399" s="27">
        <v>45531</v>
      </c>
      <c r="B399" s="25">
        <v>1.12284992974679E-2</v>
      </c>
    </row>
    <row r="400" spans="1:2">
      <c r="A400" s="27">
        <v>45530</v>
      </c>
      <c r="B400" s="25">
        <v>-5.7258350737961899E-3</v>
      </c>
    </row>
    <row r="401" spans="1:2">
      <c r="A401" s="27">
        <v>45527</v>
      </c>
      <c r="B401" s="25">
        <v>-5.4274430366975145E-3</v>
      </c>
    </row>
    <row r="402" spans="1:2">
      <c r="A402" s="27">
        <v>45526</v>
      </c>
      <c r="B402" s="25">
        <v>1.2895192219670717E-2</v>
      </c>
    </row>
    <row r="403" spans="1:2">
      <c r="A403" s="27">
        <v>45525</v>
      </c>
      <c r="B403" s="25">
        <v>-1.0818740452710331E-2</v>
      </c>
    </row>
    <row r="404" spans="1:2">
      <c r="A404" s="27">
        <v>45524</v>
      </c>
      <c r="B404" s="25">
        <v>-1.3886462231822432E-2</v>
      </c>
    </row>
    <row r="405" spans="1:2">
      <c r="A405" s="27">
        <v>45523</v>
      </c>
      <c r="B405" s="25">
        <v>-7.6307115341274333E-3</v>
      </c>
    </row>
    <row r="406" spans="1:2">
      <c r="A406" s="27">
        <v>45520</v>
      </c>
      <c r="B406" s="25">
        <v>-1.2175587863239594E-2</v>
      </c>
    </row>
    <row r="407" spans="1:2">
      <c r="A407" s="27">
        <v>45518</v>
      </c>
      <c r="B407" s="25">
        <v>-5.8161215562076681E-3</v>
      </c>
    </row>
    <row r="408" spans="1:2">
      <c r="A408" s="27">
        <v>45517</v>
      </c>
      <c r="B408" s="25">
        <v>-4.5859539002141405E-3</v>
      </c>
    </row>
    <row r="409" spans="1:2">
      <c r="A409" s="27">
        <v>45516</v>
      </c>
      <c r="B409" s="25">
        <v>6.9600669149521904E-3</v>
      </c>
    </row>
    <row r="410" spans="1:2">
      <c r="A410" s="27">
        <v>45513</v>
      </c>
      <c r="B410" s="25">
        <v>-8.0675732169957709E-4</v>
      </c>
    </row>
    <row r="411" spans="1:2">
      <c r="A411" s="27">
        <v>45512</v>
      </c>
      <c r="B411" s="25">
        <v>-1.3070601320269564E-2</v>
      </c>
    </row>
    <row r="412" spans="1:2">
      <c r="A412" s="27">
        <v>45511</v>
      </c>
      <c r="B412" s="25">
        <v>2.7431199116737828E-2</v>
      </c>
    </row>
    <row r="413" spans="1:2">
      <c r="A413" s="27">
        <v>45510</v>
      </c>
      <c r="B413" s="25">
        <v>2.7347921233157883E-4</v>
      </c>
    </row>
    <row r="414" spans="1:2">
      <c r="A414" s="27">
        <v>45509</v>
      </c>
      <c r="B414" s="25">
        <v>-1.0109743964413335E-3</v>
      </c>
    </row>
    <row r="415" spans="1:2">
      <c r="A415" s="27">
        <v>45506</v>
      </c>
      <c r="B415" s="25">
        <v>6.7039392033300766E-3</v>
      </c>
    </row>
    <row r="416" spans="1:2">
      <c r="A416" s="27">
        <v>45505</v>
      </c>
      <c r="B416" s="25">
        <v>-4.4301008201392238E-4</v>
      </c>
    </row>
    <row r="417" spans="1:2">
      <c r="A417" s="27">
        <v>45504</v>
      </c>
      <c r="B417" s="25">
        <v>-4.4726795485591853E-3</v>
      </c>
    </row>
    <row r="418" spans="1:2">
      <c r="A418" s="27">
        <v>45503</v>
      </c>
      <c r="B418" s="25">
        <v>-2.0590858204038082E-2</v>
      </c>
    </row>
    <row r="419" spans="1:2">
      <c r="A419" s="27">
        <v>45502</v>
      </c>
      <c r="B419" s="25">
        <v>-2.0107177189007841E-2</v>
      </c>
    </row>
    <row r="420" spans="1:2">
      <c r="A420" s="27">
        <v>45499</v>
      </c>
      <c r="B420" s="25">
        <v>-2.3464358516284288E-3</v>
      </c>
    </row>
    <row r="421" spans="1:2">
      <c r="A421" s="27">
        <v>45498</v>
      </c>
      <c r="B421" s="25">
        <v>-1.7015033704689757E-2</v>
      </c>
    </row>
    <row r="422" spans="1:2">
      <c r="A422" s="27">
        <v>45497</v>
      </c>
      <c r="B422" s="25">
        <v>3.3320035317252763E-3</v>
      </c>
    </row>
    <row r="423" spans="1:2">
      <c r="A423" s="27">
        <v>45496</v>
      </c>
      <c r="B423" s="25">
        <v>-5.9378925825895549E-3</v>
      </c>
    </row>
    <row r="424" spans="1:2">
      <c r="A424" s="27">
        <v>45495</v>
      </c>
      <c r="B424" s="25">
        <v>8.8260820157145033E-3</v>
      </c>
    </row>
    <row r="425" spans="1:2">
      <c r="A425" s="27">
        <v>45492</v>
      </c>
      <c r="B425" s="25">
        <v>2.5094628282483324E-3</v>
      </c>
    </row>
    <row r="426" spans="1:2">
      <c r="A426" s="27">
        <v>45491</v>
      </c>
      <c r="B426" s="25">
        <v>-1.5382285197743256E-3</v>
      </c>
    </row>
    <row r="427" spans="1:2">
      <c r="A427" s="27">
        <v>45489</v>
      </c>
      <c r="B427" s="25">
        <v>1.2367814148973961E-2</v>
      </c>
    </row>
    <row r="428" spans="1:2">
      <c r="A428" s="27">
        <v>45488</v>
      </c>
      <c r="B428" s="25">
        <v>-6.4502711702923076E-3</v>
      </c>
    </row>
    <row r="429" spans="1:2">
      <c r="A429" s="27">
        <v>45485</v>
      </c>
      <c r="B429" s="25">
        <v>1.1133857477659383E-2</v>
      </c>
    </row>
    <row r="430" spans="1:2">
      <c r="A430" s="27">
        <v>45484</v>
      </c>
      <c r="B430" s="25">
        <v>5.4562982370279017E-3</v>
      </c>
    </row>
    <row r="431" spans="1:2">
      <c r="A431" s="27">
        <v>45483</v>
      </c>
      <c r="B431" s="25">
        <v>-4.1701154220201752E-3</v>
      </c>
    </row>
    <row r="432" spans="1:2">
      <c r="A432" s="27">
        <v>45482</v>
      </c>
      <c r="B432" s="25">
        <v>-2.965057116884599E-2</v>
      </c>
    </row>
    <row r="433" spans="1:2">
      <c r="A433" s="27">
        <v>45481</v>
      </c>
      <c r="B433" s="25">
        <v>-4.1341587432808047E-3</v>
      </c>
    </row>
    <row r="434" spans="1:2">
      <c r="A434" s="27">
        <v>45478</v>
      </c>
      <c r="B434" s="25">
        <v>1.1601415016581261E-2</v>
      </c>
    </row>
    <row r="435" spans="1:2">
      <c r="A435" s="27">
        <v>45477</v>
      </c>
      <c r="B435" s="25">
        <v>-1.290772663366749E-3</v>
      </c>
    </row>
    <row r="436" spans="1:2">
      <c r="A436" s="27">
        <v>45476</v>
      </c>
      <c r="B436" s="25">
        <v>-3.787355187143451E-3</v>
      </c>
    </row>
    <row r="437" spans="1:2">
      <c r="A437" s="27">
        <v>45475</v>
      </c>
      <c r="B437" s="25">
        <v>-8.1704716348180036E-4</v>
      </c>
    </row>
    <row r="438" spans="1:2">
      <c r="A438" s="27">
        <v>45474</v>
      </c>
      <c r="B438" s="25">
        <v>1.1887604236530727E-4</v>
      </c>
    </row>
    <row r="439" spans="1:2">
      <c r="A439" s="27">
        <v>45471</v>
      </c>
      <c r="B439" s="25">
        <v>-4.3305305888356764E-3</v>
      </c>
    </row>
    <row r="440" spans="1:2">
      <c r="A440" s="27">
        <v>45470</v>
      </c>
      <c r="B440" s="25">
        <v>-9.0950205424342057E-3</v>
      </c>
    </row>
    <row r="441" spans="1:2">
      <c r="A441" s="27">
        <v>45469</v>
      </c>
      <c r="B441" s="25">
        <v>-6.0750439550662462E-3</v>
      </c>
    </row>
    <row r="442" spans="1:2">
      <c r="A442" s="27">
        <v>45468</v>
      </c>
      <c r="B442" s="25">
        <v>1.4587563194147994E-3</v>
      </c>
    </row>
    <row r="443" spans="1:2">
      <c r="A443" s="27">
        <v>45467</v>
      </c>
      <c r="B443" s="25">
        <v>1.1016298524970476E-2</v>
      </c>
    </row>
    <row r="444" spans="1:2">
      <c r="A444" s="27">
        <v>45464</v>
      </c>
      <c r="B444" s="25">
        <v>-2.2840059362317423E-3</v>
      </c>
    </row>
    <row r="445" spans="1:2">
      <c r="A445" s="27">
        <v>45463</v>
      </c>
      <c r="B445" s="25">
        <v>9.3762467866965859E-3</v>
      </c>
    </row>
    <row r="446" spans="1:2">
      <c r="A446" s="27">
        <v>45462</v>
      </c>
      <c r="B446" s="25">
        <v>-1.220483498220319E-2</v>
      </c>
    </row>
    <row r="447" spans="1:2">
      <c r="A447" s="27">
        <v>45461</v>
      </c>
      <c r="B447" s="25">
        <v>9.5980630769599076E-3</v>
      </c>
    </row>
    <row r="448" spans="1:2">
      <c r="A448" s="27">
        <v>45457</v>
      </c>
      <c r="B448" s="25">
        <v>1.4183449969238336E-3</v>
      </c>
    </row>
    <row r="449" spans="1:2">
      <c r="A449" s="27">
        <v>45456</v>
      </c>
      <c r="B449" s="25">
        <v>-3.9321037978812803E-3</v>
      </c>
    </row>
    <row r="450" spans="1:2">
      <c r="A450" s="27">
        <v>45455</v>
      </c>
      <c r="B450" s="25">
        <v>-1.7872985474082282E-3</v>
      </c>
    </row>
    <row r="451" spans="1:2">
      <c r="A451" s="27">
        <v>45454</v>
      </c>
      <c r="B451" s="25">
        <v>-4.3527185763601742E-3</v>
      </c>
    </row>
    <row r="452" spans="1:2">
      <c r="A452" s="27">
        <v>45453</v>
      </c>
      <c r="B452" s="25">
        <v>7.8495954883952678E-3</v>
      </c>
    </row>
    <row r="453" spans="1:2">
      <c r="A453" s="27">
        <v>45450</v>
      </c>
      <c r="B453" s="25">
        <v>-7.5132927332513663E-3</v>
      </c>
    </row>
    <row r="454" spans="1:2">
      <c r="A454" s="27">
        <v>45449</v>
      </c>
      <c r="B454" s="25">
        <v>-8.6484062526653999E-3</v>
      </c>
    </row>
    <row r="455" spans="1:2">
      <c r="A455" s="27">
        <v>45448</v>
      </c>
      <c r="B455" s="25">
        <v>1.2051926069563245E-2</v>
      </c>
    </row>
    <row r="456" spans="1:2">
      <c r="A456" s="27">
        <v>45447</v>
      </c>
      <c r="B456" s="25">
        <v>-3.6574195860402094E-2</v>
      </c>
    </row>
    <row r="457" spans="1:2">
      <c r="A457" s="27">
        <v>45446</v>
      </c>
      <c r="B457" s="25">
        <v>1.1559320975314886E-2</v>
      </c>
    </row>
    <row r="458" spans="1:2">
      <c r="A458" s="27">
        <v>45443</v>
      </c>
      <c r="B458" s="25">
        <v>-1.558222218237288E-3</v>
      </c>
    </row>
    <row r="459" spans="1:2">
      <c r="A459" s="27">
        <v>45442</v>
      </c>
      <c r="B459" s="25">
        <v>6.7035043498784534E-3</v>
      </c>
    </row>
    <row r="460" spans="1:2">
      <c r="A460" s="27">
        <v>45441</v>
      </c>
      <c r="B460" s="25">
        <v>1.0259796042697495E-2</v>
      </c>
    </row>
    <row r="461" spans="1:2">
      <c r="A461" s="27">
        <v>45440</v>
      </c>
      <c r="B461" s="25">
        <v>4.0402933143276016E-3</v>
      </c>
    </row>
    <row r="462" spans="1:2">
      <c r="A462" s="27">
        <v>45439</v>
      </c>
      <c r="B462" s="25">
        <v>-1.3074563078975553E-2</v>
      </c>
    </row>
    <row r="463" spans="1:2">
      <c r="A463" s="27">
        <v>45436</v>
      </c>
      <c r="B463" s="25">
        <v>1.6905438896627836E-3</v>
      </c>
    </row>
    <row r="464" spans="1:2">
      <c r="A464" s="27">
        <v>45435</v>
      </c>
      <c r="B464" s="25">
        <v>7.6852660577333646E-3</v>
      </c>
    </row>
    <row r="465" spans="1:2">
      <c r="A465" s="27">
        <v>45434</v>
      </c>
      <c r="B465" s="25">
        <v>-4.1589422294837702E-3</v>
      </c>
    </row>
    <row r="466" spans="1:2">
      <c r="A466" s="27">
        <v>45433</v>
      </c>
      <c r="B466" s="25">
        <v>-7.4888418936965061E-3</v>
      </c>
    </row>
    <row r="467" spans="1:2">
      <c r="A467" s="27">
        <v>45430</v>
      </c>
      <c r="B467" s="25">
        <v>-6.630082449779728E-3</v>
      </c>
    </row>
    <row r="468" spans="1:2">
      <c r="A468" s="27">
        <v>45429</v>
      </c>
      <c r="B468" s="25">
        <v>-2.7670892683043882E-3</v>
      </c>
    </row>
    <row r="469" spans="1:2">
      <c r="A469" s="27">
        <v>45428</v>
      </c>
      <c r="B469" s="25">
        <v>-1.8971858798470869E-3</v>
      </c>
    </row>
    <row r="470" spans="1:2">
      <c r="A470" s="27">
        <v>45427</v>
      </c>
      <c r="B470" s="25">
        <v>-1.5435908345701943E-3</v>
      </c>
    </row>
    <row r="471" spans="1:2">
      <c r="A471" s="27">
        <v>45426</v>
      </c>
      <c r="B471" s="25">
        <v>1.5900244820197258E-2</v>
      </c>
    </row>
    <row r="472" spans="1:2">
      <c r="A472" s="27">
        <v>45425</v>
      </c>
      <c r="B472" s="25">
        <v>2.8886536679026413E-3</v>
      </c>
    </row>
    <row r="473" spans="1:2">
      <c r="A473" s="27">
        <v>45422</v>
      </c>
      <c r="B473" s="25">
        <v>-2.8085075838798105E-2</v>
      </c>
    </row>
    <row r="474" spans="1:2">
      <c r="A474" s="27">
        <v>45421</v>
      </c>
      <c r="B474" s="25">
        <v>-1.9837563449258688E-2</v>
      </c>
    </row>
    <row r="475" spans="1:2">
      <c r="A475" s="27">
        <v>45420</v>
      </c>
      <c r="B475" s="25">
        <v>4.2344171305067096E-2</v>
      </c>
    </row>
    <row r="476" spans="1:2">
      <c r="A476" s="27">
        <v>45419</v>
      </c>
      <c r="B476" s="25">
        <v>2.1849404780745769E-2</v>
      </c>
    </row>
    <row r="477" spans="1:2">
      <c r="A477" s="27">
        <v>45418</v>
      </c>
      <c r="B477" s="25">
        <v>4.334850457916292E-3</v>
      </c>
    </row>
    <row r="478" spans="1:2">
      <c r="A478" s="27">
        <v>45415</v>
      </c>
      <c r="B478" s="25">
        <v>4.3370842569836771E-3</v>
      </c>
    </row>
    <row r="479" spans="1:2">
      <c r="A479" s="27">
        <v>45414</v>
      </c>
      <c r="B479" s="25">
        <v>1.0717235423126151E-2</v>
      </c>
    </row>
    <row r="480" spans="1:2">
      <c r="A480" s="27">
        <v>45412</v>
      </c>
      <c r="B480" s="25">
        <v>-3.1400130684750664E-2</v>
      </c>
    </row>
    <row r="481" spans="1:2">
      <c r="A481" s="27">
        <v>45411</v>
      </c>
      <c r="B481" s="25">
        <v>-3.2316593353257945E-3</v>
      </c>
    </row>
    <row r="482" spans="1:2">
      <c r="A482" s="27">
        <v>45408</v>
      </c>
      <c r="B482" s="25">
        <v>-7.0454634083390692E-3</v>
      </c>
    </row>
    <row r="483" spans="1:2">
      <c r="A483" s="27">
        <v>45407</v>
      </c>
      <c r="B483" s="25">
        <v>4.9485666835844804E-3</v>
      </c>
    </row>
    <row r="484" spans="1:2">
      <c r="A484" s="27">
        <v>45406</v>
      </c>
      <c r="B484" s="25">
        <v>2.045832859230066E-3</v>
      </c>
    </row>
    <row r="485" spans="1:2">
      <c r="A485" s="27">
        <v>45405</v>
      </c>
      <c r="B485" s="25">
        <v>1.2164168395021064E-3</v>
      </c>
    </row>
    <row r="486" spans="1:2">
      <c r="A486" s="27">
        <v>45404</v>
      </c>
      <c r="B486" s="25">
        <v>-9.3080402331340503E-3</v>
      </c>
    </row>
    <row r="487" spans="1:2">
      <c r="A487" s="27">
        <v>45401</v>
      </c>
      <c r="B487" s="25">
        <v>-9.325094724347175E-3</v>
      </c>
    </row>
    <row r="488" spans="1:2">
      <c r="A488" s="27">
        <v>45400</v>
      </c>
      <c r="B488" s="25">
        <v>3.9142128619486984E-3</v>
      </c>
    </row>
    <row r="489" spans="1:2">
      <c r="A489" s="27">
        <v>45398</v>
      </c>
      <c r="B489" s="25">
        <v>1.1299493485958108E-2</v>
      </c>
    </row>
    <row r="490" spans="1:2">
      <c r="A490" s="27">
        <v>45397</v>
      </c>
      <c r="B490" s="25">
        <v>8.0572136410157445E-3</v>
      </c>
    </row>
    <row r="491" spans="1:2">
      <c r="A491" s="27">
        <v>45394</v>
      </c>
      <c r="B491" s="25">
        <v>7.8766506949579547E-3</v>
      </c>
    </row>
    <row r="492" spans="1:2">
      <c r="A492" s="27">
        <v>45392</v>
      </c>
      <c r="B492" s="25">
        <v>1.2280111208780945E-2</v>
      </c>
    </row>
    <row r="493" spans="1:2">
      <c r="A493" s="27">
        <v>45391</v>
      </c>
      <c r="B493" s="25">
        <v>-1.2244794703321536E-2</v>
      </c>
    </row>
    <row r="494" spans="1:2">
      <c r="A494" s="27">
        <v>45390</v>
      </c>
      <c r="B494" s="25">
        <v>1.0570925464520731E-2</v>
      </c>
    </row>
    <row r="495" spans="1:2">
      <c r="A495" s="27">
        <v>45387</v>
      </c>
      <c r="B495" s="25">
        <v>2.0378064437888774E-4</v>
      </c>
    </row>
    <row r="496" spans="1:2">
      <c r="A496" s="27">
        <v>45386</v>
      </c>
      <c r="B496" s="25">
        <v>7.2539842074111627E-3</v>
      </c>
    </row>
    <row r="497" spans="1:2">
      <c r="A497" s="27">
        <v>45385</v>
      </c>
      <c r="B497" s="25">
        <v>-1.2148816077436685E-2</v>
      </c>
    </row>
    <row r="498" spans="1:2">
      <c r="A498" s="27">
        <v>45384</v>
      </c>
      <c r="B498" s="25">
        <v>2.9062733123964759E-3</v>
      </c>
    </row>
    <row r="499" spans="1:2">
      <c r="A499" s="27">
        <v>45383</v>
      </c>
      <c r="B499" s="25">
        <v>-4.881990152372331E-3</v>
      </c>
    </row>
    <row r="500" spans="1:2">
      <c r="A500" s="27">
        <v>45379</v>
      </c>
      <c r="B500" s="25">
        <v>-7.9858206259706133E-3</v>
      </c>
    </row>
    <row r="501" spans="1:2">
      <c r="A501" s="27">
        <v>45378</v>
      </c>
      <c r="B501" s="25">
        <v>-4.5762403943511347E-3</v>
      </c>
    </row>
    <row r="502" spans="1:2">
      <c r="A502" s="27">
        <v>45377</v>
      </c>
      <c r="B502" s="25">
        <v>-5.7359712432514046E-3</v>
      </c>
    </row>
    <row r="503" spans="1:2">
      <c r="A503" s="27">
        <v>45373</v>
      </c>
      <c r="B503" s="25">
        <v>8.329490427395024E-3</v>
      </c>
    </row>
    <row r="504" spans="1:2">
      <c r="A504" s="27">
        <v>45372</v>
      </c>
      <c r="B504" s="25">
        <v>-6.7480729894745855E-3</v>
      </c>
    </row>
    <row r="505" spans="1:2">
      <c r="A505" s="27">
        <v>45371</v>
      </c>
      <c r="B505" s="25">
        <v>-1.9239790935658087E-3</v>
      </c>
    </row>
    <row r="506" spans="1:2">
      <c r="A506" s="27">
        <v>45370</v>
      </c>
      <c r="B506" s="25">
        <v>-7.4157627392797316E-4</v>
      </c>
    </row>
    <row r="507" spans="1:2">
      <c r="A507" s="27">
        <v>45369</v>
      </c>
      <c r="B507" s="25">
        <v>1.1561087828848798E-2</v>
      </c>
    </row>
    <row r="508" spans="1:2">
      <c r="A508" s="27">
        <v>45366</v>
      </c>
      <c r="B508" s="25">
        <v>3.6851827783810579E-3</v>
      </c>
    </row>
    <row r="509" spans="1:2">
      <c r="A509" s="27">
        <v>45365</v>
      </c>
      <c r="B509" s="25">
        <v>6.2767223438889115E-3</v>
      </c>
    </row>
    <row r="510" spans="1:2">
      <c r="A510" s="27">
        <v>45364</v>
      </c>
      <c r="B510" s="25">
        <v>-1.3374470550790879E-2</v>
      </c>
    </row>
    <row r="511" spans="1:2">
      <c r="A511" s="27">
        <v>45363</v>
      </c>
      <c r="B511" s="25">
        <v>1.1208814193587191E-2</v>
      </c>
    </row>
    <row r="512" spans="1:2">
      <c r="A512" s="27">
        <v>45362</v>
      </c>
      <c r="B512" s="25">
        <v>6.0374437046248333E-3</v>
      </c>
    </row>
    <row r="513" spans="1:2">
      <c r="A513" s="27">
        <v>45358</v>
      </c>
      <c r="B513" s="25">
        <v>-8.9274205270941341E-4</v>
      </c>
    </row>
    <row r="514" spans="1:2">
      <c r="A514" s="27">
        <v>45357</v>
      </c>
      <c r="B514" s="25">
        <v>-8.7236913294085269E-3</v>
      </c>
    </row>
    <row r="515" spans="1:2">
      <c r="A515" s="27">
        <v>45356</v>
      </c>
      <c r="B515" s="25">
        <v>-1.4030344020178572E-3</v>
      </c>
    </row>
    <row r="516" spans="1:2">
      <c r="A516" s="27">
        <v>45355</v>
      </c>
      <c r="B516" s="25">
        <v>4.786216041326511E-3</v>
      </c>
    </row>
    <row r="517" spans="1:2">
      <c r="A517" s="27">
        <v>45353</v>
      </c>
      <c r="B517" s="25">
        <v>1.0417861574917569E-2</v>
      </c>
    </row>
    <row r="518" spans="1:2">
      <c r="A518" s="27">
        <v>45352</v>
      </c>
      <c r="B518" s="25">
        <v>-7.0916721425035587E-3</v>
      </c>
    </row>
    <row r="519" spans="1:2">
      <c r="A519" s="27">
        <v>45351</v>
      </c>
      <c r="B519" s="25">
        <v>2.7256554389200492E-3</v>
      </c>
    </row>
    <row r="520" spans="1:2">
      <c r="A520" s="27">
        <v>45350</v>
      </c>
      <c r="B520" s="25">
        <v>-1.7972586323412882E-2</v>
      </c>
    </row>
    <row r="521" spans="1:2">
      <c r="A521" s="27">
        <v>45349</v>
      </c>
      <c r="B521" s="25">
        <v>1.8501945943063685E-2</v>
      </c>
    </row>
    <row r="522" spans="1:2">
      <c r="A522" s="27">
        <v>45348</v>
      </c>
      <c r="B522" s="25">
        <v>4.8035828306183396E-3</v>
      </c>
    </row>
    <row r="523" spans="1:2">
      <c r="A523" s="27">
        <v>45345</v>
      </c>
      <c r="B523" s="25">
        <v>3.1879186781693436E-2</v>
      </c>
    </row>
    <row r="524" spans="1:2">
      <c r="A524" s="27">
        <v>45344</v>
      </c>
      <c r="B524" s="25">
        <v>9.1940116954326127E-3</v>
      </c>
    </row>
    <row r="525" spans="1:2">
      <c r="A525" s="27">
        <v>45343</v>
      </c>
      <c r="B525" s="25">
        <v>-2.7347314696827009E-3</v>
      </c>
    </row>
    <row r="526" spans="1:2">
      <c r="A526" s="27">
        <v>45342</v>
      </c>
      <c r="B526" s="25">
        <v>8.3819850020613851E-4</v>
      </c>
    </row>
    <row r="527" spans="1:2">
      <c r="A527" s="27">
        <v>45341</v>
      </c>
      <c r="B527" s="25">
        <v>-5.6618732800081352E-3</v>
      </c>
    </row>
    <row r="528" spans="1:2">
      <c r="A528" s="27">
        <v>45338</v>
      </c>
      <c r="B528" s="25">
        <v>3.6462588848410016E-3</v>
      </c>
    </row>
    <row r="529" spans="1:2">
      <c r="A529" s="27">
        <v>45337</v>
      </c>
      <c r="B529" s="25">
        <v>-1.2894045890450797E-3</v>
      </c>
    </row>
    <row r="530" spans="1:2">
      <c r="A530" s="27">
        <v>45336</v>
      </c>
      <c r="B530" s="25">
        <v>-7.7686014419820586E-3</v>
      </c>
    </row>
    <row r="531" spans="1:2">
      <c r="A531" s="27">
        <v>45335</v>
      </c>
      <c r="B531" s="25">
        <v>-1.2009669068738101E-3</v>
      </c>
    </row>
    <row r="532" spans="1:2">
      <c r="A532" s="27">
        <v>45334</v>
      </c>
      <c r="B532" s="25">
        <v>-7.7139305850852597E-3</v>
      </c>
    </row>
    <row r="533" spans="1:2">
      <c r="A533" s="27">
        <v>45331</v>
      </c>
      <c r="B533" s="25">
        <v>3.9409962841339555E-3</v>
      </c>
    </row>
    <row r="534" spans="1:2">
      <c r="A534" s="27">
        <v>45330</v>
      </c>
      <c r="B534" s="25">
        <v>-7.3358117429135443E-3</v>
      </c>
    </row>
    <row r="535" spans="1:2">
      <c r="A535" s="27">
        <v>45329</v>
      </c>
      <c r="B535" s="25">
        <v>1.5061330894817534E-2</v>
      </c>
    </row>
    <row r="536" spans="1:2">
      <c r="A536" s="27">
        <v>45328</v>
      </c>
      <c r="B536" s="25">
        <v>-9.0743443100981449E-3</v>
      </c>
    </row>
    <row r="537" spans="1:2">
      <c r="A537" s="27">
        <v>45327</v>
      </c>
      <c r="B537" s="25">
        <v>-1.4802539003920081E-3</v>
      </c>
    </row>
    <row r="538" spans="1:2">
      <c r="A538" s="27">
        <v>45324</v>
      </c>
      <c r="B538" s="25">
        <v>4.0612546098562673E-3</v>
      </c>
    </row>
    <row r="539" spans="1:2">
      <c r="A539" s="27">
        <v>45323</v>
      </c>
      <c r="B539" s="25">
        <v>-4.1183369868587538E-3</v>
      </c>
    </row>
    <row r="540" spans="1:2">
      <c r="A540" s="27">
        <v>45322</v>
      </c>
      <c r="B540" s="25">
        <v>7.3050954325621729E-3</v>
      </c>
    </row>
    <row r="541" spans="1:2">
      <c r="A541" s="27">
        <v>45321</v>
      </c>
      <c r="B541" s="25">
        <v>-1.928795767899993E-3</v>
      </c>
    </row>
    <row r="542" spans="1:2">
      <c r="A542" s="27">
        <v>45320</v>
      </c>
      <c r="B542" s="25">
        <v>4.5734493462337034E-3</v>
      </c>
    </row>
    <row r="543" spans="1:2">
      <c r="A543" s="27">
        <v>45316</v>
      </c>
      <c r="B543" s="25">
        <v>-9.3304161806987158E-3</v>
      </c>
    </row>
    <row r="544" spans="1:2">
      <c r="A544" s="27">
        <v>45315</v>
      </c>
      <c r="B544" s="25">
        <v>1.5761673368194572E-2</v>
      </c>
    </row>
    <row r="545" spans="1:2">
      <c r="A545" s="27">
        <v>45314</v>
      </c>
      <c r="B545" s="25">
        <v>7.7794452954939204E-3</v>
      </c>
    </row>
    <row r="546" spans="1:2">
      <c r="A546" s="27">
        <v>45311</v>
      </c>
      <c r="B546" s="25">
        <v>3.0744489447482003E-2</v>
      </c>
    </row>
    <row r="547" spans="1:2">
      <c r="A547" s="27">
        <v>45310</v>
      </c>
      <c r="B547" s="25">
        <v>7.7814686428344017E-3</v>
      </c>
    </row>
    <row r="548" spans="1:2">
      <c r="A548" s="27">
        <v>45309</v>
      </c>
      <c r="B548" s="25">
        <v>-1.675208615542007E-3</v>
      </c>
    </row>
    <row r="549" spans="1:2">
      <c r="A549" s="27">
        <v>45308</v>
      </c>
      <c r="B549" s="25">
        <v>2.283500354449132E-2</v>
      </c>
    </row>
    <row r="550" spans="1:2">
      <c r="A550" s="27">
        <v>45307</v>
      </c>
      <c r="B550" s="25">
        <v>1.5465977802324676E-2</v>
      </c>
    </row>
    <row r="551" spans="1:2">
      <c r="A551" s="27">
        <v>45306</v>
      </c>
      <c r="B551" s="25">
        <v>-6.0675353888313991E-3</v>
      </c>
    </row>
    <row r="552" spans="1:2">
      <c r="A552" s="27">
        <v>45303</v>
      </c>
      <c r="B552" s="25">
        <v>-2.0146518750636302E-3</v>
      </c>
    </row>
    <row r="553" spans="1:2">
      <c r="A553" s="27">
        <v>45302</v>
      </c>
      <c r="B553" s="25">
        <v>1.8062242425709112E-3</v>
      </c>
    </row>
    <row r="554" spans="1:2">
      <c r="A554" s="27">
        <v>45301</v>
      </c>
      <c r="B554" s="25">
        <v>-2.6962904512033226E-3</v>
      </c>
    </row>
    <row r="555" spans="1:2">
      <c r="A555" s="27">
        <v>45300</v>
      </c>
      <c r="B555" s="25">
        <v>-5.0530763869128144E-3</v>
      </c>
    </row>
    <row r="556" spans="1:2">
      <c r="A556" s="27">
        <v>45299</v>
      </c>
      <c r="B556" s="25">
        <v>3.791955037791657E-3</v>
      </c>
    </row>
    <row r="557" spans="1:2">
      <c r="A557" s="27">
        <v>45296</v>
      </c>
      <c r="B557" s="25">
        <v>1.865276176699587E-2</v>
      </c>
    </row>
    <row r="558" spans="1:2">
      <c r="A558" s="27">
        <v>45295</v>
      </c>
      <c r="B558" s="25">
        <v>4.7985294017985824E-3</v>
      </c>
    </row>
    <row r="559" spans="1:2">
      <c r="A559" s="27">
        <v>45294</v>
      </c>
      <c r="B559" s="25">
        <v>-1.2136527095882557E-3</v>
      </c>
    </row>
    <row r="560" spans="1:2">
      <c r="A560" s="27">
        <v>45293</v>
      </c>
      <c r="B560" s="25">
        <v>5.1534289927662969E-3</v>
      </c>
    </row>
    <row r="561" spans="1:2">
      <c r="A561" s="27">
        <v>45292</v>
      </c>
      <c r="B561" s="25">
        <v>-3.4419602730027728E-4</v>
      </c>
    </row>
    <row r="562" spans="1:2">
      <c r="A562" s="27">
        <v>45289</v>
      </c>
      <c r="B562" s="25">
        <v>1.9378104680544102E-3</v>
      </c>
    </row>
    <row r="563" spans="1:2">
      <c r="A563" s="27">
        <v>45288</v>
      </c>
      <c r="B563" s="25">
        <v>-4.11141654901734E-3</v>
      </c>
    </row>
    <row r="564" spans="1:2">
      <c r="A564" s="27">
        <v>45287</v>
      </c>
      <c r="B564" s="25">
        <v>-9.3863077308961097E-4</v>
      </c>
    </row>
    <row r="565" spans="1:2">
      <c r="A565" s="27">
        <v>45286</v>
      </c>
      <c r="B565" s="25">
        <v>-5.9780031425822767E-3</v>
      </c>
    </row>
    <row r="566" spans="1:2">
      <c r="A566" s="27">
        <v>45282</v>
      </c>
      <c r="B566" s="25">
        <v>-1.0784760169151704E-2</v>
      </c>
    </row>
    <row r="567" spans="1:2">
      <c r="A567" s="27">
        <v>45281</v>
      </c>
      <c r="B567" s="25">
        <v>-1.0474926805580638E-2</v>
      </c>
    </row>
    <row r="568" spans="1:2">
      <c r="A568" s="27">
        <v>45280</v>
      </c>
      <c r="B568" s="25">
        <v>-2.1721501143426411E-3</v>
      </c>
    </row>
    <row r="569" spans="1:2">
      <c r="A569" s="27">
        <v>45279</v>
      </c>
      <c r="B569" s="25">
        <v>1.6838593732223763E-2</v>
      </c>
    </row>
    <row r="570" spans="1:2">
      <c r="A570" s="27">
        <v>45278</v>
      </c>
      <c r="B570" s="25">
        <v>-1.8227953499425908E-3</v>
      </c>
    </row>
    <row r="571" spans="1:2">
      <c r="A571" s="27">
        <v>45275</v>
      </c>
      <c r="B571" s="25">
        <v>-6.1789308254774347E-3</v>
      </c>
    </row>
    <row r="572" spans="1:2">
      <c r="A572" s="27">
        <v>45274</v>
      </c>
      <c r="B572" s="25">
        <v>-1.898025231229182E-2</v>
      </c>
    </row>
    <row r="573" spans="1:2">
      <c r="A573" s="27">
        <v>45273</v>
      </c>
      <c r="B573" s="25">
        <v>-2.3621787268795903E-3</v>
      </c>
    </row>
    <row r="574" spans="1:2">
      <c r="A574" s="27">
        <v>45272</v>
      </c>
      <c r="B574" s="25">
        <v>-3.978802398847953E-3</v>
      </c>
    </row>
    <row r="575" spans="1:2">
      <c r="A575" s="27">
        <v>45271</v>
      </c>
      <c r="B575" s="25">
        <v>3.9709404762078527E-3</v>
      </c>
    </row>
    <row r="576" spans="1:2">
      <c r="A576" s="27">
        <v>45268</v>
      </c>
      <c r="B576" s="25">
        <v>1.3970515473469077E-3</v>
      </c>
    </row>
    <row r="577" spans="1:2">
      <c r="A577" s="27">
        <v>45267</v>
      </c>
      <c r="B577" s="25">
        <v>8.1813626807846224E-3</v>
      </c>
    </row>
    <row r="578" spans="1:2">
      <c r="A578" s="27">
        <v>45266</v>
      </c>
      <c r="B578" s="25">
        <v>-4.6835472202105257E-3</v>
      </c>
    </row>
    <row r="579" spans="1:2">
      <c r="A579" s="27">
        <v>45265</v>
      </c>
      <c r="B579" s="25">
        <v>-4.3777501509944666E-3</v>
      </c>
    </row>
    <row r="580" spans="1:2">
      <c r="A580" s="27">
        <v>45264</v>
      </c>
      <c r="B580" s="25">
        <v>-8.5425715084386476E-3</v>
      </c>
    </row>
    <row r="581" spans="1:2">
      <c r="A581" s="27">
        <v>45261</v>
      </c>
      <c r="B581" s="25">
        <v>-4.6128906929761449E-3</v>
      </c>
    </row>
    <row r="582" spans="1:2">
      <c r="A582" s="27">
        <v>45260</v>
      </c>
      <c r="B582" s="25">
        <v>-1.6786149653297201E-2</v>
      </c>
    </row>
    <row r="583" spans="1:2">
      <c r="A583" s="27">
        <v>45259</v>
      </c>
      <c r="B583" s="25">
        <v>6.9937936900835518E-3</v>
      </c>
    </row>
    <row r="584" spans="1:2">
      <c r="A584" s="27">
        <v>45258</v>
      </c>
      <c r="B584" s="25">
        <v>9.7937425980166134E-5</v>
      </c>
    </row>
    <row r="585" spans="1:2">
      <c r="A585" s="27">
        <v>45254</v>
      </c>
      <c r="B585" s="25">
        <v>-3.0297852530362158E-3</v>
      </c>
    </row>
    <row r="586" spans="1:2">
      <c r="A586" s="27">
        <v>45253</v>
      </c>
      <c r="B586" s="25">
        <v>-2.2571005737390785E-3</v>
      </c>
    </row>
    <row r="587" spans="1:2">
      <c r="A587" s="27">
        <v>45252</v>
      </c>
      <c r="B587" s="25">
        <v>2.4626750039981581E-4</v>
      </c>
    </row>
    <row r="588" spans="1:2">
      <c r="A588" s="27">
        <v>45251</v>
      </c>
      <c r="B588" s="25">
        <v>5.0673195502971601E-3</v>
      </c>
    </row>
    <row r="589" spans="1:2">
      <c r="A589" s="27">
        <v>45250</v>
      </c>
      <c r="B589" s="25">
        <v>7.9720326506905591E-4</v>
      </c>
    </row>
    <row r="590" spans="1:2">
      <c r="A590" s="27">
        <v>45247</v>
      </c>
      <c r="B590" s="25">
        <v>9.322638269015705E-3</v>
      </c>
    </row>
    <row r="591" spans="1:2">
      <c r="A591" s="27">
        <v>45246</v>
      </c>
      <c r="B591" s="25">
        <v>-1.3284846962543019E-2</v>
      </c>
    </row>
    <row r="592" spans="1:2">
      <c r="A592" s="27">
        <v>45245</v>
      </c>
      <c r="B592" s="25">
        <v>-4.9719865951661363E-3</v>
      </c>
    </row>
    <row r="593" spans="1:2">
      <c r="A593" s="27">
        <v>45243</v>
      </c>
      <c r="B593" s="25">
        <v>-6.9637087944958076E-3</v>
      </c>
    </row>
    <row r="594" spans="1:2">
      <c r="A594" s="27">
        <v>45242</v>
      </c>
      <c r="B594" s="25">
        <v>3.8201085228169087E-3</v>
      </c>
    </row>
    <row r="595" spans="1:2">
      <c r="A595" s="27">
        <v>45240</v>
      </c>
      <c r="B595" s="25">
        <v>-6.7262208710531573E-3</v>
      </c>
    </row>
    <row r="596" spans="1:2">
      <c r="A596" s="27">
        <v>45239</v>
      </c>
      <c r="B596" s="25">
        <v>5.0671130683055355E-4</v>
      </c>
    </row>
    <row r="597" spans="1:2">
      <c r="A597" s="27">
        <v>45238</v>
      </c>
      <c r="B597" s="25">
        <v>5.552653583029696E-3</v>
      </c>
    </row>
    <row r="598" spans="1:2">
      <c r="A598" s="27">
        <v>45237</v>
      </c>
      <c r="B598" s="25">
        <v>-1.9400755836371627E-2</v>
      </c>
    </row>
    <row r="599" spans="1:2">
      <c r="A599" s="27">
        <v>45236</v>
      </c>
      <c r="B599" s="25">
        <v>-1.3292967176452694E-3</v>
      </c>
    </row>
    <row r="600" spans="1:2">
      <c r="A600" s="27">
        <v>45233</v>
      </c>
      <c r="B600" s="25">
        <v>-1.6611866456244396E-2</v>
      </c>
    </row>
    <row r="601" spans="1:2">
      <c r="A601" s="27">
        <v>45232</v>
      </c>
      <c r="B601" s="25">
        <v>-6.2227929704591761E-3</v>
      </c>
    </row>
    <row r="602" spans="1:2">
      <c r="A602" s="27">
        <v>45231</v>
      </c>
      <c r="B602" s="25">
        <v>-5.2184570889315177E-3</v>
      </c>
    </row>
    <row r="603" spans="1:2">
      <c r="A603" s="27">
        <v>45230</v>
      </c>
      <c r="B603" s="25">
        <v>1.7815604984882032E-2</v>
      </c>
    </row>
    <row r="604" spans="1:2">
      <c r="A604" s="27">
        <v>45229</v>
      </c>
      <c r="B604" s="25">
        <v>-1.0928326032616452E-2</v>
      </c>
    </row>
    <row r="605" spans="1:2">
      <c r="A605" s="27">
        <v>45226</v>
      </c>
      <c r="B605" s="25">
        <v>-5.2111228084957256E-3</v>
      </c>
    </row>
    <row r="606" spans="1:2">
      <c r="A606" s="27">
        <v>45225</v>
      </c>
      <c r="B606" s="25">
        <v>7.0212880274550971E-4</v>
      </c>
    </row>
    <row r="607" spans="1:2">
      <c r="A607" s="27">
        <v>45224</v>
      </c>
      <c r="B607" s="25">
        <v>3.2067312618753396E-2</v>
      </c>
    </row>
    <row r="608" spans="1:2">
      <c r="A608" s="27">
        <v>45222</v>
      </c>
      <c r="B608" s="25">
        <v>6.0741239072921276E-3</v>
      </c>
    </row>
    <row r="609" spans="1:2">
      <c r="A609" s="27">
        <v>45219</v>
      </c>
      <c r="B609" s="25">
        <v>1.2757412747905712E-2</v>
      </c>
    </row>
    <row r="610" spans="1:2">
      <c r="A610" s="27">
        <v>45218</v>
      </c>
      <c r="B610" s="25">
        <v>-2.6923621104375994E-3</v>
      </c>
    </row>
    <row r="611" spans="1:2">
      <c r="A611" s="27">
        <v>45217</v>
      </c>
      <c r="B611" s="25">
        <v>-2.0086778122044824E-3</v>
      </c>
    </row>
    <row r="612" spans="1:2">
      <c r="A612" s="27">
        <v>45216</v>
      </c>
      <c r="B612" s="25">
        <v>4.5690146428894324E-3</v>
      </c>
    </row>
    <row r="613" spans="1:2">
      <c r="A613" s="27">
        <v>45215</v>
      </c>
      <c r="B613" s="25">
        <v>-2.3957908232980986E-3</v>
      </c>
    </row>
    <row r="614" spans="1:2">
      <c r="A614" s="27">
        <v>45212</v>
      </c>
      <c r="B614" s="25">
        <v>8.9977340534088956E-3</v>
      </c>
    </row>
    <row r="615" spans="1:2">
      <c r="A615" s="27">
        <v>45211</v>
      </c>
      <c r="B615" s="25">
        <v>1.4060669874958944E-3</v>
      </c>
    </row>
    <row r="616" spans="1:2">
      <c r="A616" s="27">
        <v>45210</v>
      </c>
      <c r="B616" s="25">
        <v>-7.8248502894245702E-4</v>
      </c>
    </row>
    <row r="617" spans="1:2">
      <c r="A617" s="27">
        <v>45209</v>
      </c>
      <c r="B617" s="25">
        <v>-2.8413528157720663E-3</v>
      </c>
    </row>
    <row r="618" spans="1:2">
      <c r="A618" s="27">
        <v>45208</v>
      </c>
      <c r="B618" s="25">
        <v>-1.534936096637194E-4</v>
      </c>
    </row>
    <row r="619" spans="1:2">
      <c r="A619" s="27">
        <v>45205</v>
      </c>
      <c r="B619" s="25">
        <v>1.2940563859452303E-2</v>
      </c>
    </row>
    <row r="620" spans="1:2">
      <c r="A620" s="27">
        <v>45204</v>
      </c>
      <c r="B620" s="25">
        <v>1.4866662501519165E-3</v>
      </c>
    </row>
    <row r="621" spans="1:2">
      <c r="A621" s="27">
        <v>45203</v>
      </c>
      <c r="B621" s="25">
        <v>-9.0605520562608063E-3</v>
      </c>
    </row>
    <row r="622" spans="1:2">
      <c r="A622" s="27">
        <v>45202</v>
      </c>
      <c r="B622" s="25">
        <v>1.7673505800158386E-4</v>
      </c>
    </row>
    <row r="623" spans="1:2">
      <c r="A623" s="27">
        <v>45198</v>
      </c>
      <c r="B623" s="25">
        <v>-4.7729379529491846E-4</v>
      </c>
    </row>
    <row r="624" spans="1:2">
      <c r="A624" s="27">
        <v>45197</v>
      </c>
      <c r="B624" s="25">
        <v>1.675894743999272E-3</v>
      </c>
    </row>
    <row r="625" spans="1:2">
      <c r="A625" s="27">
        <v>45196</v>
      </c>
      <c r="B625" s="25">
        <v>4.0797037649905769E-2</v>
      </c>
    </row>
    <row r="626" spans="1:2">
      <c r="A626" s="27">
        <v>45195</v>
      </c>
      <c r="B626" s="25">
        <v>-3.0594627985514175E-3</v>
      </c>
    </row>
    <row r="627" spans="1:2">
      <c r="A627" s="27">
        <v>45194</v>
      </c>
      <c r="B627" s="25">
        <v>9.8882430108283761E-3</v>
      </c>
    </row>
    <row r="628" spans="1:2">
      <c r="A628" s="27">
        <v>45191</v>
      </c>
      <c r="B628" s="25">
        <v>4.8395980100213974E-3</v>
      </c>
    </row>
    <row r="629" spans="1:2">
      <c r="A629" s="27">
        <v>45190</v>
      </c>
      <c r="B629" s="25">
        <v>-1.7012794037120461E-2</v>
      </c>
    </row>
    <row r="630" spans="1:2">
      <c r="A630" s="27">
        <v>45189</v>
      </c>
      <c r="B630" s="25">
        <v>-7.9087530130817398E-3</v>
      </c>
    </row>
    <row r="631" spans="1:2">
      <c r="A631" s="27">
        <v>45187</v>
      </c>
      <c r="B631" s="25">
        <v>-1.4678921088281671E-3</v>
      </c>
    </row>
    <row r="632" spans="1:2">
      <c r="A632" s="27">
        <v>45184</v>
      </c>
      <c r="B632" s="25">
        <v>-7.2082417865747947E-3</v>
      </c>
    </row>
    <row r="633" spans="1:2">
      <c r="A633" s="27">
        <v>45183</v>
      </c>
      <c r="B633" s="25">
        <v>1.3391919568045113E-2</v>
      </c>
    </row>
    <row r="634" spans="1:2">
      <c r="A634" s="27">
        <v>45182</v>
      </c>
      <c r="B634" s="25">
        <v>7.0440196880681757E-3</v>
      </c>
    </row>
    <row r="635" spans="1:2">
      <c r="A635" s="27">
        <v>45181</v>
      </c>
      <c r="B635" s="25">
        <v>-5.4184674894133837E-3</v>
      </c>
    </row>
    <row r="636" spans="1:2">
      <c r="A636" s="27">
        <v>45180</v>
      </c>
      <c r="B636" s="25">
        <v>3.9310204601583944E-3</v>
      </c>
    </row>
    <row r="637" spans="1:2">
      <c r="A637" s="27">
        <v>45177</v>
      </c>
      <c r="B637" s="25">
        <v>-6.1942361213025042E-3</v>
      </c>
    </row>
    <row r="638" spans="1:2">
      <c r="A638" s="27">
        <v>45176</v>
      </c>
      <c r="B638" s="25">
        <v>-2.8001363905935515E-5</v>
      </c>
    </row>
    <row r="639" spans="1:2">
      <c r="A639" s="27">
        <v>45175</v>
      </c>
      <c r="B639" s="25">
        <v>-3.4554220553984966E-3</v>
      </c>
    </row>
    <row r="640" spans="1:2">
      <c r="A640" s="27">
        <v>45174</v>
      </c>
      <c r="B640" s="25">
        <v>-8.0797187932329408E-4</v>
      </c>
    </row>
    <row r="641" spans="1:2">
      <c r="A641" s="27">
        <v>45173</v>
      </c>
      <c r="B641" s="25">
        <v>3.2470675444243491E-3</v>
      </c>
    </row>
    <row r="642" spans="1:2">
      <c r="A642" s="27">
        <v>45170</v>
      </c>
      <c r="B642" s="25">
        <v>7.4404369467387863E-3</v>
      </c>
    </row>
    <row r="643" spans="1:2">
      <c r="A643" s="27">
        <v>45169</v>
      </c>
      <c r="B643" s="25">
        <v>-2.2087448337222617E-3</v>
      </c>
    </row>
    <row r="644" spans="1:2">
      <c r="A644" s="27">
        <v>45168</v>
      </c>
      <c r="B644" s="25">
        <v>8.4851286854691413E-3</v>
      </c>
    </row>
    <row r="645" spans="1:2">
      <c r="A645" s="27">
        <v>45167</v>
      </c>
      <c r="B645" s="25">
        <v>-2.4962051555452876E-3</v>
      </c>
    </row>
    <row r="646" spans="1:2">
      <c r="A646" s="27">
        <v>45166</v>
      </c>
      <c r="B646" s="25">
        <v>-9.4665667141350576E-3</v>
      </c>
    </row>
    <row r="647" spans="1:2">
      <c r="A647" s="27">
        <v>45163</v>
      </c>
      <c r="B647" s="25">
        <v>-1.0727197637713734E-3</v>
      </c>
    </row>
    <row r="648" spans="1:2">
      <c r="A648" s="27">
        <v>45162</v>
      </c>
      <c r="B648" s="25">
        <v>-4.5393263202423689E-3</v>
      </c>
    </row>
    <row r="649" spans="1:2">
      <c r="A649" s="27">
        <v>45161</v>
      </c>
      <c r="B649" s="25">
        <v>-1.5242576756620291E-2</v>
      </c>
    </row>
    <row r="650" spans="1:2">
      <c r="A650" s="27">
        <v>45160</v>
      </c>
      <c r="B650" s="25">
        <v>4.1723835008918766E-3</v>
      </c>
    </row>
    <row r="651" spans="1:2">
      <c r="A651" s="27">
        <v>45159</v>
      </c>
      <c r="B651" s="25">
        <v>4.8520076684174557E-4</v>
      </c>
    </row>
    <row r="652" spans="1:2">
      <c r="A652" s="27">
        <v>45156</v>
      </c>
      <c r="B652" s="25">
        <v>-3.8673875541014855E-3</v>
      </c>
    </row>
    <row r="653" spans="1:2">
      <c r="A653" s="27">
        <v>45155</v>
      </c>
      <c r="B653" s="25">
        <v>3.6777235964335253E-3</v>
      </c>
    </row>
    <row r="654" spans="1:2">
      <c r="A654" s="27">
        <v>45154</v>
      </c>
      <c r="B654" s="25">
        <v>1.8646932010463252E-3</v>
      </c>
    </row>
    <row r="655" spans="1:2">
      <c r="A655" s="27">
        <v>45152</v>
      </c>
      <c r="B655" s="25">
        <v>1.5574229669239402E-4</v>
      </c>
    </row>
    <row r="656" spans="1:2">
      <c r="A656" s="27">
        <v>45149</v>
      </c>
      <c r="B656" s="25">
        <v>-2.1238358056427683E-3</v>
      </c>
    </row>
    <row r="657" spans="1:2">
      <c r="A657" s="27">
        <v>45148</v>
      </c>
      <c r="B657" s="25">
        <v>1.028368074085328E-2</v>
      </c>
    </row>
    <row r="658" spans="1:2">
      <c r="A658" s="27">
        <v>45147</v>
      </c>
      <c r="B658" s="25">
        <v>2.1134317130417395E-2</v>
      </c>
    </row>
    <row r="659" spans="1:2">
      <c r="A659" s="27">
        <v>45146</v>
      </c>
      <c r="B659" s="25">
        <v>6.319751179702543E-3</v>
      </c>
    </row>
    <row r="660" spans="1:2">
      <c r="A660" s="27">
        <v>45145</v>
      </c>
      <c r="B660" s="25">
        <v>-1.4090585594357052E-3</v>
      </c>
    </row>
    <row r="661" spans="1:2">
      <c r="A661" s="27">
        <v>45142</v>
      </c>
      <c r="B661" s="25">
        <v>-1.4044980630139225E-3</v>
      </c>
    </row>
    <row r="662" spans="1:2">
      <c r="A662" s="27">
        <v>45141</v>
      </c>
      <c r="B662" s="25">
        <v>-2.932313840341177E-3</v>
      </c>
    </row>
    <row r="663" spans="1:2">
      <c r="A663" s="27">
        <v>45140</v>
      </c>
      <c r="B663" s="25">
        <v>9.4936745541908934E-3</v>
      </c>
    </row>
    <row r="664" spans="1:2">
      <c r="A664" s="27">
        <v>45139</v>
      </c>
      <c r="B664" s="25">
        <v>-4.9835556866805351E-3</v>
      </c>
    </row>
    <row r="665" spans="1:2">
      <c r="A665" s="27">
        <v>45138</v>
      </c>
      <c r="B665" s="25">
        <v>1.0445096669562109E-3</v>
      </c>
    </row>
    <row r="666" spans="1:2">
      <c r="A666" s="27">
        <v>45135</v>
      </c>
      <c r="B666" s="25">
        <v>-1.235545067980518E-4</v>
      </c>
    </row>
    <row r="667" spans="1:2">
      <c r="A667" s="27">
        <v>45134</v>
      </c>
      <c r="B667" s="25">
        <v>-6.3733915858952914E-3</v>
      </c>
    </row>
    <row r="668" spans="1:2">
      <c r="A668" s="27">
        <v>45133</v>
      </c>
      <c r="B668" s="25">
        <v>-1.9629418346347181E-4</v>
      </c>
    </row>
    <row r="669" spans="1:2">
      <c r="A669" s="27">
        <v>45132</v>
      </c>
      <c r="B669" s="25">
        <v>4.6728611009126562E-3</v>
      </c>
    </row>
    <row r="670" spans="1:2">
      <c r="A670" s="27">
        <v>45131</v>
      </c>
      <c r="B670" s="25">
        <v>3.2298154530071378E-2</v>
      </c>
    </row>
    <row r="671" spans="1:2">
      <c r="A671" s="27">
        <v>45128</v>
      </c>
      <c r="B671" s="25">
        <v>-3.774257105303414E-3</v>
      </c>
    </row>
    <row r="672" spans="1:2">
      <c r="A672" s="27">
        <v>45127</v>
      </c>
      <c r="B672" s="25">
        <v>-5.893209717854498E-4</v>
      </c>
    </row>
    <row r="673" spans="1:2">
      <c r="A673" s="27">
        <v>45126</v>
      </c>
      <c r="B673" s="25">
        <v>-3.3304670243972895E-3</v>
      </c>
    </row>
    <row r="674" spans="1:2">
      <c r="A674" s="27">
        <v>45125</v>
      </c>
      <c r="B674" s="25">
        <v>-3.6879271469789039E-4</v>
      </c>
    </row>
    <row r="675" spans="1:2">
      <c r="A675" s="27">
        <v>45124</v>
      </c>
      <c r="B675" s="25">
        <v>-1.2491211611568713E-2</v>
      </c>
    </row>
    <row r="676" spans="1:2">
      <c r="A676" s="27">
        <v>45121</v>
      </c>
      <c r="B676" s="25">
        <v>-9.0404364981988387E-3</v>
      </c>
    </row>
    <row r="677" spans="1:2">
      <c r="A677" s="27">
        <v>45120</v>
      </c>
      <c r="B677" s="25">
        <v>-8.7089682964836355E-3</v>
      </c>
    </row>
    <row r="678" spans="1:2">
      <c r="A678" s="27">
        <v>45119</v>
      </c>
      <c r="B678" s="25">
        <v>3.2510107342594518E-3</v>
      </c>
    </row>
    <row r="679" spans="1:2">
      <c r="A679" s="27">
        <v>45118</v>
      </c>
      <c r="B679" s="25">
        <v>-2.6106549835163951E-3</v>
      </c>
    </row>
    <row r="680" spans="1:2">
      <c r="A680" s="27">
        <v>45117</v>
      </c>
      <c r="B680" s="25">
        <v>-1.1198231255668066E-2</v>
      </c>
    </row>
    <row r="681" spans="1:2">
      <c r="A681" s="27">
        <v>45114</v>
      </c>
      <c r="B681" s="25">
        <v>-3.3680197580841976E-4</v>
      </c>
    </row>
    <row r="682" spans="1:2">
      <c r="A682" s="27">
        <v>45113</v>
      </c>
      <c r="B682" s="25">
        <v>1.399680184325375E-2</v>
      </c>
    </row>
    <row r="683" spans="1:2">
      <c r="A683" s="27">
        <v>45112</v>
      </c>
      <c r="B683" s="25">
        <v>-5.7277567150001386E-3</v>
      </c>
    </row>
    <row r="684" spans="1:2">
      <c r="A684" s="27">
        <v>45111</v>
      </c>
      <c r="B684" s="25">
        <v>-9.0926520285968225E-3</v>
      </c>
    </row>
    <row r="685" spans="1:2">
      <c r="A685" s="27">
        <v>45110</v>
      </c>
      <c r="B685" s="25">
        <v>2.0598251432651388E-3</v>
      </c>
    </row>
    <row r="686" spans="1:2">
      <c r="A686" s="27">
        <v>45107</v>
      </c>
      <c r="B686" s="25">
        <v>-2.4349590196902905E-4</v>
      </c>
    </row>
    <row r="687" spans="1:2">
      <c r="A687" s="27">
        <v>45105</v>
      </c>
      <c r="B687" s="25">
        <v>-2.9069314447078155E-3</v>
      </c>
    </row>
    <row r="688" spans="1:2">
      <c r="A688" s="27">
        <v>45104</v>
      </c>
      <c r="B688" s="25">
        <v>-4.0036984722076341E-3</v>
      </c>
    </row>
    <row r="689" spans="1:2">
      <c r="A689" s="27">
        <v>45103</v>
      </c>
      <c r="B689" s="25">
        <v>-3.7511926471504322E-3</v>
      </c>
    </row>
    <row r="690" spans="1:2">
      <c r="A690" s="27">
        <v>45100</v>
      </c>
      <c r="B690" s="25">
        <v>-2.57678251330577E-3</v>
      </c>
    </row>
    <row r="691" spans="1:2">
      <c r="A691" s="27">
        <v>45099</v>
      </c>
      <c r="B691" s="25">
        <v>-1.1287023869662636E-2</v>
      </c>
    </row>
    <row r="692" spans="1:2">
      <c r="A692" s="27">
        <v>45098</v>
      </c>
      <c r="B692" s="25">
        <v>1.8128978134110137E-2</v>
      </c>
    </row>
    <row r="693" spans="1:2">
      <c r="A693" s="27">
        <v>45097</v>
      </c>
      <c r="B693" s="25">
        <v>-2.7023102527723841E-3</v>
      </c>
    </row>
    <row r="694" spans="1:2">
      <c r="A694" s="27">
        <v>45096</v>
      </c>
      <c r="B694" s="25">
        <v>-1.1581354221022798E-3</v>
      </c>
    </row>
    <row r="695" spans="1:2">
      <c r="A695" s="27">
        <v>45093</v>
      </c>
      <c r="B695" s="25">
        <v>1.3572899739458619E-4</v>
      </c>
    </row>
    <row r="696" spans="1:2">
      <c r="A696" s="27">
        <v>45092</v>
      </c>
      <c r="B696" s="25">
        <v>-3.605527120652448E-3</v>
      </c>
    </row>
    <row r="697" spans="1:2">
      <c r="A697" s="27">
        <v>45091</v>
      </c>
      <c r="B697" s="25">
        <v>-8.0769632022179485E-3</v>
      </c>
    </row>
    <row r="698" spans="1:2">
      <c r="A698" s="27">
        <v>45090</v>
      </c>
      <c r="B698" s="25">
        <v>-3.5059098897060235E-3</v>
      </c>
    </row>
    <row r="699" spans="1:2">
      <c r="A699" s="27">
        <v>45089</v>
      </c>
      <c r="B699" s="25">
        <v>-2.2510914059113114E-2</v>
      </c>
    </row>
    <row r="700" spans="1:2">
      <c r="A700" s="27">
        <v>45086</v>
      </c>
      <c r="B700" s="25">
        <v>-3.0528012416684222E-3</v>
      </c>
    </row>
    <row r="701" spans="1:2">
      <c r="A701" s="27">
        <v>45085</v>
      </c>
      <c r="B701" s="25">
        <v>8.3116991625026074E-3</v>
      </c>
    </row>
    <row r="702" spans="1:2">
      <c r="A702" s="27">
        <v>45084</v>
      </c>
      <c r="B702" s="25">
        <v>3.6805661727972328E-3</v>
      </c>
    </row>
    <row r="703" spans="1:2">
      <c r="A703" s="27">
        <v>45083</v>
      </c>
      <c r="B703" s="25">
        <v>-3.7969964900058076E-3</v>
      </c>
    </row>
    <row r="704" spans="1:2">
      <c r="A704" s="27">
        <v>45082</v>
      </c>
      <c r="B704" s="25">
        <v>-3.3522371778298976E-3</v>
      </c>
    </row>
    <row r="705" spans="1:2">
      <c r="A705" s="27">
        <v>45079</v>
      </c>
      <c r="B705" s="25">
        <v>9.4422414854592029E-3</v>
      </c>
    </row>
    <row r="706" spans="1:2">
      <c r="A706" s="27">
        <v>45078</v>
      </c>
      <c r="B706" s="25">
        <v>1.1497111093312453E-3</v>
      </c>
    </row>
    <row r="707" spans="1:2">
      <c r="A707" s="27">
        <v>45077</v>
      </c>
      <c r="B707" s="25">
        <v>-9.9319754582799583E-3</v>
      </c>
    </row>
    <row r="708" spans="1:2">
      <c r="A708" s="27">
        <v>45076</v>
      </c>
      <c r="B708" s="25">
        <v>-1.2863489636799735E-2</v>
      </c>
    </row>
    <row r="709" spans="1:2">
      <c r="A709" s="27">
        <v>45075</v>
      </c>
      <c r="B709" s="25">
        <v>-4.9329911168591823E-3</v>
      </c>
    </row>
    <row r="710" spans="1:2">
      <c r="A710" s="27">
        <v>45072</v>
      </c>
      <c r="B710" s="25">
        <v>3.0373849400243862E-5</v>
      </c>
    </row>
    <row r="711" spans="1:2">
      <c r="A711" s="27">
        <v>45071</v>
      </c>
      <c r="B711" s="25">
        <v>-4.2443281300258689E-3</v>
      </c>
    </row>
    <row r="712" spans="1:2">
      <c r="A712" s="27">
        <v>45070</v>
      </c>
      <c r="B712" s="25">
        <v>-6.2543191861087451E-3</v>
      </c>
    </row>
    <row r="713" spans="1:2">
      <c r="A713" s="27">
        <v>45069</v>
      </c>
      <c r="B713" s="25">
        <v>4.007372012540639E-3</v>
      </c>
    </row>
    <row r="714" spans="1:2">
      <c r="A714" s="27">
        <v>45068</v>
      </c>
      <c r="B714" s="25">
        <v>-1.0916720421521073E-2</v>
      </c>
    </row>
    <row r="715" spans="1:2">
      <c r="A715" s="27">
        <v>45065</v>
      </c>
      <c r="B715" s="25">
        <v>-5.328020475926531E-4</v>
      </c>
    </row>
    <row r="716" spans="1:2">
      <c r="A716" s="27">
        <v>45064</v>
      </c>
      <c r="B716" s="25">
        <v>5.8312643686729317E-3</v>
      </c>
    </row>
    <row r="717" spans="1:2">
      <c r="A717" s="27">
        <v>45063</v>
      </c>
      <c r="B717" s="25">
        <v>-4.8536396646809126E-3</v>
      </c>
    </row>
    <row r="718" spans="1:2">
      <c r="A718" s="27">
        <v>45062</v>
      </c>
      <c r="B718" s="25">
        <v>8.5249456633166368E-3</v>
      </c>
    </row>
    <row r="719" spans="1:2">
      <c r="A719" s="27">
        <v>45061</v>
      </c>
      <c r="B719" s="25">
        <v>3.3411674557432811E-3</v>
      </c>
    </row>
    <row r="720" spans="1:2">
      <c r="A720" s="27">
        <v>45058</v>
      </c>
      <c r="B720" s="25">
        <v>1.4590943270407742E-3</v>
      </c>
    </row>
    <row r="721" spans="1:2">
      <c r="A721" s="27">
        <v>45057</v>
      </c>
      <c r="B721" s="25">
        <v>1.8958548958103003E-3</v>
      </c>
    </row>
    <row r="722" spans="1:2">
      <c r="A722" s="27">
        <v>45056</v>
      </c>
      <c r="B722" s="25">
        <v>-2.7490732706326061E-2</v>
      </c>
    </row>
    <row r="723" spans="1:2">
      <c r="A723" s="27">
        <v>45055</v>
      </c>
      <c r="B723" s="25">
        <v>-2.6715654145954329E-3</v>
      </c>
    </row>
    <row r="724" spans="1:2">
      <c r="A724" s="27">
        <v>45054</v>
      </c>
      <c r="B724" s="25">
        <v>-4.4100154598790886E-3</v>
      </c>
    </row>
    <row r="725" spans="1:2">
      <c r="A725" s="27">
        <v>45051</v>
      </c>
      <c r="B725" s="25">
        <v>-4.7890327028579692E-3</v>
      </c>
    </row>
    <row r="726" spans="1:2">
      <c r="A726" s="27">
        <v>45050</v>
      </c>
      <c r="B726" s="25">
        <v>-6.0618675378967231E-3</v>
      </c>
    </row>
    <row r="727" spans="1:2">
      <c r="A727" s="27">
        <v>45049</v>
      </c>
      <c r="B727" s="25">
        <v>-1.5605493573961449E-2</v>
      </c>
    </row>
    <row r="728" spans="1:2">
      <c r="A728" s="27">
        <v>45048</v>
      </c>
      <c r="B728" s="25">
        <v>-8.6606021011589335E-3</v>
      </c>
    </row>
    <row r="729" spans="1:2">
      <c r="A729" s="27">
        <v>45044</v>
      </c>
      <c r="B729" s="25">
        <v>-2.3523146364908079E-3</v>
      </c>
    </row>
    <row r="730" spans="1:2">
      <c r="A730" s="27">
        <v>45043</v>
      </c>
      <c r="B730" s="25">
        <v>-3.6787289181714443E-3</v>
      </c>
    </row>
    <row r="731" spans="1:2">
      <c r="A731" s="27">
        <v>45042</v>
      </c>
      <c r="B731" s="25">
        <v>2.4925926653015418E-3</v>
      </c>
    </row>
    <row r="732" spans="1:2">
      <c r="A732" s="27">
        <v>45041</v>
      </c>
      <c r="B732" s="25">
        <v>-6.1606504057171961E-3</v>
      </c>
    </row>
    <row r="733" spans="1:2">
      <c r="A733" s="27">
        <v>45040</v>
      </c>
      <c r="B733" s="25">
        <v>-9.4901594893001269E-4</v>
      </c>
    </row>
    <row r="734" spans="1:2">
      <c r="A734" s="27">
        <v>45037</v>
      </c>
      <c r="B734" s="25">
        <v>-4.4862725279437949E-3</v>
      </c>
    </row>
    <row r="735" spans="1:2">
      <c r="A735" s="27">
        <v>45036</v>
      </c>
      <c r="B735" s="25">
        <v>-1.1928019289886771E-2</v>
      </c>
    </row>
    <row r="736" spans="1:2">
      <c r="A736" s="27">
        <v>45035</v>
      </c>
      <c r="B736" s="25">
        <v>-9.3700680390061391E-3</v>
      </c>
    </row>
    <row r="737" spans="1:2">
      <c r="A737" s="27">
        <v>45034</v>
      </c>
      <c r="B737" s="25">
        <v>1.2192134396177567E-2</v>
      </c>
    </row>
    <row r="738" spans="1:2">
      <c r="A738" s="27">
        <v>45033</v>
      </c>
      <c r="B738" s="25">
        <v>-2.4855694774169133E-3</v>
      </c>
    </row>
    <row r="739" spans="1:2">
      <c r="A739" s="27">
        <v>45029</v>
      </c>
      <c r="B739" s="25">
        <v>-8.8494840322942588E-3</v>
      </c>
    </row>
    <row r="740" spans="1:2">
      <c r="A740" s="27">
        <v>45028</v>
      </c>
      <c r="B740" s="25">
        <v>-4.724837861236458E-3</v>
      </c>
    </row>
    <row r="741" spans="1:2">
      <c r="A741" s="27">
        <v>45027</v>
      </c>
      <c r="B741" s="25">
        <v>-1.0970011641972425E-2</v>
      </c>
    </row>
    <row r="742" spans="1:2">
      <c r="A742" s="27">
        <v>45026</v>
      </c>
      <c r="B742" s="25">
        <v>1.2481863168552938E-2</v>
      </c>
    </row>
    <row r="743" spans="1:2">
      <c r="A743" s="27">
        <v>45022</v>
      </c>
      <c r="B743" s="25">
        <v>8.7077853406246474E-3</v>
      </c>
    </row>
    <row r="744" spans="1:2">
      <c r="A744" s="27">
        <v>45021</v>
      </c>
      <c r="B744" s="25">
        <v>-1.8956523314133708E-3</v>
      </c>
    </row>
    <row r="745" spans="1:2">
      <c r="A745" s="27">
        <v>45019</v>
      </c>
      <c r="B745" s="25">
        <v>-1.098440988579377E-2</v>
      </c>
    </row>
    <row r="746" spans="1:2">
      <c r="A746" s="27">
        <v>45016</v>
      </c>
      <c r="B746" s="25">
        <v>-3.8656884084665214E-3</v>
      </c>
    </row>
    <row r="747" spans="1:2">
      <c r="A747" s="27">
        <v>45014</v>
      </c>
      <c r="B747" s="25">
        <v>-5.6789494386402307E-4</v>
      </c>
    </row>
    <row r="748" spans="1:2">
      <c r="A748" s="27">
        <v>45013</v>
      </c>
      <c r="B748" s="25">
        <v>4.330025579299829E-3</v>
      </c>
    </row>
    <row r="749" spans="1:2">
      <c r="A749" s="27">
        <v>45012</v>
      </c>
      <c r="B749" s="25">
        <v>5.7861438436784879E-3</v>
      </c>
    </row>
    <row r="750" spans="1:2">
      <c r="A750" s="27">
        <v>45009</v>
      </c>
      <c r="B750" s="25">
        <v>-1.5572735086785809E-3</v>
      </c>
    </row>
    <row r="751" spans="1:2">
      <c r="A751" s="27">
        <v>45008</v>
      </c>
      <c r="B751" s="25">
        <v>1.1688714261472249E-3</v>
      </c>
    </row>
    <row r="752" spans="1:2">
      <c r="A752" s="27">
        <v>45007</v>
      </c>
      <c r="B752" s="25">
        <v>1.4969347990574061E-2</v>
      </c>
    </row>
    <row r="753" spans="1:2">
      <c r="A753" s="27">
        <v>45006</v>
      </c>
      <c r="B753" s="25">
        <v>-5.6924578919895295E-4</v>
      </c>
    </row>
    <row r="754" spans="1:2">
      <c r="A754" s="27">
        <v>45005</v>
      </c>
      <c r="B754" s="25">
        <v>4.8403404106492267E-3</v>
      </c>
    </row>
    <row r="755" spans="1:2">
      <c r="A755" s="27">
        <v>45002</v>
      </c>
      <c r="B755" s="25">
        <v>2.2819782394127935E-3</v>
      </c>
    </row>
    <row r="756" spans="1:2">
      <c r="A756" s="27">
        <v>45001</v>
      </c>
      <c r="B756" s="25">
        <v>1.0157687585195918E-2</v>
      </c>
    </row>
    <row r="757" spans="1:2">
      <c r="A757" s="27">
        <v>45000</v>
      </c>
      <c r="B757" s="25">
        <v>-1.985922063424287E-2</v>
      </c>
    </row>
    <row r="758" spans="1:2">
      <c r="A758" s="27">
        <v>44999</v>
      </c>
      <c r="B758" s="25">
        <v>-2.4472089266679944E-2</v>
      </c>
    </row>
    <row r="759" spans="1:2">
      <c r="A759" s="27">
        <v>44998</v>
      </c>
      <c r="B759" s="25">
        <v>1.0382522016617169E-2</v>
      </c>
    </row>
    <row r="760" spans="1:2">
      <c r="A760" s="27">
        <v>44995</v>
      </c>
      <c r="B760" s="25">
        <v>1.5266445292218071E-2</v>
      </c>
    </row>
    <row r="761" spans="1:2">
      <c r="A761" s="27">
        <v>44994</v>
      </c>
      <c r="B761" s="25">
        <v>6.1165221514485717E-3</v>
      </c>
    </row>
    <row r="762" spans="1:2">
      <c r="A762" s="27">
        <v>44993</v>
      </c>
      <c r="B762" s="25">
        <v>6.9710891011470495E-4</v>
      </c>
    </row>
    <row r="763" spans="1:2">
      <c r="A763" s="27">
        <v>44991</v>
      </c>
      <c r="B763" s="25">
        <v>1.0425989199856186E-3</v>
      </c>
    </row>
    <row r="764" spans="1:2">
      <c r="A764" s="27">
        <v>44988</v>
      </c>
      <c r="B764" s="25">
        <v>-1.2040472463639207E-2</v>
      </c>
    </row>
    <row r="765" spans="1:2">
      <c r="A765" s="27">
        <v>44987</v>
      </c>
      <c r="B765" s="25">
        <v>-2.1378134441545443E-4</v>
      </c>
    </row>
    <row r="766" spans="1:2">
      <c r="A766" s="27">
        <v>44986</v>
      </c>
      <c r="B766" s="25">
        <v>1.0338326803591999E-3</v>
      </c>
    </row>
    <row r="767" spans="1:2">
      <c r="A767" s="27">
        <v>44985</v>
      </c>
      <c r="B767" s="25">
        <v>-3.7551987735926808E-3</v>
      </c>
    </row>
    <row r="768" spans="1:2">
      <c r="A768" s="27">
        <v>44984</v>
      </c>
      <c r="B768" s="25">
        <v>-2.583572120202764E-2</v>
      </c>
    </row>
    <row r="769" spans="1:2">
      <c r="A769" s="27">
        <v>44981</v>
      </c>
      <c r="B769" s="25">
        <v>-4.0898621758445362E-4</v>
      </c>
    </row>
    <row r="770" spans="1:2">
      <c r="A770" s="27">
        <v>44980</v>
      </c>
      <c r="B770" s="25">
        <v>-8.5359980134954664E-3</v>
      </c>
    </row>
    <row r="771" spans="1:2">
      <c r="A771" s="27">
        <v>44979</v>
      </c>
      <c r="B771" s="25">
        <v>2.5214882699920137E-2</v>
      </c>
    </row>
    <row r="772" spans="1:2">
      <c r="A772" s="27">
        <v>44978</v>
      </c>
      <c r="B772" s="25">
        <v>6.5661709018292498E-3</v>
      </c>
    </row>
    <row r="773" spans="1:2">
      <c r="A773" s="27">
        <v>44977</v>
      </c>
      <c r="B773" s="25">
        <v>2.5360638736678367E-3</v>
      </c>
    </row>
    <row r="774" spans="1:2">
      <c r="A774" s="27">
        <v>44974</v>
      </c>
      <c r="B774" s="25">
        <v>1.9133235166829798E-3</v>
      </c>
    </row>
    <row r="775" spans="1:2">
      <c r="A775" s="27">
        <v>44973</v>
      </c>
      <c r="B775" s="25">
        <v>-8.8455889815676619E-3</v>
      </c>
    </row>
    <row r="776" spans="1:2">
      <c r="A776" s="27">
        <v>44972</v>
      </c>
      <c r="B776" s="25">
        <v>-6.2685394530051144E-3</v>
      </c>
    </row>
    <row r="777" spans="1:2">
      <c r="A777" s="27">
        <v>44971</v>
      </c>
      <c r="B777" s="25">
        <v>-3.8822099313854433E-3</v>
      </c>
    </row>
    <row r="778" spans="1:2">
      <c r="A778" s="27">
        <v>44970</v>
      </c>
      <c r="B778" s="25">
        <v>7.2190235579101024E-3</v>
      </c>
    </row>
    <row r="779" spans="1:2">
      <c r="A779" s="27">
        <v>44967</v>
      </c>
      <c r="B779" s="25">
        <v>9.5558270362367317E-3</v>
      </c>
    </row>
    <row r="780" spans="1:2">
      <c r="A780" s="27">
        <v>44966</v>
      </c>
      <c r="B780" s="25">
        <v>-3.3950463822123576E-4</v>
      </c>
    </row>
    <row r="781" spans="1:2">
      <c r="A781" s="27">
        <v>44965</v>
      </c>
      <c r="B781" s="25">
        <v>-1.4583867237086851E-2</v>
      </c>
    </row>
    <row r="782" spans="1:2">
      <c r="A782" s="27">
        <v>44964</v>
      </c>
      <c r="B782" s="25">
        <v>-2.3449441157981092E-3</v>
      </c>
    </row>
    <row r="783" spans="1:2">
      <c r="A783" s="27">
        <v>44963</v>
      </c>
      <c r="B783" s="25">
        <v>-1.2864125101111781E-3</v>
      </c>
    </row>
    <row r="784" spans="1:2">
      <c r="A784" s="27">
        <v>44960</v>
      </c>
      <c r="B784" s="25">
        <v>4.2324074631783492E-4</v>
      </c>
    </row>
    <row r="785" spans="1:2">
      <c r="A785" s="27">
        <v>44959</v>
      </c>
      <c r="B785" s="25">
        <v>-1.9942006125057737E-2</v>
      </c>
    </row>
    <row r="786" spans="1:2">
      <c r="A786" s="27">
        <v>44958</v>
      </c>
      <c r="B786" s="25">
        <v>1.3269880487953878E-2</v>
      </c>
    </row>
    <row r="787" spans="1:2">
      <c r="A787" s="27">
        <v>44957</v>
      </c>
      <c r="B787" s="25">
        <v>-3.3990357843345924E-3</v>
      </c>
    </row>
    <row r="788" spans="1:2">
      <c r="A788" s="27">
        <v>44956</v>
      </c>
      <c r="B788" s="25">
        <v>1.0380270778035812E-2</v>
      </c>
    </row>
    <row r="789" spans="1:2">
      <c r="A789" s="27">
        <v>44953</v>
      </c>
      <c r="B789" s="25">
        <v>-1.5373986707121328E-2</v>
      </c>
    </row>
    <row r="790" spans="1:2">
      <c r="A790" s="27">
        <v>44951</v>
      </c>
      <c r="B790" s="25">
        <v>1.6932107995091889E-2</v>
      </c>
    </row>
    <row r="791" spans="1:2">
      <c r="A791" s="27">
        <v>44950</v>
      </c>
      <c r="B791" s="25">
        <v>1.2700863511177319E-2</v>
      </c>
    </row>
    <row r="792" spans="1:2">
      <c r="A792" s="27">
        <v>44949</v>
      </c>
      <c r="B792" s="25">
        <v>-5.2246426156849143E-3</v>
      </c>
    </row>
    <row r="793" spans="1:2">
      <c r="A793" s="27">
        <v>44946</v>
      </c>
      <c r="B793" s="25">
        <v>-7.9318355579649936E-4</v>
      </c>
    </row>
    <row r="794" spans="1:2">
      <c r="A794" s="27">
        <v>44945</v>
      </c>
      <c r="B794" s="25">
        <v>2.2997715618715317E-2</v>
      </c>
    </row>
    <row r="795" spans="1:2">
      <c r="A795" s="27">
        <v>44944</v>
      </c>
      <c r="B795" s="25">
        <v>2.2139566150868224E-2</v>
      </c>
    </row>
    <row r="796" spans="1:2">
      <c r="A796" s="27">
        <v>44943</v>
      </c>
      <c r="B796" s="25">
        <v>-4.2687701836036608E-3</v>
      </c>
    </row>
    <row r="797" spans="1:2">
      <c r="A797" s="27">
        <v>44942</v>
      </c>
      <c r="B797" s="25">
        <v>-8.6163474381895297E-3</v>
      </c>
    </row>
    <row r="798" spans="1:2">
      <c r="A798" s="27">
        <v>44939</v>
      </c>
      <c r="B798" s="25">
        <v>-7.8251555308108962E-4</v>
      </c>
    </row>
    <row r="799" spans="1:2">
      <c r="A799" s="27">
        <v>44938</v>
      </c>
      <c r="B799" s="25">
        <v>-7.8235265372264486E-5</v>
      </c>
    </row>
    <row r="800" spans="1:2">
      <c r="A800" s="27">
        <v>44937</v>
      </c>
      <c r="B800" s="25">
        <v>4.7735818619602279E-3</v>
      </c>
    </row>
    <row r="801" spans="1:2">
      <c r="A801" s="27">
        <v>44936</v>
      </c>
      <c r="B801" s="25">
        <v>7.8861218275577127E-3</v>
      </c>
    </row>
    <row r="802" spans="1:2">
      <c r="A802" s="27">
        <v>44935</v>
      </c>
      <c r="B802" s="25">
        <v>5.3921960376031152E-3</v>
      </c>
    </row>
    <row r="803" spans="1:2">
      <c r="A803" s="27">
        <v>44932</v>
      </c>
      <c r="B803" s="25">
        <v>1.2187809979696449E-3</v>
      </c>
    </row>
    <row r="804" spans="1:2">
      <c r="A804" s="27">
        <v>44931</v>
      </c>
      <c r="B804" s="25">
        <v>8.9400490351336358E-3</v>
      </c>
    </row>
    <row r="805" spans="1:2">
      <c r="A805" s="27">
        <v>44930</v>
      </c>
      <c r="B805" s="25">
        <v>3.1071839568142133E-3</v>
      </c>
    </row>
    <row r="806" spans="1:2">
      <c r="A806" s="27">
        <v>44929</v>
      </c>
      <c r="B806" s="25">
        <v>4.9387024456052121E-3</v>
      </c>
    </row>
    <row r="807" spans="1:2">
      <c r="A807" s="27">
        <v>44928</v>
      </c>
      <c r="B807" s="25">
        <v>4.6033040946088857E-3</v>
      </c>
    </row>
    <row r="808" spans="1:2">
      <c r="A808" s="27">
        <v>44925</v>
      </c>
      <c r="B808" s="25">
        <v>1.0716693343934502E-2</v>
      </c>
    </row>
    <row r="809" spans="1:2">
      <c r="A809" s="27">
        <v>44924</v>
      </c>
      <c r="B809" s="25">
        <v>6.5286608153480412E-3</v>
      </c>
    </row>
    <row r="810" spans="1:2">
      <c r="A810" s="27">
        <v>44923</v>
      </c>
      <c r="B810" s="25">
        <v>3.9767392343231338E-3</v>
      </c>
    </row>
    <row r="811" spans="1:2">
      <c r="A811" s="27">
        <v>44922</v>
      </c>
      <c r="B811" s="25">
        <v>-3.8317897399587362E-3</v>
      </c>
    </row>
    <row r="812" spans="1:2">
      <c r="A812" s="27">
        <v>44921</v>
      </c>
      <c r="B812" s="25">
        <v>-1.5313371235145408E-2</v>
      </c>
    </row>
    <row r="813" spans="1:2">
      <c r="A813" s="27">
        <v>44918</v>
      </c>
      <c r="B813" s="25">
        <v>-3.5818704152556172E-3</v>
      </c>
    </row>
    <row r="814" spans="1:2">
      <c r="A814" s="27">
        <v>44917</v>
      </c>
      <c r="B814" s="25">
        <v>1.3427479278915471E-2</v>
      </c>
    </row>
    <row r="815" spans="1:2">
      <c r="A815" s="27">
        <v>44916</v>
      </c>
      <c r="B815" s="25">
        <v>-2.8173674896500348E-3</v>
      </c>
    </row>
    <row r="816" spans="1:2">
      <c r="A816" s="27">
        <v>44915</v>
      </c>
      <c r="B816" s="25">
        <v>3.7741846257689868E-3</v>
      </c>
    </row>
    <row r="817" spans="1:2">
      <c r="A817" s="27">
        <v>44914</v>
      </c>
      <c r="B817" s="25">
        <v>5.0688060303446191E-4</v>
      </c>
    </row>
    <row r="818" spans="1:2">
      <c r="A818" s="27">
        <v>44911</v>
      </c>
      <c r="B818" s="25">
        <v>-5.0421254838612312E-3</v>
      </c>
    </row>
    <row r="819" spans="1:2">
      <c r="A819" s="27">
        <v>44910</v>
      </c>
      <c r="B819" s="25">
        <v>2.1660612737578026E-2</v>
      </c>
    </row>
    <row r="820" spans="1:2">
      <c r="A820" s="27">
        <v>44909</v>
      </c>
      <c r="B820" s="25">
        <v>5.0837869451429924E-3</v>
      </c>
    </row>
    <row r="821" spans="1:2">
      <c r="A821" s="27">
        <v>44908</v>
      </c>
      <c r="B821" s="25">
        <v>7.7746117931847139E-3</v>
      </c>
    </row>
    <row r="822" spans="1:2">
      <c r="A822" s="27">
        <v>44907</v>
      </c>
      <c r="B822" s="25">
        <v>-1.5006038387004511E-5</v>
      </c>
    </row>
    <row r="823" spans="1:2">
      <c r="A823" s="27">
        <v>44904</v>
      </c>
      <c r="B823" s="25">
        <v>1.0937172774925093E-2</v>
      </c>
    </row>
    <row r="824" spans="1:2">
      <c r="A824" s="27">
        <v>44903</v>
      </c>
      <c r="B824" s="25">
        <v>-1.6522390894660108E-4</v>
      </c>
    </row>
    <row r="825" spans="1:2">
      <c r="A825" s="27">
        <v>44902</v>
      </c>
      <c r="B825" s="25">
        <v>1.6963722198761653E-3</v>
      </c>
    </row>
    <row r="826" spans="1:2">
      <c r="A826" s="27">
        <v>44901</v>
      </c>
      <c r="B826" s="25">
        <v>-1.4637349326839104E-2</v>
      </c>
    </row>
    <row r="827" spans="1:2">
      <c r="A827" s="27">
        <v>44900</v>
      </c>
      <c r="B827" s="25">
        <v>3.4430598024348213E-4</v>
      </c>
    </row>
    <row r="828" spans="1:2">
      <c r="A828" s="27">
        <v>44897</v>
      </c>
      <c r="B828" s="25">
        <v>-5.1881791470417436E-3</v>
      </c>
    </row>
    <row r="829" spans="1:2">
      <c r="A829" s="27">
        <v>44896</v>
      </c>
      <c r="B829" s="25">
        <v>9.2633642896052283E-3</v>
      </c>
    </row>
    <row r="830" spans="1:2">
      <c r="A830" s="27">
        <v>44895</v>
      </c>
      <c r="B830" s="25">
        <v>1.9637873293009938E-4</v>
      </c>
    </row>
    <row r="831" spans="1:2">
      <c r="A831" s="27">
        <v>44894</v>
      </c>
      <c r="B831" s="25">
        <v>-1.1720553571213065E-2</v>
      </c>
    </row>
    <row r="832" spans="1:2">
      <c r="A832" s="27">
        <v>44893</v>
      </c>
      <c r="B832" s="25">
        <v>5.2987844854492277E-3</v>
      </c>
    </row>
    <row r="833" spans="1:2">
      <c r="A833" s="27">
        <v>44890</v>
      </c>
      <c r="B833" s="25">
        <v>-1.1612526433458108E-2</v>
      </c>
    </row>
    <row r="834" spans="1:2">
      <c r="A834" s="27">
        <v>44889</v>
      </c>
      <c r="B834" s="25">
        <v>1.5584409413043649E-3</v>
      </c>
    </row>
    <row r="835" spans="1:2">
      <c r="A835" s="27">
        <v>44888</v>
      </c>
      <c r="B835" s="25">
        <v>-3.7358920628330753E-3</v>
      </c>
    </row>
    <row r="836" spans="1:2">
      <c r="A836" s="27">
        <v>44887</v>
      </c>
      <c r="B836" s="25">
        <v>-1.105842193529989E-4</v>
      </c>
    </row>
    <row r="837" spans="1:2">
      <c r="A837" s="27">
        <v>44886</v>
      </c>
      <c r="B837" s="25">
        <v>-3.1621334526069781E-3</v>
      </c>
    </row>
    <row r="838" spans="1:2">
      <c r="A838" s="27">
        <v>44883</v>
      </c>
      <c r="B838" s="25">
        <v>-4.7580123815258878E-4</v>
      </c>
    </row>
    <row r="839" spans="1:2">
      <c r="A839" s="27">
        <v>44882</v>
      </c>
      <c r="B839" s="25">
        <v>-3.4764303025480981E-3</v>
      </c>
    </row>
    <row r="840" spans="1:2">
      <c r="A840" s="27">
        <v>44881</v>
      </c>
      <c r="B840" s="25">
        <v>2.149661806738598E-3</v>
      </c>
    </row>
    <row r="841" spans="1:2">
      <c r="A841" s="27">
        <v>44880</v>
      </c>
      <c r="B841" s="25">
        <v>-6.4481265541336977E-4</v>
      </c>
    </row>
    <row r="842" spans="1:2">
      <c r="A842" s="27">
        <v>44879</v>
      </c>
      <c r="B842" s="25">
        <v>-7.2513990388098862E-3</v>
      </c>
    </row>
    <row r="843" spans="1:2">
      <c r="A843" s="27">
        <v>44876</v>
      </c>
      <c r="B843" s="25">
        <v>-9.5152638124536184E-4</v>
      </c>
    </row>
    <row r="844" spans="1:2">
      <c r="A844" s="27">
        <v>44875</v>
      </c>
      <c r="B844" s="25">
        <v>-8.2006594254992269E-3</v>
      </c>
    </row>
    <row r="845" spans="1:2">
      <c r="A845" s="27">
        <v>44874</v>
      </c>
      <c r="B845" s="25">
        <v>1.0436371162435827E-2</v>
      </c>
    </row>
    <row r="846" spans="1:2">
      <c r="A846" s="27">
        <v>44872</v>
      </c>
      <c r="B846" s="25">
        <v>1.099841498132594E-2</v>
      </c>
    </row>
    <row r="847" spans="1:2">
      <c r="A847" s="27">
        <v>44869</v>
      </c>
      <c r="B847" s="25">
        <v>1.4686999193909301E-2</v>
      </c>
    </row>
    <row r="848" spans="1:2">
      <c r="A848" s="27">
        <v>44868</v>
      </c>
      <c r="B848" s="25">
        <v>-5.1570014846818333E-3</v>
      </c>
    </row>
    <row r="849" spans="1:2">
      <c r="A849" s="27">
        <v>44867</v>
      </c>
      <c r="B849" s="25">
        <v>-6.4727488067415047E-3</v>
      </c>
    </row>
    <row r="850" spans="1:2">
      <c r="A850" s="27">
        <v>44866</v>
      </c>
      <c r="B850" s="25">
        <v>8.3109799549928656E-3</v>
      </c>
    </row>
    <row r="851" spans="1:2">
      <c r="A851" s="27">
        <v>44865</v>
      </c>
      <c r="B851" s="25">
        <v>-1.5645567123041954E-2</v>
      </c>
    </row>
    <row r="852" spans="1:2">
      <c r="A852" s="27">
        <v>44862</v>
      </c>
      <c r="B852" s="25">
        <v>-1.694086188188686E-2</v>
      </c>
    </row>
    <row r="853" spans="1:2">
      <c r="A853" s="27">
        <v>44861</v>
      </c>
      <c r="B853" s="25">
        <v>-2.3784038741258449E-3</v>
      </c>
    </row>
    <row r="854" spans="1:2">
      <c r="A854" s="27">
        <v>44859</v>
      </c>
      <c r="B854" s="25">
        <v>1.2760755333064646E-2</v>
      </c>
    </row>
    <row r="855" spans="1:2">
      <c r="A855" s="27">
        <v>44858</v>
      </c>
      <c r="B855" s="25">
        <v>1.1054286230934145E-2</v>
      </c>
    </row>
    <row r="856" spans="1:2">
      <c r="A856" s="27">
        <v>44855</v>
      </c>
      <c r="B856" s="25">
        <v>-8.3475286520927599E-3</v>
      </c>
    </row>
    <row r="857" spans="1:2">
      <c r="A857" s="27">
        <v>44854</v>
      </c>
      <c r="B857" s="25">
        <v>2.1736903860096107E-2</v>
      </c>
    </row>
    <row r="858" spans="1:2">
      <c r="A858" s="27">
        <v>44853</v>
      </c>
      <c r="B858" s="25">
        <v>1.5185854183207306E-2</v>
      </c>
    </row>
    <row r="859" spans="1:2">
      <c r="A859" s="27">
        <v>44852</v>
      </c>
      <c r="B859" s="25">
        <v>4.0907777225467597E-3</v>
      </c>
    </row>
    <row r="860" spans="1:2">
      <c r="A860" s="27">
        <v>44851</v>
      </c>
      <c r="B860" s="25">
        <v>-8.300026264662563E-3</v>
      </c>
    </row>
    <row r="861" spans="1:2">
      <c r="A861" s="27">
        <v>44848</v>
      </c>
      <c r="B861" s="25">
        <v>-5.3959543718542571E-3</v>
      </c>
    </row>
    <row r="862" spans="1:2">
      <c r="A862" s="27">
        <v>44847</v>
      </c>
      <c r="B862" s="25">
        <v>6.6280046023336385E-3</v>
      </c>
    </row>
    <row r="863" spans="1:2">
      <c r="A863" s="27">
        <v>44846</v>
      </c>
      <c r="B863" s="25">
        <v>1.2822891498084257E-2</v>
      </c>
    </row>
    <row r="864" spans="1:2">
      <c r="A864" s="27">
        <v>44845</v>
      </c>
      <c r="B864" s="25">
        <v>9.6729171405737658E-3</v>
      </c>
    </row>
    <row r="865" spans="1:2">
      <c r="A865" s="27">
        <v>44844</v>
      </c>
      <c r="B865" s="25">
        <v>-2.3272722286674483E-3</v>
      </c>
    </row>
    <row r="866" spans="1:2">
      <c r="A866" s="27">
        <v>44841</v>
      </c>
      <c r="B866" s="25">
        <v>1.5048481783504774E-2</v>
      </c>
    </row>
    <row r="867" spans="1:2">
      <c r="A867" s="27">
        <v>44840</v>
      </c>
      <c r="B867" s="25">
        <v>-5.9273456241136935E-3</v>
      </c>
    </row>
    <row r="868" spans="1:2">
      <c r="A868" s="27">
        <v>44838</v>
      </c>
      <c r="B868" s="25">
        <v>1.9649506926600014E-3</v>
      </c>
    </row>
    <row r="869" spans="1:2">
      <c r="A869" s="27">
        <v>44837</v>
      </c>
      <c r="B869" s="25">
        <v>-8.9862407157692559E-3</v>
      </c>
    </row>
    <row r="870" spans="1:2">
      <c r="A870" s="27">
        <v>44834</v>
      </c>
      <c r="B870" s="25">
        <v>1.1146058671712268E-2</v>
      </c>
    </row>
    <row r="871" spans="1:2">
      <c r="A871" s="27">
        <v>44833</v>
      </c>
      <c r="B871" s="25">
        <v>9.8420190196070786E-3</v>
      </c>
    </row>
    <row r="872" spans="1:2">
      <c r="A872" s="27">
        <v>44832</v>
      </c>
      <c r="B872" s="25">
        <v>4.0016440289292639E-2</v>
      </c>
    </row>
    <row r="873" spans="1:2">
      <c r="A873" s="27">
        <v>44831</v>
      </c>
      <c r="B873" s="25">
        <v>-2.109863471024476E-2</v>
      </c>
    </row>
    <row r="874" spans="1:2">
      <c r="A874" s="27">
        <v>44830</v>
      </c>
      <c r="B874" s="25">
        <v>-8.8097049684401282E-3</v>
      </c>
    </row>
    <row r="875" spans="1:2">
      <c r="A875" s="27">
        <v>44827</v>
      </c>
      <c r="B875" s="25">
        <v>-6.1751541203474147E-3</v>
      </c>
    </row>
    <row r="876" spans="1:2">
      <c r="A876" s="27">
        <v>44826</v>
      </c>
      <c r="B876" s="25">
        <v>1.0300614894881483E-2</v>
      </c>
    </row>
    <row r="877" spans="1:2">
      <c r="A877" s="27">
        <v>44825</v>
      </c>
      <c r="B877" s="25">
        <v>-1.9820432608750948E-2</v>
      </c>
    </row>
    <row r="878" spans="1:2">
      <c r="A878" s="27">
        <v>44824</v>
      </c>
      <c r="B878" s="25">
        <v>1.0265060516212952E-2</v>
      </c>
    </row>
    <row r="879" spans="1:2">
      <c r="A879" s="27">
        <v>44823</v>
      </c>
      <c r="B879" s="25">
        <v>-1.7039566745303426E-2</v>
      </c>
    </row>
    <row r="880" spans="1:2">
      <c r="A880" s="27">
        <v>44820</v>
      </c>
      <c r="B880" s="25">
        <v>2.4501658681346148E-3</v>
      </c>
    </row>
    <row r="881" spans="1:2">
      <c r="A881" s="27">
        <v>44819</v>
      </c>
      <c r="B881" s="25">
        <v>2.2244752319806119E-2</v>
      </c>
    </row>
    <row r="882" spans="1:2">
      <c r="A882" s="27">
        <v>44818</v>
      </c>
      <c r="B882" s="25">
        <v>9.5141100504527714E-3</v>
      </c>
    </row>
    <row r="883" spans="1:2">
      <c r="A883" s="27">
        <v>44817</v>
      </c>
      <c r="B883" s="25">
        <v>-2.8973515491480493E-3</v>
      </c>
    </row>
    <row r="884" spans="1:2">
      <c r="A884" s="27">
        <v>44816</v>
      </c>
      <c r="B884" s="25">
        <v>1.0005607380263242E-3</v>
      </c>
    </row>
    <row r="885" spans="1:2">
      <c r="A885" s="27">
        <v>44813</v>
      </c>
      <c r="B885" s="25">
        <v>2.4314644001116868E-3</v>
      </c>
    </row>
    <row r="886" spans="1:2">
      <c r="A886" s="27">
        <v>44812</v>
      </c>
      <c r="B886" s="25">
        <v>2.4276264546385126E-3</v>
      </c>
    </row>
    <row r="887" spans="1:2">
      <c r="A887" s="27">
        <v>44811</v>
      </c>
      <c r="B887" s="25">
        <v>-1.4198709874804E-2</v>
      </c>
    </row>
    <row r="888" spans="1:2">
      <c r="A888" s="27">
        <v>44810</v>
      </c>
      <c r="B888" s="25">
        <v>-3.7899641365373468E-3</v>
      </c>
    </row>
    <row r="889" spans="1:2">
      <c r="A889" s="27">
        <v>44809</v>
      </c>
      <c r="B889" s="25">
        <v>6.7254202099182557E-3</v>
      </c>
    </row>
    <row r="890" spans="1:2">
      <c r="A890" s="27">
        <v>44806</v>
      </c>
      <c r="B890" s="25">
        <v>3.6742320667009268E-3</v>
      </c>
    </row>
    <row r="891" spans="1:2">
      <c r="A891" s="27">
        <v>44805</v>
      </c>
      <c r="B891" s="25">
        <v>5.8336479922694254E-3</v>
      </c>
    </row>
    <row r="892" spans="1:2">
      <c r="A892" s="27">
        <v>44803</v>
      </c>
      <c r="B892" s="25">
        <v>-1.1574085308734071E-2</v>
      </c>
    </row>
    <row r="893" spans="1:2">
      <c r="A893" s="27">
        <v>44802</v>
      </c>
      <c r="B893" s="25">
        <v>-1.5282426879178647E-2</v>
      </c>
    </row>
    <row r="894" spans="1:2">
      <c r="A894" s="27">
        <v>44799</v>
      </c>
      <c r="B894" s="25">
        <v>-4.1044174418780419E-3</v>
      </c>
    </row>
    <row r="895" spans="1:2">
      <c r="A895" s="27">
        <v>44798</v>
      </c>
      <c r="B895" s="25">
        <v>6.4982588821542167E-3</v>
      </c>
    </row>
    <row r="896" spans="1:2">
      <c r="A896" s="27">
        <v>44797</v>
      </c>
      <c r="B896" s="25">
        <v>5.1286102480548445E-3</v>
      </c>
    </row>
    <row r="897" spans="1:2">
      <c r="A897" s="27">
        <v>44796</v>
      </c>
      <c r="B897" s="25">
        <v>-4.0304804484955405E-3</v>
      </c>
    </row>
    <row r="898" spans="1:2">
      <c r="A898" s="27">
        <v>44795</v>
      </c>
      <c r="B898" s="25">
        <v>-9.7536576710064045E-4</v>
      </c>
    </row>
    <row r="899" spans="1:2">
      <c r="A899" s="27">
        <v>44792</v>
      </c>
      <c r="B899" s="25">
        <v>3.5125031880386522E-2</v>
      </c>
    </row>
    <row r="900" spans="1:2">
      <c r="A900" s="27">
        <v>44791</v>
      </c>
      <c r="B900" s="25">
        <v>1.4246929023463436E-2</v>
      </c>
    </row>
    <row r="901" spans="1:2">
      <c r="A901" s="27">
        <v>44790</v>
      </c>
      <c r="B901" s="25">
        <v>-2.7311782845559763E-3</v>
      </c>
    </row>
    <row r="902" spans="1:2">
      <c r="A902" s="27">
        <v>44789</v>
      </c>
      <c r="B902" s="25">
        <v>-1.1560230285656262E-2</v>
      </c>
    </row>
    <row r="903" spans="1:2">
      <c r="A903" s="27">
        <v>44785</v>
      </c>
      <c r="B903" s="25">
        <v>-1.6981960476833986E-2</v>
      </c>
    </row>
    <row r="904" spans="1:2">
      <c r="A904" s="27">
        <v>44784</v>
      </c>
      <c r="B904" s="25">
        <v>-3.1712889924422135E-3</v>
      </c>
    </row>
    <row r="905" spans="1:2">
      <c r="A905" s="27">
        <v>44783</v>
      </c>
      <c r="B905" s="25">
        <v>-1.6109933056752651E-3</v>
      </c>
    </row>
    <row r="906" spans="1:2">
      <c r="A906" s="27">
        <v>44781</v>
      </c>
      <c r="B906" s="25">
        <v>1.1488851018946755E-2</v>
      </c>
    </row>
    <row r="907" spans="1:2">
      <c r="A907" s="27">
        <v>44778</v>
      </c>
      <c r="B907" s="25">
        <v>3.1543974010574309E-3</v>
      </c>
    </row>
    <row r="908" spans="1:2">
      <c r="A908" s="27">
        <v>44777</v>
      </c>
      <c r="B908" s="25">
        <v>-4.6638626781988473E-3</v>
      </c>
    </row>
    <row r="909" spans="1:2">
      <c r="A909" s="27">
        <v>44776</v>
      </c>
      <c r="B909" s="25">
        <v>-5.5449512980781457E-3</v>
      </c>
    </row>
    <row r="910" spans="1:2">
      <c r="A910" s="27">
        <v>44775</v>
      </c>
      <c r="B910" s="25">
        <v>-9.5996083022701871E-3</v>
      </c>
    </row>
    <row r="911" spans="1:2">
      <c r="A911" s="27">
        <v>44774</v>
      </c>
      <c r="B911" s="25">
        <v>-3.1405891313211184E-2</v>
      </c>
    </row>
    <row r="912" spans="1:2">
      <c r="A912" s="27">
        <v>44771</v>
      </c>
      <c r="B912" s="25">
        <v>-3.144806555549007E-3</v>
      </c>
    </row>
    <row r="913" spans="1:2">
      <c r="A913" s="27">
        <v>44770</v>
      </c>
      <c r="B913" s="25">
        <v>-1.3892205388593462E-2</v>
      </c>
    </row>
    <row r="914" spans="1:2">
      <c r="A914" s="27">
        <v>44769</v>
      </c>
      <c r="B914" s="25">
        <v>-2.5673271244713965E-2</v>
      </c>
    </row>
    <row r="915" spans="1:2">
      <c r="A915" s="27">
        <v>44768</v>
      </c>
      <c r="B915" s="25">
        <v>-2.1491521391912728E-2</v>
      </c>
    </row>
    <row r="916" spans="1:2">
      <c r="A916" s="27">
        <v>44767</v>
      </c>
      <c r="B916" s="25">
        <v>2.1366531277911913E-3</v>
      </c>
    </row>
    <row r="917" spans="1:2">
      <c r="A917" s="27">
        <v>44764</v>
      </c>
      <c r="B917" s="25">
        <v>-1.0543957090334363E-2</v>
      </c>
    </row>
    <row r="918" spans="1:2">
      <c r="A918" s="27">
        <v>44763</v>
      </c>
      <c r="B918" s="25">
        <v>7.0038221482656782E-5</v>
      </c>
    </row>
    <row r="919" spans="1:2">
      <c r="A919" s="27">
        <v>44762</v>
      </c>
      <c r="B919" s="25">
        <v>-1.8194536234724563E-2</v>
      </c>
    </row>
    <row r="920" spans="1:2">
      <c r="A920" s="27">
        <v>44761</v>
      </c>
      <c r="B920" s="25">
        <v>2.725166803044229E-3</v>
      </c>
    </row>
    <row r="921" spans="1:2">
      <c r="A921" s="27">
        <v>44760</v>
      </c>
      <c r="B921" s="25">
        <v>-8.9206389496567428E-4</v>
      </c>
    </row>
    <row r="922" spans="1:2">
      <c r="A922" s="27">
        <v>44757</v>
      </c>
      <c r="B922" s="25">
        <v>-1.0986036174850338E-2</v>
      </c>
    </row>
    <row r="923" spans="1:2">
      <c r="A923" s="27">
        <v>44756</v>
      </c>
      <c r="B923" s="25">
        <v>-8.3848710903974208E-3</v>
      </c>
    </row>
    <row r="924" spans="1:2">
      <c r="A924" s="27">
        <v>44755</v>
      </c>
      <c r="B924" s="25">
        <v>1.8795109159014662E-3</v>
      </c>
    </row>
    <row r="925" spans="1:2">
      <c r="A925" s="27">
        <v>44754</v>
      </c>
      <c r="B925" s="25">
        <v>-1.3056363989600177E-2</v>
      </c>
    </row>
    <row r="926" spans="1:2">
      <c r="A926" s="27">
        <v>44753</v>
      </c>
      <c r="B926" s="25">
        <v>1.4309281434776069E-2</v>
      </c>
    </row>
    <row r="927" spans="1:2">
      <c r="A927" s="27">
        <v>44750</v>
      </c>
      <c r="B927" s="25">
        <v>-1.585556698405554E-2</v>
      </c>
    </row>
    <row r="928" spans="1:2">
      <c r="A928" s="27">
        <v>44749</v>
      </c>
      <c r="B928" s="25">
        <v>5.5818644319257866E-3</v>
      </c>
    </row>
    <row r="929" spans="1:2">
      <c r="A929" s="27">
        <v>44748</v>
      </c>
      <c r="B929" s="25">
        <v>-8.3863090496174072E-3</v>
      </c>
    </row>
    <row r="930" spans="1:2">
      <c r="A930" s="27">
        <v>44747</v>
      </c>
      <c r="B930" s="25">
        <v>-3.2919073848439159E-2</v>
      </c>
    </row>
    <row r="931" spans="1:2">
      <c r="A931" s="27">
        <v>44746</v>
      </c>
      <c r="B931" s="25">
        <v>8.7907443630518885E-3</v>
      </c>
    </row>
    <row r="932" spans="1:2">
      <c r="A932" s="27">
        <v>44743</v>
      </c>
      <c r="B932" s="25">
        <v>-5.133629220637633E-3</v>
      </c>
    </row>
    <row r="933" spans="1:2">
      <c r="A933" s="27">
        <v>44742</v>
      </c>
      <c r="B933" s="25">
        <v>-2.4312074425583245E-2</v>
      </c>
    </row>
    <row r="934" spans="1:2">
      <c r="A934" s="27">
        <v>44741</v>
      </c>
      <c r="B934" s="25">
        <v>-1.1117631802185599E-3</v>
      </c>
    </row>
    <row r="935" spans="1:2">
      <c r="A935" s="27">
        <v>44740</v>
      </c>
      <c r="B935" s="25">
        <v>1.1494065467834318E-2</v>
      </c>
    </row>
    <row r="936" spans="1:2">
      <c r="A936" s="27">
        <v>44739</v>
      </c>
      <c r="B936" s="25">
        <v>3.004697188726662E-2</v>
      </c>
    </row>
    <row r="937" spans="1:2">
      <c r="A937" s="27">
        <v>44736</v>
      </c>
      <c r="B937" s="25">
        <v>-1.7947577896842783E-2</v>
      </c>
    </row>
    <row r="938" spans="1:2">
      <c r="A938" s="27">
        <v>44735</v>
      </c>
      <c r="B938" s="25">
        <v>-1.2580677285695943E-3</v>
      </c>
    </row>
    <row r="939" spans="1:2">
      <c r="A939" s="27">
        <v>44734</v>
      </c>
      <c r="B939" s="25">
        <v>-2.8345144698015322E-2</v>
      </c>
    </row>
    <row r="940" spans="1:2">
      <c r="A940" s="27">
        <v>44733</v>
      </c>
      <c r="B940" s="25">
        <v>3.3517128499043168E-3</v>
      </c>
    </row>
    <row r="941" spans="1:2">
      <c r="A941" s="27">
        <v>44732</v>
      </c>
      <c r="B941" s="25">
        <v>-5.0453655202143477E-3</v>
      </c>
    </row>
    <row r="942" spans="1:2">
      <c r="A942" s="27">
        <v>44729</v>
      </c>
      <c r="B942" s="25">
        <v>-2.9530206308512358E-2</v>
      </c>
    </row>
    <row r="943" spans="1:2">
      <c r="A943" s="27">
        <v>44728</v>
      </c>
      <c r="B943" s="25">
        <v>2.6721396770925346E-2</v>
      </c>
    </row>
    <row r="944" spans="1:2">
      <c r="A944" s="27">
        <v>44727</v>
      </c>
      <c r="B944" s="25">
        <v>5.8555735211181618E-3</v>
      </c>
    </row>
    <row r="945" spans="1:2">
      <c r="A945" s="27">
        <v>44726</v>
      </c>
      <c r="B945" s="25">
        <v>-8.783607840629518E-3</v>
      </c>
    </row>
    <row r="946" spans="1:2">
      <c r="A946" s="27">
        <v>44725</v>
      </c>
      <c r="B946" s="25">
        <v>7.2433445423452994E-3</v>
      </c>
    </row>
    <row r="947" spans="1:2">
      <c r="A947" s="27">
        <v>44722</v>
      </c>
      <c r="B947" s="25">
        <v>1.7072164437336713E-2</v>
      </c>
    </row>
    <row r="948" spans="1:2">
      <c r="A948" s="27">
        <v>44721</v>
      </c>
      <c r="B948" s="25">
        <v>-5.9038907638144667E-3</v>
      </c>
    </row>
    <row r="949" spans="1:2">
      <c r="A949" s="27">
        <v>44720</v>
      </c>
      <c r="B949" s="25">
        <v>5.0434214880345947E-3</v>
      </c>
    </row>
    <row r="950" spans="1:2">
      <c r="A950" s="27">
        <v>44719</v>
      </c>
      <c r="B950" s="25">
        <v>1.100117717983023E-2</v>
      </c>
    </row>
    <row r="951" spans="1:2">
      <c r="A951" s="27">
        <v>44718</v>
      </c>
      <c r="B951" s="25">
        <v>2.233659619830802E-2</v>
      </c>
    </row>
    <row r="952" spans="1:2">
      <c r="A952" s="27">
        <v>44715</v>
      </c>
      <c r="B952" s="25">
        <v>2.3156716257846786E-2</v>
      </c>
    </row>
    <row r="953" spans="1:2">
      <c r="A953" s="27">
        <v>44714</v>
      </c>
      <c r="B953" s="25">
        <v>9.3224981681955376E-3</v>
      </c>
    </row>
    <row r="954" spans="1:2">
      <c r="A954" s="27">
        <v>44713</v>
      </c>
      <c r="B954" s="25">
        <v>-2.0400949014860888E-2</v>
      </c>
    </row>
    <row r="955" spans="1:2">
      <c r="A955" s="27">
        <v>44712</v>
      </c>
      <c r="B955" s="25">
        <v>5.8574340147144249E-3</v>
      </c>
    </row>
    <row r="956" spans="1:2">
      <c r="A956" s="27">
        <v>44711</v>
      </c>
      <c r="B956" s="25">
        <v>-8.2717265309454526E-3</v>
      </c>
    </row>
    <row r="957" spans="1:2">
      <c r="A957" s="27">
        <v>44708</v>
      </c>
      <c r="B957" s="25">
        <v>-1.1550712282022866E-2</v>
      </c>
    </row>
    <row r="958" spans="1:2">
      <c r="A958" s="27">
        <v>44707</v>
      </c>
      <c r="B958" s="25">
        <v>-1.6735562482330353E-3</v>
      </c>
    </row>
    <row r="959" spans="1:2">
      <c r="A959" s="27">
        <v>44706</v>
      </c>
      <c r="B959" s="25">
        <v>-5.3043187365461571E-4</v>
      </c>
    </row>
    <row r="960" spans="1:2">
      <c r="A960" s="27">
        <v>44705</v>
      </c>
      <c r="B960" s="25">
        <v>7.4863036022180876E-2</v>
      </c>
    </row>
    <row r="961" spans="1:2">
      <c r="A961" s="27">
        <v>44704</v>
      </c>
      <c r="B961" s="25">
        <v>2.4033655589991355E-2</v>
      </c>
    </row>
    <row r="962" spans="1:2">
      <c r="A962" s="27">
        <v>44701</v>
      </c>
      <c r="B962" s="25">
        <v>-1.4599270105388808E-2</v>
      </c>
    </row>
    <row r="963" spans="1:2">
      <c r="A963" s="27">
        <v>44700</v>
      </c>
      <c r="B963" s="25">
        <v>-1.6258247587496853E-2</v>
      </c>
    </row>
    <row r="964" spans="1:2">
      <c r="A964" s="27">
        <v>44699</v>
      </c>
      <c r="B964" s="25">
        <v>1.6370200303019018E-2</v>
      </c>
    </row>
    <row r="965" spans="1:2">
      <c r="A965" s="27">
        <v>44698</v>
      </c>
      <c r="B965" s="25">
        <v>-1.1488611890967414E-2</v>
      </c>
    </row>
    <row r="966" spans="1:2">
      <c r="A966" s="27">
        <v>44697</v>
      </c>
      <c r="B966" s="25">
        <v>-1.4512804056667248E-2</v>
      </c>
    </row>
    <row r="967" spans="1:2">
      <c r="A967" s="27">
        <v>44694</v>
      </c>
      <c r="B967" s="25">
        <v>1.9894905500446508E-2</v>
      </c>
    </row>
    <row r="968" spans="1:2">
      <c r="A968" s="27">
        <v>44693</v>
      </c>
      <c r="B968" s="25">
        <v>-5.4200133859797547E-3</v>
      </c>
    </row>
    <row r="969" spans="1:2">
      <c r="A969" s="27">
        <v>44692</v>
      </c>
      <c r="B969" s="25">
        <v>6.843704630270982E-3</v>
      </c>
    </row>
    <row r="970" spans="1:2">
      <c r="A970" s="27">
        <v>44691</v>
      </c>
      <c r="B970" s="25">
        <v>1.4937371500519004E-2</v>
      </c>
    </row>
    <row r="971" spans="1:2">
      <c r="A971" s="27">
        <v>44690</v>
      </c>
      <c r="B971" s="25">
        <v>-2.0797096471070878E-2</v>
      </c>
    </row>
    <row r="972" spans="1:2">
      <c r="A972" s="27">
        <v>44687</v>
      </c>
      <c r="B972" s="25">
        <v>5.0190616918545554E-3</v>
      </c>
    </row>
    <row r="973" spans="1:2">
      <c r="A973" s="27">
        <v>44686</v>
      </c>
      <c r="B973" s="25">
        <v>1.9979148843401111E-2</v>
      </c>
    </row>
    <row r="974" spans="1:2">
      <c r="A974" s="27">
        <v>44685</v>
      </c>
      <c r="B974" s="25">
        <v>6.1646188046072126E-3</v>
      </c>
    </row>
    <row r="975" spans="1:2">
      <c r="A975" s="27">
        <v>44683</v>
      </c>
      <c r="B975" s="25">
        <v>3.0560122446097886E-2</v>
      </c>
    </row>
    <row r="976" spans="1:2">
      <c r="A976" s="27">
        <v>44680</v>
      </c>
      <c r="B976" s="25">
        <v>1.0313243064522248E-2</v>
      </c>
    </row>
    <row r="977" spans="1:2">
      <c r="A977" s="27">
        <v>44679</v>
      </c>
      <c r="B977" s="25">
        <v>5.2873983891264433E-3</v>
      </c>
    </row>
    <row r="978" spans="1:2">
      <c r="A978" s="27">
        <v>44678</v>
      </c>
      <c r="B978" s="25">
        <v>-2.434526123200036E-2</v>
      </c>
    </row>
    <row r="979" spans="1:2">
      <c r="A979" s="27">
        <v>44677</v>
      </c>
      <c r="B979" s="25">
        <v>-4.4600714524751627E-3</v>
      </c>
    </row>
    <row r="980" spans="1:2">
      <c r="A980" s="27">
        <v>44676</v>
      </c>
      <c r="B980" s="25">
        <v>-6.7068642453581794E-4</v>
      </c>
    </row>
    <row r="981" spans="1:2">
      <c r="A981" s="27">
        <v>44673</v>
      </c>
      <c r="B981" s="25">
        <v>8.7021567489277852E-3</v>
      </c>
    </row>
    <row r="982" spans="1:2">
      <c r="A982" s="27">
        <v>44672</v>
      </c>
      <c r="B982" s="25">
        <v>-9.7315366401096951E-4</v>
      </c>
    </row>
    <row r="983" spans="1:2">
      <c r="A983" s="27">
        <v>44671</v>
      </c>
      <c r="B983" s="25">
        <v>-1.8832293469713553E-2</v>
      </c>
    </row>
    <row r="984" spans="1:2">
      <c r="A984" s="27">
        <v>44670</v>
      </c>
      <c r="B984" s="25">
        <v>-2.3898524361520679E-2</v>
      </c>
    </row>
    <row r="985" spans="1:2">
      <c r="A985" s="27">
        <v>44669</v>
      </c>
      <c r="B985" s="25">
        <v>1.1301999530142425E-2</v>
      </c>
    </row>
    <row r="986" spans="1:2">
      <c r="A986" s="27">
        <v>44664</v>
      </c>
      <c r="B986" s="25">
        <v>1.4577344838146331E-2</v>
      </c>
    </row>
    <row r="987" spans="1:2">
      <c r="A987" s="27">
        <v>44663</v>
      </c>
      <c r="B987" s="25">
        <v>1.1559823710973879E-2</v>
      </c>
    </row>
    <row r="988" spans="1:2">
      <c r="A988" s="27">
        <v>44662</v>
      </c>
      <c r="B988" s="25">
        <v>8.6320282121986943E-3</v>
      </c>
    </row>
    <row r="989" spans="1:2">
      <c r="A989" s="27">
        <v>44659</v>
      </c>
      <c r="B989" s="25">
        <v>1.1586353686006278E-2</v>
      </c>
    </row>
    <row r="990" spans="1:2">
      <c r="A990" s="27">
        <v>44658</v>
      </c>
      <c r="B990" s="25">
        <v>-1.5255872395766482E-2</v>
      </c>
    </row>
    <row r="991" spans="1:2">
      <c r="A991" s="27">
        <v>44657</v>
      </c>
      <c r="B991" s="25">
        <v>6.8024970065707377E-4</v>
      </c>
    </row>
    <row r="992" spans="1:2">
      <c r="A992" s="27">
        <v>44656</v>
      </c>
      <c r="B992" s="25">
        <v>-2.8960639613323353E-3</v>
      </c>
    </row>
    <row r="993" spans="1:2">
      <c r="A993" s="27">
        <v>44655</v>
      </c>
      <c r="B993" s="25">
        <v>-6.0926820763502476E-3</v>
      </c>
    </row>
    <row r="994" spans="1:2">
      <c r="A994" s="27">
        <v>44652</v>
      </c>
      <c r="B994" s="25">
        <v>-2.7901489282471065E-3</v>
      </c>
    </row>
    <row r="995" spans="1:2">
      <c r="A995" s="27">
        <v>44651</v>
      </c>
      <c r="B995" s="25">
        <v>-1.1828878033964723E-2</v>
      </c>
    </row>
    <row r="996" spans="1:2">
      <c r="A996" s="27">
        <v>44650</v>
      </c>
      <c r="B996" s="25">
        <v>-2.7570456047362299E-3</v>
      </c>
    </row>
    <row r="997" spans="1:2">
      <c r="A997" s="27">
        <v>44649</v>
      </c>
      <c r="B997" s="25">
        <v>-1.232487494354321E-2</v>
      </c>
    </row>
    <row r="998" spans="1:2">
      <c r="A998" s="27">
        <v>44648</v>
      </c>
      <c r="B998" s="25">
        <v>-5.2114858477591511E-3</v>
      </c>
    </row>
    <row r="999" spans="1:2">
      <c r="A999" s="27">
        <v>44645</v>
      </c>
      <c r="B999" s="25">
        <v>8.8148225139324174E-3</v>
      </c>
    </row>
    <row r="1000" spans="1:2">
      <c r="A1000" s="27">
        <v>44644</v>
      </c>
      <c r="B1000" s="25">
        <v>-6.2918143026052548E-3</v>
      </c>
    </row>
    <row r="1001" spans="1:2">
      <c r="A1001" s="27">
        <v>44643</v>
      </c>
      <c r="B1001" s="25">
        <v>-1.4405456439553512E-3</v>
      </c>
    </row>
    <row r="1002" spans="1:2">
      <c r="A1002" s="27">
        <v>44642</v>
      </c>
      <c r="B1002" s="25">
        <v>1.1806570323380002E-2</v>
      </c>
    </row>
    <row r="1003" spans="1:2">
      <c r="A1003" s="27">
        <v>44641</v>
      </c>
      <c r="B1003" s="25">
        <v>-5.4401414260752898E-4</v>
      </c>
    </row>
    <row r="1004" spans="1:2">
      <c r="A1004" s="27">
        <v>44637</v>
      </c>
      <c r="B1004" s="25">
        <v>2.7302740698602609E-2</v>
      </c>
    </row>
    <row r="1005" spans="1:2">
      <c r="A1005" s="27">
        <v>44636</v>
      </c>
      <c r="B1005" s="25">
        <v>-2.7163114907834941E-2</v>
      </c>
    </row>
    <row r="1006" spans="1:2">
      <c r="A1006" s="27">
        <v>44635</v>
      </c>
      <c r="B1006" s="25">
        <v>-1.5491907248083919E-2</v>
      </c>
    </row>
    <row r="1007" spans="1:2">
      <c r="A1007" s="27">
        <v>44634</v>
      </c>
      <c r="B1007" s="25">
        <v>-1.1048329926922939E-2</v>
      </c>
    </row>
    <row r="1008" spans="1:2">
      <c r="A1008" s="27">
        <v>44631</v>
      </c>
      <c r="B1008" s="25">
        <v>-6.3582272834888064E-3</v>
      </c>
    </row>
    <row r="1009" spans="1:2">
      <c r="A1009" s="27">
        <v>44630</v>
      </c>
      <c r="B1009" s="25">
        <v>-5.6311169905334463E-3</v>
      </c>
    </row>
    <row r="1010" spans="1:2">
      <c r="A1010" s="27">
        <v>44629</v>
      </c>
      <c r="B1010" s="25">
        <v>-1.7875444577515463E-2</v>
      </c>
    </row>
    <row r="1011" spans="1:2">
      <c r="A1011" s="27">
        <v>44628</v>
      </c>
      <c r="B1011" s="25">
        <v>-4.6673956668163395E-2</v>
      </c>
    </row>
    <row r="1012" spans="1:2">
      <c r="A1012" s="27">
        <v>44627</v>
      </c>
      <c r="B1012" s="25">
        <v>-6.7477664133611705E-3</v>
      </c>
    </row>
    <row r="1013" spans="1:2">
      <c r="A1013" s="27">
        <v>44624</v>
      </c>
      <c r="B1013" s="25">
        <v>1.7285672944814309E-2</v>
      </c>
    </row>
    <row r="1014" spans="1:2">
      <c r="A1014" s="27">
        <v>44623</v>
      </c>
      <c r="B1014" s="25">
        <v>3.8576310751737238E-2</v>
      </c>
    </row>
    <row r="1015" spans="1:2">
      <c r="A1015" s="27">
        <v>44622</v>
      </c>
      <c r="B1015" s="25">
        <v>4.0166800546241735E-2</v>
      </c>
    </row>
    <row r="1016" spans="1:2">
      <c r="A1016" s="27">
        <v>44620</v>
      </c>
      <c r="B1016" s="25">
        <v>4.0056285362114558E-2</v>
      </c>
    </row>
    <row r="1017" spans="1:2">
      <c r="A1017" s="27">
        <v>44617</v>
      </c>
      <c r="B1017" s="25">
        <v>-1.5229450296243128E-2</v>
      </c>
    </row>
    <row r="1018" spans="1:2">
      <c r="A1018" s="27">
        <v>44616</v>
      </c>
      <c r="B1018" s="25">
        <v>-1.3421540331429917E-2</v>
      </c>
    </row>
    <row r="1019" spans="1:2">
      <c r="A1019" s="27">
        <v>44615</v>
      </c>
      <c r="B1019" s="25">
        <v>5.3692765796669963E-2</v>
      </c>
    </row>
    <row r="1020" spans="1:2">
      <c r="A1020" s="27">
        <v>44614</v>
      </c>
      <c r="B1020" s="25">
        <v>-1.2613265377543934E-3</v>
      </c>
    </row>
    <row r="1021" spans="1:2">
      <c r="A1021" s="27">
        <v>44613</v>
      </c>
      <c r="B1021" s="25">
        <v>7.0944756736866631E-3</v>
      </c>
    </row>
    <row r="1022" spans="1:2">
      <c r="A1022" s="27">
        <v>44610</v>
      </c>
      <c r="B1022" s="25">
        <v>4.7489210371665881E-3</v>
      </c>
    </row>
    <row r="1023" spans="1:2">
      <c r="A1023" s="27">
        <v>44609</v>
      </c>
      <c r="B1023" s="25">
        <v>-6.1880770064879406E-4</v>
      </c>
    </row>
    <row r="1024" spans="1:2">
      <c r="A1024" s="27">
        <v>44608</v>
      </c>
      <c r="B1024" s="25">
        <v>-3.1061365921332415E-3</v>
      </c>
    </row>
    <row r="1025" spans="1:2">
      <c r="A1025" s="27">
        <v>44607</v>
      </c>
      <c r="B1025" s="25">
        <v>2.1666278072160544E-3</v>
      </c>
    </row>
    <row r="1026" spans="1:2">
      <c r="A1026" s="27">
        <v>44606</v>
      </c>
      <c r="B1026" s="25">
        <v>-3.365456999926468E-2</v>
      </c>
    </row>
    <row r="1027" spans="1:2">
      <c r="A1027" s="27">
        <v>44603</v>
      </c>
      <c r="B1027" s="25">
        <v>2.1799640545030523E-2</v>
      </c>
    </row>
    <row r="1028" spans="1:2">
      <c r="A1028" s="27">
        <v>44602</v>
      </c>
      <c r="B1028" s="25">
        <v>8.4720983163243946E-3</v>
      </c>
    </row>
    <row r="1029" spans="1:2">
      <c r="A1029" s="27">
        <v>44601</v>
      </c>
      <c r="B1029" s="25">
        <v>-3.1204097048708273E-3</v>
      </c>
    </row>
    <row r="1030" spans="1:2">
      <c r="A1030" s="27">
        <v>44600</v>
      </c>
      <c r="B1030" s="25">
        <v>-2.4492756957357228E-3</v>
      </c>
    </row>
    <row r="1031" spans="1:2">
      <c r="A1031" s="27">
        <v>44599</v>
      </c>
      <c r="B1031" s="25">
        <v>-6.7303183423346276E-3</v>
      </c>
    </row>
    <row r="1032" spans="1:2">
      <c r="A1032" s="27">
        <v>44596</v>
      </c>
      <c r="B1032" s="25">
        <v>1.7515380183831319E-2</v>
      </c>
    </row>
    <row r="1033" spans="1:2">
      <c r="A1033" s="27">
        <v>44595</v>
      </c>
      <c r="B1033" s="25">
        <v>-5.4107413023452046E-3</v>
      </c>
    </row>
    <row r="1034" spans="1:2">
      <c r="A1034" s="27">
        <v>44594</v>
      </c>
      <c r="B1034" s="25">
        <v>1.0365990684982301E-3</v>
      </c>
    </row>
    <row r="1035" spans="1:2">
      <c r="A1035" s="27">
        <v>44593</v>
      </c>
      <c r="B1035" s="25">
        <v>-2.9077871938347566E-3</v>
      </c>
    </row>
    <row r="1036" spans="1:2">
      <c r="A1036" s="27">
        <v>44592</v>
      </c>
      <c r="B1036" s="25">
        <v>-1.1138610969650343E-2</v>
      </c>
    </row>
    <row r="1037" spans="1:2">
      <c r="A1037" s="27">
        <v>44589</v>
      </c>
      <c r="B1037" s="25">
        <v>-8.4126330409159383E-3</v>
      </c>
    </row>
    <row r="1038" spans="1:2">
      <c r="A1038" s="27">
        <v>44588</v>
      </c>
      <c r="B1038" s="25">
        <v>-1.537289787940196E-3</v>
      </c>
    </row>
    <row r="1039" spans="1:2">
      <c r="A1039" s="27">
        <v>44586</v>
      </c>
      <c r="B1039" s="25">
        <v>1.0824403881376394E-2</v>
      </c>
    </row>
    <row r="1040" spans="1:2">
      <c r="A1040" s="27">
        <v>44585</v>
      </c>
      <c r="B1040" s="25">
        <v>-2.2838918060492513E-3</v>
      </c>
    </row>
    <row r="1041" spans="1:2">
      <c r="A1041" s="27">
        <v>44582</v>
      </c>
      <c r="B1041" s="25">
        <v>3.5992874170601104E-2</v>
      </c>
    </row>
    <row r="1042" spans="1:2">
      <c r="A1042" s="27">
        <v>44581</v>
      </c>
      <c r="B1042" s="25">
        <v>8.4287070865902199E-3</v>
      </c>
    </row>
    <row r="1043" spans="1:2">
      <c r="A1043" s="27">
        <v>44580</v>
      </c>
      <c r="B1043" s="25">
        <v>-4.9302506213603301E-3</v>
      </c>
    </row>
    <row r="1044" spans="1:2">
      <c r="A1044" s="27">
        <v>44579</v>
      </c>
      <c r="B1044" s="25">
        <v>2.3810560128224731E-2</v>
      </c>
    </row>
    <row r="1045" spans="1:2">
      <c r="A1045" s="27">
        <v>44578</v>
      </c>
      <c r="B1045" s="25">
        <v>4.9486924941439664E-3</v>
      </c>
    </row>
    <row r="1046" spans="1:2">
      <c r="A1046" s="27">
        <v>44575</v>
      </c>
      <c r="B1046" s="25">
        <v>-3.3178867404907923E-3</v>
      </c>
    </row>
    <row r="1047" spans="1:2">
      <c r="A1047" s="27">
        <v>44574</v>
      </c>
      <c r="B1047" s="25">
        <v>2.1002562702975038E-2</v>
      </c>
    </row>
    <row r="1048" spans="1:2">
      <c r="A1048" s="27">
        <v>44573</v>
      </c>
      <c r="B1048" s="25">
        <v>1.8866086523902956E-2</v>
      </c>
    </row>
    <row r="1049" spans="1:2">
      <c r="A1049" s="27">
        <v>44572</v>
      </c>
      <c r="B1049" s="25">
        <v>-2.6333769018896192E-3</v>
      </c>
    </row>
    <row r="1050" spans="1:2">
      <c r="A1050" s="27">
        <v>44571</v>
      </c>
      <c r="B1050" s="25">
        <v>2.3151535776452323E-3</v>
      </c>
    </row>
    <row r="1051" spans="1:2">
      <c r="A1051" s="27">
        <v>44568</v>
      </c>
      <c r="B1051" s="25">
        <v>6.5324772823849905E-3</v>
      </c>
    </row>
    <row r="1052" spans="1:2">
      <c r="A1052" s="27">
        <v>44567</v>
      </c>
      <c r="B1052" s="25">
        <v>-1.4886720101061438E-2</v>
      </c>
    </row>
    <row r="1053" spans="1:2">
      <c r="A1053" s="27">
        <v>44566</v>
      </c>
      <c r="B1053" s="25">
        <v>5.3844167532542423E-3</v>
      </c>
    </row>
    <row r="1054" spans="1:2">
      <c r="A1054" s="27">
        <v>44565</v>
      </c>
      <c r="B1054" s="25">
        <v>-1.518002045368024E-2</v>
      </c>
    </row>
    <row r="1055" spans="1:2">
      <c r="A1055" s="27">
        <v>44564</v>
      </c>
      <c r="B1055" s="25">
        <v>-8.685377023657688E-3</v>
      </c>
    </row>
    <row r="1056" spans="1:2">
      <c r="A1056" s="27">
        <v>44561</v>
      </c>
      <c r="B1056" s="25">
        <v>-9.1848204458997232E-3</v>
      </c>
    </row>
    <row r="1057" spans="1:2">
      <c r="A1057" s="27">
        <v>44560</v>
      </c>
      <c r="B1057" s="25">
        <v>-9.2903946789450811E-3</v>
      </c>
    </row>
    <row r="1058" spans="1:2">
      <c r="A1058" s="27">
        <v>44559</v>
      </c>
      <c r="B1058" s="25">
        <v>-2.3351647922124864E-3</v>
      </c>
    </row>
    <row r="1059" spans="1:2">
      <c r="A1059" s="27">
        <v>44558</v>
      </c>
      <c r="B1059" s="25">
        <v>-5.8931881515143488E-4</v>
      </c>
    </row>
    <row r="1060" spans="1:2">
      <c r="A1060" s="27">
        <v>44557</v>
      </c>
      <c r="B1060" s="25">
        <v>-2.2015331871903899E-2</v>
      </c>
    </row>
    <row r="1061" spans="1:2">
      <c r="A1061" s="27">
        <v>44554</v>
      </c>
      <c r="B1061" s="25">
        <v>1.5110773981155999E-3</v>
      </c>
    </row>
    <row r="1062" spans="1:2">
      <c r="A1062" s="27">
        <v>44553</v>
      </c>
      <c r="B1062" s="25">
        <v>6.2205639814389118E-4</v>
      </c>
    </row>
    <row r="1063" spans="1:2">
      <c r="A1063" s="27">
        <v>44552</v>
      </c>
      <c r="B1063" s="25">
        <v>1.5509313153532405E-3</v>
      </c>
    </row>
    <row r="1064" spans="1:2">
      <c r="A1064" s="27">
        <v>44551</v>
      </c>
      <c r="B1064" s="25">
        <v>-3.1480051889908717E-3</v>
      </c>
    </row>
    <row r="1065" spans="1:2">
      <c r="A1065" s="27">
        <v>44550</v>
      </c>
      <c r="B1065" s="25">
        <v>-8.2767350501340778E-3</v>
      </c>
    </row>
    <row r="1066" spans="1:2">
      <c r="A1066" s="27">
        <v>44547</v>
      </c>
      <c r="B1066" s="25">
        <v>5.4988338486464941E-3</v>
      </c>
    </row>
    <row r="1067" spans="1:2">
      <c r="A1067" s="27">
        <v>44546</v>
      </c>
      <c r="B1067" s="25">
        <v>1.461528958502138E-2</v>
      </c>
    </row>
    <row r="1068" spans="1:2">
      <c r="A1068" s="27">
        <v>44545</v>
      </c>
      <c r="B1068" s="25">
        <v>1.6610951971082234E-3</v>
      </c>
    </row>
    <row r="1069" spans="1:2">
      <c r="A1069" s="27">
        <v>44544</v>
      </c>
      <c r="B1069" s="25">
        <v>-1.782743141963829E-3</v>
      </c>
    </row>
    <row r="1070" spans="1:2">
      <c r="A1070" s="27">
        <v>44543</v>
      </c>
      <c r="B1070" s="25">
        <v>-3.1402443871746807E-3</v>
      </c>
    </row>
    <row r="1071" spans="1:2">
      <c r="A1071" s="27">
        <v>44540</v>
      </c>
      <c r="B1071" s="25">
        <v>2.6907328414430528E-3</v>
      </c>
    </row>
    <row r="1072" spans="1:2">
      <c r="A1072" s="27">
        <v>44539</v>
      </c>
      <c r="B1072" s="25">
        <v>-2.7331582901642476E-2</v>
      </c>
    </row>
    <row r="1073" spans="1:2">
      <c r="A1073" s="27">
        <v>44538</v>
      </c>
      <c r="B1073" s="25">
        <v>-1.5651380966858759E-2</v>
      </c>
    </row>
    <row r="1074" spans="1:2">
      <c r="A1074" s="27">
        <v>44537</v>
      </c>
      <c r="B1074" s="25">
        <v>-2.0881743776070234E-2</v>
      </c>
    </row>
    <row r="1075" spans="1:2">
      <c r="A1075" s="27">
        <v>44536</v>
      </c>
      <c r="B1075" s="25">
        <v>-5.1490832240455109E-5</v>
      </c>
    </row>
    <row r="1076" spans="1:2">
      <c r="A1076" s="27">
        <v>44533</v>
      </c>
      <c r="B1076" s="25">
        <v>1.8307982804629676E-2</v>
      </c>
    </row>
    <row r="1077" spans="1:2">
      <c r="A1077" s="27">
        <v>44532</v>
      </c>
      <c r="B1077" s="25">
        <v>2.02729914800205E-2</v>
      </c>
    </row>
    <row r="1078" spans="1:2">
      <c r="A1078" s="27">
        <v>44531</v>
      </c>
      <c r="B1078" s="25">
        <v>-1.0147885436693319E-2</v>
      </c>
    </row>
    <row r="1079" spans="1:2">
      <c r="A1079" s="27">
        <v>44530</v>
      </c>
      <c r="B1079" s="25">
        <v>1.6193289728452123E-3</v>
      </c>
    </row>
    <row r="1080" spans="1:2">
      <c r="A1080" s="27">
        <v>44529</v>
      </c>
      <c r="B1080" s="25">
        <v>-6.2721318928709363E-3</v>
      </c>
    </row>
    <row r="1081" spans="1:2">
      <c r="A1081" s="27">
        <v>44526</v>
      </c>
      <c r="B1081" s="25">
        <v>7.6530090281918678E-3</v>
      </c>
    </row>
    <row r="1082" spans="1:2">
      <c r="A1082" s="27">
        <v>44525</v>
      </c>
      <c r="B1082" s="25">
        <v>2.5406373916081076E-3</v>
      </c>
    </row>
    <row r="1083" spans="1:2">
      <c r="A1083" s="27">
        <v>44524</v>
      </c>
      <c r="B1083" s="25">
        <v>4.295574355045525E-3</v>
      </c>
    </row>
    <row r="1084" spans="1:2">
      <c r="A1084" s="27">
        <v>44523</v>
      </c>
      <c r="B1084" s="25">
        <v>7.2722426144579463E-3</v>
      </c>
    </row>
    <row r="1085" spans="1:2">
      <c r="A1085" s="27">
        <v>44522</v>
      </c>
      <c r="B1085" s="25">
        <v>1.9389929021439632E-2</v>
      </c>
    </row>
    <row r="1086" spans="1:2">
      <c r="A1086" s="27">
        <v>44518</v>
      </c>
      <c r="B1086" s="25">
        <v>-5.5534892754817754E-3</v>
      </c>
    </row>
    <row r="1087" spans="1:2">
      <c r="A1087" s="27">
        <v>44517</v>
      </c>
      <c r="B1087" s="25">
        <v>3.6170520902592696E-3</v>
      </c>
    </row>
    <row r="1088" spans="1:2">
      <c r="A1088" s="27">
        <v>44516</v>
      </c>
      <c r="B1088" s="25">
        <v>-1.8897915013679677E-2</v>
      </c>
    </row>
    <row r="1089" spans="1:2">
      <c r="A1089" s="27">
        <v>44515</v>
      </c>
      <c r="B1089" s="25">
        <v>4.0708075165093007E-3</v>
      </c>
    </row>
    <row r="1090" spans="1:2">
      <c r="A1090" s="27">
        <v>44512</v>
      </c>
      <c r="B1090" s="25">
        <v>-1.3168648660171596E-2</v>
      </c>
    </row>
    <row r="1091" spans="1:2">
      <c r="A1091" s="27">
        <v>44511</v>
      </c>
      <c r="B1091" s="25">
        <v>-1.7976287667806467E-2</v>
      </c>
    </row>
    <row r="1092" spans="1:2">
      <c r="A1092" s="27">
        <v>44510</v>
      </c>
      <c r="B1092" s="25">
        <v>1.0828535113283858E-2</v>
      </c>
    </row>
    <row r="1093" spans="1:2">
      <c r="A1093" s="27">
        <v>44509</v>
      </c>
      <c r="B1093" s="25">
        <v>8.7348594666510296E-3</v>
      </c>
    </row>
    <row r="1094" spans="1:2">
      <c r="A1094" s="27">
        <v>44508</v>
      </c>
      <c r="B1094" s="25">
        <v>-7.2650116625601804E-3</v>
      </c>
    </row>
    <row r="1095" spans="1:2">
      <c r="A1095" s="27">
        <v>44504</v>
      </c>
      <c r="B1095" s="25">
        <v>5.1725663764157059E-3</v>
      </c>
    </row>
    <row r="1096" spans="1:2">
      <c r="A1096" s="27">
        <v>44503</v>
      </c>
      <c r="B1096" s="25">
        <v>6.3025925130943646E-4</v>
      </c>
    </row>
    <row r="1097" spans="1:2">
      <c r="A1097" s="27">
        <v>44502</v>
      </c>
      <c r="B1097" s="25">
        <v>-1.601846312603222E-2</v>
      </c>
    </row>
    <row r="1098" spans="1:2">
      <c r="A1098" s="27">
        <v>44501</v>
      </c>
      <c r="B1098" s="25">
        <v>1.3764304327804292E-3</v>
      </c>
    </row>
    <row r="1099" spans="1:2">
      <c r="A1099" s="27">
        <v>44498</v>
      </c>
      <c r="B1099" s="25">
        <v>-7.980597720671747E-3</v>
      </c>
    </row>
    <row r="1100" spans="1:2">
      <c r="A1100" s="27">
        <v>44497</v>
      </c>
      <c r="B1100" s="25">
        <v>4.0721851699590094E-3</v>
      </c>
    </row>
    <row r="1101" spans="1:2">
      <c r="A1101" s="27">
        <v>44496</v>
      </c>
      <c r="B1101" s="25">
        <v>-4.2352649036294203E-3</v>
      </c>
    </row>
    <row r="1102" spans="1:2">
      <c r="A1102" s="27">
        <v>44495</v>
      </c>
      <c r="B1102" s="25">
        <v>-2.9981726145728985E-2</v>
      </c>
    </row>
    <row r="1103" spans="1:2">
      <c r="A1103" s="27">
        <v>44494</v>
      </c>
      <c r="B1103" s="25">
        <v>-1.81759775680254E-2</v>
      </c>
    </row>
    <row r="1104" spans="1:2">
      <c r="A1104" s="27">
        <v>44491</v>
      </c>
      <c r="B1104" s="25">
        <v>2.2254235930900118E-2</v>
      </c>
    </row>
    <row r="1105" spans="1:2">
      <c r="A1105" s="27">
        <v>44490</v>
      </c>
      <c r="B1105" s="25">
        <v>8.9249255930383183E-3</v>
      </c>
    </row>
    <row r="1106" spans="1:2">
      <c r="A1106" s="27">
        <v>44489</v>
      </c>
      <c r="B1106" s="25">
        <v>5.192991004559281E-2</v>
      </c>
    </row>
    <row r="1107" spans="1:2">
      <c r="A1107" s="27">
        <v>44488</v>
      </c>
      <c r="B1107" s="25">
        <v>8.2556332931921911E-3</v>
      </c>
    </row>
    <row r="1108" spans="1:2">
      <c r="A1108" s="27">
        <v>44487</v>
      </c>
      <c r="B1108" s="25">
        <v>1.8166231321974226E-2</v>
      </c>
    </row>
    <row r="1109" spans="1:2">
      <c r="A1109" s="27">
        <v>44483</v>
      </c>
      <c r="B1109" s="25">
        <v>1.3399732268327004E-2</v>
      </c>
    </row>
    <row r="1110" spans="1:2">
      <c r="A1110" s="27">
        <v>44482</v>
      </c>
      <c r="B1110" s="25">
        <v>3.5723358175152888E-3</v>
      </c>
    </row>
    <row r="1111" spans="1:2">
      <c r="A1111" s="27">
        <v>44481</v>
      </c>
      <c r="B1111" s="25">
        <v>-1.2216176045042707E-4</v>
      </c>
    </row>
    <row r="1112" spans="1:2">
      <c r="A1112" s="27">
        <v>44480</v>
      </c>
      <c r="B1112" s="25">
        <v>-4.3327904681416283E-3</v>
      </c>
    </row>
    <row r="1113" spans="1:2">
      <c r="A1113" s="27">
        <v>44477</v>
      </c>
      <c r="B1113" s="25">
        <v>3.4963217494609323E-3</v>
      </c>
    </row>
    <row r="1114" spans="1:2">
      <c r="A1114" s="27">
        <v>44476</v>
      </c>
      <c r="B1114" s="25">
        <v>-3.0666945171288966E-3</v>
      </c>
    </row>
    <row r="1115" spans="1:2">
      <c r="A1115" s="27">
        <v>44475</v>
      </c>
      <c r="B1115" s="25">
        <v>-1.8282193905443014E-2</v>
      </c>
    </row>
    <row r="1116" spans="1:2">
      <c r="A1116" s="27">
        <v>44474</v>
      </c>
      <c r="B1116" s="25">
        <v>1.1478744425558129E-2</v>
      </c>
    </row>
    <row r="1117" spans="1:2">
      <c r="A1117" s="27">
        <v>44473</v>
      </c>
      <c r="B1117" s="25">
        <v>-1.4414760325198334E-2</v>
      </c>
    </row>
    <row r="1118" spans="1:2">
      <c r="A1118" s="27">
        <v>44470</v>
      </c>
      <c r="B1118" s="25">
        <v>-8.7825895842028965E-3</v>
      </c>
    </row>
    <row r="1119" spans="1:2">
      <c r="A1119" s="27">
        <v>44469</v>
      </c>
      <c r="B1119" s="25">
        <v>1.5089856718848499E-2</v>
      </c>
    </row>
    <row r="1120" spans="1:2">
      <c r="A1120" s="27">
        <v>44468</v>
      </c>
      <c r="B1120" s="25">
        <v>1.7899001120642546E-2</v>
      </c>
    </row>
    <row r="1121" spans="1:2">
      <c r="A1121" s="27">
        <v>44467</v>
      </c>
      <c r="B1121" s="25">
        <v>1.0981536657315391E-2</v>
      </c>
    </row>
    <row r="1122" spans="1:2">
      <c r="A1122" s="27">
        <v>44466</v>
      </c>
      <c r="B1122" s="25">
        <v>1.3447402359582288E-2</v>
      </c>
    </row>
    <row r="1123" spans="1:2">
      <c r="A1123" s="27">
        <v>44463</v>
      </c>
      <c r="B1123" s="25">
        <v>5.4647522947137029E-3</v>
      </c>
    </row>
    <row r="1124" spans="1:2">
      <c r="A1124" s="27">
        <v>44462</v>
      </c>
      <c r="B1124" s="25">
        <v>-3.1443029129105814E-2</v>
      </c>
    </row>
    <row r="1125" spans="1:2">
      <c r="A1125" s="27">
        <v>44461</v>
      </c>
      <c r="B1125" s="25">
        <v>-3.0518442521960537E-3</v>
      </c>
    </row>
    <row r="1126" spans="1:2">
      <c r="A1126" s="27">
        <v>44460</v>
      </c>
      <c r="B1126" s="25">
        <v>-9.4665269205626026E-4</v>
      </c>
    </row>
    <row r="1127" spans="1:2">
      <c r="A1127" s="27">
        <v>44459</v>
      </c>
      <c r="B1127" s="25">
        <v>-9.1424676981558886E-3</v>
      </c>
    </row>
    <row r="1128" spans="1:2">
      <c r="A1128" s="27">
        <v>44456</v>
      </c>
      <c r="B1128" s="25">
        <v>8.3443001878219878E-3</v>
      </c>
    </row>
    <row r="1129" spans="1:2">
      <c r="A1129" s="27">
        <v>44455</v>
      </c>
      <c r="B1129" s="25">
        <v>1.2060849053424387E-2</v>
      </c>
    </row>
    <row r="1130" spans="1:2">
      <c r="A1130" s="27">
        <v>44454</v>
      </c>
      <c r="B1130" s="25">
        <v>3.3872092751764953E-3</v>
      </c>
    </row>
    <row r="1131" spans="1:2">
      <c r="A1131" s="27">
        <v>44453</v>
      </c>
      <c r="B1131" s="25">
        <v>3.4575024925396521E-4</v>
      </c>
    </row>
    <row r="1132" spans="1:2">
      <c r="A1132" s="27">
        <v>44452</v>
      </c>
      <c r="B1132" s="25">
        <v>1.0170453008946758E-3</v>
      </c>
    </row>
    <row r="1133" spans="1:2">
      <c r="A1133" s="27">
        <v>44448</v>
      </c>
      <c r="B1133" s="25">
        <v>-4.691456073720188E-3</v>
      </c>
    </row>
    <row r="1134" spans="1:2">
      <c r="A1134" s="27">
        <v>44447</v>
      </c>
      <c r="B1134" s="25">
        <v>-2.116949871770421E-3</v>
      </c>
    </row>
    <row r="1135" spans="1:2">
      <c r="A1135" s="27">
        <v>44446</v>
      </c>
      <c r="B1135" s="25">
        <v>1.5384077589372905E-3</v>
      </c>
    </row>
    <row r="1136" spans="1:2">
      <c r="A1136" s="27">
        <v>44445</v>
      </c>
      <c r="B1136" s="25">
        <v>-4.1026714108064908E-3</v>
      </c>
    </row>
    <row r="1137" spans="1:2">
      <c r="A1137" s="27">
        <v>44442</v>
      </c>
      <c r="B1137" s="25">
        <v>4.2904883920140179E-3</v>
      </c>
    </row>
    <row r="1138" spans="1:2">
      <c r="A1138" s="27">
        <v>44441</v>
      </c>
      <c r="B1138" s="25">
        <v>-7.3600445358520776E-3</v>
      </c>
    </row>
    <row r="1139" spans="1:2">
      <c r="A1139" s="27">
        <v>44440</v>
      </c>
      <c r="B1139" s="25">
        <v>-6.3137634747840641E-4</v>
      </c>
    </row>
    <row r="1140" spans="1:2">
      <c r="A1140" s="27">
        <v>44439</v>
      </c>
      <c r="B1140" s="25">
        <v>-2.5367568582057028E-2</v>
      </c>
    </row>
    <row r="1141" spans="1:2">
      <c r="A1141" s="27">
        <v>44438</v>
      </c>
      <c r="B1141" s="25">
        <v>-2.3206997916540951E-2</v>
      </c>
    </row>
    <row r="1142" spans="1:2">
      <c r="A1142" s="27">
        <v>44435</v>
      </c>
      <c r="B1142" s="25">
        <v>-2.1476022595446797E-2</v>
      </c>
    </row>
    <row r="1143" spans="1:2">
      <c r="A1143" s="27">
        <v>44434</v>
      </c>
      <c r="B1143" s="25">
        <v>3.3123296937086026E-4</v>
      </c>
    </row>
    <row r="1144" spans="1:2">
      <c r="A1144" s="27">
        <v>44433</v>
      </c>
      <c r="B1144" s="25">
        <v>5.8743689443362113E-4</v>
      </c>
    </row>
    <row r="1145" spans="1:2">
      <c r="A1145" s="27">
        <v>44432</v>
      </c>
      <c r="B1145" s="25">
        <v>1.6892064332138025E-3</v>
      </c>
    </row>
    <row r="1146" spans="1:2">
      <c r="A1146" s="27">
        <v>44431</v>
      </c>
      <c r="B1146" s="25">
        <v>9.0025105189638129E-3</v>
      </c>
    </row>
    <row r="1147" spans="1:2">
      <c r="A1147" s="27">
        <v>44428</v>
      </c>
      <c r="B1147" s="25">
        <v>1.237488813544874E-2</v>
      </c>
    </row>
    <row r="1148" spans="1:2">
      <c r="A1148" s="27">
        <v>44426</v>
      </c>
      <c r="B1148" s="25">
        <v>-2.6332930323585444E-2</v>
      </c>
    </row>
    <row r="1149" spans="1:2">
      <c r="A1149" s="27">
        <v>44425</v>
      </c>
      <c r="B1149" s="25">
        <v>3.8179230687834949E-3</v>
      </c>
    </row>
    <row r="1150" spans="1:2">
      <c r="A1150" s="27">
        <v>44424</v>
      </c>
      <c r="B1150" s="25">
        <v>-1.1082079794522501E-2</v>
      </c>
    </row>
    <row r="1151" spans="1:2">
      <c r="A1151" s="27">
        <v>44421</v>
      </c>
      <c r="B1151" s="25">
        <v>3.5476959198690924E-3</v>
      </c>
    </row>
    <row r="1152" spans="1:2">
      <c r="A1152" s="27">
        <v>44420</v>
      </c>
      <c r="B1152" s="25">
        <v>-4.1406942191920945E-3</v>
      </c>
    </row>
    <row r="1153" spans="1:2">
      <c r="A1153" s="27">
        <v>44419</v>
      </c>
      <c r="B1153" s="25">
        <v>-1.4502050171049494E-3</v>
      </c>
    </row>
    <row r="1154" spans="1:2">
      <c r="A1154" s="27">
        <v>44418</v>
      </c>
      <c r="B1154" s="25">
        <v>1.427704545309158E-3</v>
      </c>
    </row>
    <row r="1155" spans="1:2">
      <c r="A1155" s="27">
        <v>44417</v>
      </c>
      <c r="B1155" s="25">
        <v>6.6423565627989995E-3</v>
      </c>
    </row>
    <row r="1156" spans="1:2">
      <c r="A1156" s="27">
        <v>44414</v>
      </c>
      <c r="B1156" s="25">
        <v>-2.2994363960159481E-3</v>
      </c>
    </row>
    <row r="1157" spans="1:2">
      <c r="A1157" s="27">
        <v>44413</v>
      </c>
      <c r="B1157" s="25">
        <v>6.8561801409310931E-3</v>
      </c>
    </row>
    <row r="1158" spans="1:2">
      <c r="A1158" s="27">
        <v>44412</v>
      </c>
      <c r="B1158" s="25">
        <v>7.8381607727229571E-3</v>
      </c>
    </row>
    <row r="1159" spans="1:2">
      <c r="A1159" s="27">
        <v>44411</v>
      </c>
      <c r="B1159" s="25">
        <v>3.7355077289841733E-3</v>
      </c>
    </row>
    <row r="1160" spans="1:2">
      <c r="A1160" s="27">
        <v>44410</v>
      </c>
      <c r="B1160" s="25">
        <v>-1.3630807910686214E-2</v>
      </c>
    </row>
    <row r="1161" spans="1:2">
      <c r="A1161" s="27">
        <v>44407</v>
      </c>
      <c r="B1161" s="25">
        <v>-3.7544422097062005E-3</v>
      </c>
    </row>
    <row r="1162" spans="1:2">
      <c r="A1162" s="27">
        <v>44406</v>
      </c>
      <c r="B1162" s="25">
        <v>8.7751455957338822E-3</v>
      </c>
    </row>
    <row r="1163" spans="1:2">
      <c r="A1163" s="27">
        <v>44405</v>
      </c>
      <c r="B1163" s="25">
        <v>1.6533837523470939E-3</v>
      </c>
    </row>
    <row r="1164" spans="1:2">
      <c r="A1164" s="27">
        <v>44404</v>
      </c>
      <c r="B1164" s="25">
        <v>5.3259868156881815E-3</v>
      </c>
    </row>
    <row r="1165" spans="1:2">
      <c r="A1165" s="27">
        <v>44403</v>
      </c>
      <c r="B1165" s="25">
        <v>9.2052288314338933E-3</v>
      </c>
    </row>
    <row r="1166" spans="1:2">
      <c r="A1166" s="27">
        <v>44400</v>
      </c>
      <c r="B1166" s="25">
        <v>7.1655795192802673E-3</v>
      </c>
    </row>
    <row r="1167" spans="1:2">
      <c r="A1167" s="27">
        <v>44399</v>
      </c>
      <c r="B1167" s="25">
        <v>5.311989968997885E-3</v>
      </c>
    </row>
    <row r="1168" spans="1:2">
      <c r="A1168" s="27">
        <v>44397</v>
      </c>
      <c r="B1168" s="25">
        <v>1.3342906142010976E-2</v>
      </c>
    </row>
    <row r="1169" spans="1:2">
      <c r="A1169" s="27">
        <v>44396</v>
      </c>
      <c r="B1169" s="25">
        <v>-4.8768707072798533E-2</v>
      </c>
    </row>
    <row r="1170" spans="1:2">
      <c r="A1170" s="27">
        <v>44393</v>
      </c>
      <c r="B1170" s="25">
        <v>3.7429923048373083E-3</v>
      </c>
    </row>
    <row r="1171" spans="1:2">
      <c r="A1171" s="27">
        <v>44392</v>
      </c>
      <c r="B1171" s="25">
        <v>-2.184467534949872E-3</v>
      </c>
    </row>
    <row r="1172" spans="1:2">
      <c r="A1172" s="27">
        <v>44391</v>
      </c>
      <c r="B1172" s="25">
        <v>4.1546694548605257E-3</v>
      </c>
    </row>
    <row r="1173" spans="1:2">
      <c r="A1173" s="27">
        <v>44390</v>
      </c>
      <c r="B1173" s="25">
        <v>-2.787544476002447E-3</v>
      </c>
    </row>
    <row r="1174" spans="1:2">
      <c r="A1174" s="27">
        <v>44389</v>
      </c>
      <c r="B1174" s="25">
        <v>1.4154486919726401E-3</v>
      </c>
    </row>
    <row r="1175" spans="1:2">
      <c r="A1175" s="27">
        <v>44386</v>
      </c>
      <c r="B1175" s="25">
        <v>4.1969883212741692E-3</v>
      </c>
    </row>
    <row r="1176" spans="1:2">
      <c r="A1176" s="27">
        <v>44385</v>
      </c>
      <c r="B1176" s="25">
        <v>3.7990881979019318E-3</v>
      </c>
    </row>
    <row r="1177" spans="1:2">
      <c r="A1177" s="27">
        <v>44384</v>
      </c>
      <c r="B1177" s="25">
        <v>4.7196045609849751E-3</v>
      </c>
    </row>
    <row r="1178" spans="1:2">
      <c r="A1178" s="27">
        <v>44383</v>
      </c>
      <c r="B1178" s="25">
        <v>-1.4820900420033912E-2</v>
      </c>
    </row>
    <row r="1179" spans="1:2">
      <c r="A1179" s="27">
        <v>44382</v>
      </c>
      <c r="B1179" s="25">
        <v>2.4293224305486096E-3</v>
      </c>
    </row>
    <row r="1180" spans="1:2">
      <c r="A1180" s="27">
        <v>44379</v>
      </c>
      <c r="B1180" s="25">
        <v>-5.2443763092621222E-3</v>
      </c>
    </row>
    <row r="1181" spans="1:2">
      <c r="A1181" s="27">
        <v>44378</v>
      </c>
      <c r="B1181" s="25">
        <v>2.4835625146401473E-3</v>
      </c>
    </row>
    <row r="1182" spans="1:2">
      <c r="A1182" s="27">
        <v>44377</v>
      </c>
      <c r="B1182" s="25">
        <v>-6.7963693017142847E-3</v>
      </c>
    </row>
    <row r="1183" spans="1:2">
      <c r="A1183" s="27">
        <v>44376</v>
      </c>
      <c r="B1183" s="25">
        <v>2.2180296983859748E-3</v>
      </c>
    </row>
    <row r="1184" spans="1:2">
      <c r="A1184" s="27">
        <v>44375</v>
      </c>
      <c r="B1184" s="25">
        <v>-4.4725405217301744E-3</v>
      </c>
    </row>
    <row r="1185" spans="1:2">
      <c r="A1185" s="27">
        <v>44372</v>
      </c>
      <c r="B1185" s="25">
        <v>5.2869229965976762E-3</v>
      </c>
    </row>
    <row r="1186" spans="1:2">
      <c r="A1186" s="27">
        <v>44371</v>
      </c>
      <c r="B1186" s="25">
        <v>1.156674220634127E-2</v>
      </c>
    </row>
    <row r="1187" spans="1:2">
      <c r="A1187" s="27">
        <v>44370</v>
      </c>
      <c r="B1187" s="25">
        <v>-1.5225728299136291E-2</v>
      </c>
    </row>
    <row r="1188" spans="1:2">
      <c r="A1188" s="27">
        <v>44369</v>
      </c>
      <c r="B1188" s="25">
        <v>5.0357941446834073E-3</v>
      </c>
    </row>
    <row r="1189" spans="1:2">
      <c r="A1189" s="27">
        <v>44368</v>
      </c>
      <c r="B1189" s="25">
        <v>1.6435631388222741E-2</v>
      </c>
    </row>
    <row r="1190" spans="1:2">
      <c r="A1190" s="27">
        <v>44365</v>
      </c>
      <c r="B1190" s="25">
        <v>-5.7559316263246186E-3</v>
      </c>
    </row>
    <row r="1191" spans="1:2">
      <c r="A1191" s="27">
        <v>44364</v>
      </c>
      <c r="B1191" s="25">
        <v>2.211460581359495E-3</v>
      </c>
    </row>
    <row r="1192" spans="1:2">
      <c r="A1192" s="27">
        <v>44363</v>
      </c>
      <c r="B1192" s="25">
        <v>-8.6979596092926943E-3</v>
      </c>
    </row>
    <row r="1193" spans="1:2">
      <c r="A1193" s="27">
        <v>44362</v>
      </c>
      <c r="B1193" s="25">
        <v>7.9893029769925895E-3</v>
      </c>
    </row>
    <row r="1194" spans="1:2">
      <c r="A1194" s="27">
        <v>44361</v>
      </c>
      <c r="B1194" s="25">
        <v>-2.630732506684158E-2</v>
      </c>
    </row>
    <row r="1195" spans="1:2">
      <c r="A1195" s="27">
        <v>44358</v>
      </c>
      <c r="B1195" s="25">
        <v>1.5105084033838919E-3</v>
      </c>
    </row>
    <row r="1196" spans="1:2">
      <c r="A1196" s="27">
        <v>44357</v>
      </c>
      <c r="B1196" s="25">
        <v>-9.3487018959222189E-4</v>
      </c>
    </row>
    <row r="1197" spans="1:2">
      <c r="A1197" s="27">
        <v>44356</v>
      </c>
      <c r="B1197" s="25">
        <v>-2.9609304793316023E-3</v>
      </c>
    </row>
    <row r="1198" spans="1:2">
      <c r="A1198" s="27">
        <v>44355</v>
      </c>
      <c r="B1198" s="25">
        <v>-3.0215696169816333E-3</v>
      </c>
    </row>
    <row r="1199" spans="1:2">
      <c r="A1199" s="27">
        <v>44354</v>
      </c>
      <c r="B1199" s="25">
        <v>2.1266858239987131E-3</v>
      </c>
    </row>
    <row r="1200" spans="1:2">
      <c r="A1200" s="27">
        <v>44351</v>
      </c>
      <c r="B1200" s="25">
        <v>-6.2114364570414592E-3</v>
      </c>
    </row>
    <row r="1201" spans="1:2">
      <c r="A1201" s="27">
        <v>44350</v>
      </c>
      <c r="B1201" s="25">
        <v>3.7636296139750853E-3</v>
      </c>
    </row>
    <row r="1202" spans="1:2">
      <c r="A1202" s="27">
        <v>44349</v>
      </c>
      <c r="B1202" s="25">
        <v>-8.3096148135792074E-3</v>
      </c>
    </row>
    <row r="1203" spans="1:2">
      <c r="A1203" s="27">
        <v>44348</v>
      </c>
      <c r="B1203" s="25">
        <v>6.7243552089118778E-3</v>
      </c>
    </row>
    <row r="1204" spans="1:2">
      <c r="A1204" s="27">
        <v>44347</v>
      </c>
      <c r="B1204" s="25">
        <v>1.2523711881670918E-2</v>
      </c>
    </row>
    <row r="1205" spans="1:2">
      <c r="A1205" s="27">
        <v>44344</v>
      </c>
      <c r="B1205" s="25">
        <v>-9.3490538008289322E-3</v>
      </c>
    </row>
    <row r="1206" spans="1:2">
      <c r="A1206" s="27">
        <v>44343</v>
      </c>
      <c r="B1206" s="25">
        <v>2.5635036023467636E-3</v>
      </c>
    </row>
    <row r="1207" spans="1:2">
      <c r="A1207" s="27">
        <v>44342</v>
      </c>
      <c r="B1207" s="25">
        <v>5.4269831352966955E-3</v>
      </c>
    </row>
    <row r="1208" spans="1:2">
      <c r="A1208" s="27">
        <v>44341</v>
      </c>
      <c r="B1208" s="25">
        <v>-1.1539945562123821E-2</v>
      </c>
    </row>
    <row r="1209" spans="1:2">
      <c r="A1209" s="27">
        <v>44340</v>
      </c>
      <c r="B1209" s="25">
        <v>-2.6624971425314132E-2</v>
      </c>
    </row>
    <row r="1210" spans="1:2">
      <c r="A1210" s="27">
        <v>44337</v>
      </c>
      <c r="B1210" s="25">
        <v>-1.2865037428770015E-3</v>
      </c>
    </row>
    <row r="1211" spans="1:2">
      <c r="A1211" s="27">
        <v>44336</v>
      </c>
      <c r="B1211" s="25">
        <v>-1.1692285098117644E-2</v>
      </c>
    </row>
    <row r="1212" spans="1:2">
      <c r="A1212" s="27">
        <v>44335</v>
      </c>
      <c r="B1212" s="25">
        <v>5.8985680032972157E-3</v>
      </c>
    </row>
    <row r="1213" spans="1:2">
      <c r="A1213" s="27">
        <v>44334</v>
      </c>
      <c r="B1213" s="25">
        <v>-1.0111205351053477E-3</v>
      </c>
    </row>
    <row r="1214" spans="1:2">
      <c r="A1214" s="27">
        <v>44333</v>
      </c>
      <c r="B1214" s="25">
        <v>-1.3305676796049161E-2</v>
      </c>
    </row>
    <row r="1215" spans="1:2">
      <c r="A1215" s="27">
        <v>44330</v>
      </c>
      <c r="B1215" s="25">
        <v>-5.4395456420234575E-3</v>
      </c>
    </row>
    <row r="1216" spans="1:2">
      <c r="A1216" s="27">
        <v>44328</v>
      </c>
      <c r="B1216" s="25">
        <v>-6.3056831711733652E-2</v>
      </c>
    </row>
    <row r="1217" spans="1:2">
      <c r="A1217" s="27">
        <v>44327</v>
      </c>
      <c r="B1217" s="25">
        <v>5.2274693463631825E-4</v>
      </c>
    </row>
    <row r="1218" spans="1:2">
      <c r="A1218" s="27">
        <v>44326</v>
      </c>
      <c r="B1218" s="25">
        <v>-1.9428335961485998E-3</v>
      </c>
    </row>
    <row r="1219" spans="1:2">
      <c r="A1219" s="27">
        <v>44323</v>
      </c>
      <c r="B1219" s="25">
        <v>-1.1880276879635589E-3</v>
      </c>
    </row>
    <row r="1220" spans="1:2">
      <c r="A1220" s="27">
        <v>44322</v>
      </c>
      <c r="B1220" s="25">
        <v>-5.8528444898105485E-4</v>
      </c>
    </row>
    <row r="1221" spans="1:2">
      <c r="A1221" s="27">
        <v>44321</v>
      </c>
      <c r="B1221" s="25">
        <v>4.0495494571885894E-3</v>
      </c>
    </row>
    <row r="1222" spans="1:2">
      <c r="A1222" s="27">
        <v>44320</v>
      </c>
      <c r="B1222" s="25">
        <v>2.6506197536737643E-3</v>
      </c>
    </row>
    <row r="1223" spans="1:2">
      <c r="A1223" s="27">
        <v>44319</v>
      </c>
      <c r="B1223" s="25">
        <v>-8.1978585248288302E-5</v>
      </c>
    </row>
    <row r="1224" spans="1:2">
      <c r="A1224" s="27">
        <v>44316</v>
      </c>
      <c r="B1224" s="25">
        <v>-1.5236475870800736E-2</v>
      </c>
    </row>
    <row r="1225" spans="1:2">
      <c r="A1225" s="27">
        <v>44315</v>
      </c>
      <c r="B1225" s="25">
        <v>2.4986165105703194E-2</v>
      </c>
    </row>
    <row r="1226" spans="1:2">
      <c r="A1226" s="27">
        <v>44314</v>
      </c>
      <c r="B1226" s="25">
        <v>1.0289884277938533E-3</v>
      </c>
    </row>
    <row r="1227" spans="1:2">
      <c r="A1227" s="27">
        <v>44313</v>
      </c>
      <c r="B1227" s="25">
        <v>-1.355234765276696E-2</v>
      </c>
    </row>
    <row r="1228" spans="1:2">
      <c r="A1228" s="27">
        <v>44312</v>
      </c>
      <c r="B1228" s="25">
        <v>-2.5531653786885406E-3</v>
      </c>
    </row>
    <row r="1229" spans="1:2">
      <c r="A1229" s="27">
        <v>44309</v>
      </c>
      <c r="B1229" s="25">
        <v>-1.4563785113960519E-2</v>
      </c>
    </row>
    <row r="1230" spans="1:2">
      <c r="A1230" s="27">
        <v>44308</v>
      </c>
      <c r="B1230" s="25">
        <v>-1.0135498703270239E-3</v>
      </c>
    </row>
    <row r="1231" spans="1:2">
      <c r="A1231" s="27">
        <v>44306</v>
      </c>
      <c r="B1231" s="25">
        <v>1.0955947828076467E-2</v>
      </c>
    </row>
    <row r="1232" spans="1:2">
      <c r="A1232" s="27">
        <v>44305</v>
      </c>
      <c r="B1232" s="25">
        <v>5.5729546820155662E-3</v>
      </c>
    </row>
    <row r="1233" spans="1:2">
      <c r="A1233" s="27">
        <v>44302</v>
      </c>
      <c r="B1233" s="25">
        <v>3.3943402361860373E-2</v>
      </c>
    </row>
    <row r="1234" spans="1:2">
      <c r="A1234" s="27">
        <v>44301</v>
      </c>
      <c r="B1234" s="25">
        <v>-2.329463959242941E-2</v>
      </c>
    </row>
    <row r="1235" spans="1:2">
      <c r="A1235" s="27">
        <v>44299</v>
      </c>
      <c r="B1235" s="25">
        <v>-4.8857074922384188E-3</v>
      </c>
    </row>
    <row r="1236" spans="1:2">
      <c r="A1236" s="27">
        <v>44298</v>
      </c>
      <c r="B1236" s="25">
        <v>9.7615028109305762E-3</v>
      </c>
    </row>
    <row r="1237" spans="1:2">
      <c r="A1237" s="27">
        <v>44295</v>
      </c>
      <c r="B1237" s="25">
        <v>1.7430675077918404E-2</v>
      </c>
    </row>
    <row r="1238" spans="1:2">
      <c r="A1238" s="27">
        <v>44294</v>
      </c>
      <c r="B1238" s="25">
        <v>8.7514362637614116E-3</v>
      </c>
    </row>
    <row r="1239" spans="1:2">
      <c r="A1239" s="27">
        <v>44293</v>
      </c>
      <c r="B1239" s="25">
        <v>-8.6369484149566855E-3</v>
      </c>
    </row>
    <row r="1240" spans="1:2">
      <c r="A1240" s="27">
        <v>44292</v>
      </c>
      <c r="B1240" s="25">
        <v>-5.3469508574201779E-3</v>
      </c>
    </row>
    <row r="1241" spans="1:2">
      <c r="A1241" s="27">
        <v>44291</v>
      </c>
      <c r="B1241" s="25">
        <v>-3.0475382243474153E-2</v>
      </c>
    </row>
    <row r="1242" spans="1:2">
      <c r="A1242" s="27">
        <v>44287</v>
      </c>
      <c r="B1242" s="25">
        <v>1.65889655057803E-2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C85A8-03CD-4512-B8FD-2FCEE7532B97}">
  <dimension ref="A1:I1240"/>
  <sheetViews>
    <sheetView showGridLines="0" workbookViewId="0">
      <selection activeCell="I8" sqref="I8"/>
    </sheetView>
  </sheetViews>
  <sheetFormatPr defaultRowHeight="13.8"/>
  <cols>
    <col min="1" max="1" width="15.33203125" style="8" customWidth="1"/>
    <col min="2" max="2" width="16.44140625" style="8" customWidth="1"/>
    <col min="3" max="4" width="8.88671875" style="8"/>
    <col min="5" max="5" width="17.33203125" style="50" customWidth="1"/>
    <col min="6" max="6" width="21.33203125" style="8" customWidth="1"/>
    <col min="7" max="7" width="16.33203125" style="8" customWidth="1"/>
    <col min="8" max="8" width="13.109375" style="8" customWidth="1"/>
    <col min="9" max="9" width="77.33203125" style="8" customWidth="1"/>
    <col min="10" max="16384" width="8.88671875" style="8"/>
  </cols>
  <sheetData>
    <row r="1" spans="1:9">
      <c r="A1" s="8" t="s">
        <v>0</v>
      </c>
      <c r="B1" s="30" t="s">
        <v>3577</v>
      </c>
    </row>
    <row r="2" spans="1:9">
      <c r="A2" s="27">
        <v>46111</v>
      </c>
      <c r="B2" s="25">
        <v>-2.6953658776786262E-2</v>
      </c>
      <c r="D2" s="8" t="s">
        <v>3589</v>
      </c>
      <c r="E2" s="51">
        <v>10000000</v>
      </c>
    </row>
    <row r="3" spans="1:9">
      <c r="A3" s="27">
        <v>46108</v>
      </c>
      <c r="B3" s="25">
        <v>1.9101032450748984E-2</v>
      </c>
    </row>
    <row r="4" spans="1:9">
      <c r="A4" s="27">
        <v>46106</v>
      </c>
      <c r="B4" s="25">
        <v>2.5796888243165738E-2</v>
      </c>
    </row>
    <row r="5" spans="1:9">
      <c r="A5" s="27">
        <v>46105</v>
      </c>
      <c r="B5" s="25">
        <v>-2.7229138616509975E-2</v>
      </c>
      <c r="F5" s="52"/>
      <c r="G5" s="40" t="s">
        <v>3586</v>
      </c>
      <c r="H5" s="41" t="s">
        <v>3587</v>
      </c>
      <c r="I5" s="42" t="s">
        <v>3588</v>
      </c>
    </row>
    <row r="6" spans="1:9">
      <c r="A6" s="27">
        <v>46104</v>
      </c>
      <c r="B6" s="25">
        <v>-3.6461673250272851E-2</v>
      </c>
      <c r="F6" s="53" t="s">
        <v>3585</v>
      </c>
      <c r="G6" s="44">
        <f>_xlfn.PERCENTILE.INC(B2:B1240,0.05)</f>
        <v>-1.9839729167757107E-2</v>
      </c>
      <c r="H6" s="54">
        <f>ABS(G6*E2)</f>
        <v>198397.29167757108</v>
      </c>
      <c r="I6" s="46" t="str">
        <f>"There is a 5% probability that the portfolio will lose more than Rs. "&amp;TEXT(H6,"#,##0.00")&amp;" in one day."</f>
        <v>There is a 5% probability that the portfolio will lose more than Rs. 1,98,397.29 in one day.</v>
      </c>
    </row>
    <row r="7" spans="1:9">
      <c r="A7" s="27">
        <v>46101</v>
      </c>
      <c r="B7" s="25">
        <v>3.330928415554664E-2</v>
      </c>
      <c r="F7" s="55" t="s">
        <v>3584</v>
      </c>
      <c r="G7" s="48">
        <f>_xlfn.PERCENTILE.INC(B2:B1240,0.01)</f>
        <v>-3.1428916759065853E-2</v>
      </c>
      <c r="H7" s="56">
        <f>ABS(E2*G7)</f>
        <v>314289.16759065853</v>
      </c>
      <c r="I7" s="49" t="str">
        <f>"There is a 1% probability that the portfolio will lose more than Rs. "&amp;TEXT(H7,"#,##0.00")&amp;" in one day."</f>
        <v>There is a 1% probability that the portfolio will lose more than Rs. 3,14,289.17 in one day.</v>
      </c>
    </row>
    <row r="8" spans="1:9">
      <c r="A8" s="27">
        <v>46100</v>
      </c>
      <c r="B8" s="25">
        <v>-7.004478532581359E-3</v>
      </c>
    </row>
    <row r="9" spans="1:9">
      <c r="A9" s="27">
        <v>46099</v>
      </c>
      <c r="B9" s="25">
        <v>3.117614742191922E-2</v>
      </c>
    </row>
    <row r="10" spans="1:9">
      <c r="A10" s="27">
        <v>46098</v>
      </c>
      <c r="B10" s="25">
        <v>-8.2110611604325496E-3</v>
      </c>
    </row>
    <row r="11" spans="1:9">
      <c r="A11" s="27">
        <v>46097</v>
      </c>
      <c r="B11" s="25">
        <v>-1.0789094958345636E-2</v>
      </c>
    </row>
    <row r="12" spans="1:9">
      <c r="A12" s="27">
        <v>46094</v>
      </c>
      <c r="B12" s="25">
        <v>-3.8502505713761547E-3</v>
      </c>
    </row>
    <row r="13" spans="1:9">
      <c r="A13" s="27">
        <v>46093</v>
      </c>
      <c r="B13" s="25">
        <v>1.7158481018372255E-2</v>
      </c>
    </row>
    <row r="14" spans="1:9">
      <c r="A14" s="27">
        <v>46092</v>
      </c>
      <c r="B14" s="25">
        <v>5.9194324541426944E-3</v>
      </c>
    </row>
    <row r="15" spans="1:9">
      <c r="A15" s="27">
        <v>46091</v>
      </c>
      <c r="B15" s="25">
        <v>1.789589633980428E-2</v>
      </c>
    </row>
    <row r="16" spans="1:9">
      <c r="A16" s="27">
        <v>46090</v>
      </c>
      <c r="B16" s="25">
        <v>-2.3059006328040463E-2</v>
      </c>
    </row>
    <row r="17" spans="1:2">
      <c r="A17" s="27">
        <v>46087</v>
      </c>
      <c r="B17" s="25">
        <v>2.3917493073902524E-2</v>
      </c>
    </row>
    <row r="18" spans="1:2">
      <c r="A18" s="27">
        <v>46086</v>
      </c>
      <c r="B18" s="25">
        <v>2.9697159640361464E-3</v>
      </c>
    </row>
    <row r="19" spans="1:2">
      <c r="A19" s="27">
        <v>46085</v>
      </c>
      <c r="B19" s="25">
        <v>1.9121374938665108E-3</v>
      </c>
    </row>
    <row r="20" spans="1:2">
      <c r="A20" s="27">
        <v>46083</v>
      </c>
      <c r="B20" s="25">
        <v>1.0602621843356469E-2</v>
      </c>
    </row>
    <row r="21" spans="1:2">
      <c r="A21" s="27">
        <v>46080</v>
      </c>
      <c r="B21" s="25">
        <v>2.7373052694572415E-2</v>
      </c>
    </row>
    <row r="22" spans="1:2">
      <c r="A22" s="27">
        <v>46079</v>
      </c>
      <c r="B22" s="25">
        <v>7.6469510019204837E-3</v>
      </c>
    </row>
    <row r="23" spans="1:2">
      <c r="A23" s="27">
        <v>46078</v>
      </c>
      <c r="B23" s="25">
        <v>6.2070043547431892E-3</v>
      </c>
    </row>
    <row r="24" spans="1:2">
      <c r="A24" s="27">
        <v>46077</v>
      </c>
      <c r="B24" s="25">
        <v>1.2118161598920758E-3</v>
      </c>
    </row>
    <row r="25" spans="1:2">
      <c r="A25" s="27">
        <v>46076</v>
      </c>
      <c r="B25" s="25">
        <v>5.7962785210843356E-3</v>
      </c>
    </row>
    <row r="26" spans="1:2">
      <c r="A26" s="27">
        <v>46073</v>
      </c>
      <c r="B26" s="25">
        <v>-4.8602714092555082E-3</v>
      </c>
    </row>
    <row r="27" spans="1:2">
      <c r="A27" s="27">
        <v>46072</v>
      </c>
      <c r="B27" s="25">
        <v>-6.6761208446515915E-3</v>
      </c>
    </row>
    <row r="28" spans="1:2">
      <c r="A28" s="27">
        <v>46071</v>
      </c>
      <c r="B28" s="25">
        <v>1.1129255259504162E-2</v>
      </c>
    </row>
    <row r="29" spans="1:2">
      <c r="A29" s="27">
        <v>46070</v>
      </c>
      <c r="B29" s="25">
        <v>2.4488986318159526E-3</v>
      </c>
    </row>
    <row r="30" spans="1:2">
      <c r="A30" s="27">
        <v>46069</v>
      </c>
      <c r="B30" s="25">
        <v>-1.1959983374366115E-2</v>
      </c>
    </row>
    <row r="31" spans="1:2">
      <c r="A31" s="27">
        <v>46066</v>
      </c>
      <c r="B31" s="25">
        <v>-1.1462561397267866E-2</v>
      </c>
    </row>
    <row r="32" spans="1:2">
      <c r="A32" s="27">
        <v>46065</v>
      </c>
      <c r="B32" s="25">
        <v>1.451060895973964E-2</v>
      </c>
    </row>
    <row r="33" spans="1:2">
      <c r="A33" s="27">
        <v>46064</v>
      </c>
      <c r="B33" s="25">
        <v>-5.0061820911823911E-3</v>
      </c>
    </row>
    <row r="34" spans="1:2">
      <c r="A34" s="27">
        <v>46063</v>
      </c>
      <c r="B34" s="25">
        <v>2.3009870879498813E-3</v>
      </c>
    </row>
    <row r="35" spans="1:2">
      <c r="A35" s="27">
        <v>46062</v>
      </c>
      <c r="B35" s="25">
        <v>9.5195003483074039E-3</v>
      </c>
    </row>
    <row r="36" spans="1:2">
      <c r="A36" s="27">
        <v>46059</v>
      </c>
      <c r="B36" s="25">
        <v>-3.9215057491826339E-3</v>
      </c>
    </row>
    <row r="37" spans="1:2">
      <c r="A37" s="27">
        <v>46058</v>
      </c>
      <c r="B37" s="25">
        <v>8.7083991507843593E-3</v>
      </c>
    </row>
    <row r="38" spans="1:2">
      <c r="A38" s="27">
        <v>46057</v>
      </c>
      <c r="B38" s="25">
        <v>1.0932460001390093E-2</v>
      </c>
    </row>
    <row r="39" spans="1:2">
      <c r="A39" s="27">
        <v>46056</v>
      </c>
      <c r="B39" s="25">
        <v>-7.1366825293548881E-3</v>
      </c>
    </row>
    <row r="40" spans="1:2">
      <c r="A40" s="27">
        <v>46055</v>
      </c>
      <c r="B40" s="25">
        <v>-1.1657981711428534E-2</v>
      </c>
    </row>
    <row r="41" spans="1:2">
      <c r="A41" s="27">
        <v>46054</v>
      </c>
      <c r="B41" s="25">
        <v>-1.8129358377274644E-2</v>
      </c>
    </row>
    <row r="42" spans="1:2">
      <c r="A42" s="27">
        <v>46052</v>
      </c>
      <c r="B42" s="25">
        <v>2.3855562832833559E-2</v>
      </c>
    </row>
    <row r="43" spans="1:2">
      <c r="A43" s="27">
        <v>46051</v>
      </c>
      <c r="B43" s="25">
        <v>-4.6760036386475964E-3</v>
      </c>
    </row>
    <row r="44" spans="1:2">
      <c r="A44" s="27">
        <v>46050</v>
      </c>
      <c r="B44" s="25">
        <v>3.4633326398896713E-2</v>
      </c>
    </row>
    <row r="45" spans="1:2">
      <c r="A45" s="27">
        <v>46049</v>
      </c>
      <c r="B45" s="25">
        <v>3.7119577797701898E-2</v>
      </c>
    </row>
    <row r="46" spans="1:2">
      <c r="A46" s="27">
        <v>46045</v>
      </c>
      <c r="B46" s="25">
        <v>2.5579207666221876E-2</v>
      </c>
    </row>
    <row r="47" spans="1:2">
      <c r="A47" s="27">
        <v>46044</v>
      </c>
      <c r="B47" s="25">
        <v>1.9348636705076359E-3</v>
      </c>
    </row>
    <row r="48" spans="1:2">
      <c r="A48" s="27">
        <v>46043</v>
      </c>
      <c r="B48" s="25">
        <v>-8.0480876520095338E-3</v>
      </c>
    </row>
    <row r="49" spans="1:2">
      <c r="A49" s="27">
        <v>46042</v>
      </c>
      <c r="B49" s="25">
        <v>3.993517093825151E-3</v>
      </c>
    </row>
    <row r="50" spans="1:2">
      <c r="A50" s="27">
        <v>46041</v>
      </c>
      <c r="B50" s="25">
        <v>2.5412605215448782E-2</v>
      </c>
    </row>
    <row r="51" spans="1:2">
      <c r="A51" s="27">
        <v>46038</v>
      </c>
      <c r="B51" s="25">
        <v>1.6943040152950068E-3</v>
      </c>
    </row>
    <row r="52" spans="1:2">
      <c r="A52" s="27">
        <v>46036</v>
      </c>
      <c r="B52" s="25">
        <v>1.7280848475854899E-2</v>
      </c>
    </row>
    <row r="53" spans="1:2">
      <c r="A53" s="27">
        <v>46035</v>
      </c>
      <c r="B53" s="25">
        <v>1.5766864181550912E-2</v>
      </c>
    </row>
    <row r="54" spans="1:2">
      <c r="A54" s="27">
        <v>46034</v>
      </c>
      <c r="B54" s="25">
        <v>-1.3157332708209671E-3</v>
      </c>
    </row>
    <row r="55" spans="1:2">
      <c r="A55" s="27">
        <v>46031</v>
      </c>
      <c r="B55" s="25">
        <v>-1.5863030775305074E-2</v>
      </c>
    </row>
    <row r="56" spans="1:2">
      <c r="A56" s="27">
        <v>46030</v>
      </c>
      <c r="B56" s="25">
        <v>-6.7859298713810389E-3</v>
      </c>
    </row>
    <row r="57" spans="1:2">
      <c r="A57" s="27">
        <v>46029</v>
      </c>
      <c r="B57" s="25">
        <v>8.9035546389456387E-3</v>
      </c>
    </row>
    <row r="58" spans="1:2">
      <c r="A58" s="27">
        <v>46028</v>
      </c>
      <c r="B58" s="25">
        <v>9.6952734811688052E-3</v>
      </c>
    </row>
    <row r="59" spans="1:2">
      <c r="A59" s="27">
        <v>46027</v>
      </c>
      <c r="B59" s="25">
        <v>-7.0613586319035818E-3</v>
      </c>
    </row>
    <row r="60" spans="1:2">
      <c r="A60" s="27">
        <v>46024</v>
      </c>
      <c r="B60" s="25">
        <v>-1.1699853652379648E-2</v>
      </c>
    </row>
    <row r="61" spans="1:2">
      <c r="A61" s="27">
        <v>46023</v>
      </c>
      <c r="B61" s="25">
        <v>-3.2859299314173798E-3</v>
      </c>
    </row>
    <row r="62" spans="1:2">
      <c r="A62" s="27">
        <v>46022</v>
      </c>
      <c r="B62" s="25">
        <v>3.9584052005237442E-3</v>
      </c>
    </row>
    <row r="63" spans="1:2">
      <c r="A63" s="27">
        <v>46021</v>
      </c>
      <c r="B63" s="25">
        <v>-6.6120062135432379E-3</v>
      </c>
    </row>
    <row r="64" spans="1:2">
      <c r="A64" s="27">
        <v>46020</v>
      </c>
      <c r="B64" s="25">
        <v>9.6899842639630376E-3</v>
      </c>
    </row>
    <row r="65" spans="1:2">
      <c r="A65" s="27">
        <v>46017</v>
      </c>
      <c r="B65" s="25">
        <v>-7.9535582180469792E-3</v>
      </c>
    </row>
    <row r="66" spans="1:2">
      <c r="A66" s="27">
        <v>46015</v>
      </c>
      <c r="B66" s="25">
        <v>1.5437926284360302E-2</v>
      </c>
    </row>
    <row r="67" spans="1:2">
      <c r="A67" s="27">
        <v>46014</v>
      </c>
      <c r="B67" s="25">
        <v>-9.2266990791691438E-4</v>
      </c>
    </row>
    <row r="68" spans="1:2">
      <c r="A68" s="27">
        <v>46013</v>
      </c>
      <c r="B68" s="25">
        <v>-6.4482162693916016E-4</v>
      </c>
    </row>
    <row r="69" spans="1:2">
      <c r="A69" s="27">
        <v>46010</v>
      </c>
      <c r="B69" s="25">
        <v>-3.6060263875978414E-3</v>
      </c>
    </row>
    <row r="70" spans="1:2">
      <c r="A70" s="27">
        <v>46009</v>
      </c>
      <c r="B70" s="25">
        <v>-1.2057141521611197E-2</v>
      </c>
    </row>
    <row r="71" spans="1:2">
      <c r="A71" s="27">
        <v>46008</v>
      </c>
      <c r="B71" s="25">
        <v>8.3506472614991306E-3</v>
      </c>
    </row>
    <row r="72" spans="1:2">
      <c r="A72" s="27">
        <v>46007</v>
      </c>
      <c r="B72" s="25">
        <v>9.3187052054012308E-3</v>
      </c>
    </row>
    <row r="73" spans="1:2">
      <c r="A73" s="27">
        <v>46006</v>
      </c>
      <c r="B73" s="25">
        <v>-1.9507018838077384E-3</v>
      </c>
    </row>
    <row r="74" spans="1:2">
      <c r="A74" s="27">
        <v>46003</v>
      </c>
      <c r="B74" s="25">
        <v>-4.8118496796636786E-3</v>
      </c>
    </row>
    <row r="75" spans="1:2">
      <c r="A75" s="27">
        <v>46002</v>
      </c>
      <c r="B75" s="25">
        <v>2.4208953999249427E-3</v>
      </c>
    </row>
    <row r="76" spans="1:2">
      <c r="A76" s="27">
        <v>46001</v>
      </c>
      <c r="B76" s="25">
        <v>8.9884455680551509E-3</v>
      </c>
    </row>
    <row r="77" spans="1:2">
      <c r="A77" s="27">
        <v>46000</v>
      </c>
      <c r="B77" s="25">
        <v>-5.0428975081159531E-3</v>
      </c>
    </row>
    <row r="78" spans="1:2">
      <c r="A78" s="27">
        <v>45999</v>
      </c>
      <c r="B78" s="25">
        <v>3.1703063754339025E-2</v>
      </c>
    </row>
    <row r="79" spans="1:2">
      <c r="A79" s="27">
        <v>45996</v>
      </c>
      <c r="B79" s="25">
        <v>1.7072120857810704E-2</v>
      </c>
    </row>
    <row r="80" spans="1:2">
      <c r="A80" s="27">
        <v>45995</v>
      </c>
      <c r="B80" s="25">
        <v>-8.3024349620674381E-4</v>
      </c>
    </row>
    <row r="81" spans="1:2">
      <c r="A81" s="27">
        <v>45994</v>
      </c>
      <c r="B81" s="25">
        <v>1.7642193069845148E-4</v>
      </c>
    </row>
    <row r="82" spans="1:2">
      <c r="A82" s="27">
        <v>45993</v>
      </c>
      <c r="B82" s="25">
        <v>-7.2332508874557808E-4</v>
      </c>
    </row>
    <row r="83" spans="1:2">
      <c r="A83" s="27">
        <v>45992</v>
      </c>
      <c r="B83" s="25">
        <v>-2.4251459381428489E-2</v>
      </c>
    </row>
    <row r="84" spans="1:2">
      <c r="A84" s="27">
        <v>45989</v>
      </c>
      <c r="B84" s="25">
        <v>5.5801850817216369E-3</v>
      </c>
    </row>
    <row r="85" spans="1:2">
      <c r="A85" s="27">
        <v>45988</v>
      </c>
      <c r="B85" s="25">
        <v>4.3661642171398535E-3</v>
      </c>
    </row>
    <row r="86" spans="1:2">
      <c r="A86" s="27">
        <v>45987</v>
      </c>
      <c r="B86" s="25">
        <v>7.2794023861375571E-5</v>
      </c>
    </row>
    <row r="87" spans="1:2">
      <c r="A87" s="27">
        <v>45986</v>
      </c>
      <c r="B87" s="25">
        <v>-2.8626763659368691E-3</v>
      </c>
    </row>
    <row r="88" spans="1:2">
      <c r="A88" s="27">
        <v>45985</v>
      </c>
      <c r="B88" s="25">
        <v>3.532537069477289E-3</v>
      </c>
    </row>
    <row r="89" spans="1:2">
      <c r="A89" s="27">
        <v>45982</v>
      </c>
      <c r="B89" s="25">
        <v>1.3820445129593959E-4</v>
      </c>
    </row>
    <row r="90" spans="1:2">
      <c r="A90" s="27">
        <v>45981</v>
      </c>
      <c r="B90" s="25">
        <v>8.5413423222113467E-4</v>
      </c>
    </row>
    <row r="91" spans="1:2">
      <c r="A91" s="27">
        <v>45980</v>
      </c>
      <c r="B91" s="25">
        <v>8.7263560105099308E-3</v>
      </c>
    </row>
    <row r="92" spans="1:2">
      <c r="A92" s="27">
        <v>45979</v>
      </c>
      <c r="B92" s="25">
        <v>3.2419902315233367E-3</v>
      </c>
    </row>
    <row r="93" spans="1:2">
      <c r="A93" s="27">
        <v>45978</v>
      </c>
      <c r="B93" s="25">
        <v>-7.634852640567155E-3</v>
      </c>
    </row>
    <row r="94" spans="1:2">
      <c r="A94" s="27">
        <v>45975</v>
      </c>
      <c r="B94" s="25">
        <v>5.291530477200242E-3</v>
      </c>
    </row>
    <row r="95" spans="1:2">
      <c r="A95" s="27">
        <v>45974</v>
      </c>
      <c r="B95" s="25">
        <v>-7.3274619089650304E-3</v>
      </c>
    </row>
    <row r="96" spans="1:2">
      <c r="A96" s="27">
        <v>45973</v>
      </c>
      <c r="B96" s="25">
        <v>-3.4787172839765054E-2</v>
      </c>
    </row>
    <row r="97" spans="1:2">
      <c r="A97" s="27">
        <v>45972</v>
      </c>
      <c r="B97" s="25">
        <v>-3.4538924843212186E-2</v>
      </c>
    </row>
    <row r="98" spans="1:2">
      <c r="A98" s="27">
        <v>45971</v>
      </c>
      <c r="B98" s="25">
        <v>-5.1677747688858699E-3</v>
      </c>
    </row>
    <row r="99" spans="1:2">
      <c r="A99" s="27">
        <v>45968</v>
      </c>
      <c r="B99" s="25">
        <v>-1.3779149303591731E-2</v>
      </c>
    </row>
    <row r="100" spans="1:2">
      <c r="A100" s="27">
        <v>45967</v>
      </c>
      <c r="B100" s="25">
        <v>6.7722470775789898E-4</v>
      </c>
    </row>
    <row r="101" spans="1:2">
      <c r="A101" s="27">
        <v>45965</v>
      </c>
      <c r="B101" s="25">
        <v>-3.4223054757271353E-2</v>
      </c>
    </row>
    <row r="102" spans="1:2">
      <c r="A102" s="27">
        <v>45964</v>
      </c>
      <c r="B102" s="25">
        <v>8.5675529659709065E-3</v>
      </c>
    </row>
    <row r="103" spans="1:2">
      <c r="A103" s="27">
        <v>45961</v>
      </c>
      <c r="B103" s="25">
        <v>-4.3846130899105526E-5</v>
      </c>
    </row>
    <row r="104" spans="1:2">
      <c r="A104" s="27">
        <v>45960</v>
      </c>
      <c r="B104" s="25">
        <v>5.3832780216925644E-3</v>
      </c>
    </row>
    <row r="105" spans="1:2">
      <c r="A105" s="27">
        <v>45959</v>
      </c>
      <c r="B105" s="25">
        <v>5.2944295415894276E-3</v>
      </c>
    </row>
    <row r="106" spans="1:2">
      <c r="A106" s="27">
        <v>45958</v>
      </c>
      <c r="B106" s="25">
        <v>-9.4156888741461896E-3</v>
      </c>
    </row>
    <row r="107" spans="1:2">
      <c r="A107" s="27">
        <v>45957</v>
      </c>
      <c r="B107" s="25">
        <v>1.7356077482039538E-3</v>
      </c>
    </row>
    <row r="108" spans="1:2">
      <c r="A108" s="27">
        <v>45954</v>
      </c>
      <c r="B108" s="25">
        <v>-2.5927380372301415E-3</v>
      </c>
    </row>
    <row r="109" spans="1:2">
      <c r="A109" s="27">
        <v>45953</v>
      </c>
      <c r="B109" s="25">
        <v>3.0115290493909393E-4</v>
      </c>
    </row>
    <row r="110" spans="1:2">
      <c r="A110" s="27">
        <v>45951</v>
      </c>
      <c r="B110" s="25">
        <v>1.0358249991755755E-3</v>
      </c>
    </row>
    <row r="111" spans="1:2">
      <c r="A111" s="27">
        <v>45950</v>
      </c>
      <c r="B111" s="25">
        <v>1.5111211939359305E-3</v>
      </c>
    </row>
    <row r="112" spans="1:2">
      <c r="A112" s="27">
        <v>45947</v>
      </c>
      <c r="B112" s="25">
        <v>-5.5765881609083722E-5</v>
      </c>
    </row>
    <row r="113" spans="1:2">
      <c r="A113" s="27">
        <v>45946</v>
      </c>
      <c r="B113" s="25">
        <v>-3.377460132388075E-2</v>
      </c>
    </row>
    <row r="114" spans="1:2">
      <c r="A114" s="27">
        <v>45945</v>
      </c>
      <c r="B114" s="25">
        <v>-1.2382773521957153E-2</v>
      </c>
    </row>
    <row r="115" spans="1:2">
      <c r="A115" s="27">
        <v>45944</v>
      </c>
      <c r="B115" s="25">
        <v>-1.5178065166141447E-2</v>
      </c>
    </row>
    <row r="116" spans="1:2">
      <c r="A116" s="27">
        <v>45943</v>
      </c>
      <c r="B116" s="25">
        <v>7.3396912174648219E-3</v>
      </c>
    </row>
    <row r="117" spans="1:2">
      <c r="A117" s="27">
        <v>45940</v>
      </c>
      <c r="B117" s="25">
        <v>-1.645221399999467E-5</v>
      </c>
    </row>
    <row r="118" spans="1:2">
      <c r="A118" s="27">
        <v>45939</v>
      </c>
      <c r="B118" s="25">
        <v>-2.642864329617751E-3</v>
      </c>
    </row>
    <row r="119" spans="1:2">
      <c r="A119" s="27">
        <v>45938</v>
      </c>
      <c r="B119" s="25">
        <v>-4.5933419789069285E-3</v>
      </c>
    </row>
    <row r="120" spans="1:2">
      <c r="A120" s="27">
        <v>45937</v>
      </c>
      <c r="B120" s="25">
        <v>1.0987451663069501E-2</v>
      </c>
    </row>
    <row r="121" spans="1:2">
      <c r="A121" s="27">
        <v>45936</v>
      </c>
      <c r="B121" s="25">
        <v>4.9413700036044276E-4</v>
      </c>
    </row>
    <row r="122" spans="1:2">
      <c r="A122" s="27">
        <v>45933</v>
      </c>
      <c r="B122" s="25">
        <v>4.8497727942861295E-3</v>
      </c>
    </row>
    <row r="123" spans="1:2">
      <c r="A123" s="27">
        <v>45931</v>
      </c>
      <c r="B123" s="25">
        <v>-1.2040366082106919E-2</v>
      </c>
    </row>
    <row r="124" spans="1:2">
      <c r="A124" s="27">
        <v>45930</v>
      </c>
      <c r="B124" s="25">
        <v>-1.1242898416884328E-3</v>
      </c>
    </row>
    <row r="125" spans="1:2">
      <c r="A125" s="27">
        <v>45929</v>
      </c>
      <c r="B125" s="25">
        <v>-2.2490104669897399E-3</v>
      </c>
    </row>
    <row r="126" spans="1:2">
      <c r="A126" s="27">
        <v>45926</v>
      </c>
      <c r="B126" s="25">
        <v>2.9918675773571868E-3</v>
      </c>
    </row>
    <row r="127" spans="1:2">
      <c r="A127" s="27">
        <v>45925</v>
      </c>
      <c r="B127" s="25">
        <v>2.2220768382622099E-2</v>
      </c>
    </row>
    <row r="128" spans="1:2">
      <c r="A128" s="27">
        <v>45924</v>
      </c>
      <c r="B128" s="25">
        <v>1.7141176195228251E-2</v>
      </c>
    </row>
    <row r="129" spans="1:2">
      <c r="A129" s="27">
        <v>45923</v>
      </c>
      <c r="B129" s="25">
        <v>-3.8769259700780711E-3</v>
      </c>
    </row>
    <row r="130" spans="1:2">
      <c r="A130" s="27">
        <v>45922</v>
      </c>
      <c r="B130" s="25">
        <v>1.0981879813734944E-2</v>
      </c>
    </row>
    <row r="131" spans="1:2">
      <c r="A131" s="27">
        <v>45919</v>
      </c>
      <c r="B131" s="25">
        <v>-2.0263166983155209E-4</v>
      </c>
    </row>
    <row r="132" spans="1:2">
      <c r="A132" s="27">
        <v>45918</v>
      </c>
      <c r="B132" s="25">
        <v>8.9623526494341335E-4</v>
      </c>
    </row>
    <row r="133" spans="1:2">
      <c r="A133" s="27">
        <v>45917</v>
      </c>
      <c r="B133" s="25">
        <v>2.7640375798272205E-3</v>
      </c>
    </row>
    <row r="134" spans="1:2">
      <c r="A134" s="27">
        <v>45916</v>
      </c>
      <c r="B134" s="25">
        <v>-3.6869396941039407E-3</v>
      </c>
    </row>
    <row r="135" spans="1:2">
      <c r="A135" s="27">
        <v>45915</v>
      </c>
      <c r="B135" s="25">
        <v>8.7856796895925352E-3</v>
      </c>
    </row>
    <row r="136" spans="1:2">
      <c r="A136" s="27">
        <v>45912</v>
      </c>
      <c r="B136" s="25">
        <v>1.0688764568013511E-2</v>
      </c>
    </row>
    <row r="137" spans="1:2">
      <c r="A137" s="27">
        <v>45911</v>
      </c>
      <c r="B137" s="25">
        <v>6.0468076550979867E-3</v>
      </c>
    </row>
    <row r="138" spans="1:2">
      <c r="A138" s="27">
        <v>45910</v>
      </c>
      <c r="B138" s="25">
        <v>-8.5677043541455729E-3</v>
      </c>
    </row>
    <row r="139" spans="1:2">
      <c r="A139" s="27">
        <v>45909</v>
      </c>
      <c r="B139" s="25">
        <v>-2.4686973660766956E-3</v>
      </c>
    </row>
    <row r="140" spans="1:2">
      <c r="A140" s="27">
        <v>45908</v>
      </c>
      <c r="B140" s="25">
        <v>5.2541434367109731E-4</v>
      </c>
    </row>
    <row r="141" spans="1:2">
      <c r="A141" s="27">
        <v>45905</v>
      </c>
      <c r="B141" s="25">
        <v>1.2913227743126728E-2</v>
      </c>
    </row>
    <row r="142" spans="1:2">
      <c r="A142" s="27">
        <v>45904</v>
      </c>
      <c r="B142" s="25">
        <v>-1.8109949607567752E-3</v>
      </c>
    </row>
    <row r="143" spans="1:2">
      <c r="A143" s="27">
        <v>45903</v>
      </c>
      <c r="B143" s="25">
        <v>-4.0055783051423472E-3</v>
      </c>
    </row>
    <row r="144" spans="1:2">
      <c r="A144" s="27">
        <v>45902</v>
      </c>
      <c r="B144" s="25">
        <v>-3.6565590137033182E-3</v>
      </c>
    </row>
    <row r="145" spans="1:2">
      <c r="A145" s="27">
        <v>45901</v>
      </c>
      <c r="B145" s="25">
        <v>8.9082836783010346E-3</v>
      </c>
    </row>
    <row r="146" spans="1:2">
      <c r="A146" s="27">
        <v>45898</v>
      </c>
      <c r="B146" s="25">
        <v>-1.9202304986420955E-2</v>
      </c>
    </row>
    <row r="147" spans="1:2">
      <c r="A147" s="27">
        <v>45897</v>
      </c>
      <c r="B147" s="25">
        <v>-9.7487248271749764E-3</v>
      </c>
    </row>
    <row r="148" spans="1:2">
      <c r="A148" s="27">
        <v>45895</v>
      </c>
      <c r="B148" s="25">
        <v>-4.4371648666115728E-3</v>
      </c>
    </row>
    <row r="149" spans="1:2">
      <c r="A149" s="27">
        <v>45894</v>
      </c>
      <c r="B149" s="25">
        <v>6.5885524293078238E-3</v>
      </c>
    </row>
    <row r="150" spans="1:2">
      <c r="A150" s="27">
        <v>45891</v>
      </c>
      <c r="B150" s="25">
        <v>3.202009818131627E-4</v>
      </c>
    </row>
    <row r="151" spans="1:2">
      <c r="A151" s="27">
        <v>45890</v>
      </c>
      <c r="B151" s="25">
        <v>1.9644592790807568E-2</v>
      </c>
    </row>
    <row r="152" spans="1:2">
      <c r="A152" s="27">
        <v>45889</v>
      </c>
      <c r="B152" s="25">
        <v>6.0236195380429618E-3</v>
      </c>
    </row>
    <row r="153" spans="1:2">
      <c r="A153" s="27">
        <v>45888</v>
      </c>
      <c r="B153" s="25">
        <v>4.3282712000444427E-3</v>
      </c>
    </row>
    <row r="154" spans="1:2">
      <c r="A154" s="27">
        <v>45887</v>
      </c>
      <c r="B154" s="25">
        <v>2.6639853517091755E-3</v>
      </c>
    </row>
    <row r="155" spans="1:2">
      <c r="A155" s="27">
        <v>45883</v>
      </c>
      <c r="B155" s="25">
        <v>-2.309896275689427E-2</v>
      </c>
    </row>
    <row r="156" spans="1:2">
      <c r="A156" s="27">
        <v>45882</v>
      </c>
      <c r="B156" s="25">
        <v>-6.548063713592068E-3</v>
      </c>
    </row>
    <row r="157" spans="1:2">
      <c r="A157" s="27">
        <v>45881</v>
      </c>
      <c r="B157" s="25">
        <v>-5.9748880760874101E-3</v>
      </c>
    </row>
    <row r="158" spans="1:2">
      <c r="A158" s="27">
        <v>45880</v>
      </c>
      <c r="B158" s="25">
        <v>5.1992204438754989E-3</v>
      </c>
    </row>
    <row r="159" spans="1:2">
      <c r="A159" s="27">
        <v>45877</v>
      </c>
      <c r="B159" s="25">
        <v>-1.5820996514114497E-3</v>
      </c>
    </row>
    <row r="160" spans="1:2">
      <c r="A160" s="27">
        <v>45876</v>
      </c>
      <c r="B160" s="25">
        <v>7.5823715822295953E-3</v>
      </c>
    </row>
    <row r="161" spans="1:2">
      <c r="A161" s="27">
        <v>45875</v>
      </c>
      <c r="B161" s="25">
        <v>2.794814306587633E-3</v>
      </c>
    </row>
    <row r="162" spans="1:2">
      <c r="A162" s="27">
        <v>45874</v>
      </c>
      <c r="B162" s="25">
        <v>-1.2373095941327836E-2</v>
      </c>
    </row>
    <row r="163" spans="1:2">
      <c r="A163" s="27">
        <v>45873</v>
      </c>
      <c r="B163" s="25">
        <v>3.7890491989729133E-3</v>
      </c>
    </row>
    <row r="164" spans="1:2">
      <c r="A164" s="27">
        <v>45870</v>
      </c>
      <c r="B164" s="25">
        <v>-4.2626890295909626E-3</v>
      </c>
    </row>
    <row r="165" spans="1:2">
      <c r="A165" s="27">
        <v>45869</v>
      </c>
      <c r="B165" s="25">
        <v>-1.0218391488276121E-2</v>
      </c>
    </row>
    <row r="166" spans="1:2">
      <c r="A166" s="27">
        <v>45868</v>
      </c>
      <c r="B166" s="25">
        <v>9.456827892683449E-3</v>
      </c>
    </row>
    <row r="167" spans="1:2">
      <c r="A167" s="27">
        <v>45867</v>
      </c>
      <c r="B167" s="25">
        <v>-6.5380637113860041E-3</v>
      </c>
    </row>
    <row r="168" spans="1:2">
      <c r="A168" s="27">
        <v>45866</v>
      </c>
      <c r="B168" s="25">
        <v>-1.7296391321124441E-2</v>
      </c>
    </row>
    <row r="169" spans="1:2">
      <c r="A169" s="27">
        <v>45863</v>
      </c>
      <c r="B169" s="25">
        <v>-6.7349571088846346E-3</v>
      </c>
    </row>
    <row r="170" spans="1:2">
      <c r="A170" s="27">
        <v>45862</v>
      </c>
      <c r="B170" s="25">
        <v>1.328920252420644E-2</v>
      </c>
    </row>
    <row r="171" spans="1:2">
      <c r="A171" s="27">
        <v>45861</v>
      </c>
      <c r="B171" s="25">
        <v>5.1912360792443985E-3</v>
      </c>
    </row>
    <row r="172" spans="1:2">
      <c r="A172" s="27">
        <v>45860</v>
      </c>
      <c r="B172" s="25">
        <v>-4.1226906641421961E-3</v>
      </c>
    </row>
    <row r="173" spans="1:2">
      <c r="A173" s="27">
        <v>45859</v>
      </c>
      <c r="B173" s="25">
        <v>5.0198180777264172E-4</v>
      </c>
    </row>
    <row r="174" spans="1:2">
      <c r="A174" s="27">
        <v>45856</v>
      </c>
      <c r="B174" s="25">
        <v>4.5384617353963017E-3</v>
      </c>
    </row>
    <row r="175" spans="1:2">
      <c r="A175" s="27">
        <v>45855</v>
      </c>
      <c r="B175" s="25">
        <v>5.8053806564534903E-3</v>
      </c>
    </row>
    <row r="176" spans="1:2">
      <c r="A176" s="27">
        <v>45854</v>
      </c>
      <c r="B176" s="25">
        <v>-2.8726634565415573E-3</v>
      </c>
    </row>
    <row r="177" spans="1:2">
      <c r="A177" s="27">
        <v>45853</v>
      </c>
      <c r="B177" s="25">
        <v>-4.4458178250595089E-3</v>
      </c>
    </row>
    <row r="178" spans="1:2">
      <c r="A178" s="27">
        <v>45852</v>
      </c>
      <c r="B178" s="25">
        <v>8.2853529762239822E-4</v>
      </c>
    </row>
    <row r="179" spans="1:2">
      <c r="A179" s="27">
        <v>45849</v>
      </c>
      <c r="B179" s="25">
        <v>1.6037547848070793E-2</v>
      </c>
    </row>
    <row r="180" spans="1:2">
      <c r="A180" s="27">
        <v>45848</v>
      </c>
      <c r="B180" s="25">
        <v>5.1983629107713947E-3</v>
      </c>
    </row>
    <row r="181" spans="1:2">
      <c r="A181" s="27">
        <v>45847</v>
      </c>
      <c r="B181" s="25">
        <v>1.6426305363721708E-2</v>
      </c>
    </row>
    <row r="182" spans="1:2">
      <c r="A182" s="27">
        <v>45846</v>
      </c>
      <c r="B182" s="25">
        <v>-4.5444533832251274E-3</v>
      </c>
    </row>
    <row r="183" spans="1:2">
      <c r="A183" s="27">
        <v>45845</v>
      </c>
      <c r="B183" s="25">
        <v>-1.2247882522105775E-2</v>
      </c>
    </row>
    <row r="184" spans="1:2">
      <c r="A184" s="27">
        <v>45842</v>
      </c>
      <c r="B184" s="25">
        <v>-5.237489389001434E-3</v>
      </c>
    </row>
    <row r="185" spans="1:2">
      <c r="A185" s="27">
        <v>45841</v>
      </c>
      <c r="B185" s="25">
        <v>2.6664174047308421E-3</v>
      </c>
    </row>
    <row r="186" spans="1:2">
      <c r="A186" s="27">
        <v>45840</v>
      </c>
      <c r="B186" s="25">
        <v>-5.1129736909477806E-3</v>
      </c>
    </row>
    <row r="187" spans="1:2">
      <c r="A187" s="27">
        <v>45839</v>
      </c>
      <c r="B187" s="25">
        <v>-1.4997831251580636E-2</v>
      </c>
    </row>
    <row r="188" spans="1:2">
      <c r="A188" s="27">
        <v>45838</v>
      </c>
      <c r="B188" s="25">
        <v>-8.7325876557412894E-3</v>
      </c>
    </row>
    <row r="189" spans="1:2">
      <c r="A189" s="27">
        <v>45835</v>
      </c>
      <c r="B189" s="25">
        <v>2.0955865540215721E-3</v>
      </c>
    </row>
    <row r="190" spans="1:2">
      <c r="A190" s="27">
        <v>45834</v>
      </c>
      <c r="B190" s="25">
        <v>-2.9220304528830916E-2</v>
      </c>
    </row>
    <row r="191" spans="1:2">
      <c r="A191" s="27">
        <v>45833</v>
      </c>
      <c r="B191" s="25">
        <v>-2.7580363117153651E-3</v>
      </c>
    </row>
    <row r="192" spans="1:2">
      <c r="A192" s="27">
        <v>45832</v>
      </c>
      <c r="B192" s="25">
        <v>-6.7130605494631944E-3</v>
      </c>
    </row>
    <row r="193" spans="1:2">
      <c r="A193" s="27">
        <v>45831</v>
      </c>
      <c r="B193" s="25">
        <v>-3.7631676252508576E-3</v>
      </c>
    </row>
    <row r="194" spans="1:2">
      <c r="A194" s="27">
        <v>45828</v>
      </c>
      <c r="B194" s="25">
        <v>-1.5543620329842825E-3</v>
      </c>
    </row>
    <row r="195" spans="1:2">
      <c r="A195" s="27">
        <v>45827</v>
      </c>
      <c r="B195" s="25">
        <v>-1.3070818003380854E-3</v>
      </c>
    </row>
    <row r="196" spans="1:2">
      <c r="A196" s="27">
        <v>45826</v>
      </c>
      <c r="B196" s="25">
        <v>9.4434609874702365E-3</v>
      </c>
    </row>
    <row r="197" spans="1:2">
      <c r="A197" s="27">
        <v>45825</v>
      </c>
      <c r="B197" s="25">
        <v>-4.74463532900018E-3</v>
      </c>
    </row>
    <row r="198" spans="1:2">
      <c r="A198" s="27">
        <v>45824</v>
      </c>
      <c r="B198" s="25">
        <v>-3.6427108542107269E-3</v>
      </c>
    </row>
    <row r="199" spans="1:2">
      <c r="A199" s="27">
        <v>45821</v>
      </c>
      <c r="B199" s="25">
        <v>-9.2002807592880664E-3</v>
      </c>
    </row>
    <row r="200" spans="1:2">
      <c r="A200" s="27">
        <v>45820</v>
      </c>
      <c r="B200" s="25">
        <v>2.7711277885414248E-3</v>
      </c>
    </row>
    <row r="201" spans="1:2">
      <c r="A201" s="27">
        <v>45819</v>
      </c>
      <c r="B201" s="25">
        <v>-3.4431246293156435E-3</v>
      </c>
    </row>
    <row r="202" spans="1:2">
      <c r="A202" s="27">
        <v>45818</v>
      </c>
      <c r="B202" s="25">
        <v>5.4309239183273194E-3</v>
      </c>
    </row>
    <row r="203" spans="1:2">
      <c r="A203" s="27">
        <v>45817</v>
      </c>
      <c r="B203" s="25">
        <v>7.9796927389825332E-3</v>
      </c>
    </row>
    <row r="204" spans="1:2">
      <c r="A204" s="27">
        <v>45814</v>
      </c>
      <c r="B204" s="25">
        <v>1.285680194958097E-3</v>
      </c>
    </row>
    <row r="205" spans="1:2">
      <c r="A205" s="27">
        <v>45813</v>
      </c>
      <c r="B205" s="25">
        <v>1.4426998869509737E-4</v>
      </c>
    </row>
    <row r="206" spans="1:2">
      <c r="A206" s="27">
        <v>45812</v>
      </c>
      <c r="B206" s="25">
        <v>-1.8388942277544659E-3</v>
      </c>
    </row>
    <row r="207" spans="1:2">
      <c r="A207" s="27">
        <v>45811</v>
      </c>
      <c r="B207" s="25">
        <v>-8.5436332509694103E-4</v>
      </c>
    </row>
    <row r="208" spans="1:2">
      <c r="A208" s="27">
        <v>45810</v>
      </c>
      <c r="B208" s="25">
        <v>3.2792299729031112E-3</v>
      </c>
    </row>
    <row r="209" spans="1:2">
      <c r="A209" s="27">
        <v>45807</v>
      </c>
      <c r="B209" s="25">
        <v>1.8419077527895942E-3</v>
      </c>
    </row>
    <row r="210" spans="1:2">
      <c r="A210" s="27">
        <v>45806</v>
      </c>
      <c r="B210" s="25">
        <v>8.5257104813058048E-3</v>
      </c>
    </row>
    <row r="211" spans="1:2">
      <c r="A211" s="27">
        <v>45805</v>
      </c>
      <c r="B211" s="25">
        <v>7.1404925741721669E-4</v>
      </c>
    </row>
    <row r="212" spans="1:2">
      <c r="A212" s="27">
        <v>45804</v>
      </c>
      <c r="B212" s="25">
        <v>8.2267191451372446E-3</v>
      </c>
    </row>
    <row r="213" spans="1:2">
      <c r="A213" s="27">
        <v>45803</v>
      </c>
      <c r="B213" s="25">
        <v>-1.4381330236765369E-3</v>
      </c>
    </row>
    <row r="214" spans="1:2">
      <c r="A214" s="27">
        <v>45800</v>
      </c>
      <c r="B214" s="25">
        <v>7.7173247580628523E-4</v>
      </c>
    </row>
    <row r="215" spans="1:2">
      <c r="A215" s="27">
        <v>45799</v>
      </c>
      <c r="B215" s="25">
        <v>-1.6846222792847379E-3</v>
      </c>
    </row>
    <row r="216" spans="1:2">
      <c r="A216" s="27">
        <v>45798</v>
      </c>
      <c r="B216" s="25">
        <v>-8.9486807548580147E-4</v>
      </c>
    </row>
    <row r="217" spans="1:2">
      <c r="A217" s="27">
        <v>45797</v>
      </c>
      <c r="B217" s="25">
        <v>-2.9805129574337385E-3</v>
      </c>
    </row>
    <row r="218" spans="1:2">
      <c r="A218" s="27">
        <v>45796</v>
      </c>
      <c r="B218" s="25">
        <v>1.3393171609423967E-2</v>
      </c>
    </row>
    <row r="219" spans="1:2">
      <c r="A219" s="27">
        <v>45793</v>
      </c>
      <c r="B219" s="25">
        <v>9.5861605097967463E-3</v>
      </c>
    </row>
    <row r="220" spans="1:2">
      <c r="A220" s="27">
        <v>45792</v>
      </c>
      <c r="B220" s="25">
        <v>-9.9263340177099813E-3</v>
      </c>
    </row>
    <row r="221" spans="1:2">
      <c r="A221" s="27">
        <v>45791</v>
      </c>
      <c r="B221" s="25">
        <v>-2.1392838371063202E-2</v>
      </c>
    </row>
    <row r="222" spans="1:2">
      <c r="A222" s="27">
        <v>45790</v>
      </c>
      <c r="B222" s="25">
        <v>9.7354913877007315E-3</v>
      </c>
    </row>
    <row r="223" spans="1:2">
      <c r="A223" s="27">
        <v>45789</v>
      </c>
      <c r="B223" s="25">
        <v>8.9907659011621479E-3</v>
      </c>
    </row>
    <row r="224" spans="1:2">
      <c r="A224" s="27">
        <v>45786</v>
      </c>
      <c r="B224" s="25">
        <v>-2.0752718444158495E-2</v>
      </c>
    </row>
    <row r="225" spans="1:2">
      <c r="A225" s="27">
        <v>45785</v>
      </c>
      <c r="B225" s="25">
        <v>7.7299029053488574E-4</v>
      </c>
    </row>
    <row r="226" spans="1:2">
      <c r="A226" s="27">
        <v>45784</v>
      </c>
      <c r="B226" s="25">
        <v>1.2010060893070305E-2</v>
      </c>
    </row>
    <row r="227" spans="1:2">
      <c r="A227" s="27">
        <v>45783</v>
      </c>
      <c r="B227" s="25">
        <v>2.5619772532589458E-2</v>
      </c>
    </row>
    <row r="228" spans="1:2">
      <c r="A228" s="27">
        <v>45782</v>
      </c>
      <c r="B228" s="25">
        <v>1.0282078083477508E-2</v>
      </c>
    </row>
    <row r="229" spans="1:2">
      <c r="A229" s="27">
        <v>45779</v>
      </c>
      <c r="B229" s="25">
        <v>-1.2123321455080749E-2</v>
      </c>
    </row>
    <row r="230" spans="1:2">
      <c r="A230" s="27">
        <v>45777</v>
      </c>
      <c r="B230" s="25">
        <v>5.3947474227716164E-3</v>
      </c>
    </row>
    <row r="231" spans="1:2">
      <c r="A231" s="27">
        <v>45776</v>
      </c>
      <c r="B231" s="25">
        <v>1.1340488089291398E-2</v>
      </c>
    </row>
    <row r="232" spans="1:2">
      <c r="A232" s="27">
        <v>45775</v>
      </c>
      <c r="B232" s="25">
        <v>1.8803035126418867E-3</v>
      </c>
    </row>
    <row r="233" spans="1:2">
      <c r="A233" s="27">
        <v>45772</v>
      </c>
      <c r="B233" s="25">
        <v>-6.1975272606220426E-3</v>
      </c>
    </row>
    <row r="234" spans="1:2">
      <c r="A234" s="27">
        <v>45771</v>
      </c>
      <c r="B234" s="25">
        <v>1.977779695777962E-2</v>
      </c>
    </row>
    <row r="235" spans="1:2">
      <c r="A235" s="27">
        <v>45770</v>
      </c>
      <c r="B235" s="25">
        <v>-2.5667397145837747E-3</v>
      </c>
    </row>
    <row r="236" spans="1:2">
      <c r="A236" s="27">
        <v>45769</v>
      </c>
      <c r="B236" s="25">
        <v>-7.8611874917224097E-3</v>
      </c>
    </row>
    <row r="237" spans="1:2">
      <c r="A237" s="27">
        <v>45768</v>
      </c>
      <c r="B237" s="25">
        <v>-4.6470032402390789E-3</v>
      </c>
    </row>
    <row r="238" spans="1:2">
      <c r="A238" s="27">
        <v>45764</v>
      </c>
      <c r="B238" s="25">
        <v>1.7751283730334535E-3</v>
      </c>
    </row>
    <row r="239" spans="1:2">
      <c r="A239" s="27">
        <v>45763</v>
      </c>
      <c r="B239" s="25">
        <v>-2.3505267361828741E-3</v>
      </c>
    </row>
    <row r="240" spans="1:2">
      <c r="A240" s="27">
        <v>45762</v>
      </c>
      <c r="B240" s="25">
        <v>-1.9603928549092056E-2</v>
      </c>
    </row>
    <row r="241" spans="1:2">
      <c r="A241" s="27">
        <v>45758</v>
      </c>
      <c r="B241" s="25">
        <v>-6.7943816935148857E-3</v>
      </c>
    </row>
    <row r="242" spans="1:2">
      <c r="A242" s="27">
        <v>45756</v>
      </c>
      <c r="B242" s="25">
        <v>3.939931840887697E-3</v>
      </c>
    </row>
    <row r="243" spans="1:2">
      <c r="A243" s="27">
        <v>45755</v>
      </c>
      <c r="B243" s="25">
        <v>-4.0955107213314999E-3</v>
      </c>
    </row>
    <row r="244" spans="1:2">
      <c r="A244" s="27">
        <v>45754</v>
      </c>
      <c r="B244" s="25">
        <v>-2.7493650211907878E-2</v>
      </c>
    </row>
    <row r="245" spans="1:2">
      <c r="A245" s="27">
        <v>45751</v>
      </c>
      <c r="B245" s="25">
        <v>7.8790493162678513E-3</v>
      </c>
    </row>
    <row r="246" spans="1:2">
      <c r="A246" s="27">
        <v>45750</v>
      </c>
      <c r="B246" s="25">
        <v>-7.5878845586330656E-4</v>
      </c>
    </row>
    <row r="247" spans="1:2">
      <c r="A247" s="27">
        <v>45749</v>
      </c>
      <c r="B247" s="25">
        <v>-1.6424859280104231E-2</v>
      </c>
    </row>
    <row r="248" spans="1:2">
      <c r="A248" s="27">
        <v>45748</v>
      </c>
      <c r="B248" s="25">
        <v>-1.4911250998939306E-3</v>
      </c>
    </row>
    <row r="249" spans="1:2">
      <c r="A249" s="27">
        <v>45744</v>
      </c>
      <c r="B249" s="25">
        <v>9.0339660829036762E-3</v>
      </c>
    </row>
    <row r="250" spans="1:2">
      <c r="A250" s="27">
        <v>45743</v>
      </c>
      <c r="B250" s="25">
        <v>1.2235303294085573E-3</v>
      </c>
    </row>
    <row r="251" spans="1:2">
      <c r="A251" s="27">
        <v>45742</v>
      </c>
      <c r="B251" s="25">
        <v>-8.3309796026855773E-3</v>
      </c>
    </row>
    <row r="252" spans="1:2">
      <c r="A252" s="27">
        <v>45741</v>
      </c>
      <c r="B252" s="25">
        <v>3.2043378588071064E-3</v>
      </c>
    </row>
    <row r="253" spans="1:2">
      <c r="A253" s="27">
        <v>45740</v>
      </c>
      <c r="B253" s="25">
        <v>2.8724662757673679E-3</v>
      </c>
    </row>
    <row r="254" spans="1:2">
      <c r="A254" s="27">
        <v>45737</v>
      </c>
      <c r="B254" s="25">
        <v>-1.0117156764008617E-2</v>
      </c>
    </row>
    <row r="255" spans="1:2">
      <c r="A255" s="27">
        <v>45736</v>
      </c>
      <c r="B255" s="25">
        <v>-4.0838164955992453E-3</v>
      </c>
    </row>
    <row r="256" spans="1:2">
      <c r="A256" s="27">
        <v>45735</v>
      </c>
      <c r="B256" s="25">
        <v>-6.4990696067699916E-3</v>
      </c>
    </row>
    <row r="257" spans="1:2">
      <c r="A257" s="27">
        <v>45734</v>
      </c>
      <c r="B257" s="25">
        <v>-1.9275007407166119E-3</v>
      </c>
    </row>
    <row r="258" spans="1:2">
      <c r="A258" s="27">
        <v>45733</v>
      </c>
      <c r="B258" s="25">
        <v>-2.093392006060479E-2</v>
      </c>
    </row>
    <row r="259" spans="1:2">
      <c r="A259" s="27">
        <v>45729</v>
      </c>
      <c r="B259" s="25">
        <v>-8.8687296312583118E-4</v>
      </c>
    </row>
    <row r="260" spans="1:2">
      <c r="A260" s="27">
        <v>45728</v>
      </c>
      <c r="B260" s="25">
        <v>5.827886401778018E-3</v>
      </c>
    </row>
    <row r="261" spans="1:2">
      <c r="A261" s="27">
        <v>45727</v>
      </c>
      <c r="B261" s="25">
        <v>1.8679454523633145E-2</v>
      </c>
    </row>
    <row r="262" spans="1:2">
      <c r="A262" s="27">
        <v>45726</v>
      </c>
      <c r="B262" s="25">
        <v>4.5160730882079259E-4</v>
      </c>
    </row>
    <row r="263" spans="1:2">
      <c r="A263" s="27">
        <v>45723</v>
      </c>
      <c r="B263" s="25">
        <v>4.9497933555506311E-4</v>
      </c>
    </row>
    <row r="264" spans="1:2">
      <c r="A264" s="27">
        <v>45722</v>
      </c>
      <c r="B264" s="25">
        <v>-4.6958183044477656E-3</v>
      </c>
    </row>
    <row r="265" spans="1:2">
      <c r="A265" s="27">
        <v>45721</v>
      </c>
      <c r="B265" s="25">
        <v>-4.1727909629586585E-2</v>
      </c>
    </row>
    <row r="266" spans="1:2">
      <c r="A266" s="27">
        <v>45720</v>
      </c>
      <c r="B266" s="25">
        <v>-1.3502474018776927E-2</v>
      </c>
    </row>
    <row r="267" spans="1:2">
      <c r="A267" s="27">
        <v>45719</v>
      </c>
      <c r="B267" s="25">
        <v>1.2984266362775602E-2</v>
      </c>
    </row>
    <row r="268" spans="1:2">
      <c r="A268" s="27">
        <v>45716</v>
      </c>
      <c r="B268" s="25">
        <v>6.0580466997193329E-3</v>
      </c>
    </row>
    <row r="269" spans="1:2">
      <c r="A269" s="27">
        <v>45715</v>
      </c>
      <c r="B269" s="25">
        <v>2.0054535566235404E-2</v>
      </c>
    </row>
    <row r="270" spans="1:2">
      <c r="A270" s="27">
        <v>45713</v>
      </c>
      <c r="B270" s="25">
        <v>3.5976332731426195E-3</v>
      </c>
    </row>
    <row r="271" spans="1:2">
      <c r="A271" s="27">
        <v>45712</v>
      </c>
      <c r="B271" s="25">
        <v>7.9253027647799706E-3</v>
      </c>
    </row>
    <row r="272" spans="1:2">
      <c r="A272" s="27">
        <v>45709</v>
      </c>
      <c r="B272" s="25">
        <v>6.7820957352505312E-4</v>
      </c>
    </row>
    <row r="273" spans="1:2">
      <c r="A273" s="27">
        <v>45708</v>
      </c>
      <c r="B273" s="25">
        <v>-3.3574033146730395E-3</v>
      </c>
    </row>
    <row r="274" spans="1:2">
      <c r="A274" s="27">
        <v>45707</v>
      </c>
      <c r="B274" s="25">
        <v>-5.3097469068038279E-3</v>
      </c>
    </row>
    <row r="275" spans="1:2">
      <c r="A275" s="27">
        <v>45706</v>
      </c>
      <c r="B275" s="25">
        <v>1.9648373694400366E-4</v>
      </c>
    </row>
    <row r="276" spans="1:2">
      <c r="A276" s="27">
        <v>45705</v>
      </c>
      <c r="B276" s="25">
        <v>2.2941482487417899E-3</v>
      </c>
    </row>
    <row r="277" spans="1:2">
      <c r="A277" s="27">
        <v>45702</v>
      </c>
      <c r="B277" s="25">
        <v>-8.5440732662585266E-3</v>
      </c>
    </row>
    <row r="278" spans="1:2">
      <c r="A278" s="27">
        <v>45701</v>
      </c>
      <c r="B278" s="25">
        <v>5.9446198614835945E-3</v>
      </c>
    </row>
    <row r="279" spans="1:2">
      <c r="A279" s="27">
        <v>45700</v>
      </c>
      <c r="B279" s="25">
        <v>-9.6448830301519117E-4</v>
      </c>
    </row>
    <row r="280" spans="1:2">
      <c r="A280" s="27">
        <v>45699</v>
      </c>
      <c r="B280" s="25">
        <v>2.4780902637934303E-3</v>
      </c>
    </row>
    <row r="281" spans="1:2">
      <c r="A281" s="27">
        <v>45698</v>
      </c>
      <c r="B281" s="25">
        <v>1.6774957171378502E-2</v>
      </c>
    </row>
    <row r="282" spans="1:2">
      <c r="A282" s="27">
        <v>45695</v>
      </c>
      <c r="B282" s="25">
        <v>-1.3686448937074753E-4</v>
      </c>
    </row>
    <row r="283" spans="1:2">
      <c r="A283" s="27">
        <v>45694</v>
      </c>
      <c r="B283" s="25">
        <v>-2.1997478199076753E-3</v>
      </c>
    </row>
    <row r="284" spans="1:2">
      <c r="A284" s="27">
        <v>45693</v>
      </c>
      <c r="B284" s="25">
        <v>4.2967342706231515E-3</v>
      </c>
    </row>
    <row r="285" spans="1:2">
      <c r="A285" s="27">
        <v>45692</v>
      </c>
      <c r="B285" s="25">
        <v>2.9283770396186983E-2</v>
      </c>
    </row>
    <row r="286" spans="1:2">
      <c r="A286" s="27">
        <v>45691</v>
      </c>
      <c r="B286" s="25">
        <v>-2.0688215450406191E-2</v>
      </c>
    </row>
    <row r="287" spans="1:2">
      <c r="A287" s="27">
        <v>45689</v>
      </c>
      <c r="B287" s="25">
        <v>1.9454989707087061E-2</v>
      </c>
    </row>
    <row r="288" spans="1:2">
      <c r="A288" s="27">
        <v>45688</v>
      </c>
      <c r="B288" s="25">
        <v>-2.3890847662228244E-2</v>
      </c>
    </row>
    <row r="289" spans="1:2">
      <c r="A289" s="27">
        <v>45687</v>
      </c>
      <c r="B289" s="25">
        <v>-1.5024594033133148E-2</v>
      </c>
    </row>
    <row r="290" spans="1:2">
      <c r="A290" s="27">
        <v>45686</v>
      </c>
      <c r="B290" s="25">
        <v>-1.6241209760150303E-2</v>
      </c>
    </row>
    <row r="291" spans="1:2">
      <c r="A291" s="27">
        <v>45685</v>
      </c>
      <c r="B291" s="25">
        <v>9.108187617205759E-3</v>
      </c>
    </row>
    <row r="292" spans="1:2">
      <c r="A292" s="27">
        <v>45684</v>
      </c>
      <c r="B292" s="25">
        <v>9.0342017273429137E-3</v>
      </c>
    </row>
    <row r="293" spans="1:2">
      <c r="A293" s="27">
        <v>45681</v>
      </c>
      <c r="B293" s="25">
        <v>5.7741681263204772E-3</v>
      </c>
    </row>
    <row r="294" spans="1:2">
      <c r="A294" s="27">
        <v>45680</v>
      </c>
      <c r="B294" s="25">
        <v>3.7392308030460061E-3</v>
      </c>
    </row>
    <row r="295" spans="1:2">
      <c r="A295" s="27">
        <v>45679</v>
      </c>
      <c r="B295" s="25">
        <v>-6.428158769653255E-3</v>
      </c>
    </row>
    <row r="296" spans="1:2">
      <c r="A296" s="27">
        <v>45678</v>
      </c>
      <c r="B296" s="25">
        <v>9.1422695614431701E-4</v>
      </c>
    </row>
    <row r="297" spans="1:2">
      <c r="A297" s="27">
        <v>45677</v>
      </c>
      <c r="B297" s="25">
        <v>4.2646451328262917E-3</v>
      </c>
    </row>
    <row r="298" spans="1:2">
      <c r="A298" s="27">
        <v>45674</v>
      </c>
      <c r="B298" s="25">
        <v>-6.3367130205486807E-3</v>
      </c>
    </row>
    <row r="299" spans="1:2">
      <c r="A299" s="27">
        <v>45673</v>
      </c>
      <c r="B299" s="25">
        <v>-1.7040106972642449E-2</v>
      </c>
    </row>
    <row r="300" spans="1:2">
      <c r="A300" s="27">
        <v>45672</v>
      </c>
      <c r="B300" s="25">
        <v>2.6900060989455696E-3</v>
      </c>
    </row>
    <row r="301" spans="1:2">
      <c r="A301" s="27">
        <v>45671</v>
      </c>
      <c r="B301" s="25">
        <v>3.5156582878532439E-3</v>
      </c>
    </row>
    <row r="302" spans="1:2">
      <c r="A302" s="27">
        <v>45670</v>
      </c>
      <c r="B302" s="25">
        <v>-2.129859176144773E-5</v>
      </c>
    </row>
    <row r="303" spans="1:2">
      <c r="A303" s="27">
        <v>45667</v>
      </c>
      <c r="B303" s="25">
        <v>2.7319823191588644E-2</v>
      </c>
    </row>
    <row r="304" spans="1:2">
      <c r="A304" s="27">
        <v>45666</v>
      </c>
      <c r="B304" s="25">
        <v>1.3127133711728252E-2</v>
      </c>
    </row>
    <row r="305" spans="1:2">
      <c r="A305" s="27">
        <v>45665</v>
      </c>
      <c r="B305" s="25">
        <v>-8.5157063105065593E-3</v>
      </c>
    </row>
    <row r="306" spans="1:2">
      <c r="A306" s="27">
        <v>45664</v>
      </c>
      <c r="B306" s="25">
        <v>-1.5862220737239301E-2</v>
      </c>
    </row>
    <row r="307" spans="1:2">
      <c r="A307" s="27">
        <v>45663</v>
      </c>
      <c r="B307" s="25">
        <v>-1.293377936765625E-2</v>
      </c>
    </row>
    <row r="308" spans="1:2">
      <c r="A308" s="27">
        <v>45660</v>
      </c>
      <c r="B308" s="25">
        <v>2.7955431825566708E-2</v>
      </c>
    </row>
    <row r="309" spans="1:2">
      <c r="A309" s="27">
        <v>45659</v>
      </c>
      <c r="B309" s="25">
        <v>2.9591196735884763E-3</v>
      </c>
    </row>
    <row r="310" spans="1:2">
      <c r="A310" s="27">
        <v>45658</v>
      </c>
      <c r="B310" s="25">
        <v>-1.1139897867921234E-2</v>
      </c>
    </row>
    <row r="311" spans="1:2">
      <c r="A311" s="27">
        <v>45657</v>
      </c>
      <c r="B311" s="25">
        <v>-1.0103145575702055E-2</v>
      </c>
    </row>
    <row r="312" spans="1:2">
      <c r="A312" s="27">
        <v>45656</v>
      </c>
      <c r="B312" s="25">
        <v>-1.7541972006844295E-3</v>
      </c>
    </row>
    <row r="313" spans="1:2">
      <c r="A313" s="27">
        <v>45653</v>
      </c>
      <c r="B313" s="25">
        <v>-7.5321176927302331E-3</v>
      </c>
    </row>
    <row r="314" spans="1:2">
      <c r="A314" s="27">
        <v>45652</v>
      </c>
      <c r="B314" s="25">
        <v>-2.5967387791365724E-3</v>
      </c>
    </row>
    <row r="315" spans="1:2">
      <c r="A315" s="27">
        <v>45650</v>
      </c>
      <c r="B315" s="25">
        <v>8.5760652821457173E-3</v>
      </c>
    </row>
    <row r="316" spans="1:2">
      <c r="A316" s="27">
        <v>45649</v>
      </c>
      <c r="B316" s="25">
        <v>-1.0890809661061539E-3</v>
      </c>
    </row>
    <row r="317" spans="1:2">
      <c r="A317" s="27">
        <v>45646</v>
      </c>
      <c r="B317" s="25">
        <v>2.4331656754191856E-3</v>
      </c>
    </row>
    <row r="318" spans="1:2">
      <c r="A318" s="27">
        <v>45645</v>
      </c>
      <c r="B318" s="25">
        <v>2.727132261863397E-3</v>
      </c>
    </row>
    <row r="319" spans="1:2">
      <c r="A319" s="27">
        <v>45644</v>
      </c>
      <c r="B319" s="25">
        <v>2.1525120923422274E-2</v>
      </c>
    </row>
    <row r="320" spans="1:2">
      <c r="A320" s="27">
        <v>45643</v>
      </c>
      <c r="B320" s="25">
        <v>4.0309557093392593E-3</v>
      </c>
    </row>
    <row r="321" spans="1:2">
      <c r="A321" s="27">
        <v>45642</v>
      </c>
      <c r="B321" s="25">
        <v>2.0235666111445012E-2</v>
      </c>
    </row>
    <row r="322" spans="1:2">
      <c r="A322" s="27">
        <v>45639</v>
      </c>
      <c r="B322" s="25">
        <v>8.0977548409795095E-4</v>
      </c>
    </row>
    <row r="323" spans="1:2">
      <c r="A323" s="27">
        <v>45638</v>
      </c>
      <c r="B323" s="25">
        <v>-6.0196078699419897E-3</v>
      </c>
    </row>
    <row r="324" spans="1:2">
      <c r="A324" s="27">
        <v>45637</v>
      </c>
      <c r="B324" s="25">
        <v>1.0071136870360785E-2</v>
      </c>
    </row>
    <row r="325" spans="1:2">
      <c r="A325" s="27">
        <v>45636</v>
      </c>
      <c r="B325" s="25">
        <v>-8.2828975505025142E-3</v>
      </c>
    </row>
    <row r="326" spans="1:2">
      <c r="A326" s="27">
        <v>45635</v>
      </c>
      <c r="B326" s="25">
        <v>3.1006479891241574E-3</v>
      </c>
    </row>
    <row r="327" spans="1:2">
      <c r="A327" s="27">
        <v>45632</v>
      </c>
      <c r="B327" s="25">
        <v>1.3831114334542673E-2</v>
      </c>
    </row>
    <row r="328" spans="1:2">
      <c r="A328" s="27">
        <v>45631</v>
      </c>
      <c r="B328" s="25">
        <v>7.1429424381711341E-3</v>
      </c>
    </row>
    <row r="329" spans="1:2">
      <c r="A329" s="27">
        <v>45630</v>
      </c>
      <c r="B329" s="25">
        <v>1.4382960725754046E-3</v>
      </c>
    </row>
    <row r="330" spans="1:2">
      <c r="A330" s="27">
        <v>45629</v>
      </c>
      <c r="B330" s="25">
        <v>4.9118219947636675E-3</v>
      </c>
    </row>
    <row r="331" spans="1:2">
      <c r="A331" s="27">
        <v>45628</v>
      </c>
      <c r="B331" s="25">
        <v>3.1732179938923667E-3</v>
      </c>
    </row>
    <row r="332" spans="1:2">
      <c r="A332" s="27">
        <v>45625</v>
      </c>
      <c r="B332" s="25">
        <v>3.2525845175031647E-3</v>
      </c>
    </row>
    <row r="333" spans="1:2">
      <c r="A333" s="27">
        <v>45624</v>
      </c>
      <c r="B333" s="25">
        <v>-8.7190865962197585E-3</v>
      </c>
    </row>
    <row r="334" spans="1:2">
      <c r="A334" s="27">
        <v>45623</v>
      </c>
      <c r="B334" s="25">
        <v>1.0336427023320301E-2</v>
      </c>
    </row>
    <row r="335" spans="1:2">
      <c r="A335" s="27">
        <v>45622</v>
      </c>
      <c r="B335" s="25">
        <v>1.2595138364939406E-3</v>
      </c>
    </row>
    <row r="336" spans="1:2">
      <c r="A336" s="27">
        <v>45621</v>
      </c>
      <c r="B336" s="25">
        <v>-1.8578511529837007E-2</v>
      </c>
    </row>
    <row r="337" spans="1:2">
      <c r="A337" s="27">
        <v>45618</v>
      </c>
      <c r="B337" s="25">
        <v>4.0930045581417567E-3</v>
      </c>
    </row>
    <row r="338" spans="1:2">
      <c r="A338" s="27">
        <v>45617</v>
      </c>
      <c r="B338" s="25">
        <v>-1.8937973415117736E-2</v>
      </c>
    </row>
    <row r="339" spans="1:2">
      <c r="A339" s="27">
        <v>45615</v>
      </c>
      <c r="B339" s="25">
        <v>2.1674102791144345E-2</v>
      </c>
    </row>
    <row r="340" spans="1:2">
      <c r="A340" s="27">
        <v>45614</v>
      </c>
      <c r="B340" s="25">
        <v>1.7056077310542298E-3</v>
      </c>
    </row>
    <row r="341" spans="1:2">
      <c r="A341" s="27">
        <v>45610</v>
      </c>
      <c r="B341" s="25">
        <v>3.3923444790869054E-3</v>
      </c>
    </row>
    <row r="342" spans="1:2">
      <c r="A342" s="27">
        <v>45609</v>
      </c>
      <c r="B342" s="25">
        <v>-3.6189335147490329E-3</v>
      </c>
    </row>
    <row r="343" spans="1:2">
      <c r="A343" s="27">
        <v>45608</v>
      </c>
      <c r="B343" s="25">
        <v>5.9740132237961173E-3</v>
      </c>
    </row>
    <row r="344" spans="1:2">
      <c r="A344" s="27">
        <v>45607</v>
      </c>
      <c r="B344" s="25">
        <v>1.8844758474211576E-2</v>
      </c>
    </row>
    <row r="345" spans="1:2">
      <c r="A345" s="27">
        <v>45604</v>
      </c>
      <c r="B345" s="25">
        <v>6.9338428869749502E-2</v>
      </c>
    </row>
    <row r="346" spans="1:2">
      <c r="A346" s="27">
        <v>45603</v>
      </c>
      <c r="B346" s="25">
        <v>2.6094359788636452E-2</v>
      </c>
    </row>
    <row r="347" spans="1:2">
      <c r="A347" s="27">
        <v>45602</v>
      </c>
      <c r="B347" s="25">
        <v>1.8287176642649752E-2</v>
      </c>
    </row>
    <row r="348" spans="1:2">
      <c r="A348" s="27">
        <v>45601</v>
      </c>
      <c r="B348" s="25">
        <v>-6.6794704955553006E-3</v>
      </c>
    </row>
    <row r="349" spans="1:2">
      <c r="A349" s="27">
        <v>45600</v>
      </c>
      <c r="B349" s="25">
        <v>1.1048988892430164E-2</v>
      </c>
    </row>
    <row r="350" spans="1:2">
      <c r="A350" s="27">
        <v>45597</v>
      </c>
      <c r="B350" s="25">
        <v>1.0857023765352957E-2</v>
      </c>
    </row>
    <row r="351" spans="1:2">
      <c r="A351" s="27">
        <v>45596</v>
      </c>
      <c r="B351" s="25">
        <v>-1.200311183664995E-3</v>
      </c>
    </row>
    <row r="352" spans="1:2">
      <c r="A352" s="27">
        <v>45595</v>
      </c>
      <c r="B352" s="25">
        <v>1.0698032209306632E-2</v>
      </c>
    </row>
    <row r="353" spans="1:2">
      <c r="A353" s="27">
        <v>45594</v>
      </c>
      <c r="B353" s="25">
        <v>-1.9438737230865158E-3</v>
      </c>
    </row>
    <row r="354" spans="1:2">
      <c r="A354" s="27">
        <v>45593</v>
      </c>
      <c r="B354" s="25">
        <v>-9.3892590232283208E-4</v>
      </c>
    </row>
    <row r="355" spans="1:2">
      <c r="A355" s="27">
        <v>45590</v>
      </c>
      <c r="B355" s="25">
        <v>-1.2763705501754645E-2</v>
      </c>
    </row>
    <row r="356" spans="1:2">
      <c r="A356" s="27">
        <v>45589</v>
      </c>
      <c r="B356" s="25">
        <v>4.712884911934825E-3</v>
      </c>
    </row>
    <row r="357" spans="1:2">
      <c r="A357" s="27">
        <v>45588</v>
      </c>
      <c r="B357" s="25">
        <v>1.8986557960936755E-3</v>
      </c>
    </row>
    <row r="358" spans="1:2">
      <c r="A358" s="27">
        <v>45587</v>
      </c>
      <c r="B358" s="25">
        <v>5.4624605552160196E-3</v>
      </c>
    </row>
    <row r="359" spans="1:2">
      <c r="A359" s="27">
        <v>45586</v>
      </c>
      <c r="B359" s="25">
        <v>1.8169708492425628E-2</v>
      </c>
    </row>
    <row r="360" spans="1:2">
      <c r="A360" s="27">
        <v>45583</v>
      </c>
      <c r="B360" s="25">
        <v>-1.171383672167961E-2</v>
      </c>
    </row>
    <row r="361" spans="1:2">
      <c r="A361" s="27">
        <v>45582</v>
      </c>
      <c r="B361" s="25">
        <v>1.6553933404282135E-2</v>
      </c>
    </row>
    <row r="362" spans="1:2">
      <c r="A362" s="27">
        <v>45581</v>
      </c>
      <c r="B362" s="25">
        <v>1.242007218168285E-2</v>
      </c>
    </row>
    <row r="363" spans="1:2">
      <c r="A363" s="27">
        <v>45580</v>
      </c>
      <c r="B363" s="25">
        <v>-1.0533422437275515E-3</v>
      </c>
    </row>
    <row r="364" spans="1:2">
      <c r="A364" s="27">
        <v>45579</v>
      </c>
      <c r="B364" s="25">
        <v>-1.1788401283847692E-2</v>
      </c>
    </row>
    <row r="365" spans="1:2">
      <c r="A365" s="27">
        <v>45576</v>
      </c>
      <c r="B365" s="25">
        <v>1.2870919439378938E-3</v>
      </c>
    </row>
    <row r="366" spans="1:2">
      <c r="A366" s="27">
        <v>45575</v>
      </c>
      <c r="B366" s="25">
        <v>6.9915357255774576E-3</v>
      </c>
    </row>
    <row r="367" spans="1:2">
      <c r="A367" s="27">
        <v>45574</v>
      </c>
      <c r="B367" s="25">
        <v>6.6812561529015812E-3</v>
      </c>
    </row>
    <row r="368" spans="1:2">
      <c r="A368" s="27">
        <v>45573</v>
      </c>
      <c r="B368" s="25">
        <v>-4.2365826398721813E-3</v>
      </c>
    </row>
    <row r="369" spans="1:2">
      <c r="A369" s="27">
        <v>45572</v>
      </c>
      <c r="B369" s="25">
        <v>-1.0648355914032874E-2</v>
      </c>
    </row>
    <row r="370" spans="1:2">
      <c r="A370" s="27">
        <v>45569</v>
      </c>
      <c r="B370" s="25">
        <v>7.9457652700749976E-3</v>
      </c>
    </row>
    <row r="371" spans="1:2">
      <c r="A371" s="27">
        <v>45568</v>
      </c>
      <c r="B371" s="25">
        <v>2.5303461224205334E-2</v>
      </c>
    </row>
    <row r="372" spans="1:2">
      <c r="A372" s="27">
        <v>45566</v>
      </c>
      <c r="B372" s="25">
        <v>3.799369508009167E-2</v>
      </c>
    </row>
    <row r="373" spans="1:2">
      <c r="A373" s="27">
        <v>45565</v>
      </c>
      <c r="B373" s="25">
        <v>9.051271196461019E-3</v>
      </c>
    </row>
    <row r="374" spans="1:2">
      <c r="A374" s="27">
        <v>45562</v>
      </c>
      <c r="B374" s="25">
        <v>-4.890696140893905E-3</v>
      </c>
    </row>
    <row r="375" spans="1:2">
      <c r="A375" s="27">
        <v>45561</v>
      </c>
      <c r="B375" s="25">
        <v>-1.0788165686197971E-2</v>
      </c>
    </row>
    <row r="376" spans="1:2">
      <c r="A376" s="27">
        <v>45560</v>
      </c>
      <c r="B376" s="25">
        <v>-5.3146263781347711E-3</v>
      </c>
    </row>
    <row r="377" spans="1:2">
      <c r="A377" s="27">
        <v>45559</v>
      </c>
      <c r="B377" s="25">
        <v>-8.9318268164170257E-4</v>
      </c>
    </row>
    <row r="378" spans="1:2">
      <c r="A378" s="27">
        <v>45558</v>
      </c>
      <c r="B378" s="25">
        <v>7.2131286496385175E-3</v>
      </c>
    </row>
    <row r="379" spans="1:2">
      <c r="A379" s="27">
        <v>45555</v>
      </c>
      <c r="B379" s="25">
        <v>8.5322678954042469E-3</v>
      </c>
    </row>
    <row r="380" spans="1:2">
      <c r="A380" s="27">
        <v>45554</v>
      </c>
      <c r="B380" s="25">
        <v>-3.3426287413834575E-3</v>
      </c>
    </row>
    <row r="381" spans="1:2">
      <c r="A381" s="27">
        <v>45553</v>
      </c>
      <c r="B381" s="25">
        <v>-3.2803847919542829E-3</v>
      </c>
    </row>
    <row r="382" spans="1:2">
      <c r="A382" s="27">
        <v>45552</v>
      </c>
      <c r="B382" s="25">
        <v>9.0126549261579352E-3</v>
      </c>
    </row>
    <row r="383" spans="1:2">
      <c r="A383" s="27">
        <v>45551</v>
      </c>
      <c r="B383" s="25">
        <v>5.5929438654089393E-3</v>
      </c>
    </row>
    <row r="384" spans="1:2">
      <c r="A384" s="27">
        <v>45548</v>
      </c>
      <c r="B384" s="25">
        <v>4.4535785489901933E-3</v>
      </c>
    </row>
    <row r="385" spans="1:2">
      <c r="A385" s="27">
        <v>45547</v>
      </c>
      <c r="B385" s="25">
        <v>6.8524264950428574E-3</v>
      </c>
    </row>
    <row r="386" spans="1:2">
      <c r="A386" s="27">
        <v>45546</v>
      </c>
      <c r="B386" s="25">
        <v>-4.4124594943645316E-3</v>
      </c>
    </row>
    <row r="387" spans="1:2">
      <c r="A387" s="27">
        <v>45545</v>
      </c>
      <c r="B387" s="25">
        <v>-2.0707584452982812E-2</v>
      </c>
    </row>
    <row r="388" spans="1:2">
      <c r="A388" s="27">
        <v>45544</v>
      </c>
      <c r="B388" s="25">
        <v>-4.7860592364464948E-3</v>
      </c>
    </row>
    <row r="389" spans="1:2">
      <c r="A389" s="27">
        <v>45541</v>
      </c>
      <c r="B389" s="25">
        <v>-2.9175911493676517E-3</v>
      </c>
    </row>
    <row r="390" spans="1:2">
      <c r="A390" s="27">
        <v>45540</v>
      </c>
      <c r="B390" s="25">
        <v>-7.642655180829707E-3</v>
      </c>
    </row>
    <row r="391" spans="1:2">
      <c r="A391" s="27">
        <v>45539</v>
      </c>
      <c r="B391" s="25">
        <v>-3.8348810980183175E-3</v>
      </c>
    </row>
    <row r="392" spans="1:2">
      <c r="A392" s="27">
        <v>45538</v>
      </c>
      <c r="B392" s="25">
        <v>-2.5853631771923246E-2</v>
      </c>
    </row>
    <row r="393" spans="1:2">
      <c r="A393" s="27">
        <v>45537</v>
      </c>
      <c r="B393" s="25">
        <v>-2.1911694682112703E-3</v>
      </c>
    </row>
    <row r="394" spans="1:2">
      <c r="A394" s="27">
        <v>45534</v>
      </c>
      <c r="B394" s="25">
        <v>-6.5741606979064331E-3</v>
      </c>
    </row>
    <row r="395" spans="1:2">
      <c r="A395" s="27">
        <v>45533</v>
      </c>
      <c r="B395" s="25">
        <v>-1.8508459483900224E-3</v>
      </c>
    </row>
    <row r="396" spans="1:2">
      <c r="A396" s="27">
        <v>45532</v>
      </c>
      <c r="B396" s="25">
        <v>3.8391722926160179E-3</v>
      </c>
    </row>
    <row r="397" spans="1:2">
      <c r="A397" s="27">
        <v>45531</v>
      </c>
      <c r="B397" s="25">
        <v>1.12284992974679E-2</v>
      </c>
    </row>
    <row r="398" spans="1:2">
      <c r="A398" s="27">
        <v>45530</v>
      </c>
      <c r="B398" s="25">
        <v>-5.7258350737961899E-3</v>
      </c>
    </row>
    <row r="399" spans="1:2">
      <c r="A399" s="27">
        <v>45527</v>
      </c>
      <c r="B399" s="25">
        <v>-5.4274430366975145E-3</v>
      </c>
    </row>
    <row r="400" spans="1:2">
      <c r="A400" s="27">
        <v>45526</v>
      </c>
      <c r="B400" s="25">
        <v>1.2895192219670717E-2</v>
      </c>
    </row>
    <row r="401" spans="1:2">
      <c r="A401" s="27">
        <v>45525</v>
      </c>
      <c r="B401" s="25">
        <v>-1.0818740452710331E-2</v>
      </c>
    </row>
    <row r="402" spans="1:2">
      <c r="A402" s="27">
        <v>45524</v>
      </c>
      <c r="B402" s="25">
        <v>-1.3886462231822432E-2</v>
      </c>
    </row>
    <row r="403" spans="1:2">
      <c r="A403" s="27">
        <v>45523</v>
      </c>
      <c r="B403" s="25">
        <v>-7.6307115341274333E-3</v>
      </c>
    </row>
    <row r="404" spans="1:2">
      <c r="A404" s="27">
        <v>45520</v>
      </c>
      <c r="B404" s="25">
        <v>-1.2175587863239594E-2</v>
      </c>
    </row>
    <row r="405" spans="1:2">
      <c r="A405" s="27">
        <v>45518</v>
      </c>
      <c r="B405" s="25">
        <v>-5.8161215562076681E-3</v>
      </c>
    </row>
    <row r="406" spans="1:2">
      <c r="A406" s="27">
        <v>45517</v>
      </c>
      <c r="B406" s="25">
        <v>-4.5859539002141405E-3</v>
      </c>
    </row>
    <row r="407" spans="1:2">
      <c r="A407" s="27">
        <v>45516</v>
      </c>
      <c r="B407" s="25">
        <v>6.9600669149521904E-3</v>
      </c>
    </row>
    <row r="408" spans="1:2">
      <c r="A408" s="27">
        <v>45513</v>
      </c>
      <c r="B408" s="25">
        <v>-8.0675732169957709E-4</v>
      </c>
    </row>
    <row r="409" spans="1:2">
      <c r="A409" s="27">
        <v>45512</v>
      </c>
      <c r="B409" s="25">
        <v>-1.3070601320269564E-2</v>
      </c>
    </row>
    <row r="410" spans="1:2">
      <c r="A410" s="27">
        <v>45511</v>
      </c>
      <c r="B410" s="25">
        <v>2.7431199116737828E-2</v>
      </c>
    </row>
    <row r="411" spans="1:2">
      <c r="A411" s="27">
        <v>45510</v>
      </c>
      <c r="B411" s="25">
        <v>2.7347921233157883E-4</v>
      </c>
    </row>
    <row r="412" spans="1:2">
      <c r="A412" s="27">
        <v>45509</v>
      </c>
      <c r="B412" s="25">
        <v>-1.0109743964413335E-3</v>
      </c>
    </row>
    <row r="413" spans="1:2">
      <c r="A413" s="27">
        <v>45506</v>
      </c>
      <c r="B413" s="25">
        <v>6.7039392033300766E-3</v>
      </c>
    </row>
    <row r="414" spans="1:2">
      <c r="A414" s="27">
        <v>45505</v>
      </c>
      <c r="B414" s="25">
        <v>-4.4301008201392238E-4</v>
      </c>
    </row>
    <row r="415" spans="1:2">
      <c r="A415" s="27">
        <v>45504</v>
      </c>
      <c r="B415" s="25">
        <v>-4.4726795485591853E-3</v>
      </c>
    </row>
    <row r="416" spans="1:2">
      <c r="A416" s="27">
        <v>45503</v>
      </c>
      <c r="B416" s="25">
        <v>-2.0590858204038082E-2</v>
      </c>
    </row>
    <row r="417" spans="1:2">
      <c r="A417" s="27">
        <v>45502</v>
      </c>
      <c r="B417" s="25">
        <v>-2.0107177189007841E-2</v>
      </c>
    </row>
    <row r="418" spans="1:2">
      <c r="A418" s="27">
        <v>45499</v>
      </c>
      <c r="B418" s="25">
        <v>-2.3464358516284288E-3</v>
      </c>
    </row>
    <row r="419" spans="1:2">
      <c r="A419" s="27">
        <v>45498</v>
      </c>
      <c r="B419" s="25">
        <v>-1.7015033704689757E-2</v>
      </c>
    </row>
    <row r="420" spans="1:2">
      <c r="A420" s="27">
        <v>45497</v>
      </c>
      <c r="B420" s="25">
        <v>3.3320035317252763E-3</v>
      </c>
    </row>
    <row r="421" spans="1:2">
      <c r="A421" s="27">
        <v>45496</v>
      </c>
      <c r="B421" s="25">
        <v>-5.9378925825895549E-3</v>
      </c>
    </row>
    <row r="422" spans="1:2">
      <c r="A422" s="27">
        <v>45495</v>
      </c>
      <c r="B422" s="25">
        <v>8.8260820157145033E-3</v>
      </c>
    </row>
    <row r="423" spans="1:2">
      <c r="A423" s="27">
        <v>45492</v>
      </c>
      <c r="B423" s="25">
        <v>2.5094628282483324E-3</v>
      </c>
    </row>
    <row r="424" spans="1:2">
      <c r="A424" s="27">
        <v>45491</v>
      </c>
      <c r="B424" s="25">
        <v>-1.5382285197743256E-3</v>
      </c>
    </row>
    <row r="425" spans="1:2">
      <c r="A425" s="27">
        <v>45489</v>
      </c>
      <c r="B425" s="25">
        <v>1.2367814148973961E-2</v>
      </c>
    </row>
    <row r="426" spans="1:2">
      <c r="A426" s="27">
        <v>45488</v>
      </c>
      <c r="B426" s="25">
        <v>-6.4502711702923076E-3</v>
      </c>
    </row>
    <row r="427" spans="1:2">
      <c r="A427" s="27">
        <v>45485</v>
      </c>
      <c r="B427" s="25">
        <v>1.1133857477659383E-2</v>
      </c>
    </row>
    <row r="428" spans="1:2">
      <c r="A428" s="27">
        <v>45484</v>
      </c>
      <c r="B428" s="25">
        <v>5.4562982370279017E-3</v>
      </c>
    </row>
    <row r="429" spans="1:2">
      <c r="A429" s="27">
        <v>45483</v>
      </c>
      <c r="B429" s="25">
        <v>-4.1701154220201752E-3</v>
      </c>
    </row>
    <row r="430" spans="1:2">
      <c r="A430" s="27">
        <v>45482</v>
      </c>
      <c r="B430" s="25">
        <v>-2.965057116884599E-2</v>
      </c>
    </row>
    <row r="431" spans="1:2">
      <c r="A431" s="27">
        <v>45481</v>
      </c>
      <c r="B431" s="25">
        <v>-4.1341587432808047E-3</v>
      </c>
    </row>
    <row r="432" spans="1:2">
      <c r="A432" s="27">
        <v>45478</v>
      </c>
      <c r="B432" s="25">
        <v>1.1601415016581261E-2</v>
      </c>
    </row>
    <row r="433" spans="1:2">
      <c r="A433" s="27">
        <v>45477</v>
      </c>
      <c r="B433" s="25">
        <v>-1.290772663366749E-3</v>
      </c>
    </row>
    <row r="434" spans="1:2">
      <c r="A434" s="27">
        <v>45476</v>
      </c>
      <c r="B434" s="25">
        <v>-3.787355187143451E-3</v>
      </c>
    </row>
    <row r="435" spans="1:2">
      <c r="A435" s="27">
        <v>45475</v>
      </c>
      <c r="B435" s="25">
        <v>-8.1704716348180036E-4</v>
      </c>
    </row>
    <row r="436" spans="1:2">
      <c r="A436" s="27">
        <v>45474</v>
      </c>
      <c r="B436" s="25">
        <v>1.1887604236530727E-4</v>
      </c>
    </row>
    <row r="437" spans="1:2">
      <c r="A437" s="27">
        <v>45471</v>
      </c>
      <c r="B437" s="25">
        <v>-4.3305305888356764E-3</v>
      </c>
    </row>
    <row r="438" spans="1:2">
      <c r="A438" s="27">
        <v>45470</v>
      </c>
      <c r="B438" s="25">
        <v>-9.0950205424342057E-3</v>
      </c>
    </row>
    <row r="439" spans="1:2">
      <c r="A439" s="27">
        <v>45469</v>
      </c>
      <c r="B439" s="25">
        <v>-6.0750439550662462E-3</v>
      </c>
    </row>
    <row r="440" spans="1:2">
      <c r="A440" s="27">
        <v>45468</v>
      </c>
      <c r="B440" s="25">
        <v>1.4587563194147994E-3</v>
      </c>
    </row>
    <row r="441" spans="1:2">
      <c r="A441" s="27">
        <v>45467</v>
      </c>
      <c r="B441" s="25">
        <v>1.1016298524970476E-2</v>
      </c>
    </row>
    <row r="442" spans="1:2">
      <c r="A442" s="27">
        <v>45464</v>
      </c>
      <c r="B442" s="25">
        <v>-2.2840059362317423E-3</v>
      </c>
    </row>
    <row r="443" spans="1:2">
      <c r="A443" s="27">
        <v>45463</v>
      </c>
      <c r="B443" s="25">
        <v>9.3762467866965859E-3</v>
      </c>
    </row>
    <row r="444" spans="1:2">
      <c r="A444" s="27">
        <v>45462</v>
      </c>
      <c r="B444" s="25">
        <v>-1.220483498220319E-2</v>
      </c>
    </row>
    <row r="445" spans="1:2">
      <c r="A445" s="27">
        <v>45461</v>
      </c>
      <c r="B445" s="25">
        <v>9.5980630769599076E-3</v>
      </c>
    </row>
    <row r="446" spans="1:2">
      <c r="A446" s="27">
        <v>45457</v>
      </c>
      <c r="B446" s="25">
        <v>1.4183449969238336E-3</v>
      </c>
    </row>
    <row r="447" spans="1:2">
      <c r="A447" s="27">
        <v>45456</v>
      </c>
      <c r="B447" s="25">
        <v>-3.9321037978812803E-3</v>
      </c>
    </row>
    <row r="448" spans="1:2">
      <c r="A448" s="27">
        <v>45455</v>
      </c>
      <c r="B448" s="25">
        <v>-1.7872985474082282E-3</v>
      </c>
    </row>
    <row r="449" spans="1:2">
      <c r="A449" s="27">
        <v>45454</v>
      </c>
      <c r="B449" s="25">
        <v>-4.3527185763601742E-3</v>
      </c>
    </row>
    <row r="450" spans="1:2">
      <c r="A450" s="27">
        <v>45453</v>
      </c>
      <c r="B450" s="25">
        <v>7.8495954883952678E-3</v>
      </c>
    </row>
    <row r="451" spans="1:2">
      <c r="A451" s="27">
        <v>45450</v>
      </c>
      <c r="B451" s="25">
        <v>-7.5132927332513663E-3</v>
      </c>
    </row>
    <row r="452" spans="1:2">
      <c r="A452" s="27">
        <v>45449</v>
      </c>
      <c r="B452" s="25">
        <v>-8.6484062526653999E-3</v>
      </c>
    </row>
    <row r="453" spans="1:2">
      <c r="A453" s="27">
        <v>45448</v>
      </c>
      <c r="B453" s="25">
        <v>1.2051926069563245E-2</v>
      </c>
    </row>
    <row r="454" spans="1:2">
      <c r="A454" s="27">
        <v>45447</v>
      </c>
      <c r="B454" s="25">
        <v>-3.6574195860402094E-2</v>
      </c>
    </row>
    <row r="455" spans="1:2">
      <c r="A455" s="27">
        <v>45446</v>
      </c>
      <c r="B455" s="25">
        <v>1.1559320975314886E-2</v>
      </c>
    </row>
    <row r="456" spans="1:2">
      <c r="A456" s="27">
        <v>45443</v>
      </c>
      <c r="B456" s="25">
        <v>-1.558222218237288E-3</v>
      </c>
    </row>
    <row r="457" spans="1:2">
      <c r="A457" s="27">
        <v>45442</v>
      </c>
      <c r="B457" s="25">
        <v>6.7035043498784534E-3</v>
      </c>
    </row>
    <row r="458" spans="1:2">
      <c r="A458" s="27">
        <v>45441</v>
      </c>
      <c r="B458" s="25">
        <v>1.0259796042697495E-2</v>
      </c>
    </row>
    <row r="459" spans="1:2">
      <c r="A459" s="27">
        <v>45440</v>
      </c>
      <c r="B459" s="25">
        <v>4.0402933143276016E-3</v>
      </c>
    </row>
    <row r="460" spans="1:2">
      <c r="A460" s="27">
        <v>45439</v>
      </c>
      <c r="B460" s="25">
        <v>-1.3074563078975553E-2</v>
      </c>
    </row>
    <row r="461" spans="1:2">
      <c r="A461" s="27">
        <v>45436</v>
      </c>
      <c r="B461" s="25">
        <v>1.6905438896627836E-3</v>
      </c>
    </row>
    <row r="462" spans="1:2">
      <c r="A462" s="27">
        <v>45435</v>
      </c>
      <c r="B462" s="25">
        <v>7.6852660577333646E-3</v>
      </c>
    </row>
    <row r="463" spans="1:2">
      <c r="A463" s="27">
        <v>45434</v>
      </c>
      <c r="B463" s="25">
        <v>-4.1589422294837702E-3</v>
      </c>
    </row>
    <row r="464" spans="1:2">
      <c r="A464" s="27">
        <v>45433</v>
      </c>
      <c r="B464" s="25">
        <v>-7.4888418936965061E-3</v>
      </c>
    </row>
    <row r="465" spans="1:2">
      <c r="A465" s="27">
        <v>45430</v>
      </c>
      <c r="B465" s="25">
        <v>-6.630082449779728E-3</v>
      </c>
    </row>
    <row r="466" spans="1:2">
      <c r="A466" s="27">
        <v>45429</v>
      </c>
      <c r="B466" s="25">
        <v>-2.7670892683043882E-3</v>
      </c>
    </row>
    <row r="467" spans="1:2">
      <c r="A467" s="27">
        <v>45428</v>
      </c>
      <c r="B467" s="25">
        <v>-1.8971858798470869E-3</v>
      </c>
    </row>
    <row r="468" spans="1:2">
      <c r="A468" s="27">
        <v>45427</v>
      </c>
      <c r="B468" s="25">
        <v>-1.5435908345701943E-3</v>
      </c>
    </row>
    <row r="469" spans="1:2">
      <c r="A469" s="27">
        <v>45426</v>
      </c>
      <c r="B469" s="25">
        <v>1.5900244820197258E-2</v>
      </c>
    </row>
    <row r="470" spans="1:2">
      <c r="A470" s="27">
        <v>45425</v>
      </c>
      <c r="B470" s="25">
        <v>2.8886536679026413E-3</v>
      </c>
    </row>
    <row r="471" spans="1:2">
      <c r="A471" s="27">
        <v>45422</v>
      </c>
      <c r="B471" s="25">
        <v>-2.8085075838798105E-2</v>
      </c>
    </row>
    <row r="472" spans="1:2">
      <c r="A472" s="27">
        <v>45421</v>
      </c>
      <c r="B472" s="25">
        <v>-1.9837563449258688E-2</v>
      </c>
    </row>
    <row r="473" spans="1:2">
      <c r="A473" s="27">
        <v>45420</v>
      </c>
      <c r="B473" s="25">
        <v>4.2344171305067096E-2</v>
      </c>
    </row>
    <row r="474" spans="1:2">
      <c r="A474" s="27">
        <v>45419</v>
      </c>
      <c r="B474" s="25">
        <v>2.1849404780745769E-2</v>
      </c>
    </row>
    <row r="475" spans="1:2">
      <c r="A475" s="27">
        <v>45418</v>
      </c>
      <c r="B475" s="25">
        <v>4.334850457916292E-3</v>
      </c>
    </row>
    <row r="476" spans="1:2">
      <c r="A476" s="27">
        <v>45415</v>
      </c>
      <c r="B476" s="25">
        <v>4.3370842569836771E-3</v>
      </c>
    </row>
    <row r="477" spans="1:2">
      <c r="A477" s="27">
        <v>45414</v>
      </c>
      <c r="B477" s="25">
        <v>1.0717235423126151E-2</v>
      </c>
    </row>
    <row r="478" spans="1:2">
      <c r="A478" s="27">
        <v>45412</v>
      </c>
      <c r="B478" s="25">
        <v>-3.1400130684750664E-2</v>
      </c>
    </row>
    <row r="479" spans="1:2">
      <c r="A479" s="27">
        <v>45411</v>
      </c>
      <c r="B479" s="25">
        <v>-3.2316593353257945E-3</v>
      </c>
    </row>
    <row r="480" spans="1:2">
      <c r="A480" s="27">
        <v>45408</v>
      </c>
      <c r="B480" s="25">
        <v>-7.0454634083390692E-3</v>
      </c>
    </row>
    <row r="481" spans="1:2">
      <c r="A481" s="27">
        <v>45407</v>
      </c>
      <c r="B481" s="25">
        <v>4.9485666835844804E-3</v>
      </c>
    </row>
    <row r="482" spans="1:2">
      <c r="A482" s="27">
        <v>45406</v>
      </c>
      <c r="B482" s="25">
        <v>2.045832859230066E-3</v>
      </c>
    </row>
    <row r="483" spans="1:2">
      <c r="A483" s="27">
        <v>45405</v>
      </c>
      <c r="B483" s="25">
        <v>1.2164168395021064E-3</v>
      </c>
    </row>
    <row r="484" spans="1:2">
      <c r="A484" s="27">
        <v>45404</v>
      </c>
      <c r="B484" s="25">
        <v>-9.3080402331340503E-3</v>
      </c>
    </row>
    <row r="485" spans="1:2">
      <c r="A485" s="27">
        <v>45401</v>
      </c>
      <c r="B485" s="25">
        <v>-9.325094724347175E-3</v>
      </c>
    </row>
    <row r="486" spans="1:2">
      <c r="A486" s="27">
        <v>45400</v>
      </c>
      <c r="B486" s="25">
        <v>3.9142128619486984E-3</v>
      </c>
    </row>
    <row r="487" spans="1:2">
      <c r="A487" s="27">
        <v>45398</v>
      </c>
      <c r="B487" s="25">
        <v>1.1299493485958108E-2</v>
      </c>
    </row>
    <row r="488" spans="1:2">
      <c r="A488" s="27">
        <v>45397</v>
      </c>
      <c r="B488" s="25">
        <v>8.0572136410157445E-3</v>
      </c>
    </row>
    <row r="489" spans="1:2">
      <c r="A489" s="27">
        <v>45394</v>
      </c>
      <c r="B489" s="25">
        <v>7.8766506949579547E-3</v>
      </c>
    </row>
    <row r="490" spans="1:2">
      <c r="A490" s="27">
        <v>45392</v>
      </c>
      <c r="B490" s="25">
        <v>1.2280111208780945E-2</v>
      </c>
    </row>
    <row r="491" spans="1:2">
      <c r="A491" s="27">
        <v>45391</v>
      </c>
      <c r="B491" s="25">
        <v>-1.2244794703321536E-2</v>
      </c>
    </row>
    <row r="492" spans="1:2">
      <c r="A492" s="27">
        <v>45390</v>
      </c>
      <c r="B492" s="25">
        <v>1.0570925464520731E-2</v>
      </c>
    </row>
    <row r="493" spans="1:2">
      <c r="A493" s="27">
        <v>45387</v>
      </c>
      <c r="B493" s="25">
        <v>2.0378064437888774E-4</v>
      </c>
    </row>
    <row r="494" spans="1:2">
      <c r="A494" s="27">
        <v>45386</v>
      </c>
      <c r="B494" s="25">
        <v>7.2539842074111627E-3</v>
      </c>
    </row>
    <row r="495" spans="1:2">
      <c r="A495" s="27">
        <v>45385</v>
      </c>
      <c r="B495" s="25">
        <v>-1.2148816077436685E-2</v>
      </c>
    </row>
    <row r="496" spans="1:2">
      <c r="A496" s="27">
        <v>45384</v>
      </c>
      <c r="B496" s="25">
        <v>2.9062733123964759E-3</v>
      </c>
    </row>
    <row r="497" spans="1:2">
      <c r="A497" s="27">
        <v>45383</v>
      </c>
      <c r="B497" s="25">
        <v>-4.881990152372331E-3</v>
      </c>
    </row>
    <row r="498" spans="1:2">
      <c r="A498" s="27">
        <v>45379</v>
      </c>
      <c r="B498" s="25">
        <v>-7.9858206259706133E-3</v>
      </c>
    </row>
    <row r="499" spans="1:2">
      <c r="A499" s="27">
        <v>45378</v>
      </c>
      <c r="B499" s="25">
        <v>-4.5762403943511347E-3</v>
      </c>
    </row>
    <row r="500" spans="1:2">
      <c r="A500" s="27">
        <v>45377</v>
      </c>
      <c r="B500" s="25">
        <v>-5.7359712432514046E-3</v>
      </c>
    </row>
    <row r="501" spans="1:2">
      <c r="A501" s="27">
        <v>45373</v>
      </c>
      <c r="B501" s="25">
        <v>8.329490427395024E-3</v>
      </c>
    </row>
    <row r="502" spans="1:2">
      <c r="A502" s="27">
        <v>45372</v>
      </c>
      <c r="B502" s="25">
        <v>-6.7480729894745855E-3</v>
      </c>
    </row>
    <row r="503" spans="1:2">
      <c r="A503" s="27">
        <v>45371</v>
      </c>
      <c r="B503" s="25">
        <v>-1.9239790935658087E-3</v>
      </c>
    </row>
    <row r="504" spans="1:2">
      <c r="A504" s="27">
        <v>45370</v>
      </c>
      <c r="B504" s="25">
        <v>-7.4157627392797316E-4</v>
      </c>
    </row>
    <row r="505" spans="1:2">
      <c r="A505" s="27">
        <v>45369</v>
      </c>
      <c r="B505" s="25">
        <v>1.1561087828848798E-2</v>
      </c>
    </row>
    <row r="506" spans="1:2">
      <c r="A506" s="27">
        <v>45366</v>
      </c>
      <c r="B506" s="25">
        <v>3.6851827783810579E-3</v>
      </c>
    </row>
    <row r="507" spans="1:2">
      <c r="A507" s="27">
        <v>45365</v>
      </c>
      <c r="B507" s="25">
        <v>6.2767223438889115E-3</v>
      </c>
    </row>
    <row r="508" spans="1:2">
      <c r="A508" s="27">
        <v>45364</v>
      </c>
      <c r="B508" s="25">
        <v>-1.3374470550790879E-2</v>
      </c>
    </row>
    <row r="509" spans="1:2">
      <c r="A509" s="27">
        <v>45363</v>
      </c>
      <c r="B509" s="25">
        <v>1.1208814193587191E-2</v>
      </c>
    </row>
    <row r="510" spans="1:2">
      <c r="A510" s="27">
        <v>45362</v>
      </c>
      <c r="B510" s="25">
        <v>6.0374437046248333E-3</v>
      </c>
    </row>
    <row r="511" spans="1:2">
      <c r="A511" s="27">
        <v>45358</v>
      </c>
      <c r="B511" s="25">
        <v>-8.9274205270941341E-4</v>
      </c>
    </row>
    <row r="512" spans="1:2">
      <c r="A512" s="27">
        <v>45357</v>
      </c>
      <c r="B512" s="25">
        <v>-8.7236913294085269E-3</v>
      </c>
    </row>
    <row r="513" spans="1:2">
      <c r="A513" s="27">
        <v>45356</v>
      </c>
      <c r="B513" s="25">
        <v>-1.4030344020178572E-3</v>
      </c>
    </row>
    <row r="514" spans="1:2">
      <c r="A514" s="27">
        <v>45355</v>
      </c>
      <c r="B514" s="25">
        <v>4.786216041326511E-3</v>
      </c>
    </row>
    <row r="515" spans="1:2">
      <c r="A515" s="27">
        <v>45353</v>
      </c>
      <c r="B515" s="25">
        <v>1.0417861574917569E-2</v>
      </c>
    </row>
    <row r="516" spans="1:2">
      <c r="A516" s="27">
        <v>45352</v>
      </c>
      <c r="B516" s="25">
        <v>-7.0916721425035587E-3</v>
      </c>
    </row>
    <row r="517" spans="1:2">
      <c r="A517" s="27">
        <v>45351</v>
      </c>
      <c r="B517" s="25">
        <v>2.7256554389200492E-3</v>
      </c>
    </row>
    <row r="518" spans="1:2">
      <c r="A518" s="27">
        <v>45350</v>
      </c>
      <c r="B518" s="25">
        <v>-1.7972586323412882E-2</v>
      </c>
    </row>
    <row r="519" spans="1:2">
      <c r="A519" s="27">
        <v>45349</v>
      </c>
      <c r="B519" s="25">
        <v>1.8501945943063685E-2</v>
      </c>
    </row>
    <row r="520" spans="1:2">
      <c r="A520" s="27">
        <v>45348</v>
      </c>
      <c r="B520" s="25">
        <v>4.8035828306183396E-3</v>
      </c>
    </row>
    <row r="521" spans="1:2">
      <c r="A521" s="27">
        <v>45345</v>
      </c>
      <c r="B521" s="25">
        <v>3.1879186781693436E-2</v>
      </c>
    </row>
    <row r="522" spans="1:2">
      <c r="A522" s="27">
        <v>45344</v>
      </c>
      <c r="B522" s="25">
        <v>9.1940116954326127E-3</v>
      </c>
    </row>
    <row r="523" spans="1:2">
      <c r="A523" s="27">
        <v>45343</v>
      </c>
      <c r="B523" s="25">
        <v>-2.7347314696827009E-3</v>
      </c>
    </row>
    <row r="524" spans="1:2">
      <c r="A524" s="27">
        <v>45342</v>
      </c>
      <c r="B524" s="25">
        <v>8.3819850020613851E-4</v>
      </c>
    </row>
    <row r="525" spans="1:2">
      <c r="A525" s="27">
        <v>45341</v>
      </c>
      <c r="B525" s="25">
        <v>-5.6618732800081352E-3</v>
      </c>
    </row>
    <row r="526" spans="1:2">
      <c r="A526" s="27">
        <v>45338</v>
      </c>
      <c r="B526" s="25">
        <v>3.6462588848410016E-3</v>
      </c>
    </row>
    <row r="527" spans="1:2">
      <c r="A527" s="27">
        <v>45337</v>
      </c>
      <c r="B527" s="25">
        <v>-1.2894045890450797E-3</v>
      </c>
    </row>
    <row r="528" spans="1:2">
      <c r="A528" s="27">
        <v>45336</v>
      </c>
      <c r="B528" s="25">
        <v>-7.7686014419820586E-3</v>
      </c>
    </row>
    <row r="529" spans="1:2">
      <c r="A529" s="27">
        <v>45335</v>
      </c>
      <c r="B529" s="25">
        <v>-1.2009669068738101E-3</v>
      </c>
    </row>
    <row r="530" spans="1:2">
      <c r="A530" s="27">
        <v>45334</v>
      </c>
      <c r="B530" s="25">
        <v>-7.7139305850852597E-3</v>
      </c>
    </row>
    <row r="531" spans="1:2">
      <c r="A531" s="27">
        <v>45331</v>
      </c>
      <c r="B531" s="25">
        <v>3.9409962841339555E-3</v>
      </c>
    </row>
    <row r="532" spans="1:2">
      <c r="A532" s="27">
        <v>45330</v>
      </c>
      <c r="B532" s="25">
        <v>-7.3358117429135443E-3</v>
      </c>
    </row>
    <row r="533" spans="1:2">
      <c r="A533" s="27">
        <v>45329</v>
      </c>
      <c r="B533" s="25">
        <v>1.5061330894817534E-2</v>
      </c>
    </row>
    <row r="534" spans="1:2">
      <c r="A534" s="27">
        <v>45328</v>
      </c>
      <c r="B534" s="25">
        <v>-9.0743443100981449E-3</v>
      </c>
    </row>
    <row r="535" spans="1:2">
      <c r="A535" s="27">
        <v>45327</v>
      </c>
      <c r="B535" s="25">
        <v>-1.4802539003920081E-3</v>
      </c>
    </row>
    <row r="536" spans="1:2">
      <c r="A536" s="27">
        <v>45324</v>
      </c>
      <c r="B536" s="25">
        <v>4.0612546098562673E-3</v>
      </c>
    </row>
    <row r="537" spans="1:2">
      <c r="A537" s="27">
        <v>45323</v>
      </c>
      <c r="B537" s="25">
        <v>-4.1183369868587538E-3</v>
      </c>
    </row>
    <row r="538" spans="1:2">
      <c r="A538" s="27">
        <v>45322</v>
      </c>
      <c r="B538" s="25">
        <v>7.3050954325621729E-3</v>
      </c>
    </row>
    <row r="539" spans="1:2">
      <c r="A539" s="27">
        <v>45321</v>
      </c>
      <c r="B539" s="25">
        <v>-1.928795767899993E-3</v>
      </c>
    </row>
    <row r="540" spans="1:2">
      <c r="A540" s="27">
        <v>45320</v>
      </c>
      <c r="B540" s="25">
        <v>4.5734493462337034E-3</v>
      </c>
    </row>
    <row r="541" spans="1:2">
      <c r="A541" s="27">
        <v>45316</v>
      </c>
      <c r="B541" s="25">
        <v>-9.3304161806987158E-3</v>
      </c>
    </row>
    <row r="542" spans="1:2">
      <c r="A542" s="27">
        <v>45315</v>
      </c>
      <c r="B542" s="25">
        <v>1.5761673368194572E-2</v>
      </c>
    </row>
    <row r="543" spans="1:2">
      <c r="A543" s="27">
        <v>45314</v>
      </c>
      <c r="B543" s="25">
        <v>7.7794452954939204E-3</v>
      </c>
    </row>
    <row r="544" spans="1:2">
      <c r="A544" s="27">
        <v>45311</v>
      </c>
      <c r="B544" s="25">
        <v>3.0744489447482003E-2</v>
      </c>
    </row>
    <row r="545" spans="1:2">
      <c r="A545" s="27">
        <v>45310</v>
      </c>
      <c r="B545" s="25">
        <v>7.7814686428344017E-3</v>
      </c>
    </row>
    <row r="546" spans="1:2">
      <c r="A546" s="27">
        <v>45309</v>
      </c>
      <c r="B546" s="25">
        <v>-1.675208615542007E-3</v>
      </c>
    </row>
    <row r="547" spans="1:2">
      <c r="A547" s="27">
        <v>45308</v>
      </c>
      <c r="B547" s="25">
        <v>2.283500354449132E-2</v>
      </c>
    </row>
    <row r="548" spans="1:2">
      <c r="A548" s="27">
        <v>45307</v>
      </c>
      <c r="B548" s="25">
        <v>1.5465977802324676E-2</v>
      </c>
    </row>
    <row r="549" spans="1:2">
      <c r="A549" s="27">
        <v>45306</v>
      </c>
      <c r="B549" s="25">
        <v>-6.0675353888313991E-3</v>
      </c>
    </row>
    <row r="550" spans="1:2">
      <c r="A550" s="27">
        <v>45303</v>
      </c>
      <c r="B550" s="25">
        <v>-2.0146518750636302E-3</v>
      </c>
    </row>
    <row r="551" spans="1:2">
      <c r="A551" s="27">
        <v>45302</v>
      </c>
      <c r="B551" s="25">
        <v>1.8062242425709112E-3</v>
      </c>
    </row>
    <row r="552" spans="1:2">
      <c r="A552" s="27">
        <v>45301</v>
      </c>
      <c r="B552" s="25">
        <v>-2.6962904512033226E-3</v>
      </c>
    </row>
    <row r="553" spans="1:2">
      <c r="A553" s="27">
        <v>45300</v>
      </c>
      <c r="B553" s="25">
        <v>-5.0530763869128144E-3</v>
      </c>
    </row>
    <row r="554" spans="1:2">
      <c r="A554" s="27">
        <v>45299</v>
      </c>
      <c r="B554" s="25">
        <v>3.791955037791657E-3</v>
      </c>
    </row>
    <row r="555" spans="1:2">
      <c r="A555" s="27">
        <v>45296</v>
      </c>
      <c r="B555" s="25">
        <v>1.865276176699587E-2</v>
      </c>
    </row>
    <row r="556" spans="1:2">
      <c r="A556" s="27">
        <v>45295</v>
      </c>
      <c r="B556" s="25">
        <v>4.7985294017985824E-3</v>
      </c>
    </row>
    <row r="557" spans="1:2">
      <c r="A557" s="27">
        <v>45294</v>
      </c>
      <c r="B557" s="25">
        <v>-1.2136527095882557E-3</v>
      </c>
    </row>
    <row r="558" spans="1:2">
      <c r="A558" s="27">
        <v>45293</v>
      </c>
      <c r="B558" s="25">
        <v>5.1534289927662969E-3</v>
      </c>
    </row>
    <row r="559" spans="1:2">
      <c r="A559" s="27">
        <v>45292</v>
      </c>
      <c r="B559" s="25">
        <v>-3.4419602730027728E-4</v>
      </c>
    </row>
    <row r="560" spans="1:2">
      <c r="A560" s="27">
        <v>45289</v>
      </c>
      <c r="B560" s="25">
        <v>1.9378104680544102E-3</v>
      </c>
    </row>
    <row r="561" spans="1:2">
      <c r="A561" s="27">
        <v>45288</v>
      </c>
      <c r="B561" s="25">
        <v>-4.11141654901734E-3</v>
      </c>
    </row>
    <row r="562" spans="1:2">
      <c r="A562" s="27">
        <v>45287</v>
      </c>
      <c r="B562" s="25">
        <v>-9.3863077308961097E-4</v>
      </c>
    </row>
    <row r="563" spans="1:2">
      <c r="A563" s="27">
        <v>45286</v>
      </c>
      <c r="B563" s="25">
        <v>-5.9780031425822767E-3</v>
      </c>
    </row>
    <row r="564" spans="1:2">
      <c r="A564" s="27">
        <v>45282</v>
      </c>
      <c r="B564" s="25">
        <v>-1.0784760169151704E-2</v>
      </c>
    </row>
    <row r="565" spans="1:2">
      <c r="A565" s="27">
        <v>45281</v>
      </c>
      <c r="B565" s="25">
        <v>-1.0474926805580638E-2</v>
      </c>
    </row>
    <row r="566" spans="1:2">
      <c r="A566" s="27">
        <v>45280</v>
      </c>
      <c r="B566" s="25">
        <v>-2.1721501143426411E-3</v>
      </c>
    </row>
    <row r="567" spans="1:2">
      <c r="A567" s="27">
        <v>45279</v>
      </c>
      <c r="B567" s="25">
        <v>1.6838593732223763E-2</v>
      </c>
    </row>
    <row r="568" spans="1:2">
      <c r="A568" s="27">
        <v>45278</v>
      </c>
      <c r="B568" s="25">
        <v>-1.8227953499425908E-3</v>
      </c>
    </row>
    <row r="569" spans="1:2">
      <c r="A569" s="27">
        <v>45275</v>
      </c>
      <c r="B569" s="25">
        <v>-6.1789308254774347E-3</v>
      </c>
    </row>
    <row r="570" spans="1:2">
      <c r="A570" s="27">
        <v>45274</v>
      </c>
      <c r="B570" s="25">
        <v>-1.898025231229182E-2</v>
      </c>
    </row>
    <row r="571" spans="1:2">
      <c r="A571" s="27">
        <v>45273</v>
      </c>
      <c r="B571" s="25">
        <v>-2.3621787268795903E-3</v>
      </c>
    </row>
    <row r="572" spans="1:2">
      <c r="A572" s="27">
        <v>45272</v>
      </c>
      <c r="B572" s="25">
        <v>-3.978802398847953E-3</v>
      </c>
    </row>
    <row r="573" spans="1:2">
      <c r="A573" s="27">
        <v>45271</v>
      </c>
      <c r="B573" s="25">
        <v>3.9709404762078527E-3</v>
      </c>
    </row>
    <row r="574" spans="1:2">
      <c r="A574" s="27">
        <v>45268</v>
      </c>
      <c r="B574" s="25">
        <v>1.3970515473469077E-3</v>
      </c>
    </row>
    <row r="575" spans="1:2">
      <c r="A575" s="27">
        <v>45267</v>
      </c>
      <c r="B575" s="25">
        <v>8.1813626807846224E-3</v>
      </c>
    </row>
    <row r="576" spans="1:2">
      <c r="A576" s="27">
        <v>45266</v>
      </c>
      <c r="B576" s="25">
        <v>-4.6835472202105257E-3</v>
      </c>
    </row>
    <row r="577" spans="1:2">
      <c r="A577" s="27">
        <v>45265</v>
      </c>
      <c r="B577" s="25">
        <v>-4.3777501509944666E-3</v>
      </c>
    </row>
    <row r="578" spans="1:2">
      <c r="A578" s="27">
        <v>45264</v>
      </c>
      <c r="B578" s="25">
        <v>-8.5425715084386476E-3</v>
      </c>
    </row>
    <row r="579" spans="1:2">
      <c r="A579" s="27">
        <v>45261</v>
      </c>
      <c r="B579" s="25">
        <v>-4.6128906929761449E-3</v>
      </c>
    </row>
    <row r="580" spans="1:2">
      <c r="A580" s="27">
        <v>45260</v>
      </c>
      <c r="B580" s="25">
        <v>-1.6786149653297201E-2</v>
      </c>
    </row>
    <row r="581" spans="1:2">
      <c r="A581" s="27">
        <v>45259</v>
      </c>
      <c r="B581" s="25">
        <v>6.9937936900835518E-3</v>
      </c>
    </row>
    <row r="582" spans="1:2">
      <c r="A582" s="27">
        <v>45258</v>
      </c>
      <c r="B582" s="25">
        <v>9.7937425980166134E-5</v>
      </c>
    </row>
    <row r="583" spans="1:2">
      <c r="A583" s="27">
        <v>45254</v>
      </c>
      <c r="B583" s="25">
        <v>-3.0297852530362158E-3</v>
      </c>
    </row>
    <row r="584" spans="1:2">
      <c r="A584" s="27">
        <v>45253</v>
      </c>
      <c r="B584" s="25">
        <v>-2.2571005737390785E-3</v>
      </c>
    </row>
    <row r="585" spans="1:2">
      <c r="A585" s="27">
        <v>45252</v>
      </c>
      <c r="B585" s="25">
        <v>2.4626750039981581E-4</v>
      </c>
    </row>
    <row r="586" spans="1:2">
      <c r="A586" s="27">
        <v>45251</v>
      </c>
      <c r="B586" s="25">
        <v>5.0673195502971601E-3</v>
      </c>
    </row>
    <row r="587" spans="1:2">
      <c r="A587" s="27">
        <v>45250</v>
      </c>
      <c r="B587" s="25">
        <v>7.9720326506905591E-4</v>
      </c>
    </row>
    <row r="588" spans="1:2">
      <c r="A588" s="27">
        <v>45247</v>
      </c>
      <c r="B588" s="25">
        <v>9.322638269015705E-3</v>
      </c>
    </row>
    <row r="589" spans="1:2">
      <c r="A589" s="27">
        <v>45246</v>
      </c>
      <c r="B589" s="25">
        <v>-1.3284846962543019E-2</v>
      </c>
    </row>
    <row r="590" spans="1:2">
      <c r="A590" s="27">
        <v>45245</v>
      </c>
      <c r="B590" s="25">
        <v>-4.9719865951661363E-3</v>
      </c>
    </row>
    <row r="591" spans="1:2">
      <c r="A591" s="27">
        <v>45243</v>
      </c>
      <c r="B591" s="25">
        <v>-6.9637087944958076E-3</v>
      </c>
    </row>
    <row r="592" spans="1:2">
      <c r="A592" s="27">
        <v>45242</v>
      </c>
      <c r="B592" s="25">
        <v>3.8201085228169087E-3</v>
      </c>
    </row>
    <row r="593" spans="1:2">
      <c r="A593" s="27">
        <v>45240</v>
      </c>
      <c r="B593" s="25">
        <v>-6.7262208710531573E-3</v>
      </c>
    </row>
    <row r="594" spans="1:2">
      <c r="A594" s="27">
        <v>45239</v>
      </c>
      <c r="B594" s="25">
        <v>5.0671130683055355E-4</v>
      </c>
    </row>
    <row r="595" spans="1:2">
      <c r="A595" s="27">
        <v>45238</v>
      </c>
      <c r="B595" s="25">
        <v>5.552653583029696E-3</v>
      </c>
    </row>
    <row r="596" spans="1:2">
      <c r="A596" s="27">
        <v>45237</v>
      </c>
      <c r="B596" s="25">
        <v>-1.9400755836371627E-2</v>
      </c>
    </row>
    <row r="597" spans="1:2">
      <c r="A597" s="27">
        <v>45236</v>
      </c>
      <c r="B597" s="25">
        <v>-1.3292967176452694E-3</v>
      </c>
    </row>
    <row r="598" spans="1:2">
      <c r="A598" s="27">
        <v>45233</v>
      </c>
      <c r="B598" s="25">
        <v>-1.6611866456244396E-2</v>
      </c>
    </row>
    <row r="599" spans="1:2">
      <c r="A599" s="27">
        <v>45232</v>
      </c>
      <c r="B599" s="25">
        <v>-6.2227929704591761E-3</v>
      </c>
    </row>
    <row r="600" spans="1:2">
      <c r="A600" s="27">
        <v>45231</v>
      </c>
      <c r="B600" s="25">
        <v>-5.2184570889315177E-3</v>
      </c>
    </row>
    <row r="601" spans="1:2">
      <c r="A601" s="27">
        <v>45230</v>
      </c>
      <c r="B601" s="25">
        <v>1.7815604984882032E-2</v>
      </c>
    </row>
    <row r="602" spans="1:2">
      <c r="A602" s="27">
        <v>45229</v>
      </c>
      <c r="B602" s="25">
        <v>-1.0928326032616452E-2</v>
      </c>
    </row>
    <row r="603" spans="1:2">
      <c r="A603" s="27">
        <v>45226</v>
      </c>
      <c r="B603" s="25">
        <v>-5.2111228084957256E-3</v>
      </c>
    </row>
    <row r="604" spans="1:2">
      <c r="A604" s="27">
        <v>45225</v>
      </c>
      <c r="B604" s="25">
        <v>7.0212880274550971E-4</v>
      </c>
    </row>
    <row r="605" spans="1:2">
      <c r="A605" s="27">
        <v>45224</v>
      </c>
      <c r="B605" s="25">
        <v>3.2067312618753396E-2</v>
      </c>
    </row>
    <row r="606" spans="1:2">
      <c r="A606" s="27">
        <v>45222</v>
      </c>
      <c r="B606" s="25">
        <v>6.0741239072921276E-3</v>
      </c>
    </row>
    <row r="607" spans="1:2">
      <c r="A607" s="27">
        <v>45219</v>
      </c>
      <c r="B607" s="25">
        <v>1.2757412747905712E-2</v>
      </c>
    </row>
    <row r="608" spans="1:2">
      <c r="A608" s="27">
        <v>45218</v>
      </c>
      <c r="B608" s="25">
        <v>-2.6923621104375994E-3</v>
      </c>
    </row>
    <row r="609" spans="1:2">
      <c r="A609" s="27">
        <v>45217</v>
      </c>
      <c r="B609" s="25">
        <v>-2.0086778122044824E-3</v>
      </c>
    </row>
    <row r="610" spans="1:2">
      <c r="A610" s="27">
        <v>45216</v>
      </c>
      <c r="B610" s="25">
        <v>4.5690146428894324E-3</v>
      </c>
    </row>
    <row r="611" spans="1:2">
      <c r="A611" s="27">
        <v>45215</v>
      </c>
      <c r="B611" s="25">
        <v>-2.3957908232980986E-3</v>
      </c>
    </row>
    <row r="612" spans="1:2">
      <c r="A612" s="27">
        <v>45212</v>
      </c>
      <c r="B612" s="25">
        <v>8.9977340534088956E-3</v>
      </c>
    </row>
    <row r="613" spans="1:2">
      <c r="A613" s="27">
        <v>45211</v>
      </c>
      <c r="B613" s="25">
        <v>1.4060669874958944E-3</v>
      </c>
    </row>
    <row r="614" spans="1:2">
      <c r="A614" s="27">
        <v>45210</v>
      </c>
      <c r="B614" s="25">
        <v>-7.8248502894245702E-4</v>
      </c>
    </row>
    <row r="615" spans="1:2">
      <c r="A615" s="27">
        <v>45209</v>
      </c>
      <c r="B615" s="25">
        <v>-2.8413528157720663E-3</v>
      </c>
    </row>
    <row r="616" spans="1:2">
      <c r="A616" s="27">
        <v>45208</v>
      </c>
      <c r="B616" s="25">
        <v>-1.534936096637194E-4</v>
      </c>
    </row>
    <row r="617" spans="1:2">
      <c r="A617" s="27">
        <v>45205</v>
      </c>
      <c r="B617" s="25">
        <v>1.2940563859452303E-2</v>
      </c>
    </row>
    <row r="618" spans="1:2">
      <c r="A618" s="27">
        <v>45204</v>
      </c>
      <c r="B618" s="25">
        <v>1.4866662501519165E-3</v>
      </c>
    </row>
    <row r="619" spans="1:2">
      <c r="A619" s="27">
        <v>45203</v>
      </c>
      <c r="B619" s="25">
        <v>-9.0605520562608063E-3</v>
      </c>
    </row>
    <row r="620" spans="1:2">
      <c r="A620" s="27">
        <v>45202</v>
      </c>
      <c r="B620" s="25">
        <v>1.7673505800158386E-4</v>
      </c>
    </row>
    <row r="621" spans="1:2">
      <c r="A621" s="27">
        <v>45198</v>
      </c>
      <c r="B621" s="25">
        <v>-4.7729379529491846E-4</v>
      </c>
    </row>
    <row r="622" spans="1:2">
      <c r="A622" s="27">
        <v>45197</v>
      </c>
      <c r="B622" s="25">
        <v>1.675894743999272E-3</v>
      </c>
    </row>
    <row r="623" spans="1:2">
      <c r="A623" s="27">
        <v>45196</v>
      </c>
      <c r="B623" s="25">
        <v>4.0797037649905769E-2</v>
      </c>
    </row>
    <row r="624" spans="1:2">
      <c r="A624" s="27">
        <v>45195</v>
      </c>
      <c r="B624" s="25">
        <v>-3.0594627985514175E-3</v>
      </c>
    </row>
    <row r="625" spans="1:2">
      <c r="A625" s="27">
        <v>45194</v>
      </c>
      <c r="B625" s="25">
        <v>9.8882430108283761E-3</v>
      </c>
    </row>
    <row r="626" spans="1:2">
      <c r="A626" s="27">
        <v>45191</v>
      </c>
      <c r="B626" s="25">
        <v>4.8395980100213974E-3</v>
      </c>
    </row>
    <row r="627" spans="1:2">
      <c r="A627" s="27">
        <v>45190</v>
      </c>
      <c r="B627" s="25">
        <v>-1.7012794037120461E-2</v>
      </c>
    </row>
    <row r="628" spans="1:2">
      <c r="A628" s="27">
        <v>45189</v>
      </c>
      <c r="B628" s="25">
        <v>-7.9087530130817398E-3</v>
      </c>
    </row>
    <row r="629" spans="1:2">
      <c r="A629" s="27">
        <v>45187</v>
      </c>
      <c r="B629" s="25">
        <v>-1.4678921088281671E-3</v>
      </c>
    </row>
    <row r="630" spans="1:2">
      <c r="A630" s="27">
        <v>45184</v>
      </c>
      <c r="B630" s="25">
        <v>-7.2082417865747947E-3</v>
      </c>
    </row>
    <row r="631" spans="1:2">
      <c r="A631" s="27">
        <v>45183</v>
      </c>
      <c r="B631" s="25">
        <v>1.3391919568045113E-2</v>
      </c>
    </row>
    <row r="632" spans="1:2">
      <c r="A632" s="27">
        <v>45182</v>
      </c>
      <c r="B632" s="25">
        <v>7.0440196880681757E-3</v>
      </c>
    </row>
    <row r="633" spans="1:2">
      <c r="A633" s="27">
        <v>45181</v>
      </c>
      <c r="B633" s="25">
        <v>-5.4184674894133837E-3</v>
      </c>
    </row>
    <row r="634" spans="1:2">
      <c r="A634" s="27">
        <v>45180</v>
      </c>
      <c r="B634" s="25">
        <v>3.9310204601583944E-3</v>
      </c>
    </row>
    <row r="635" spans="1:2">
      <c r="A635" s="27">
        <v>45177</v>
      </c>
      <c r="B635" s="25">
        <v>-6.1942361213025042E-3</v>
      </c>
    </row>
    <row r="636" spans="1:2">
      <c r="A636" s="27">
        <v>45176</v>
      </c>
      <c r="B636" s="25">
        <v>-2.8001363905935515E-5</v>
      </c>
    </row>
    <row r="637" spans="1:2">
      <c r="A637" s="27">
        <v>45175</v>
      </c>
      <c r="B637" s="25">
        <v>-3.4554220553984966E-3</v>
      </c>
    </row>
    <row r="638" spans="1:2">
      <c r="A638" s="27">
        <v>45174</v>
      </c>
      <c r="B638" s="25">
        <v>-8.0797187932329408E-4</v>
      </c>
    </row>
    <row r="639" spans="1:2">
      <c r="A639" s="27">
        <v>45173</v>
      </c>
      <c r="B639" s="25">
        <v>3.2470675444243491E-3</v>
      </c>
    </row>
    <row r="640" spans="1:2">
      <c r="A640" s="27">
        <v>45170</v>
      </c>
      <c r="B640" s="25">
        <v>7.4404369467387863E-3</v>
      </c>
    </row>
    <row r="641" spans="1:2">
      <c r="A641" s="27">
        <v>45169</v>
      </c>
      <c r="B641" s="25">
        <v>-2.2087448337222617E-3</v>
      </c>
    </row>
    <row r="642" spans="1:2">
      <c r="A642" s="27">
        <v>45168</v>
      </c>
      <c r="B642" s="25">
        <v>8.4851286854691413E-3</v>
      </c>
    </row>
    <row r="643" spans="1:2">
      <c r="A643" s="27">
        <v>45167</v>
      </c>
      <c r="B643" s="25">
        <v>-2.4962051555452876E-3</v>
      </c>
    </row>
    <row r="644" spans="1:2">
      <c r="A644" s="27">
        <v>45166</v>
      </c>
      <c r="B644" s="25">
        <v>-9.4665667141350576E-3</v>
      </c>
    </row>
    <row r="645" spans="1:2">
      <c r="A645" s="27">
        <v>45163</v>
      </c>
      <c r="B645" s="25">
        <v>-1.0727197637713734E-3</v>
      </c>
    </row>
    <row r="646" spans="1:2">
      <c r="A646" s="27">
        <v>45162</v>
      </c>
      <c r="B646" s="25">
        <v>-4.5393263202423689E-3</v>
      </c>
    </row>
    <row r="647" spans="1:2">
      <c r="A647" s="27">
        <v>45161</v>
      </c>
      <c r="B647" s="25">
        <v>-1.5242576756620291E-2</v>
      </c>
    </row>
    <row r="648" spans="1:2">
      <c r="A648" s="27">
        <v>45160</v>
      </c>
      <c r="B648" s="25">
        <v>4.1723835008918766E-3</v>
      </c>
    </row>
    <row r="649" spans="1:2">
      <c r="A649" s="27">
        <v>45159</v>
      </c>
      <c r="B649" s="25">
        <v>4.8520076684174557E-4</v>
      </c>
    </row>
    <row r="650" spans="1:2">
      <c r="A650" s="27">
        <v>45156</v>
      </c>
      <c r="B650" s="25">
        <v>-3.8673875541014855E-3</v>
      </c>
    </row>
    <row r="651" spans="1:2">
      <c r="A651" s="27">
        <v>45155</v>
      </c>
      <c r="B651" s="25">
        <v>3.6777235964335253E-3</v>
      </c>
    </row>
    <row r="652" spans="1:2">
      <c r="A652" s="27">
        <v>45154</v>
      </c>
      <c r="B652" s="25">
        <v>1.8646932010463252E-3</v>
      </c>
    </row>
    <row r="653" spans="1:2">
      <c r="A653" s="27">
        <v>45152</v>
      </c>
      <c r="B653" s="25">
        <v>1.5574229669239402E-4</v>
      </c>
    </row>
    <row r="654" spans="1:2">
      <c r="A654" s="27">
        <v>45149</v>
      </c>
      <c r="B654" s="25">
        <v>-2.1238358056427683E-3</v>
      </c>
    </row>
    <row r="655" spans="1:2">
      <c r="A655" s="27">
        <v>45148</v>
      </c>
      <c r="B655" s="25">
        <v>1.028368074085328E-2</v>
      </c>
    </row>
    <row r="656" spans="1:2">
      <c r="A656" s="27">
        <v>45147</v>
      </c>
      <c r="B656" s="25">
        <v>2.1134317130417395E-2</v>
      </c>
    </row>
    <row r="657" spans="1:2">
      <c r="A657" s="27">
        <v>45146</v>
      </c>
      <c r="B657" s="25">
        <v>6.319751179702543E-3</v>
      </c>
    </row>
    <row r="658" spans="1:2">
      <c r="A658" s="27">
        <v>45145</v>
      </c>
      <c r="B658" s="25">
        <v>-1.4090585594357052E-3</v>
      </c>
    </row>
    <row r="659" spans="1:2">
      <c r="A659" s="27">
        <v>45142</v>
      </c>
      <c r="B659" s="25">
        <v>-1.4044980630139225E-3</v>
      </c>
    </row>
    <row r="660" spans="1:2">
      <c r="A660" s="27">
        <v>45141</v>
      </c>
      <c r="B660" s="25">
        <v>-2.932313840341177E-3</v>
      </c>
    </row>
    <row r="661" spans="1:2">
      <c r="A661" s="27">
        <v>45140</v>
      </c>
      <c r="B661" s="25">
        <v>9.4936745541908934E-3</v>
      </c>
    </row>
    <row r="662" spans="1:2">
      <c r="A662" s="27">
        <v>45139</v>
      </c>
      <c r="B662" s="25">
        <v>-4.9835556866805351E-3</v>
      </c>
    </row>
    <row r="663" spans="1:2">
      <c r="A663" s="27">
        <v>45138</v>
      </c>
      <c r="B663" s="25">
        <v>1.0445096669562109E-3</v>
      </c>
    </row>
    <row r="664" spans="1:2">
      <c r="A664" s="27">
        <v>45135</v>
      </c>
      <c r="B664" s="25">
        <v>-1.235545067980518E-4</v>
      </c>
    </row>
    <row r="665" spans="1:2">
      <c r="A665" s="27">
        <v>45134</v>
      </c>
      <c r="B665" s="25">
        <v>-6.3733915858952914E-3</v>
      </c>
    </row>
    <row r="666" spans="1:2">
      <c r="A666" s="27">
        <v>45133</v>
      </c>
      <c r="B666" s="25">
        <v>-1.9629418346347181E-4</v>
      </c>
    </row>
    <row r="667" spans="1:2">
      <c r="A667" s="27">
        <v>45132</v>
      </c>
      <c r="B667" s="25">
        <v>4.6728611009126562E-3</v>
      </c>
    </row>
    <row r="668" spans="1:2">
      <c r="A668" s="27">
        <v>45131</v>
      </c>
      <c r="B668" s="25">
        <v>3.2298154530071378E-2</v>
      </c>
    </row>
    <row r="669" spans="1:2">
      <c r="A669" s="27">
        <v>45128</v>
      </c>
      <c r="B669" s="25">
        <v>-3.774257105303414E-3</v>
      </c>
    </row>
    <row r="670" spans="1:2">
      <c r="A670" s="27">
        <v>45127</v>
      </c>
      <c r="B670" s="25">
        <v>-5.893209717854498E-4</v>
      </c>
    </row>
    <row r="671" spans="1:2">
      <c r="A671" s="27">
        <v>45126</v>
      </c>
      <c r="B671" s="25">
        <v>-3.3304670243972895E-3</v>
      </c>
    </row>
    <row r="672" spans="1:2">
      <c r="A672" s="27">
        <v>45125</v>
      </c>
      <c r="B672" s="25">
        <v>-3.6879271469789039E-4</v>
      </c>
    </row>
    <row r="673" spans="1:2">
      <c r="A673" s="27">
        <v>45124</v>
      </c>
      <c r="B673" s="25">
        <v>-1.2491211611568713E-2</v>
      </c>
    </row>
    <row r="674" spans="1:2">
      <c r="A674" s="27">
        <v>45121</v>
      </c>
      <c r="B674" s="25">
        <v>-9.0404364981988387E-3</v>
      </c>
    </row>
    <row r="675" spans="1:2">
      <c r="A675" s="27">
        <v>45120</v>
      </c>
      <c r="B675" s="25">
        <v>-8.7089682964836355E-3</v>
      </c>
    </row>
    <row r="676" spans="1:2">
      <c r="A676" s="27">
        <v>45119</v>
      </c>
      <c r="B676" s="25">
        <v>3.2510107342594518E-3</v>
      </c>
    </row>
    <row r="677" spans="1:2">
      <c r="A677" s="27">
        <v>45118</v>
      </c>
      <c r="B677" s="25">
        <v>-2.6106549835163951E-3</v>
      </c>
    </row>
    <row r="678" spans="1:2">
      <c r="A678" s="27">
        <v>45117</v>
      </c>
      <c r="B678" s="25">
        <v>-1.1198231255668066E-2</v>
      </c>
    </row>
    <row r="679" spans="1:2">
      <c r="A679" s="27">
        <v>45114</v>
      </c>
      <c r="B679" s="25">
        <v>-3.3680197580841976E-4</v>
      </c>
    </row>
    <row r="680" spans="1:2">
      <c r="A680" s="27">
        <v>45113</v>
      </c>
      <c r="B680" s="25">
        <v>1.399680184325375E-2</v>
      </c>
    </row>
    <row r="681" spans="1:2">
      <c r="A681" s="27">
        <v>45112</v>
      </c>
      <c r="B681" s="25">
        <v>-5.7277567150001386E-3</v>
      </c>
    </row>
    <row r="682" spans="1:2">
      <c r="A682" s="27">
        <v>45111</v>
      </c>
      <c r="B682" s="25">
        <v>-9.0926520285968225E-3</v>
      </c>
    </row>
    <row r="683" spans="1:2">
      <c r="A683" s="27">
        <v>45110</v>
      </c>
      <c r="B683" s="25">
        <v>2.0598251432651388E-3</v>
      </c>
    </row>
    <row r="684" spans="1:2">
      <c r="A684" s="27">
        <v>45107</v>
      </c>
      <c r="B684" s="25">
        <v>-2.4349590196902905E-4</v>
      </c>
    </row>
    <row r="685" spans="1:2">
      <c r="A685" s="27">
        <v>45105</v>
      </c>
      <c r="B685" s="25">
        <v>-2.9069314447078155E-3</v>
      </c>
    </row>
    <row r="686" spans="1:2">
      <c r="A686" s="27">
        <v>45104</v>
      </c>
      <c r="B686" s="25">
        <v>-4.0036984722076341E-3</v>
      </c>
    </row>
    <row r="687" spans="1:2">
      <c r="A687" s="27">
        <v>45103</v>
      </c>
      <c r="B687" s="25">
        <v>-3.7511926471504322E-3</v>
      </c>
    </row>
    <row r="688" spans="1:2">
      <c r="A688" s="27">
        <v>45100</v>
      </c>
      <c r="B688" s="25">
        <v>-2.57678251330577E-3</v>
      </c>
    </row>
    <row r="689" spans="1:2">
      <c r="A689" s="27">
        <v>45099</v>
      </c>
      <c r="B689" s="25">
        <v>-1.1287023869662636E-2</v>
      </c>
    </row>
    <row r="690" spans="1:2">
      <c r="A690" s="27">
        <v>45098</v>
      </c>
      <c r="B690" s="25">
        <v>1.8128978134110137E-2</v>
      </c>
    </row>
    <row r="691" spans="1:2">
      <c r="A691" s="27">
        <v>45097</v>
      </c>
      <c r="B691" s="25">
        <v>-2.7023102527723841E-3</v>
      </c>
    </row>
    <row r="692" spans="1:2">
      <c r="A692" s="27">
        <v>45096</v>
      </c>
      <c r="B692" s="25">
        <v>-1.1581354221022798E-3</v>
      </c>
    </row>
    <row r="693" spans="1:2">
      <c r="A693" s="27">
        <v>45093</v>
      </c>
      <c r="B693" s="25">
        <v>1.3572899739458619E-4</v>
      </c>
    </row>
    <row r="694" spans="1:2">
      <c r="A694" s="27">
        <v>45092</v>
      </c>
      <c r="B694" s="25">
        <v>-3.605527120652448E-3</v>
      </c>
    </row>
    <row r="695" spans="1:2">
      <c r="A695" s="27">
        <v>45091</v>
      </c>
      <c r="B695" s="25">
        <v>-8.0769632022179485E-3</v>
      </c>
    </row>
    <row r="696" spans="1:2">
      <c r="A696" s="27">
        <v>45090</v>
      </c>
      <c r="B696" s="25">
        <v>-3.5059098897060235E-3</v>
      </c>
    </row>
    <row r="697" spans="1:2">
      <c r="A697" s="27">
        <v>45089</v>
      </c>
      <c r="B697" s="25">
        <v>-2.2510914059113114E-2</v>
      </c>
    </row>
    <row r="698" spans="1:2">
      <c r="A698" s="27">
        <v>45086</v>
      </c>
      <c r="B698" s="25">
        <v>-3.0528012416684222E-3</v>
      </c>
    </row>
    <row r="699" spans="1:2">
      <c r="A699" s="27">
        <v>45085</v>
      </c>
      <c r="B699" s="25">
        <v>8.3116991625026074E-3</v>
      </c>
    </row>
    <row r="700" spans="1:2">
      <c r="A700" s="27">
        <v>45084</v>
      </c>
      <c r="B700" s="25">
        <v>3.6805661727972328E-3</v>
      </c>
    </row>
    <row r="701" spans="1:2">
      <c r="A701" s="27">
        <v>45083</v>
      </c>
      <c r="B701" s="25">
        <v>-3.7969964900058076E-3</v>
      </c>
    </row>
    <row r="702" spans="1:2">
      <c r="A702" s="27">
        <v>45082</v>
      </c>
      <c r="B702" s="25">
        <v>-3.3522371778298976E-3</v>
      </c>
    </row>
    <row r="703" spans="1:2">
      <c r="A703" s="27">
        <v>45079</v>
      </c>
      <c r="B703" s="25">
        <v>9.4422414854592029E-3</v>
      </c>
    </row>
    <row r="704" spans="1:2">
      <c r="A704" s="27">
        <v>45078</v>
      </c>
      <c r="B704" s="25">
        <v>1.1497111093312453E-3</v>
      </c>
    </row>
    <row r="705" spans="1:2">
      <c r="A705" s="27">
        <v>45077</v>
      </c>
      <c r="B705" s="25">
        <v>-9.9319754582799583E-3</v>
      </c>
    </row>
    <row r="706" spans="1:2">
      <c r="A706" s="27">
        <v>45076</v>
      </c>
      <c r="B706" s="25">
        <v>-1.2863489636799735E-2</v>
      </c>
    </row>
    <row r="707" spans="1:2">
      <c r="A707" s="27">
        <v>45075</v>
      </c>
      <c r="B707" s="25">
        <v>-4.9329911168591823E-3</v>
      </c>
    </row>
    <row r="708" spans="1:2">
      <c r="A708" s="27">
        <v>45072</v>
      </c>
      <c r="B708" s="25">
        <v>3.0373849400243862E-5</v>
      </c>
    </row>
    <row r="709" spans="1:2">
      <c r="A709" s="27">
        <v>45071</v>
      </c>
      <c r="B709" s="25">
        <v>-4.2443281300258689E-3</v>
      </c>
    </row>
    <row r="710" spans="1:2">
      <c r="A710" s="27">
        <v>45070</v>
      </c>
      <c r="B710" s="25">
        <v>-6.2543191861087451E-3</v>
      </c>
    </row>
    <row r="711" spans="1:2">
      <c r="A711" s="27">
        <v>45069</v>
      </c>
      <c r="B711" s="25">
        <v>4.007372012540639E-3</v>
      </c>
    </row>
    <row r="712" spans="1:2">
      <c r="A712" s="27">
        <v>45068</v>
      </c>
      <c r="B712" s="25">
        <v>-1.0916720421521073E-2</v>
      </c>
    </row>
    <row r="713" spans="1:2">
      <c r="A713" s="27">
        <v>45065</v>
      </c>
      <c r="B713" s="25">
        <v>-5.328020475926531E-4</v>
      </c>
    </row>
    <row r="714" spans="1:2">
      <c r="A714" s="27">
        <v>45064</v>
      </c>
      <c r="B714" s="25">
        <v>5.8312643686729317E-3</v>
      </c>
    </row>
    <row r="715" spans="1:2">
      <c r="A715" s="27">
        <v>45063</v>
      </c>
      <c r="B715" s="25">
        <v>-4.8536396646809126E-3</v>
      </c>
    </row>
    <row r="716" spans="1:2">
      <c r="A716" s="27">
        <v>45062</v>
      </c>
      <c r="B716" s="25">
        <v>8.5249456633166368E-3</v>
      </c>
    </row>
    <row r="717" spans="1:2">
      <c r="A717" s="27">
        <v>45061</v>
      </c>
      <c r="B717" s="25">
        <v>3.3411674557432811E-3</v>
      </c>
    </row>
    <row r="718" spans="1:2">
      <c r="A718" s="27">
        <v>45058</v>
      </c>
      <c r="B718" s="25">
        <v>1.4590943270407742E-3</v>
      </c>
    </row>
    <row r="719" spans="1:2">
      <c r="A719" s="27">
        <v>45057</v>
      </c>
      <c r="B719" s="25">
        <v>1.8958548958103003E-3</v>
      </c>
    </row>
    <row r="720" spans="1:2">
      <c r="A720" s="27">
        <v>45056</v>
      </c>
      <c r="B720" s="25">
        <v>-2.7490732706326061E-2</v>
      </c>
    </row>
    <row r="721" spans="1:2">
      <c r="A721" s="27">
        <v>45055</v>
      </c>
      <c r="B721" s="25">
        <v>-2.6715654145954329E-3</v>
      </c>
    </row>
    <row r="722" spans="1:2">
      <c r="A722" s="27">
        <v>45054</v>
      </c>
      <c r="B722" s="25">
        <v>-4.4100154598790886E-3</v>
      </c>
    </row>
    <row r="723" spans="1:2">
      <c r="A723" s="27">
        <v>45051</v>
      </c>
      <c r="B723" s="25">
        <v>-4.7890327028579692E-3</v>
      </c>
    </row>
    <row r="724" spans="1:2">
      <c r="A724" s="27">
        <v>45050</v>
      </c>
      <c r="B724" s="25">
        <v>-6.0618675378967231E-3</v>
      </c>
    </row>
    <row r="725" spans="1:2">
      <c r="A725" s="27">
        <v>45049</v>
      </c>
      <c r="B725" s="25">
        <v>-1.5605493573961449E-2</v>
      </c>
    </row>
    <row r="726" spans="1:2">
      <c r="A726" s="27">
        <v>45048</v>
      </c>
      <c r="B726" s="25">
        <v>-8.6606021011589335E-3</v>
      </c>
    </row>
    <row r="727" spans="1:2">
      <c r="A727" s="27">
        <v>45044</v>
      </c>
      <c r="B727" s="25">
        <v>-2.3523146364908079E-3</v>
      </c>
    </row>
    <row r="728" spans="1:2">
      <c r="A728" s="27">
        <v>45043</v>
      </c>
      <c r="B728" s="25">
        <v>-3.6787289181714443E-3</v>
      </c>
    </row>
    <row r="729" spans="1:2">
      <c r="A729" s="27">
        <v>45042</v>
      </c>
      <c r="B729" s="25">
        <v>2.4925926653015418E-3</v>
      </c>
    </row>
    <row r="730" spans="1:2">
      <c r="A730" s="27">
        <v>45041</v>
      </c>
      <c r="B730" s="25">
        <v>-6.1606504057171961E-3</v>
      </c>
    </row>
    <row r="731" spans="1:2">
      <c r="A731" s="27">
        <v>45040</v>
      </c>
      <c r="B731" s="25">
        <v>-9.4901594893001269E-4</v>
      </c>
    </row>
    <row r="732" spans="1:2">
      <c r="A732" s="27">
        <v>45037</v>
      </c>
      <c r="B732" s="25">
        <v>-4.4862725279437949E-3</v>
      </c>
    </row>
    <row r="733" spans="1:2">
      <c r="A733" s="27">
        <v>45036</v>
      </c>
      <c r="B733" s="25">
        <v>-1.1928019289886771E-2</v>
      </c>
    </row>
    <row r="734" spans="1:2">
      <c r="A734" s="27">
        <v>45035</v>
      </c>
      <c r="B734" s="25">
        <v>-9.3700680390061391E-3</v>
      </c>
    </row>
    <row r="735" spans="1:2">
      <c r="A735" s="27">
        <v>45034</v>
      </c>
      <c r="B735" s="25">
        <v>1.2192134396177567E-2</v>
      </c>
    </row>
    <row r="736" spans="1:2">
      <c r="A736" s="27">
        <v>45033</v>
      </c>
      <c r="B736" s="25">
        <v>-2.4855694774169133E-3</v>
      </c>
    </row>
    <row r="737" spans="1:2">
      <c r="A737" s="27">
        <v>45029</v>
      </c>
      <c r="B737" s="25">
        <v>-8.8494840322942588E-3</v>
      </c>
    </row>
    <row r="738" spans="1:2">
      <c r="A738" s="27">
        <v>45028</v>
      </c>
      <c r="B738" s="25">
        <v>-4.724837861236458E-3</v>
      </c>
    </row>
    <row r="739" spans="1:2">
      <c r="A739" s="27">
        <v>45027</v>
      </c>
      <c r="B739" s="25">
        <v>-1.0970011641972425E-2</v>
      </c>
    </row>
    <row r="740" spans="1:2">
      <c r="A740" s="27">
        <v>45026</v>
      </c>
      <c r="B740" s="25">
        <v>1.2481863168552938E-2</v>
      </c>
    </row>
    <row r="741" spans="1:2">
      <c r="A741" s="27">
        <v>45022</v>
      </c>
      <c r="B741" s="25">
        <v>8.7077853406246474E-3</v>
      </c>
    </row>
    <row r="742" spans="1:2">
      <c r="A742" s="27">
        <v>45021</v>
      </c>
      <c r="B742" s="25">
        <v>-1.8956523314133708E-3</v>
      </c>
    </row>
    <row r="743" spans="1:2">
      <c r="A743" s="27">
        <v>45019</v>
      </c>
      <c r="B743" s="25">
        <v>-1.098440988579377E-2</v>
      </c>
    </row>
    <row r="744" spans="1:2">
      <c r="A744" s="27">
        <v>45016</v>
      </c>
      <c r="B744" s="25">
        <v>-3.8656884084665214E-3</v>
      </c>
    </row>
    <row r="745" spans="1:2">
      <c r="A745" s="27">
        <v>45014</v>
      </c>
      <c r="B745" s="25">
        <v>-5.6789494386402307E-4</v>
      </c>
    </row>
    <row r="746" spans="1:2">
      <c r="A746" s="27">
        <v>45013</v>
      </c>
      <c r="B746" s="25">
        <v>4.330025579299829E-3</v>
      </c>
    </row>
    <row r="747" spans="1:2">
      <c r="A747" s="27">
        <v>45012</v>
      </c>
      <c r="B747" s="25">
        <v>5.7861438436784879E-3</v>
      </c>
    </row>
    <row r="748" spans="1:2">
      <c r="A748" s="27">
        <v>45009</v>
      </c>
      <c r="B748" s="25">
        <v>-1.5572735086785809E-3</v>
      </c>
    </row>
    <row r="749" spans="1:2">
      <c r="A749" s="27">
        <v>45008</v>
      </c>
      <c r="B749" s="25">
        <v>1.1688714261472249E-3</v>
      </c>
    </row>
    <row r="750" spans="1:2">
      <c r="A750" s="27">
        <v>45007</v>
      </c>
      <c r="B750" s="25">
        <v>1.4969347990574061E-2</v>
      </c>
    </row>
    <row r="751" spans="1:2">
      <c r="A751" s="27">
        <v>45006</v>
      </c>
      <c r="B751" s="25">
        <v>-5.6924578919895295E-4</v>
      </c>
    </row>
    <row r="752" spans="1:2">
      <c r="A752" s="27">
        <v>45005</v>
      </c>
      <c r="B752" s="25">
        <v>4.8403404106492267E-3</v>
      </c>
    </row>
    <row r="753" spans="1:2">
      <c r="A753" s="27">
        <v>45002</v>
      </c>
      <c r="B753" s="25">
        <v>2.2819782394127935E-3</v>
      </c>
    </row>
    <row r="754" spans="1:2">
      <c r="A754" s="27">
        <v>45001</v>
      </c>
      <c r="B754" s="25">
        <v>1.0157687585195918E-2</v>
      </c>
    </row>
    <row r="755" spans="1:2">
      <c r="A755" s="27">
        <v>45000</v>
      </c>
      <c r="B755" s="25">
        <v>-1.985922063424287E-2</v>
      </c>
    </row>
    <row r="756" spans="1:2">
      <c r="A756" s="27">
        <v>44999</v>
      </c>
      <c r="B756" s="25">
        <v>-2.4472089266679944E-2</v>
      </c>
    </row>
    <row r="757" spans="1:2">
      <c r="A757" s="27">
        <v>44998</v>
      </c>
      <c r="B757" s="25">
        <v>1.0382522016617169E-2</v>
      </c>
    </row>
    <row r="758" spans="1:2">
      <c r="A758" s="27">
        <v>44995</v>
      </c>
      <c r="B758" s="25">
        <v>1.5266445292218071E-2</v>
      </c>
    </row>
    <row r="759" spans="1:2">
      <c r="A759" s="27">
        <v>44994</v>
      </c>
      <c r="B759" s="25">
        <v>6.1165221514485717E-3</v>
      </c>
    </row>
    <row r="760" spans="1:2">
      <c r="A760" s="27">
        <v>44993</v>
      </c>
      <c r="B760" s="25">
        <v>6.9710891011470495E-4</v>
      </c>
    </row>
    <row r="761" spans="1:2">
      <c r="A761" s="27">
        <v>44991</v>
      </c>
      <c r="B761" s="25">
        <v>1.0425989199856186E-3</v>
      </c>
    </row>
    <row r="762" spans="1:2">
      <c r="A762" s="27">
        <v>44988</v>
      </c>
      <c r="B762" s="25">
        <v>-1.2040472463639207E-2</v>
      </c>
    </row>
    <row r="763" spans="1:2">
      <c r="A763" s="27">
        <v>44987</v>
      </c>
      <c r="B763" s="25">
        <v>-2.1378134441545443E-4</v>
      </c>
    </row>
    <row r="764" spans="1:2">
      <c r="A764" s="27">
        <v>44986</v>
      </c>
      <c r="B764" s="25">
        <v>1.0338326803591999E-3</v>
      </c>
    </row>
    <row r="765" spans="1:2">
      <c r="A765" s="27">
        <v>44985</v>
      </c>
      <c r="B765" s="25">
        <v>-3.7551987735926808E-3</v>
      </c>
    </row>
    <row r="766" spans="1:2">
      <c r="A766" s="27">
        <v>44984</v>
      </c>
      <c r="B766" s="25">
        <v>-2.583572120202764E-2</v>
      </c>
    </row>
    <row r="767" spans="1:2">
      <c r="A767" s="27">
        <v>44981</v>
      </c>
      <c r="B767" s="25">
        <v>-4.0898621758445362E-4</v>
      </c>
    </row>
    <row r="768" spans="1:2">
      <c r="A768" s="27">
        <v>44980</v>
      </c>
      <c r="B768" s="25">
        <v>-8.5359980134954664E-3</v>
      </c>
    </row>
    <row r="769" spans="1:2">
      <c r="A769" s="27">
        <v>44979</v>
      </c>
      <c r="B769" s="25">
        <v>2.5214882699920137E-2</v>
      </c>
    </row>
    <row r="770" spans="1:2">
      <c r="A770" s="27">
        <v>44978</v>
      </c>
      <c r="B770" s="25">
        <v>6.5661709018292498E-3</v>
      </c>
    </row>
    <row r="771" spans="1:2">
      <c r="A771" s="27">
        <v>44977</v>
      </c>
      <c r="B771" s="25">
        <v>2.5360638736678367E-3</v>
      </c>
    </row>
    <row r="772" spans="1:2">
      <c r="A772" s="27">
        <v>44974</v>
      </c>
      <c r="B772" s="25">
        <v>1.9133235166829798E-3</v>
      </c>
    </row>
    <row r="773" spans="1:2">
      <c r="A773" s="27">
        <v>44973</v>
      </c>
      <c r="B773" s="25">
        <v>-8.8455889815676619E-3</v>
      </c>
    </row>
    <row r="774" spans="1:2">
      <c r="A774" s="27">
        <v>44972</v>
      </c>
      <c r="B774" s="25">
        <v>-6.2685394530051144E-3</v>
      </c>
    </row>
    <row r="775" spans="1:2">
      <c r="A775" s="27">
        <v>44971</v>
      </c>
      <c r="B775" s="25">
        <v>-3.8822099313854433E-3</v>
      </c>
    </row>
    <row r="776" spans="1:2">
      <c r="A776" s="27">
        <v>44970</v>
      </c>
      <c r="B776" s="25">
        <v>7.2190235579101024E-3</v>
      </c>
    </row>
    <row r="777" spans="1:2">
      <c r="A777" s="27">
        <v>44967</v>
      </c>
      <c r="B777" s="25">
        <v>9.5558270362367317E-3</v>
      </c>
    </row>
    <row r="778" spans="1:2">
      <c r="A778" s="27">
        <v>44966</v>
      </c>
      <c r="B778" s="25">
        <v>-3.3950463822123576E-4</v>
      </c>
    </row>
    <row r="779" spans="1:2">
      <c r="A779" s="27">
        <v>44965</v>
      </c>
      <c r="B779" s="25">
        <v>-1.4583867237086851E-2</v>
      </c>
    </row>
    <row r="780" spans="1:2">
      <c r="A780" s="27">
        <v>44964</v>
      </c>
      <c r="B780" s="25">
        <v>-2.3449441157981092E-3</v>
      </c>
    </row>
    <row r="781" spans="1:2">
      <c r="A781" s="27">
        <v>44963</v>
      </c>
      <c r="B781" s="25">
        <v>-1.2864125101111781E-3</v>
      </c>
    </row>
    <row r="782" spans="1:2">
      <c r="A782" s="27">
        <v>44960</v>
      </c>
      <c r="B782" s="25">
        <v>4.2324074631783492E-4</v>
      </c>
    </row>
    <row r="783" spans="1:2">
      <c r="A783" s="27">
        <v>44959</v>
      </c>
      <c r="B783" s="25">
        <v>-1.9942006125057737E-2</v>
      </c>
    </row>
    <row r="784" spans="1:2">
      <c r="A784" s="27">
        <v>44958</v>
      </c>
      <c r="B784" s="25">
        <v>1.3269880487953878E-2</v>
      </c>
    </row>
    <row r="785" spans="1:2">
      <c r="A785" s="27">
        <v>44957</v>
      </c>
      <c r="B785" s="25">
        <v>-3.3990357843345924E-3</v>
      </c>
    </row>
    <row r="786" spans="1:2">
      <c r="A786" s="27">
        <v>44956</v>
      </c>
      <c r="B786" s="25">
        <v>1.0380270778035812E-2</v>
      </c>
    </row>
    <row r="787" spans="1:2">
      <c r="A787" s="27">
        <v>44953</v>
      </c>
      <c r="B787" s="25">
        <v>-1.5373986707121328E-2</v>
      </c>
    </row>
    <row r="788" spans="1:2">
      <c r="A788" s="27">
        <v>44951</v>
      </c>
      <c r="B788" s="25">
        <v>1.6932107995091889E-2</v>
      </c>
    </row>
    <row r="789" spans="1:2">
      <c r="A789" s="27">
        <v>44950</v>
      </c>
      <c r="B789" s="25">
        <v>1.2700863511177319E-2</v>
      </c>
    </row>
    <row r="790" spans="1:2">
      <c r="A790" s="27">
        <v>44949</v>
      </c>
      <c r="B790" s="25">
        <v>-5.2246426156849143E-3</v>
      </c>
    </row>
    <row r="791" spans="1:2">
      <c r="A791" s="27">
        <v>44946</v>
      </c>
      <c r="B791" s="25">
        <v>-7.9318355579649936E-4</v>
      </c>
    </row>
    <row r="792" spans="1:2">
      <c r="A792" s="27">
        <v>44945</v>
      </c>
      <c r="B792" s="25">
        <v>2.2997715618715317E-2</v>
      </c>
    </row>
    <row r="793" spans="1:2">
      <c r="A793" s="27">
        <v>44944</v>
      </c>
      <c r="B793" s="25">
        <v>2.2139566150868224E-2</v>
      </c>
    </row>
    <row r="794" spans="1:2">
      <c r="A794" s="27">
        <v>44943</v>
      </c>
      <c r="B794" s="25">
        <v>-4.2687701836036608E-3</v>
      </c>
    </row>
    <row r="795" spans="1:2">
      <c r="A795" s="27">
        <v>44942</v>
      </c>
      <c r="B795" s="25">
        <v>-8.6163474381895297E-3</v>
      </c>
    </row>
    <row r="796" spans="1:2">
      <c r="A796" s="27">
        <v>44939</v>
      </c>
      <c r="B796" s="25">
        <v>-7.8251555308108962E-4</v>
      </c>
    </row>
    <row r="797" spans="1:2">
      <c r="A797" s="27">
        <v>44938</v>
      </c>
      <c r="B797" s="25">
        <v>-7.8235265372264486E-5</v>
      </c>
    </row>
    <row r="798" spans="1:2">
      <c r="A798" s="27">
        <v>44937</v>
      </c>
      <c r="B798" s="25">
        <v>4.7735818619602279E-3</v>
      </c>
    </row>
    <row r="799" spans="1:2">
      <c r="A799" s="27">
        <v>44936</v>
      </c>
      <c r="B799" s="25">
        <v>7.8861218275577127E-3</v>
      </c>
    </row>
    <row r="800" spans="1:2">
      <c r="A800" s="27">
        <v>44935</v>
      </c>
      <c r="B800" s="25">
        <v>5.3921960376031152E-3</v>
      </c>
    </row>
    <row r="801" spans="1:2">
      <c r="A801" s="27">
        <v>44932</v>
      </c>
      <c r="B801" s="25">
        <v>1.2187809979696449E-3</v>
      </c>
    </row>
    <row r="802" spans="1:2">
      <c r="A802" s="27">
        <v>44931</v>
      </c>
      <c r="B802" s="25">
        <v>8.9400490351336358E-3</v>
      </c>
    </row>
    <row r="803" spans="1:2">
      <c r="A803" s="27">
        <v>44930</v>
      </c>
      <c r="B803" s="25">
        <v>3.1071839568142133E-3</v>
      </c>
    </row>
    <row r="804" spans="1:2">
      <c r="A804" s="27">
        <v>44929</v>
      </c>
      <c r="B804" s="25">
        <v>4.9387024456052121E-3</v>
      </c>
    </row>
    <row r="805" spans="1:2">
      <c r="A805" s="27">
        <v>44928</v>
      </c>
      <c r="B805" s="25">
        <v>4.6033040946088857E-3</v>
      </c>
    </row>
    <row r="806" spans="1:2">
      <c r="A806" s="27">
        <v>44925</v>
      </c>
      <c r="B806" s="25">
        <v>1.0716693343934502E-2</v>
      </c>
    </row>
    <row r="807" spans="1:2">
      <c r="A807" s="27">
        <v>44924</v>
      </c>
      <c r="B807" s="25">
        <v>6.5286608153480412E-3</v>
      </c>
    </row>
    <row r="808" spans="1:2">
      <c r="A808" s="27">
        <v>44923</v>
      </c>
      <c r="B808" s="25">
        <v>3.9767392343231338E-3</v>
      </c>
    </row>
    <row r="809" spans="1:2">
      <c r="A809" s="27">
        <v>44922</v>
      </c>
      <c r="B809" s="25">
        <v>-3.8317897399587362E-3</v>
      </c>
    </row>
    <row r="810" spans="1:2">
      <c r="A810" s="27">
        <v>44921</v>
      </c>
      <c r="B810" s="25">
        <v>-1.5313371235145408E-2</v>
      </c>
    </row>
    <row r="811" spans="1:2">
      <c r="A811" s="27">
        <v>44918</v>
      </c>
      <c r="B811" s="25">
        <v>-3.5818704152556172E-3</v>
      </c>
    </row>
    <row r="812" spans="1:2">
      <c r="A812" s="27">
        <v>44917</v>
      </c>
      <c r="B812" s="25">
        <v>1.3427479278915471E-2</v>
      </c>
    </row>
    <row r="813" spans="1:2">
      <c r="A813" s="27">
        <v>44916</v>
      </c>
      <c r="B813" s="25">
        <v>-2.8173674896500348E-3</v>
      </c>
    </row>
    <row r="814" spans="1:2">
      <c r="A814" s="27">
        <v>44915</v>
      </c>
      <c r="B814" s="25">
        <v>3.7741846257689868E-3</v>
      </c>
    </row>
    <row r="815" spans="1:2">
      <c r="A815" s="27">
        <v>44914</v>
      </c>
      <c r="B815" s="25">
        <v>5.0688060303446191E-4</v>
      </c>
    </row>
    <row r="816" spans="1:2">
      <c r="A816" s="27">
        <v>44911</v>
      </c>
      <c r="B816" s="25">
        <v>-5.0421254838612312E-3</v>
      </c>
    </row>
    <row r="817" spans="1:2">
      <c r="A817" s="27">
        <v>44910</v>
      </c>
      <c r="B817" s="25">
        <v>2.1660612737578026E-2</v>
      </c>
    </row>
    <row r="818" spans="1:2">
      <c r="A818" s="27">
        <v>44909</v>
      </c>
      <c r="B818" s="25">
        <v>5.0837869451429924E-3</v>
      </c>
    </row>
    <row r="819" spans="1:2">
      <c r="A819" s="27">
        <v>44908</v>
      </c>
      <c r="B819" s="25">
        <v>7.7746117931847139E-3</v>
      </c>
    </row>
    <row r="820" spans="1:2">
      <c r="A820" s="27">
        <v>44907</v>
      </c>
      <c r="B820" s="25">
        <v>-1.5006038387004511E-5</v>
      </c>
    </row>
    <row r="821" spans="1:2">
      <c r="A821" s="27">
        <v>44904</v>
      </c>
      <c r="B821" s="25">
        <v>1.0937172774925093E-2</v>
      </c>
    </row>
    <row r="822" spans="1:2">
      <c r="A822" s="27">
        <v>44903</v>
      </c>
      <c r="B822" s="25">
        <v>-1.6522390894660108E-4</v>
      </c>
    </row>
    <row r="823" spans="1:2">
      <c r="A823" s="27">
        <v>44902</v>
      </c>
      <c r="B823" s="25">
        <v>1.6963722198761653E-3</v>
      </c>
    </row>
    <row r="824" spans="1:2">
      <c r="A824" s="27">
        <v>44901</v>
      </c>
      <c r="B824" s="25">
        <v>-1.4637349326839104E-2</v>
      </c>
    </row>
    <row r="825" spans="1:2">
      <c r="A825" s="27">
        <v>44900</v>
      </c>
      <c r="B825" s="25">
        <v>3.4430598024348213E-4</v>
      </c>
    </row>
    <row r="826" spans="1:2">
      <c r="A826" s="27">
        <v>44897</v>
      </c>
      <c r="B826" s="25">
        <v>-5.1881791470417436E-3</v>
      </c>
    </row>
    <row r="827" spans="1:2">
      <c r="A827" s="27">
        <v>44896</v>
      </c>
      <c r="B827" s="25">
        <v>9.2633642896052283E-3</v>
      </c>
    </row>
    <row r="828" spans="1:2">
      <c r="A828" s="27">
        <v>44895</v>
      </c>
      <c r="B828" s="25">
        <v>1.9637873293009938E-4</v>
      </c>
    </row>
    <row r="829" spans="1:2">
      <c r="A829" s="27">
        <v>44894</v>
      </c>
      <c r="B829" s="25">
        <v>-1.1720553571213065E-2</v>
      </c>
    </row>
    <row r="830" spans="1:2">
      <c r="A830" s="27">
        <v>44893</v>
      </c>
      <c r="B830" s="25">
        <v>5.2987844854492277E-3</v>
      </c>
    </row>
    <row r="831" spans="1:2">
      <c r="A831" s="27">
        <v>44890</v>
      </c>
      <c r="B831" s="25">
        <v>-1.1612526433458108E-2</v>
      </c>
    </row>
    <row r="832" spans="1:2">
      <c r="A832" s="27">
        <v>44889</v>
      </c>
      <c r="B832" s="25">
        <v>1.5584409413043649E-3</v>
      </c>
    </row>
    <row r="833" spans="1:2">
      <c r="A833" s="27">
        <v>44888</v>
      </c>
      <c r="B833" s="25">
        <v>-3.7358920628330753E-3</v>
      </c>
    </row>
    <row r="834" spans="1:2">
      <c r="A834" s="27">
        <v>44887</v>
      </c>
      <c r="B834" s="25">
        <v>-1.105842193529989E-4</v>
      </c>
    </row>
    <row r="835" spans="1:2">
      <c r="A835" s="27">
        <v>44886</v>
      </c>
      <c r="B835" s="25">
        <v>-3.1621334526069781E-3</v>
      </c>
    </row>
    <row r="836" spans="1:2">
      <c r="A836" s="27">
        <v>44883</v>
      </c>
      <c r="B836" s="25">
        <v>-4.7580123815258878E-4</v>
      </c>
    </row>
    <row r="837" spans="1:2">
      <c r="A837" s="27">
        <v>44882</v>
      </c>
      <c r="B837" s="25">
        <v>-3.4764303025480981E-3</v>
      </c>
    </row>
    <row r="838" spans="1:2">
      <c r="A838" s="27">
        <v>44881</v>
      </c>
      <c r="B838" s="25">
        <v>2.149661806738598E-3</v>
      </c>
    </row>
    <row r="839" spans="1:2">
      <c r="A839" s="27">
        <v>44880</v>
      </c>
      <c r="B839" s="25">
        <v>-6.4481265541336977E-4</v>
      </c>
    </row>
    <row r="840" spans="1:2">
      <c r="A840" s="27">
        <v>44879</v>
      </c>
      <c r="B840" s="25">
        <v>-7.2513990388098862E-3</v>
      </c>
    </row>
    <row r="841" spans="1:2">
      <c r="A841" s="27">
        <v>44876</v>
      </c>
      <c r="B841" s="25">
        <v>-9.5152638124536184E-4</v>
      </c>
    </row>
    <row r="842" spans="1:2">
      <c r="A842" s="27">
        <v>44875</v>
      </c>
      <c r="B842" s="25">
        <v>-8.2006594254992269E-3</v>
      </c>
    </row>
    <row r="843" spans="1:2">
      <c r="A843" s="27">
        <v>44874</v>
      </c>
      <c r="B843" s="25">
        <v>1.0436371162435827E-2</v>
      </c>
    </row>
    <row r="844" spans="1:2">
      <c r="A844" s="27">
        <v>44872</v>
      </c>
      <c r="B844" s="25">
        <v>1.099841498132594E-2</v>
      </c>
    </row>
    <row r="845" spans="1:2">
      <c r="A845" s="27">
        <v>44869</v>
      </c>
      <c r="B845" s="25">
        <v>1.4686999193909301E-2</v>
      </c>
    </row>
    <row r="846" spans="1:2">
      <c r="A846" s="27">
        <v>44868</v>
      </c>
      <c r="B846" s="25">
        <v>-5.1570014846818333E-3</v>
      </c>
    </row>
    <row r="847" spans="1:2">
      <c r="A847" s="27">
        <v>44867</v>
      </c>
      <c r="B847" s="25">
        <v>-6.4727488067415047E-3</v>
      </c>
    </row>
    <row r="848" spans="1:2">
      <c r="A848" s="27">
        <v>44866</v>
      </c>
      <c r="B848" s="25">
        <v>8.3109799549928656E-3</v>
      </c>
    </row>
    <row r="849" spans="1:2">
      <c r="A849" s="27">
        <v>44865</v>
      </c>
      <c r="B849" s="25">
        <v>-1.5645567123041954E-2</v>
      </c>
    </row>
    <row r="850" spans="1:2">
      <c r="A850" s="27">
        <v>44862</v>
      </c>
      <c r="B850" s="25">
        <v>-1.694086188188686E-2</v>
      </c>
    </row>
    <row r="851" spans="1:2">
      <c r="A851" s="27">
        <v>44861</v>
      </c>
      <c r="B851" s="25">
        <v>-2.3784038741258449E-3</v>
      </c>
    </row>
    <row r="852" spans="1:2">
      <c r="A852" s="27">
        <v>44859</v>
      </c>
      <c r="B852" s="25">
        <v>1.2760755333064646E-2</v>
      </c>
    </row>
    <row r="853" spans="1:2">
      <c r="A853" s="27">
        <v>44858</v>
      </c>
      <c r="B853" s="25">
        <v>1.1054286230934145E-2</v>
      </c>
    </row>
    <row r="854" spans="1:2">
      <c r="A854" s="27">
        <v>44855</v>
      </c>
      <c r="B854" s="25">
        <v>-8.3475286520927599E-3</v>
      </c>
    </row>
    <row r="855" spans="1:2">
      <c r="A855" s="27">
        <v>44854</v>
      </c>
      <c r="B855" s="25">
        <v>2.1736903860096107E-2</v>
      </c>
    </row>
    <row r="856" spans="1:2">
      <c r="A856" s="27">
        <v>44853</v>
      </c>
      <c r="B856" s="25">
        <v>1.5185854183207306E-2</v>
      </c>
    </row>
    <row r="857" spans="1:2">
      <c r="A857" s="27">
        <v>44852</v>
      </c>
      <c r="B857" s="25">
        <v>4.0907777225467597E-3</v>
      </c>
    </row>
    <row r="858" spans="1:2">
      <c r="A858" s="27">
        <v>44851</v>
      </c>
      <c r="B858" s="25">
        <v>-8.300026264662563E-3</v>
      </c>
    </row>
    <row r="859" spans="1:2">
      <c r="A859" s="27">
        <v>44848</v>
      </c>
      <c r="B859" s="25">
        <v>-5.3959543718542571E-3</v>
      </c>
    </row>
    <row r="860" spans="1:2">
      <c r="A860" s="27">
        <v>44847</v>
      </c>
      <c r="B860" s="25">
        <v>6.6280046023336385E-3</v>
      </c>
    </row>
    <row r="861" spans="1:2">
      <c r="A861" s="27">
        <v>44846</v>
      </c>
      <c r="B861" s="25">
        <v>1.2822891498084257E-2</v>
      </c>
    </row>
    <row r="862" spans="1:2">
      <c r="A862" s="27">
        <v>44845</v>
      </c>
      <c r="B862" s="25">
        <v>9.6729171405737658E-3</v>
      </c>
    </row>
    <row r="863" spans="1:2">
      <c r="A863" s="27">
        <v>44844</v>
      </c>
      <c r="B863" s="25">
        <v>-2.3272722286674483E-3</v>
      </c>
    </row>
    <row r="864" spans="1:2">
      <c r="A864" s="27">
        <v>44841</v>
      </c>
      <c r="B864" s="25">
        <v>1.5048481783504774E-2</v>
      </c>
    </row>
    <row r="865" spans="1:2">
      <c r="A865" s="27">
        <v>44840</v>
      </c>
      <c r="B865" s="25">
        <v>-5.9273456241136935E-3</v>
      </c>
    </row>
    <row r="866" spans="1:2">
      <c r="A866" s="27">
        <v>44838</v>
      </c>
      <c r="B866" s="25">
        <v>1.9649506926600014E-3</v>
      </c>
    </row>
    <row r="867" spans="1:2">
      <c r="A867" s="27">
        <v>44837</v>
      </c>
      <c r="B867" s="25">
        <v>-8.9862407157692559E-3</v>
      </c>
    </row>
    <row r="868" spans="1:2">
      <c r="A868" s="27">
        <v>44834</v>
      </c>
      <c r="B868" s="25">
        <v>1.1146058671712268E-2</v>
      </c>
    </row>
    <row r="869" spans="1:2">
      <c r="A869" s="27">
        <v>44833</v>
      </c>
      <c r="B869" s="25">
        <v>9.8420190196070786E-3</v>
      </c>
    </row>
    <row r="870" spans="1:2">
      <c r="A870" s="27">
        <v>44832</v>
      </c>
      <c r="B870" s="25">
        <v>4.0016440289292639E-2</v>
      </c>
    </row>
    <row r="871" spans="1:2">
      <c r="A871" s="27">
        <v>44831</v>
      </c>
      <c r="B871" s="25">
        <v>-2.109863471024476E-2</v>
      </c>
    </row>
    <row r="872" spans="1:2">
      <c r="A872" s="27">
        <v>44830</v>
      </c>
      <c r="B872" s="25">
        <v>-8.8097049684401282E-3</v>
      </c>
    </row>
    <row r="873" spans="1:2">
      <c r="A873" s="27">
        <v>44827</v>
      </c>
      <c r="B873" s="25">
        <v>-6.1751541203474147E-3</v>
      </c>
    </row>
    <row r="874" spans="1:2">
      <c r="A874" s="27">
        <v>44826</v>
      </c>
      <c r="B874" s="25">
        <v>1.0300614894881483E-2</v>
      </c>
    </row>
    <row r="875" spans="1:2">
      <c r="A875" s="27">
        <v>44825</v>
      </c>
      <c r="B875" s="25">
        <v>-1.9820432608750948E-2</v>
      </c>
    </row>
    <row r="876" spans="1:2">
      <c r="A876" s="27">
        <v>44824</v>
      </c>
      <c r="B876" s="25">
        <v>1.0265060516212952E-2</v>
      </c>
    </row>
    <row r="877" spans="1:2">
      <c r="A877" s="27">
        <v>44823</v>
      </c>
      <c r="B877" s="25">
        <v>-1.7039566745303426E-2</v>
      </c>
    </row>
    <row r="878" spans="1:2">
      <c r="A878" s="27">
        <v>44820</v>
      </c>
      <c r="B878" s="25">
        <v>2.4501658681346148E-3</v>
      </c>
    </row>
    <row r="879" spans="1:2">
      <c r="A879" s="27">
        <v>44819</v>
      </c>
      <c r="B879" s="25">
        <v>2.2244752319806119E-2</v>
      </c>
    </row>
    <row r="880" spans="1:2">
      <c r="A880" s="27">
        <v>44818</v>
      </c>
      <c r="B880" s="25">
        <v>9.5141100504527714E-3</v>
      </c>
    </row>
    <row r="881" spans="1:2">
      <c r="A881" s="27">
        <v>44817</v>
      </c>
      <c r="B881" s="25">
        <v>-2.8973515491480493E-3</v>
      </c>
    </row>
    <row r="882" spans="1:2">
      <c r="A882" s="27">
        <v>44816</v>
      </c>
      <c r="B882" s="25">
        <v>1.0005607380263242E-3</v>
      </c>
    </row>
    <row r="883" spans="1:2">
      <c r="A883" s="27">
        <v>44813</v>
      </c>
      <c r="B883" s="25">
        <v>2.4314644001116868E-3</v>
      </c>
    </row>
    <row r="884" spans="1:2">
      <c r="A884" s="27">
        <v>44812</v>
      </c>
      <c r="B884" s="25">
        <v>2.4276264546385126E-3</v>
      </c>
    </row>
    <row r="885" spans="1:2">
      <c r="A885" s="27">
        <v>44811</v>
      </c>
      <c r="B885" s="25">
        <v>-1.4198709874804E-2</v>
      </c>
    </row>
    <row r="886" spans="1:2">
      <c r="A886" s="27">
        <v>44810</v>
      </c>
      <c r="B886" s="25">
        <v>-3.7899641365373468E-3</v>
      </c>
    </row>
    <row r="887" spans="1:2">
      <c r="A887" s="27">
        <v>44809</v>
      </c>
      <c r="B887" s="25">
        <v>6.7254202099182557E-3</v>
      </c>
    </row>
    <row r="888" spans="1:2">
      <c r="A888" s="27">
        <v>44806</v>
      </c>
      <c r="B888" s="25">
        <v>3.6742320667009268E-3</v>
      </c>
    </row>
    <row r="889" spans="1:2">
      <c r="A889" s="27">
        <v>44805</v>
      </c>
      <c r="B889" s="25">
        <v>5.8336479922694254E-3</v>
      </c>
    </row>
    <row r="890" spans="1:2">
      <c r="A890" s="27">
        <v>44803</v>
      </c>
      <c r="B890" s="25">
        <v>-1.1574085308734071E-2</v>
      </c>
    </row>
    <row r="891" spans="1:2">
      <c r="A891" s="27">
        <v>44802</v>
      </c>
      <c r="B891" s="25">
        <v>-1.5282426879178647E-2</v>
      </c>
    </row>
    <row r="892" spans="1:2">
      <c r="A892" s="27">
        <v>44799</v>
      </c>
      <c r="B892" s="25">
        <v>-4.1044174418780419E-3</v>
      </c>
    </row>
    <row r="893" spans="1:2">
      <c r="A893" s="27">
        <v>44798</v>
      </c>
      <c r="B893" s="25">
        <v>6.4982588821542167E-3</v>
      </c>
    </row>
    <row r="894" spans="1:2">
      <c r="A894" s="27">
        <v>44797</v>
      </c>
      <c r="B894" s="25">
        <v>5.1286102480548445E-3</v>
      </c>
    </row>
    <row r="895" spans="1:2">
      <c r="A895" s="27">
        <v>44796</v>
      </c>
      <c r="B895" s="25">
        <v>-4.0304804484955405E-3</v>
      </c>
    </row>
    <row r="896" spans="1:2">
      <c r="A896" s="27">
        <v>44795</v>
      </c>
      <c r="B896" s="25">
        <v>-9.7536576710064045E-4</v>
      </c>
    </row>
    <row r="897" spans="1:2">
      <c r="A897" s="27">
        <v>44792</v>
      </c>
      <c r="B897" s="25">
        <v>3.5125031880386522E-2</v>
      </c>
    </row>
    <row r="898" spans="1:2">
      <c r="A898" s="27">
        <v>44791</v>
      </c>
      <c r="B898" s="25">
        <v>1.4246929023463436E-2</v>
      </c>
    </row>
    <row r="899" spans="1:2">
      <c r="A899" s="27">
        <v>44790</v>
      </c>
      <c r="B899" s="25">
        <v>-2.7311782845559763E-3</v>
      </c>
    </row>
    <row r="900" spans="1:2">
      <c r="A900" s="27">
        <v>44789</v>
      </c>
      <c r="B900" s="25">
        <v>-1.1560230285656262E-2</v>
      </c>
    </row>
    <row r="901" spans="1:2">
      <c r="A901" s="27">
        <v>44785</v>
      </c>
      <c r="B901" s="25">
        <v>-1.6981960476833986E-2</v>
      </c>
    </row>
    <row r="902" spans="1:2">
      <c r="A902" s="27">
        <v>44784</v>
      </c>
      <c r="B902" s="25">
        <v>-3.1712889924422135E-3</v>
      </c>
    </row>
    <row r="903" spans="1:2">
      <c r="A903" s="27">
        <v>44783</v>
      </c>
      <c r="B903" s="25">
        <v>-1.6109933056752651E-3</v>
      </c>
    </row>
    <row r="904" spans="1:2">
      <c r="A904" s="27">
        <v>44781</v>
      </c>
      <c r="B904" s="25">
        <v>1.1488851018946755E-2</v>
      </c>
    </row>
    <row r="905" spans="1:2">
      <c r="A905" s="27">
        <v>44778</v>
      </c>
      <c r="B905" s="25">
        <v>3.1543974010574309E-3</v>
      </c>
    </row>
    <row r="906" spans="1:2">
      <c r="A906" s="27">
        <v>44777</v>
      </c>
      <c r="B906" s="25">
        <v>-4.6638626781988473E-3</v>
      </c>
    </row>
    <row r="907" spans="1:2">
      <c r="A907" s="27">
        <v>44776</v>
      </c>
      <c r="B907" s="25">
        <v>-5.5449512980781457E-3</v>
      </c>
    </row>
    <row r="908" spans="1:2">
      <c r="A908" s="27">
        <v>44775</v>
      </c>
      <c r="B908" s="25">
        <v>-9.5996083022701871E-3</v>
      </c>
    </row>
    <row r="909" spans="1:2">
      <c r="A909" s="27">
        <v>44774</v>
      </c>
      <c r="B909" s="25">
        <v>-3.1405891313211184E-2</v>
      </c>
    </row>
    <row r="910" spans="1:2">
      <c r="A910" s="27">
        <v>44771</v>
      </c>
      <c r="B910" s="25">
        <v>-3.144806555549007E-3</v>
      </c>
    </row>
    <row r="911" spans="1:2">
      <c r="A911" s="27">
        <v>44770</v>
      </c>
      <c r="B911" s="25">
        <v>-1.3892205388593462E-2</v>
      </c>
    </row>
    <row r="912" spans="1:2">
      <c r="A912" s="27">
        <v>44769</v>
      </c>
      <c r="B912" s="25">
        <v>-2.5673271244713965E-2</v>
      </c>
    </row>
    <row r="913" spans="1:2">
      <c r="A913" s="27">
        <v>44768</v>
      </c>
      <c r="B913" s="25">
        <v>-2.1491521391912728E-2</v>
      </c>
    </row>
    <row r="914" spans="1:2">
      <c r="A914" s="27">
        <v>44767</v>
      </c>
      <c r="B914" s="25">
        <v>2.1366531277911913E-3</v>
      </c>
    </row>
    <row r="915" spans="1:2">
      <c r="A915" s="27">
        <v>44764</v>
      </c>
      <c r="B915" s="25">
        <v>-1.0543957090334363E-2</v>
      </c>
    </row>
    <row r="916" spans="1:2">
      <c r="A916" s="27">
        <v>44763</v>
      </c>
      <c r="B916" s="25">
        <v>7.0038221482656782E-5</v>
      </c>
    </row>
    <row r="917" spans="1:2">
      <c r="A917" s="27">
        <v>44762</v>
      </c>
      <c r="B917" s="25">
        <v>-1.8194536234724563E-2</v>
      </c>
    </row>
    <row r="918" spans="1:2">
      <c r="A918" s="27">
        <v>44761</v>
      </c>
      <c r="B918" s="25">
        <v>2.725166803044229E-3</v>
      </c>
    </row>
    <row r="919" spans="1:2">
      <c r="A919" s="27">
        <v>44760</v>
      </c>
      <c r="B919" s="25">
        <v>-8.9206389496567428E-4</v>
      </c>
    </row>
    <row r="920" spans="1:2">
      <c r="A920" s="27">
        <v>44757</v>
      </c>
      <c r="B920" s="25">
        <v>-1.0986036174850338E-2</v>
      </c>
    </row>
    <row r="921" spans="1:2">
      <c r="A921" s="27">
        <v>44756</v>
      </c>
      <c r="B921" s="25">
        <v>-8.3848710903974208E-3</v>
      </c>
    </row>
    <row r="922" spans="1:2">
      <c r="A922" s="27">
        <v>44755</v>
      </c>
      <c r="B922" s="25">
        <v>1.8795109159014662E-3</v>
      </c>
    </row>
    <row r="923" spans="1:2">
      <c r="A923" s="27">
        <v>44754</v>
      </c>
      <c r="B923" s="25">
        <v>-1.3056363989600177E-2</v>
      </c>
    </row>
    <row r="924" spans="1:2">
      <c r="A924" s="27">
        <v>44753</v>
      </c>
      <c r="B924" s="25">
        <v>1.4309281434776069E-2</v>
      </c>
    </row>
    <row r="925" spans="1:2">
      <c r="A925" s="27">
        <v>44750</v>
      </c>
      <c r="B925" s="25">
        <v>-1.585556698405554E-2</v>
      </c>
    </row>
    <row r="926" spans="1:2">
      <c r="A926" s="27">
        <v>44749</v>
      </c>
      <c r="B926" s="25">
        <v>5.5818644319257866E-3</v>
      </c>
    </row>
    <row r="927" spans="1:2">
      <c r="A927" s="27">
        <v>44748</v>
      </c>
      <c r="B927" s="25">
        <v>-8.3863090496174072E-3</v>
      </c>
    </row>
    <row r="928" spans="1:2">
      <c r="A928" s="27">
        <v>44747</v>
      </c>
      <c r="B928" s="25">
        <v>-3.2919073848439159E-2</v>
      </c>
    </row>
    <row r="929" spans="1:2">
      <c r="A929" s="27">
        <v>44746</v>
      </c>
      <c r="B929" s="25">
        <v>8.7907443630518885E-3</v>
      </c>
    </row>
    <row r="930" spans="1:2">
      <c r="A930" s="27">
        <v>44743</v>
      </c>
      <c r="B930" s="25">
        <v>-5.133629220637633E-3</v>
      </c>
    </row>
    <row r="931" spans="1:2">
      <c r="A931" s="27">
        <v>44742</v>
      </c>
      <c r="B931" s="25">
        <v>-2.4312074425583245E-2</v>
      </c>
    </row>
    <row r="932" spans="1:2">
      <c r="A932" s="27">
        <v>44741</v>
      </c>
      <c r="B932" s="25">
        <v>-1.1117631802185599E-3</v>
      </c>
    </row>
    <row r="933" spans="1:2">
      <c r="A933" s="27">
        <v>44740</v>
      </c>
      <c r="B933" s="25">
        <v>1.1494065467834318E-2</v>
      </c>
    </row>
    <row r="934" spans="1:2">
      <c r="A934" s="27">
        <v>44739</v>
      </c>
      <c r="B934" s="25">
        <v>3.004697188726662E-2</v>
      </c>
    </row>
    <row r="935" spans="1:2">
      <c r="A935" s="27">
        <v>44736</v>
      </c>
      <c r="B935" s="25">
        <v>-1.7947577896842783E-2</v>
      </c>
    </row>
    <row r="936" spans="1:2">
      <c r="A936" s="27">
        <v>44735</v>
      </c>
      <c r="B936" s="25">
        <v>-1.2580677285695943E-3</v>
      </c>
    </row>
    <row r="937" spans="1:2">
      <c r="A937" s="27">
        <v>44734</v>
      </c>
      <c r="B937" s="25">
        <v>-2.8345144698015322E-2</v>
      </c>
    </row>
    <row r="938" spans="1:2">
      <c r="A938" s="27">
        <v>44733</v>
      </c>
      <c r="B938" s="25">
        <v>3.3517128499043168E-3</v>
      </c>
    </row>
    <row r="939" spans="1:2">
      <c r="A939" s="27">
        <v>44732</v>
      </c>
      <c r="B939" s="25">
        <v>-5.0453655202143477E-3</v>
      </c>
    </row>
    <row r="940" spans="1:2">
      <c r="A940" s="27">
        <v>44729</v>
      </c>
      <c r="B940" s="25">
        <v>-2.9530206308512358E-2</v>
      </c>
    </row>
    <row r="941" spans="1:2">
      <c r="A941" s="27">
        <v>44728</v>
      </c>
      <c r="B941" s="25">
        <v>2.6721396770925346E-2</v>
      </c>
    </row>
    <row r="942" spans="1:2">
      <c r="A942" s="27">
        <v>44727</v>
      </c>
      <c r="B942" s="25">
        <v>5.8555735211181618E-3</v>
      </c>
    </row>
    <row r="943" spans="1:2">
      <c r="A943" s="27">
        <v>44726</v>
      </c>
      <c r="B943" s="25">
        <v>-8.783607840629518E-3</v>
      </c>
    </row>
    <row r="944" spans="1:2">
      <c r="A944" s="27">
        <v>44725</v>
      </c>
      <c r="B944" s="25">
        <v>7.2433445423452994E-3</v>
      </c>
    </row>
    <row r="945" spans="1:2">
      <c r="A945" s="27">
        <v>44722</v>
      </c>
      <c r="B945" s="25">
        <v>1.7072164437336713E-2</v>
      </c>
    </row>
    <row r="946" spans="1:2">
      <c r="A946" s="27">
        <v>44721</v>
      </c>
      <c r="B946" s="25">
        <v>-5.9038907638144667E-3</v>
      </c>
    </row>
    <row r="947" spans="1:2">
      <c r="A947" s="27">
        <v>44720</v>
      </c>
      <c r="B947" s="25">
        <v>5.0434214880345947E-3</v>
      </c>
    </row>
    <row r="948" spans="1:2">
      <c r="A948" s="27">
        <v>44719</v>
      </c>
      <c r="B948" s="25">
        <v>1.100117717983023E-2</v>
      </c>
    </row>
    <row r="949" spans="1:2">
      <c r="A949" s="27">
        <v>44718</v>
      </c>
      <c r="B949" s="25">
        <v>2.233659619830802E-2</v>
      </c>
    </row>
    <row r="950" spans="1:2">
      <c r="A950" s="27">
        <v>44715</v>
      </c>
      <c r="B950" s="25">
        <v>2.3156716257846786E-2</v>
      </c>
    </row>
    <row r="951" spans="1:2">
      <c r="A951" s="27">
        <v>44714</v>
      </c>
      <c r="B951" s="25">
        <v>9.3224981681955376E-3</v>
      </c>
    </row>
    <row r="952" spans="1:2">
      <c r="A952" s="27">
        <v>44713</v>
      </c>
      <c r="B952" s="25">
        <v>-2.0400949014860888E-2</v>
      </c>
    </row>
    <row r="953" spans="1:2">
      <c r="A953" s="27">
        <v>44712</v>
      </c>
      <c r="B953" s="25">
        <v>5.8574340147144249E-3</v>
      </c>
    </row>
    <row r="954" spans="1:2">
      <c r="A954" s="27">
        <v>44711</v>
      </c>
      <c r="B954" s="25">
        <v>-8.2717265309454526E-3</v>
      </c>
    </row>
    <row r="955" spans="1:2">
      <c r="A955" s="27">
        <v>44708</v>
      </c>
      <c r="B955" s="25">
        <v>-1.1550712282022866E-2</v>
      </c>
    </row>
    <row r="956" spans="1:2">
      <c r="A956" s="27">
        <v>44707</v>
      </c>
      <c r="B956" s="25">
        <v>-1.6735562482330353E-3</v>
      </c>
    </row>
    <row r="957" spans="1:2">
      <c r="A957" s="27">
        <v>44706</v>
      </c>
      <c r="B957" s="25">
        <v>-5.3043187365461571E-4</v>
      </c>
    </row>
    <row r="958" spans="1:2">
      <c r="A958" s="27">
        <v>44705</v>
      </c>
      <c r="B958" s="25">
        <v>7.4863036022180876E-2</v>
      </c>
    </row>
    <row r="959" spans="1:2">
      <c r="A959" s="27">
        <v>44704</v>
      </c>
      <c r="B959" s="25">
        <v>2.4033655589991355E-2</v>
      </c>
    </row>
    <row r="960" spans="1:2">
      <c r="A960" s="27">
        <v>44701</v>
      </c>
      <c r="B960" s="25">
        <v>-1.4599270105388808E-2</v>
      </c>
    </row>
    <row r="961" spans="1:2">
      <c r="A961" s="27">
        <v>44700</v>
      </c>
      <c r="B961" s="25">
        <v>-1.6258247587496853E-2</v>
      </c>
    </row>
    <row r="962" spans="1:2">
      <c r="A962" s="27">
        <v>44699</v>
      </c>
      <c r="B962" s="25">
        <v>1.6370200303019018E-2</v>
      </c>
    </row>
    <row r="963" spans="1:2">
      <c r="A963" s="27">
        <v>44698</v>
      </c>
      <c r="B963" s="25">
        <v>-1.1488611890967414E-2</v>
      </c>
    </row>
    <row r="964" spans="1:2">
      <c r="A964" s="27">
        <v>44697</v>
      </c>
      <c r="B964" s="25">
        <v>-1.4512804056667248E-2</v>
      </c>
    </row>
    <row r="965" spans="1:2">
      <c r="A965" s="27">
        <v>44694</v>
      </c>
      <c r="B965" s="25">
        <v>1.9894905500446508E-2</v>
      </c>
    </row>
    <row r="966" spans="1:2">
      <c r="A966" s="27">
        <v>44693</v>
      </c>
      <c r="B966" s="25">
        <v>-5.4200133859797547E-3</v>
      </c>
    </row>
    <row r="967" spans="1:2">
      <c r="A967" s="27">
        <v>44692</v>
      </c>
      <c r="B967" s="25">
        <v>6.843704630270982E-3</v>
      </c>
    </row>
    <row r="968" spans="1:2">
      <c r="A968" s="27">
        <v>44691</v>
      </c>
      <c r="B968" s="25">
        <v>1.4937371500519004E-2</v>
      </c>
    </row>
    <row r="969" spans="1:2">
      <c r="A969" s="27">
        <v>44690</v>
      </c>
      <c r="B969" s="25">
        <v>-2.0797096471070878E-2</v>
      </c>
    </row>
    <row r="970" spans="1:2">
      <c r="A970" s="27">
        <v>44687</v>
      </c>
      <c r="B970" s="25">
        <v>5.0190616918545554E-3</v>
      </c>
    </row>
    <row r="971" spans="1:2">
      <c r="A971" s="27">
        <v>44686</v>
      </c>
      <c r="B971" s="25">
        <v>1.9979148843401111E-2</v>
      </c>
    </row>
    <row r="972" spans="1:2">
      <c r="A972" s="27">
        <v>44685</v>
      </c>
      <c r="B972" s="25">
        <v>6.1646188046072126E-3</v>
      </c>
    </row>
    <row r="973" spans="1:2">
      <c r="A973" s="27">
        <v>44683</v>
      </c>
      <c r="B973" s="25">
        <v>3.0560122446097886E-2</v>
      </c>
    </row>
    <row r="974" spans="1:2">
      <c r="A974" s="27">
        <v>44680</v>
      </c>
      <c r="B974" s="25">
        <v>1.0313243064522248E-2</v>
      </c>
    </row>
    <row r="975" spans="1:2">
      <c r="A975" s="27">
        <v>44679</v>
      </c>
      <c r="B975" s="25">
        <v>5.2873983891264433E-3</v>
      </c>
    </row>
    <row r="976" spans="1:2">
      <c r="A976" s="27">
        <v>44678</v>
      </c>
      <c r="B976" s="25">
        <v>-2.434526123200036E-2</v>
      </c>
    </row>
    <row r="977" spans="1:2">
      <c r="A977" s="27">
        <v>44677</v>
      </c>
      <c r="B977" s="25">
        <v>-4.4600714524751627E-3</v>
      </c>
    </row>
    <row r="978" spans="1:2">
      <c r="A978" s="27">
        <v>44676</v>
      </c>
      <c r="B978" s="25">
        <v>-6.7068642453581794E-4</v>
      </c>
    </row>
    <row r="979" spans="1:2">
      <c r="A979" s="27">
        <v>44673</v>
      </c>
      <c r="B979" s="25">
        <v>8.7021567489277852E-3</v>
      </c>
    </row>
    <row r="980" spans="1:2">
      <c r="A980" s="27">
        <v>44672</v>
      </c>
      <c r="B980" s="25">
        <v>-9.7315366401096951E-4</v>
      </c>
    </row>
    <row r="981" spans="1:2">
      <c r="A981" s="27">
        <v>44671</v>
      </c>
      <c r="B981" s="25">
        <v>-1.8832293469713553E-2</v>
      </c>
    </row>
    <row r="982" spans="1:2">
      <c r="A982" s="27">
        <v>44670</v>
      </c>
      <c r="B982" s="25">
        <v>-2.3898524361520679E-2</v>
      </c>
    </row>
    <row r="983" spans="1:2">
      <c r="A983" s="27">
        <v>44669</v>
      </c>
      <c r="B983" s="25">
        <v>1.1301999530142425E-2</v>
      </c>
    </row>
    <row r="984" spans="1:2">
      <c r="A984" s="27">
        <v>44664</v>
      </c>
      <c r="B984" s="25">
        <v>1.4577344838146331E-2</v>
      </c>
    </row>
    <row r="985" spans="1:2">
      <c r="A985" s="27">
        <v>44663</v>
      </c>
      <c r="B985" s="25">
        <v>1.1559823710973879E-2</v>
      </c>
    </row>
    <row r="986" spans="1:2">
      <c r="A986" s="27">
        <v>44662</v>
      </c>
      <c r="B986" s="25">
        <v>8.6320282121986943E-3</v>
      </c>
    </row>
    <row r="987" spans="1:2">
      <c r="A987" s="27">
        <v>44659</v>
      </c>
      <c r="B987" s="25">
        <v>1.1586353686006278E-2</v>
      </c>
    </row>
    <row r="988" spans="1:2">
      <c r="A988" s="27">
        <v>44658</v>
      </c>
      <c r="B988" s="25">
        <v>-1.5255872395766482E-2</v>
      </c>
    </row>
    <row r="989" spans="1:2">
      <c r="A989" s="27">
        <v>44657</v>
      </c>
      <c r="B989" s="25">
        <v>6.8024970065707377E-4</v>
      </c>
    </row>
    <row r="990" spans="1:2">
      <c r="A990" s="27">
        <v>44656</v>
      </c>
      <c r="B990" s="25">
        <v>-2.8960639613323353E-3</v>
      </c>
    </row>
    <row r="991" spans="1:2">
      <c r="A991" s="27">
        <v>44655</v>
      </c>
      <c r="B991" s="25">
        <v>-6.0926820763502476E-3</v>
      </c>
    </row>
    <row r="992" spans="1:2">
      <c r="A992" s="27">
        <v>44652</v>
      </c>
      <c r="B992" s="25">
        <v>-2.7901489282471065E-3</v>
      </c>
    </row>
    <row r="993" spans="1:2">
      <c r="A993" s="27">
        <v>44651</v>
      </c>
      <c r="B993" s="25">
        <v>-1.1828878033964723E-2</v>
      </c>
    </row>
    <row r="994" spans="1:2">
      <c r="A994" s="27">
        <v>44650</v>
      </c>
      <c r="B994" s="25">
        <v>-2.7570456047362299E-3</v>
      </c>
    </row>
    <row r="995" spans="1:2">
      <c r="A995" s="27">
        <v>44649</v>
      </c>
      <c r="B995" s="25">
        <v>-1.232487494354321E-2</v>
      </c>
    </row>
    <row r="996" spans="1:2">
      <c r="A996" s="27">
        <v>44648</v>
      </c>
      <c r="B996" s="25">
        <v>-5.2114858477591511E-3</v>
      </c>
    </row>
    <row r="997" spans="1:2">
      <c r="A997" s="27">
        <v>44645</v>
      </c>
      <c r="B997" s="25">
        <v>8.8148225139324174E-3</v>
      </c>
    </row>
    <row r="998" spans="1:2">
      <c r="A998" s="27">
        <v>44644</v>
      </c>
      <c r="B998" s="25">
        <v>-6.2918143026052548E-3</v>
      </c>
    </row>
    <row r="999" spans="1:2">
      <c r="A999" s="27">
        <v>44643</v>
      </c>
      <c r="B999" s="25">
        <v>-1.4405456439553512E-3</v>
      </c>
    </row>
    <row r="1000" spans="1:2">
      <c r="A1000" s="27">
        <v>44642</v>
      </c>
      <c r="B1000" s="25">
        <v>1.1806570323380002E-2</v>
      </c>
    </row>
    <row r="1001" spans="1:2">
      <c r="A1001" s="27">
        <v>44641</v>
      </c>
      <c r="B1001" s="25">
        <v>-5.4401414260752898E-4</v>
      </c>
    </row>
    <row r="1002" spans="1:2">
      <c r="A1002" s="27">
        <v>44637</v>
      </c>
      <c r="B1002" s="25">
        <v>2.7302740698602609E-2</v>
      </c>
    </row>
    <row r="1003" spans="1:2">
      <c r="A1003" s="27">
        <v>44636</v>
      </c>
      <c r="B1003" s="25">
        <v>-2.7163114907834941E-2</v>
      </c>
    </row>
    <row r="1004" spans="1:2">
      <c r="A1004" s="27">
        <v>44635</v>
      </c>
      <c r="B1004" s="25">
        <v>-1.5491907248083919E-2</v>
      </c>
    </row>
    <row r="1005" spans="1:2">
      <c r="A1005" s="27">
        <v>44634</v>
      </c>
      <c r="B1005" s="25">
        <v>-1.1048329926922939E-2</v>
      </c>
    </row>
    <row r="1006" spans="1:2">
      <c r="A1006" s="27">
        <v>44631</v>
      </c>
      <c r="B1006" s="25">
        <v>-6.3582272834888064E-3</v>
      </c>
    </row>
    <row r="1007" spans="1:2">
      <c r="A1007" s="27">
        <v>44630</v>
      </c>
      <c r="B1007" s="25">
        <v>-5.6311169905334463E-3</v>
      </c>
    </row>
    <row r="1008" spans="1:2">
      <c r="A1008" s="27">
        <v>44629</v>
      </c>
      <c r="B1008" s="25">
        <v>-1.7875444577515463E-2</v>
      </c>
    </row>
    <row r="1009" spans="1:2">
      <c r="A1009" s="27">
        <v>44628</v>
      </c>
      <c r="B1009" s="25">
        <v>-4.6673956668163395E-2</v>
      </c>
    </row>
    <row r="1010" spans="1:2">
      <c r="A1010" s="27">
        <v>44627</v>
      </c>
      <c r="B1010" s="25">
        <v>-6.7477664133611705E-3</v>
      </c>
    </row>
    <row r="1011" spans="1:2">
      <c r="A1011" s="27">
        <v>44624</v>
      </c>
      <c r="B1011" s="25">
        <v>1.7285672944814309E-2</v>
      </c>
    </row>
    <row r="1012" spans="1:2">
      <c r="A1012" s="27">
        <v>44623</v>
      </c>
      <c r="B1012" s="25">
        <v>3.8576310751737238E-2</v>
      </c>
    </row>
    <row r="1013" spans="1:2">
      <c r="A1013" s="27">
        <v>44622</v>
      </c>
      <c r="B1013" s="25">
        <v>4.0166800546241735E-2</v>
      </c>
    </row>
    <row r="1014" spans="1:2">
      <c r="A1014" s="27">
        <v>44620</v>
      </c>
      <c r="B1014" s="25">
        <v>4.0056285362114558E-2</v>
      </c>
    </row>
    <row r="1015" spans="1:2">
      <c r="A1015" s="27">
        <v>44617</v>
      </c>
      <c r="B1015" s="25">
        <v>-1.5229450296243128E-2</v>
      </c>
    </row>
    <row r="1016" spans="1:2">
      <c r="A1016" s="27">
        <v>44616</v>
      </c>
      <c r="B1016" s="25">
        <v>-1.3421540331429917E-2</v>
      </c>
    </row>
    <row r="1017" spans="1:2">
      <c r="A1017" s="27">
        <v>44615</v>
      </c>
      <c r="B1017" s="25">
        <v>5.3692765796669963E-2</v>
      </c>
    </row>
    <row r="1018" spans="1:2">
      <c r="A1018" s="27">
        <v>44614</v>
      </c>
      <c r="B1018" s="25">
        <v>-1.2613265377543934E-3</v>
      </c>
    </row>
    <row r="1019" spans="1:2">
      <c r="A1019" s="27">
        <v>44613</v>
      </c>
      <c r="B1019" s="25">
        <v>7.0944756736866631E-3</v>
      </c>
    </row>
    <row r="1020" spans="1:2">
      <c r="A1020" s="27">
        <v>44610</v>
      </c>
      <c r="B1020" s="25">
        <v>4.7489210371665881E-3</v>
      </c>
    </row>
    <row r="1021" spans="1:2">
      <c r="A1021" s="27">
        <v>44609</v>
      </c>
      <c r="B1021" s="25">
        <v>-6.1880770064879406E-4</v>
      </c>
    </row>
    <row r="1022" spans="1:2">
      <c r="A1022" s="27">
        <v>44608</v>
      </c>
      <c r="B1022" s="25">
        <v>-3.1061365921332415E-3</v>
      </c>
    </row>
    <row r="1023" spans="1:2">
      <c r="A1023" s="27">
        <v>44607</v>
      </c>
      <c r="B1023" s="25">
        <v>2.1666278072160544E-3</v>
      </c>
    </row>
    <row r="1024" spans="1:2">
      <c r="A1024" s="27">
        <v>44606</v>
      </c>
      <c r="B1024" s="25">
        <v>-3.365456999926468E-2</v>
      </c>
    </row>
    <row r="1025" spans="1:2">
      <c r="A1025" s="27">
        <v>44603</v>
      </c>
      <c r="B1025" s="25">
        <v>2.1799640545030523E-2</v>
      </c>
    </row>
    <row r="1026" spans="1:2">
      <c r="A1026" s="27">
        <v>44602</v>
      </c>
      <c r="B1026" s="25">
        <v>8.4720983163243946E-3</v>
      </c>
    </row>
    <row r="1027" spans="1:2">
      <c r="A1027" s="27">
        <v>44601</v>
      </c>
      <c r="B1027" s="25">
        <v>-3.1204097048708273E-3</v>
      </c>
    </row>
    <row r="1028" spans="1:2">
      <c r="A1028" s="27">
        <v>44600</v>
      </c>
      <c r="B1028" s="25">
        <v>-2.4492756957357228E-3</v>
      </c>
    </row>
    <row r="1029" spans="1:2">
      <c r="A1029" s="27">
        <v>44599</v>
      </c>
      <c r="B1029" s="25">
        <v>-6.7303183423346276E-3</v>
      </c>
    </row>
    <row r="1030" spans="1:2">
      <c r="A1030" s="27">
        <v>44596</v>
      </c>
      <c r="B1030" s="25">
        <v>1.7515380183831319E-2</v>
      </c>
    </row>
    <row r="1031" spans="1:2">
      <c r="A1031" s="27">
        <v>44595</v>
      </c>
      <c r="B1031" s="25">
        <v>-5.4107413023452046E-3</v>
      </c>
    </row>
    <row r="1032" spans="1:2">
      <c r="A1032" s="27">
        <v>44594</v>
      </c>
      <c r="B1032" s="25">
        <v>1.0365990684982301E-3</v>
      </c>
    </row>
    <row r="1033" spans="1:2">
      <c r="A1033" s="27">
        <v>44593</v>
      </c>
      <c r="B1033" s="25">
        <v>-2.9077871938347566E-3</v>
      </c>
    </row>
    <row r="1034" spans="1:2">
      <c r="A1034" s="27">
        <v>44592</v>
      </c>
      <c r="B1034" s="25">
        <v>-1.1138610969650343E-2</v>
      </c>
    </row>
    <row r="1035" spans="1:2">
      <c r="A1035" s="27">
        <v>44589</v>
      </c>
      <c r="B1035" s="25">
        <v>-8.4126330409159383E-3</v>
      </c>
    </row>
    <row r="1036" spans="1:2">
      <c r="A1036" s="27">
        <v>44588</v>
      </c>
      <c r="B1036" s="25">
        <v>-1.537289787940196E-3</v>
      </c>
    </row>
    <row r="1037" spans="1:2">
      <c r="A1037" s="27">
        <v>44586</v>
      </c>
      <c r="B1037" s="25">
        <v>1.0824403881376394E-2</v>
      </c>
    </row>
    <row r="1038" spans="1:2">
      <c r="A1038" s="27">
        <v>44585</v>
      </c>
      <c r="B1038" s="25">
        <v>-2.2838918060492513E-3</v>
      </c>
    </row>
    <row r="1039" spans="1:2">
      <c r="A1039" s="27">
        <v>44582</v>
      </c>
      <c r="B1039" s="25">
        <v>3.5992874170601104E-2</v>
      </c>
    </row>
    <row r="1040" spans="1:2">
      <c r="A1040" s="27">
        <v>44581</v>
      </c>
      <c r="B1040" s="25">
        <v>8.4287070865902199E-3</v>
      </c>
    </row>
    <row r="1041" spans="1:2">
      <c r="A1041" s="27">
        <v>44580</v>
      </c>
      <c r="B1041" s="25">
        <v>-4.9302506213603301E-3</v>
      </c>
    </row>
    <row r="1042" spans="1:2">
      <c r="A1042" s="27">
        <v>44579</v>
      </c>
      <c r="B1042" s="25">
        <v>2.3810560128224731E-2</v>
      </c>
    </row>
    <row r="1043" spans="1:2">
      <c r="A1043" s="27">
        <v>44578</v>
      </c>
      <c r="B1043" s="25">
        <v>4.9486924941439664E-3</v>
      </c>
    </row>
    <row r="1044" spans="1:2">
      <c r="A1044" s="27">
        <v>44575</v>
      </c>
      <c r="B1044" s="25">
        <v>-3.3178867404907923E-3</v>
      </c>
    </row>
    <row r="1045" spans="1:2">
      <c r="A1045" s="27">
        <v>44574</v>
      </c>
      <c r="B1045" s="25">
        <v>2.1002562702975038E-2</v>
      </c>
    </row>
    <row r="1046" spans="1:2">
      <c r="A1046" s="27">
        <v>44573</v>
      </c>
      <c r="B1046" s="25">
        <v>1.8866086523902956E-2</v>
      </c>
    </row>
    <row r="1047" spans="1:2">
      <c r="A1047" s="27">
        <v>44572</v>
      </c>
      <c r="B1047" s="25">
        <v>-2.6333769018896192E-3</v>
      </c>
    </row>
    <row r="1048" spans="1:2">
      <c r="A1048" s="27">
        <v>44571</v>
      </c>
      <c r="B1048" s="25">
        <v>2.3151535776452323E-3</v>
      </c>
    </row>
    <row r="1049" spans="1:2">
      <c r="A1049" s="27">
        <v>44568</v>
      </c>
      <c r="B1049" s="25">
        <v>6.5324772823849905E-3</v>
      </c>
    </row>
    <row r="1050" spans="1:2">
      <c r="A1050" s="27">
        <v>44567</v>
      </c>
      <c r="B1050" s="25">
        <v>-1.4886720101061438E-2</v>
      </c>
    </row>
    <row r="1051" spans="1:2">
      <c r="A1051" s="27">
        <v>44566</v>
      </c>
      <c r="B1051" s="25">
        <v>5.3844167532542423E-3</v>
      </c>
    </row>
    <row r="1052" spans="1:2">
      <c r="A1052" s="27">
        <v>44565</v>
      </c>
      <c r="B1052" s="25">
        <v>-1.518002045368024E-2</v>
      </c>
    </row>
    <row r="1053" spans="1:2">
      <c r="A1053" s="27">
        <v>44564</v>
      </c>
      <c r="B1053" s="25">
        <v>-8.685377023657688E-3</v>
      </c>
    </row>
    <row r="1054" spans="1:2">
      <c r="A1054" s="27">
        <v>44561</v>
      </c>
      <c r="B1054" s="25">
        <v>-9.1848204458997232E-3</v>
      </c>
    </row>
    <row r="1055" spans="1:2">
      <c r="A1055" s="27">
        <v>44560</v>
      </c>
      <c r="B1055" s="25">
        <v>-9.2903946789450811E-3</v>
      </c>
    </row>
    <row r="1056" spans="1:2">
      <c r="A1056" s="27">
        <v>44559</v>
      </c>
      <c r="B1056" s="25">
        <v>-2.3351647922124864E-3</v>
      </c>
    </row>
    <row r="1057" spans="1:2">
      <c r="A1057" s="27">
        <v>44558</v>
      </c>
      <c r="B1057" s="25">
        <v>-5.8931881515143488E-4</v>
      </c>
    </row>
    <row r="1058" spans="1:2">
      <c r="A1058" s="27">
        <v>44557</v>
      </c>
      <c r="B1058" s="25">
        <v>-2.2015331871903899E-2</v>
      </c>
    </row>
    <row r="1059" spans="1:2">
      <c r="A1059" s="27">
        <v>44554</v>
      </c>
      <c r="B1059" s="25">
        <v>1.5110773981155999E-3</v>
      </c>
    </row>
    <row r="1060" spans="1:2">
      <c r="A1060" s="27">
        <v>44553</v>
      </c>
      <c r="B1060" s="25">
        <v>6.2205639814389118E-4</v>
      </c>
    </row>
    <row r="1061" spans="1:2">
      <c r="A1061" s="27">
        <v>44552</v>
      </c>
      <c r="B1061" s="25">
        <v>1.5509313153532405E-3</v>
      </c>
    </row>
    <row r="1062" spans="1:2">
      <c r="A1062" s="27">
        <v>44551</v>
      </c>
      <c r="B1062" s="25">
        <v>-3.1480051889908717E-3</v>
      </c>
    </row>
    <row r="1063" spans="1:2">
      <c r="A1063" s="27">
        <v>44550</v>
      </c>
      <c r="B1063" s="25">
        <v>-8.2767350501340778E-3</v>
      </c>
    </row>
    <row r="1064" spans="1:2">
      <c r="A1064" s="27">
        <v>44547</v>
      </c>
      <c r="B1064" s="25">
        <v>5.4988338486464941E-3</v>
      </c>
    </row>
    <row r="1065" spans="1:2">
      <c r="A1065" s="27">
        <v>44546</v>
      </c>
      <c r="B1065" s="25">
        <v>1.461528958502138E-2</v>
      </c>
    </row>
    <row r="1066" spans="1:2">
      <c r="A1066" s="27">
        <v>44545</v>
      </c>
      <c r="B1066" s="25">
        <v>1.6610951971082234E-3</v>
      </c>
    </row>
    <row r="1067" spans="1:2">
      <c r="A1067" s="27">
        <v>44544</v>
      </c>
      <c r="B1067" s="25">
        <v>-1.782743141963829E-3</v>
      </c>
    </row>
    <row r="1068" spans="1:2">
      <c r="A1068" s="27">
        <v>44543</v>
      </c>
      <c r="B1068" s="25">
        <v>-3.1402443871746807E-3</v>
      </c>
    </row>
    <row r="1069" spans="1:2">
      <c r="A1069" s="27">
        <v>44540</v>
      </c>
      <c r="B1069" s="25">
        <v>2.6907328414430528E-3</v>
      </c>
    </row>
    <row r="1070" spans="1:2">
      <c r="A1070" s="27">
        <v>44539</v>
      </c>
      <c r="B1070" s="25">
        <v>-2.7331582901642476E-2</v>
      </c>
    </row>
    <row r="1071" spans="1:2">
      <c r="A1071" s="27">
        <v>44538</v>
      </c>
      <c r="B1071" s="25">
        <v>-1.5651380966858759E-2</v>
      </c>
    </row>
    <row r="1072" spans="1:2">
      <c r="A1072" s="27">
        <v>44537</v>
      </c>
      <c r="B1072" s="25">
        <v>-2.0881743776070234E-2</v>
      </c>
    </row>
    <row r="1073" spans="1:2">
      <c r="A1073" s="27">
        <v>44536</v>
      </c>
      <c r="B1073" s="25">
        <v>-5.1490832240455109E-5</v>
      </c>
    </row>
    <row r="1074" spans="1:2">
      <c r="A1074" s="27">
        <v>44533</v>
      </c>
      <c r="B1074" s="25">
        <v>1.8307982804629676E-2</v>
      </c>
    </row>
    <row r="1075" spans="1:2">
      <c r="A1075" s="27">
        <v>44532</v>
      </c>
      <c r="B1075" s="25">
        <v>2.02729914800205E-2</v>
      </c>
    </row>
    <row r="1076" spans="1:2">
      <c r="A1076" s="27">
        <v>44531</v>
      </c>
      <c r="B1076" s="25">
        <v>-1.0147885436693319E-2</v>
      </c>
    </row>
    <row r="1077" spans="1:2">
      <c r="A1077" s="27">
        <v>44530</v>
      </c>
      <c r="B1077" s="25">
        <v>1.6193289728452123E-3</v>
      </c>
    </row>
    <row r="1078" spans="1:2">
      <c r="A1078" s="27">
        <v>44529</v>
      </c>
      <c r="B1078" s="25">
        <v>-6.2721318928709363E-3</v>
      </c>
    </row>
    <row r="1079" spans="1:2">
      <c r="A1079" s="27">
        <v>44526</v>
      </c>
      <c r="B1079" s="25">
        <v>7.6530090281918678E-3</v>
      </c>
    </row>
    <row r="1080" spans="1:2">
      <c r="A1080" s="27">
        <v>44525</v>
      </c>
      <c r="B1080" s="25">
        <v>2.5406373916081076E-3</v>
      </c>
    </row>
    <row r="1081" spans="1:2">
      <c r="A1081" s="27">
        <v>44524</v>
      </c>
      <c r="B1081" s="25">
        <v>4.295574355045525E-3</v>
      </c>
    </row>
    <row r="1082" spans="1:2">
      <c r="A1082" s="27">
        <v>44523</v>
      </c>
      <c r="B1082" s="25">
        <v>7.2722426144579463E-3</v>
      </c>
    </row>
    <row r="1083" spans="1:2">
      <c r="A1083" s="27">
        <v>44522</v>
      </c>
      <c r="B1083" s="25">
        <v>1.9389929021439632E-2</v>
      </c>
    </row>
    <row r="1084" spans="1:2">
      <c r="A1084" s="27">
        <v>44518</v>
      </c>
      <c r="B1084" s="25">
        <v>-5.5534892754817754E-3</v>
      </c>
    </row>
    <row r="1085" spans="1:2">
      <c r="A1085" s="27">
        <v>44517</v>
      </c>
      <c r="B1085" s="25">
        <v>3.6170520902592696E-3</v>
      </c>
    </row>
    <row r="1086" spans="1:2">
      <c r="A1086" s="27">
        <v>44516</v>
      </c>
      <c r="B1086" s="25">
        <v>-1.8897915013679677E-2</v>
      </c>
    </row>
    <row r="1087" spans="1:2">
      <c r="A1087" s="27">
        <v>44515</v>
      </c>
      <c r="B1087" s="25">
        <v>4.0708075165093007E-3</v>
      </c>
    </row>
    <row r="1088" spans="1:2">
      <c r="A1088" s="27">
        <v>44512</v>
      </c>
      <c r="B1088" s="25">
        <v>-1.3168648660171596E-2</v>
      </c>
    </row>
    <row r="1089" spans="1:2">
      <c r="A1089" s="27">
        <v>44511</v>
      </c>
      <c r="B1089" s="25">
        <v>-1.7976287667806467E-2</v>
      </c>
    </row>
    <row r="1090" spans="1:2">
      <c r="A1090" s="27">
        <v>44510</v>
      </c>
      <c r="B1090" s="25">
        <v>1.0828535113283858E-2</v>
      </c>
    </row>
    <row r="1091" spans="1:2">
      <c r="A1091" s="27">
        <v>44509</v>
      </c>
      <c r="B1091" s="25">
        <v>8.7348594666510296E-3</v>
      </c>
    </row>
    <row r="1092" spans="1:2">
      <c r="A1092" s="27">
        <v>44508</v>
      </c>
      <c r="B1092" s="25">
        <v>-7.2650116625601804E-3</v>
      </c>
    </row>
    <row r="1093" spans="1:2">
      <c r="A1093" s="27">
        <v>44504</v>
      </c>
      <c r="B1093" s="25">
        <v>5.1725663764157059E-3</v>
      </c>
    </row>
    <row r="1094" spans="1:2">
      <c r="A1094" s="27">
        <v>44503</v>
      </c>
      <c r="B1094" s="25">
        <v>6.3025925130943646E-4</v>
      </c>
    </row>
    <row r="1095" spans="1:2">
      <c r="A1095" s="27">
        <v>44502</v>
      </c>
      <c r="B1095" s="25">
        <v>-1.601846312603222E-2</v>
      </c>
    </row>
    <row r="1096" spans="1:2">
      <c r="A1096" s="27">
        <v>44501</v>
      </c>
      <c r="B1096" s="25">
        <v>1.3764304327804292E-3</v>
      </c>
    </row>
    <row r="1097" spans="1:2">
      <c r="A1097" s="27">
        <v>44498</v>
      </c>
      <c r="B1097" s="25">
        <v>-7.980597720671747E-3</v>
      </c>
    </row>
    <row r="1098" spans="1:2">
      <c r="A1098" s="27">
        <v>44497</v>
      </c>
      <c r="B1098" s="25">
        <v>4.0721851699590094E-3</v>
      </c>
    </row>
    <row r="1099" spans="1:2">
      <c r="A1099" s="27">
        <v>44496</v>
      </c>
      <c r="B1099" s="25">
        <v>-4.2352649036294203E-3</v>
      </c>
    </row>
    <row r="1100" spans="1:2">
      <c r="A1100" s="27">
        <v>44495</v>
      </c>
      <c r="B1100" s="25">
        <v>-2.9981726145728985E-2</v>
      </c>
    </row>
    <row r="1101" spans="1:2">
      <c r="A1101" s="27">
        <v>44494</v>
      </c>
      <c r="B1101" s="25">
        <v>-1.81759775680254E-2</v>
      </c>
    </row>
    <row r="1102" spans="1:2">
      <c r="A1102" s="27">
        <v>44491</v>
      </c>
      <c r="B1102" s="25">
        <v>2.2254235930900118E-2</v>
      </c>
    </row>
    <row r="1103" spans="1:2">
      <c r="A1103" s="27">
        <v>44490</v>
      </c>
      <c r="B1103" s="25">
        <v>8.9249255930383183E-3</v>
      </c>
    </row>
    <row r="1104" spans="1:2">
      <c r="A1104" s="27">
        <v>44489</v>
      </c>
      <c r="B1104" s="25">
        <v>5.192991004559281E-2</v>
      </c>
    </row>
    <row r="1105" spans="1:2">
      <c r="A1105" s="27">
        <v>44488</v>
      </c>
      <c r="B1105" s="25">
        <v>8.2556332931921911E-3</v>
      </c>
    </row>
    <row r="1106" spans="1:2">
      <c r="A1106" s="27">
        <v>44487</v>
      </c>
      <c r="B1106" s="25">
        <v>1.8166231321974226E-2</v>
      </c>
    </row>
    <row r="1107" spans="1:2">
      <c r="A1107" s="27">
        <v>44483</v>
      </c>
      <c r="B1107" s="25">
        <v>1.3399732268327004E-2</v>
      </c>
    </row>
    <row r="1108" spans="1:2">
      <c r="A1108" s="27">
        <v>44482</v>
      </c>
      <c r="B1108" s="25">
        <v>3.5723358175152888E-3</v>
      </c>
    </row>
    <row r="1109" spans="1:2">
      <c r="A1109" s="27">
        <v>44481</v>
      </c>
      <c r="B1109" s="25">
        <v>-1.2216176045042707E-4</v>
      </c>
    </row>
    <row r="1110" spans="1:2">
      <c r="A1110" s="27">
        <v>44480</v>
      </c>
      <c r="B1110" s="25">
        <v>-4.3327904681416283E-3</v>
      </c>
    </row>
    <row r="1111" spans="1:2">
      <c r="A1111" s="27">
        <v>44477</v>
      </c>
      <c r="B1111" s="25">
        <v>3.4963217494609323E-3</v>
      </c>
    </row>
    <row r="1112" spans="1:2">
      <c r="A1112" s="27">
        <v>44476</v>
      </c>
      <c r="B1112" s="25">
        <v>-3.0666945171288966E-3</v>
      </c>
    </row>
    <row r="1113" spans="1:2">
      <c r="A1113" s="27">
        <v>44475</v>
      </c>
      <c r="B1113" s="25">
        <v>-1.8282193905443014E-2</v>
      </c>
    </row>
    <row r="1114" spans="1:2">
      <c r="A1114" s="27">
        <v>44474</v>
      </c>
      <c r="B1114" s="25">
        <v>1.1478744425558129E-2</v>
      </c>
    </row>
    <row r="1115" spans="1:2">
      <c r="A1115" s="27">
        <v>44473</v>
      </c>
      <c r="B1115" s="25">
        <v>-1.4414760325198334E-2</v>
      </c>
    </row>
    <row r="1116" spans="1:2">
      <c r="A1116" s="27">
        <v>44470</v>
      </c>
      <c r="B1116" s="25">
        <v>-8.7825895842028965E-3</v>
      </c>
    </row>
    <row r="1117" spans="1:2">
      <c r="A1117" s="27">
        <v>44469</v>
      </c>
      <c r="B1117" s="25">
        <v>1.5089856718848499E-2</v>
      </c>
    </row>
    <row r="1118" spans="1:2">
      <c r="A1118" s="27">
        <v>44468</v>
      </c>
      <c r="B1118" s="25">
        <v>1.7899001120642546E-2</v>
      </c>
    </row>
    <row r="1119" spans="1:2">
      <c r="A1119" s="27">
        <v>44467</v>
      </c>
      <c r="B1119" s="25">
        <v>1.0981536657315391E-2</v>
      </c>
    </row>
    <row r="1120" spans="1:2">
      <c r="A1120" s="27">
        <v>44466</v>
      </c>
      <c r="B1120" s="25">
        <v>1.3447402359582288E-2</v>
      </c>
    </row>
    <row r="1121" spans="1:2">
      <c r="A1121" s="27">
        <v>44463</v>
      </c>
      <c r="B1121" s="25">
        <v>5.4647522947137029E-3</v>
      </c>
    </row>
    <row r="1122" spans="1:2">
      <c r="A1122" s="27">
        <v>44462</v>
      </c>
      <c r="B1122" s="25">
        <v>-3.1443029129105814E-2</v>
      </c>
    </row>
    <row r="1123" spans="1:2">
      <c r="A1123" s="27">
        <v>44461</v>
      </c>
      <c r="B1123" s="25">
        <v>-3.0518442521960537E-3</v>
      </c>
    </row>
    <row r="1124" spans="1:2">
      <c r="A1124" s="27">
        <v>44460</v>
      </c>
      <c r="B1124" s="25">
        <v>-9.4665269205626026E-4</v>
      </c>
    </row>
    <row r="1125" spans="1:2">
      <c r="A1125" s="27">
        <v>44459</v>
      </c>
      <c r="B1125" s="25">
        <v>-9.1424676981558886E-3</v>
      </c>
    </row>
    <row r="1126" spans="1:2">
      <c r="A1126" s="27">
        <v>44456</v>
      </c>
      <c r="B1126" s="25">
        <v>8.3443001878219878E-3</v>
      </c>
    </row>
    <row r="1127" spans="1:2">
      <c r="A1127" s="27">
        <v>44455</v>
      </c>
      <c r="B1127" s="25">
        <v>1.2060849053424387E-2</v>
      </c>
    </row>
    <row r="1128" spans="1:2">
      <c r="A1128" s="27">
        <v>44454</v>
      </c>
      <c r="B1128" s="25">
        <v>3.3872092751764953E-3</v>
      </c>
    </row>
    <row r="1129" spans="1:2">
      <c r="A1129" s="27">
        <v>44453</v>
      </c>
      <c r="B1129" s="25">
        <v>3.4575024925396521E-4</v>
      </c>
    </row>
    <row r="1130" spans="1:2">
      <c r="A1130" s="27">
        <v>44452</v>
      </c>
      <c r="B1130" s="25">
        <v>1.0170453008946758E-3</v>
      </c>
    </row>
    <row r="1131" spans="1:2">
      <c r="A1131" s="27">
        <v>44448</v>
      </c>
      <c r="B1131" s="25">
        <v>-4.691456073720188E-3</v>
      </c>
    </row>
    <row r="1132" spans="1:2">
      <c r="A1132" s="27">
        <v>44447</v>
      </c>
      <c r="B1132" s="25">
        <v>-2.116949871770421E-3</v>
      </c>
    </row>
    <row r="1133" spans="1:2">
      <c r="A1133" s="27">
        <v>44446</v>
      </c>
      <c r="B1133" s="25">
        <v>1.5384077589372905E-3</v>
      </c>
    </row>
    <row r="1134" spans="1:2">
      <c r="A1134" s="27">
        <v>44445</v>
      </c>
      <c r="B1134" s="25">
        <v>-4.1026714108064908E-3</v>
      </c>
    </row>
    <row r="1135" spans="1:2">
      <c r="A1135" s="27">
        <v>44442</v>
      </c>
      <c r="B1135" s="25">
        <v>4.2904883920140179E-3</v>
      </c>
    </row>
    <row r="1136" spans="1:2">
      <c r="A1136" s="27">
        <v>44441</v>
      </c>
      <c r="B1136" s="25">
        <v>-7.3600445358520776E-3</v>
      </c>
    </row>
    <row r="1137" spans="1:2">
      <c r="A1137" s="27">
        <v>44440</v>
      </c>
      <c r="B1137" s="25">
        <v>-6.3137634747840641E-4</v>
      </c>
    </row>
    <row r="1138" spans="1:2">
      <c r="A1138" s="27">
        <v>44439</v>
      </c>
      <c r="B1138" s="25">
        <v>-2.5367568582057028E-2</v>
      </c>
    </row>
    <row r="1139" spans="1:2">
      <c r="A1139" s="27">
        <v>44438</v>
      </c>
      <c r="B1139" s="25">
        <v>-2.3206997916540951E-2</v>
      </c>
    </row>
    <row r="1140" spans="1:2">
      <c r="A1140" s="27">
        <v>44435</v>
      </c>
      <c r="B1140" s="25">
        <v>-2.1476022595446797E-2</v>
      </c>
    </row>
    <row r="1141" spans="1:2">
      <c r="A1141" s="27">
        <v>44434</v>
      </c>
      <c r="B1141" s="25">
        <v>3.3123296937086026E-4</v>
      </c>
    </row>
    <row r="1142" spans="1:2">
      <c r="A1142" s="27">
        <v>44433</v>
      </c>
      <c r="B1142" s="25">
        <v>5.8743689443362113E-4</v>
      </c>
    </row>
    <row r="1143" spans="1:2">
      <c r="A1143" s="27">
        <v>44432</v>
      </c>
      <c r="B1143" s="25">
        <v>1.6892064332138025E-3</v>
      </c>
    </row>
    <row r="1144" spans="1:2">
      <c r="A1144" s="27">
        <v>44431</v>
      </c>
      <c r="B1144" s="25">
        <v>9.0025105189638129E-3</v>
      </c>
    </row>
    <row r="1145" spans="1:2">
      <c r="A1145" s="27">
        <v>44428</v>
      </c>
      <c r="B1145" s="25">
        <v>1.237488813544874E-2</v>
      </c>
    </row>
    <row r="1146" spans="1:2">
      <c r="A1146" s="27">
        <v>44426</v>
      </c>
      <c r="B1146" s="25">
        <v>-2.6332930323585444E-2</v>
      </c>
    </row>
    <row r="1147" spans="1:2">
      <c r="A1147" s="27">
        <v>44425</v>
      </c>
      <c r="B1147" s="25">
        <v>3.8179230687834949E-3</v>
      </c>
    </row>
    <row r="1148" spans="1:2">
      <c r="A1148" s="27">
        <v>44424</v>
      </c>
      <c r="B1148" s="25">
        <v>-1.1082079794522501E-2</v>
      </c>
    </row>
    <row r="1149" spans="1:2">
      <c r="A1149" s="27">
        <v>44421</v>
      </c>
      <c r="B1149" s="25">
        <v>3.5476959198690924E-3</v>
      </c>
    </row>
    <row r="1150" spans="1:2">
      <c r="A1150" s="27">
        <v>44420</v>
      </c>
      <c r="B1150" s="25">
        <v>-4.1406942191920945E-3</v>
      </c>
    </row>
    <row r="1151" spans="1:2">
      <c r="A1151" s="27">
        <v>44419</v>
      </c>
      <c r="B1151" s="25">
        <v>-1.4502050171049494E-3</v>
      </c>
    </row>
    <row r="1152" spans="1:2">
      <c r="A1152" s="27">
        <v>44418</v>
      </c>
      <c r="B1152" s="25">
        <v>1.427704545309158E-3</v>
      </c>
    </row>
    <row r="1153" spans="1:2">
      <c r="A1153" s="27">
        <v>44417</v>
      </c>
      <c r="B1153" s="25">
        <v>6.6423565627989995E-3</v>
      </c>
    </row>
    <row r="1154" spans="1:2">
      <c r="A1154" s="27">
        <v>44414</v>
      </c>
      <c r="B1154" s="25">
        <v>-2.2994363960159481E-3</v>
      </c>
    </row>
    <row r="1155" spans="1:2">
      <c r="A1155" s="27">
        <v>44413</v>
      </c>
      <c r="B1155" s="25">
        <v>6.8561801409310931E-3</v>
      </c>
    </row>
    <row r="1156" spans="1:2">
      <c r="A1156" s="27">
        <v>44412</v>
      </c>
      <c r="B1156" s="25">
        <v>7.8381607727229571E-3</v>
      </c>
    </row>
    <row r="1157" spans="1:2">
      <c r="A1157" s="27">
        <v>44411</v>
      </c>
      <c r="B1157" s="25">
        <v>3.7355077289841733E-3</v>
      </c>
    </row>
    <row r="1158" spans="1:2">
      <c r="A1158" s="27">
        <v>44410</v>
      </c>
      <c r="B1158" s="25">
        <v>-1.3630807910686214E-2</v>
      </c>
    </row>
    <row r="1159" spans="1:2">
      <c r="A1159" s="27">
        <v>44407</v>
      </c>
      <c r="B1159" s="25">
        <v>-3.7544422097062005E-3</v>
      </c>
    </row>
    <row r="1160" spans="1:2">
      <c r="A1160" s="27">
        <v>44406</v>
      </c>
      <c r="B1160" s="25">
        <v>8.7751455957338822E-3</v>
      </c>
    </row>
    <row r="1161" spans="1:2">
      <c r="A1161" s="27">
        <v>44405</v>
      </c>
      <c r="B1161" s="25">
        <v>1.6533837523470939E-3</v>
      </c>
    </row>
    <row r="1162" spans="1:2">
      <c r="A1162" s="27">
        <v>44404</v>
      </c>
      <c r="B1162" s="25">
        <v>5.3259868156881815E-3</v>
      </c>
    </row>
    <row r="1163" spans="1:2">
      <c r="A1163" s="27">
        <v>44403</v>
      </c>
      <c r="B1163" s="25">
        <v>9.2052288314338933E-3</v>
      </c>
    </row>
    <row r="1164" spans="1:2">
      <c r="A1164" s="27">
        <v>44400</v>
      </c>
      <c r="B1164" s="25">
        <v>7.1655795192802673E-3</v>
      </c>
    </row>
    <row r="1165" spans="1:2">
      <c r="A1165" s="27">
        <v>44399</v>
      </c>
      <c r="B1165" s="25">
        <v>5.311989968997885E-3</v>
      </c>
    </row>
    <row r="1166" spans="1:2">
      <c r="A1166" s="27">
        <v>44397</v>
      </c>
      <c r="B1166" s="25">
        <v>1.3342906142010976E-2</v>
      </c>
    </row>
    <row r="1167" spans="1:2">
      <c r="A1167" s="27">
        <v>44396</v>
      </c>
      <c r="B1167" s="25">
        <v>-4.8768707072798533E-2</v>
      </c>
    </row>
    <row r="1168" spans="1:2">
      <c r="A1168" s="27">
        <v>44393</v>
      </c>
      <c r="B1168" s="25">
        <v>3.7429923048373083E-3</v>
      </c>
    </row>
    <row r="1169" spans="1:2">
      <c r="A1169" s="27">
        <v>44392</v>
      </c>
      <c r="B1169" s="25">
        <v>-2.184467534949872E-3</v>
      </c>
    </row>
    <row r="1170" spans="1:2">
      <c r="A1170" s="27">
        <v>44391</v>
      </c>
      <c r="B1170" s="25">
        <v>4.1546694548605257E-3</v>
      </c>
    </row>
    <row r="1171" spans="1:2">
      <c r="A1171" s="27">
        <v>44390</v>
      </c>
      <c r="B1171" s="25">
        <v>-2.787544476002447E-3</v>
      </c>
    </row>
    <row r="1172" spans="1:2">
      <c r="A1172" s="27">
        <v>44389</v>
      </c>
      <c r="B1172" s="25">
        <v>1.4154486919726401E-3</v>
      </c>
    </row>
    <row r="1173" spans="1:2">
      <c r="A1173" s="27">
        <v>44386</v>
      </c>
      <c r="B1173" s="25">
        <v>4.1969883212741692E-3</v>
      </c>
    </row>
    <row r="1174" spans="1:2">
      <c r="A1174" s="27">
        <v>44385</v>
      </c>
      <c r="B1174" s="25">
        <v>3.7990881979019318E-3</v>
      </c>
    </row>
    <row r="1175" spans="1:2">
      <c r="A1175" s="27">
        <v>44384</v>
      </c>
      <c r="B1175" s="25">
        <v>4.7196045609849751E-3</v>
      </c>
    </row>
    <row r="1176" spans="1:2">
      <c r="A1176" s="27">
        <v>44383</v>
      </c>
      <c r="B1176" s="25">
        <v>-1.4820900420033912E-2</v>
      </c>
    </row>
    <row r="1177" spans="1:2">
      <c r="A1177" s="27">
        <v>44382</v>
      </c>
      <c r="B1177" s="25">
        <v>2.4293224305486096E-3</v>
      </c>
    </row>
    <row r="1178" spans="1:2">
      <c r="A1178" s="27">
        <v>44379</v>
      </c>
      <c r="B1178" s="25">
        <v>-5.2443763092621222E-3</v>
      </c>
    </row>
    <row r="1179" spans="1:2">
      <c r="A1179" s="27">
        <v>44378</v>
      </c>
      <c r="B1179" s="25">
        <v>2.4835625146401473E-3</v>
      </c>
    </row>
    <row r="1180" spans="1:2">
      <c r="A1180" s="27">
        <v>44377</v>
      </c>
      <c r="B1180" s="25">
        <v>-6.7963693017142847E-3</v>
      </c>
    </row>
    <row r="1181" spans="1:2">
      <c r="A1181" s="27">
        <v>44376</v>
      </c>
      <c r="B1181" s="25">
        <v>2.2180296983859748E-3</v>
      </c>
    </row>
    <row r="1182" spans="1:2">
      <c r="A1182" s="27">
        <v>44375</v>
      </c>
      <c r="B1182" s="25">
        <v>-4.4725405217301744E-3</v>
      </c>
    </row>
    <row r="1183" spans="1:2">
      <c r="A1183" s="27">
        <v>44372</v>
      </c>
      <c r="B1183" s="25">
        <v>5.2869229965976762E-3</v>
      </c>
    </row>
    <row r="1184" spans="1:2">
      <c r="A1184" s="27">
        <v>44371</v>
      </c>
      <c r="B1184" s="25">
        <v>1.156674220634127E-2</v>
      </c>
    </row>
    <row r="1185" spans="1:2">
      <c r="A1185" s="27">
        <v>44370</v>
      </c>
      <c r="B1185" s="25">
        <v>-1.5225728299136291E-2</v>
      </c>
    </row>
    <row r="1186" spans="1:2">
      <c r="A1186" s="27">
        <v>44369</v>
      </c>
      <c r="B1186" s="25">
        <v>5.0357941446834073E-3</v>
      </c>
    </row>
    <row r="1187" spans="1:2">
      <c r="A1187" s="27">
        <v>44368</v>
      </c>
      <c r="B1187" s="25">
        <v>1.6435631388222741E-2</v>
      </c>
    </row>
    <row r="1188" spans="1:2">
      <c r="A1188" s="27">
        <v>44365</v>
      </c>
      <c r="B1188" s="25">
        <v>-5.7559316263246186E-3</v>
      </c>
    </row>
    <row r="1189" spans="1:2">
      <c r="A1189" s="27">
        <v>44364</v>
      </c>
      <c r="B1189" s="25">
        <v>2.211460581359495E-3</v>
      </c>
    </row>
    <row r="1190" spans="1:2">
      <c r="A1190" s="27">
        <v>44363</v>
      </c>
      <c r="B1190" s="25">
        <v>-8.6979596092926943E-3</v>
      </c>
    </row>
    <row r="1191" spans="1:2">
      <c r="A1191" s="27">
        <v>44362</v>
      </c>
      <c r="B1191" s="25">
        <v>7.9893029769925895E-3</v>
      </c>
    </row>
    <row r="1192" spans="1:2">
      <c r="A1192" s="27">
        <v>44361</v>
      </c>
      <c r="B1192" s="25">
        <v>-2.630732506684158E-2</v>
      </c>
    </row>
    <row r="1193" spans="1:2">
      <c r="A1193" s="27">
        <v>44358</v>
      </c>
      <c r="B1193" s="25">
        <v>1.5105084033838919E-3</v>
      </c>
    </row>
    <row r="1194" spans="1:2">
      <c r="A1194" s="27">
        <v>44357</v>
      </c>
      <c r="B1194" s="25">
        <v>-9.3487018959222189E-4</v>
      </c>
    </row>
    <row r="1195" spans="1:2">
      <c r="A1195" s="27">
        <v>44356</v>
      </c>
      <c r="B1195" s="25">
        <v>-2.9609304793316023E-3</v>
      </c>
    </row>
    <row r="1196" spans="1:2">
      <c r="A1196" s="27">
        <v>44355</v>
      </c>
      <c r="B1196" s="25">
        <v>-3.0215696169816333E-3</v>
      </c>
    </row>
    <row r="1197" spans="1:2">
      <c r="A1197" s="27">
        <v>44354</v>
      </c>
      <c r="B1197" s="25">
        <v>2.1266858239987131E-3</v>
      </c>
    </row>
    <row r="1198" spans="1:2">
      <c r="A1198" s="27">
        <v>44351</v>
      </c>
      <c r="B1198" s="25">
        <v>-6.2114364570414592E-3</v>
      </c>
    </row>
    <row r="1199" spans="1:2">
      <c r="A1199" s="27">
        <v>44350</v>
      </c>
      <c r="B1199" s="25">
        <v>3.7636296139750853E-3</v>
      </c>
    </row>
    <row r="1200" spans="1:2">
      <c r="A1200" s="27">
        <v>44349</v>
      </c>
      <c r="B1200" s="25">
        <v>-8.3096148135792074E-3</v>
      </c>
    </row>
    <row r="1201" spans="1:2">
      <c r="A1201" s="27">
        <v>44348</v>
      </c>
      <c r="B1201" s="25">
        <v>6.7243552089118778E-3</v>
      </c>
    </row>
    <row r="1202" spans="1:2">
      <c r="A1202" s="27">
        <v>44347</v>
      </c>
      <c r="B1202" s="25">
        <v>1.2523711881670918E-2</v>
      </c>
    </row>
    <row r="1203" spans="1:2">
      <c r="A1203" s="27">
        <v>44344</v>
      </c>
      <c r="B1203" s="25">
        <v>-9.3490538008289322E-3</v>
      </c>
    </row>
    <row r="1204" spans="1:2">
      <c r="A1204" s="27">
        <v>44343</v>
      </c>
      <c r="B1204" s="25">
        <v>2.5635036023467636E-3</v>
      </c>
    </row>
    <row r="1205" spans="1:2">
      <c r="A1205" s="27">
        <v>44342</v>
      </c>
      <c r="B1205" s="25">
        <v>5.4269831352966955E-3</v>
      </c>
    </row>
    <row r="1206" spans="1:2">
      <c r="A1206" s="27">
        <v>44341</v>
      </c>
      <c r="B1206" s="25">
        <v>-1.1539945562123821E-2</v>
      </c>
    </row>
    <row r="1207" spans="1:2">
      <c r="A1207" s="27">
        <v>44340</v>
      </c>
      <c r="B1207" s="25">
        <v>-2.6624971425314132E-2</v>
      </c>
    </row>
    <row r="1208" spans="1:2">
      <c r="A1208" s="27">
        <v>44337</v>
      </c>
      <c r="B1208" s="25">
        <v>-1.2865037428770015E-3</v>
      </c>
    </row>
    <row r="1209" spans="1:2">
      <c r="A1209" s="27">
        <v>44336</v>
      </c>
      <c r="B1209" s="25">
        <v>-1.1692285098117644E-2</v>
      </c>
    </row>
    <row r="1210" spans="1:2">
      <c r="A1210" s="27">
        <v>44335</v>
      </c>
      <c r="B1210" s="25">
        <v>5.8985680032972157E-3</v>
      </c>
    </row>
    <row r="1211" spans="1:2">
      <c r="A1211" s="27">
        <v>44334</v>
      </c>
      <c r="B1211" s="25">
        <v>-1.0111205351053477E-3</v>
      </c>
    </row>
    <row r="1212" spans="1:2">
      <c r="A1212" s="27">
        <v>44333</v>
      </c>
      <c r="B1212" s="25">
        <v>-1.3305676796049161E-2</v>
      </c>
    </row>
    <row r="1213" spans="1:2">
      <c r="A1213" s="27">
        <v>44330</v>
      </c>
      <c r="B1213" s="25">
        <v>-5.4395456420234575E-3</v>
      </c>
    </row>
    <row r="1214" spans="1:2">
      <c r="A1214" s="27">
        <v>44328</v>
      </c>
      <c r="B1214" s="25">
        <v>-6.3056831711733652E-2</v>
      </c>
    </row>
    <row r="1215" spans="1:2">
      <c r="A1215" s="27">
        <v>44327</v>
      </c>
      <c r="B1215" s="25">
        <v>5.2274693463631825E-4</v>
      </c>
    </row>
    <row r="1216" spans="1:2">
      <c r="A1216" s="27">
        <v>44326</v>
      </c>
      <c r="B1216" s="25">
        <v>-1.9428335961485998E-3</v>
      </c>
    </row>
    <row r="1217" spans="1:2">
      <c r="A1217" s="27">
        <v>44323</v>
      </c>
      <c r="B1217" s="25">
        <v>-1.1880276879635589E-3</v>
      </c>
    </row>
    <row r="1218" spans="1:2">
      <c r="A1218" s="27">
        <v>44322</v>
      </c>
      <c r="B1218" s="25">
        <v>-5.8528444898105485E-4</v>
      </c>
    </row>
    <row r="1219" spans="1:2">
      <c r="A1219" s="27">
        <v>44321</v>
      </c>
      <c r="B1219" s="25">
        <v>4.0495494571885894E-3</v>
      </c>
    </row>
    <row r="1220" spans="1:2">
      <c r="A1220" s="27">
        <v>44320</v>
      </c>
      <c r="B1220" s="25">
        <v>2.6506197536737643E-3</v>
      </c>
    </row>
    <row r="1221" spans="1:2">
      <c r="A1221" s="27">
        <v>44319</v>
      </c>
      <c r="B1221" s="25">
        <v>-8.1978585248288302E-5</v>
      </c>
    </row>
    <row r="1222" spans="1:2">
      <c r="A1222" s="27">
        <v>44316</v>
      </c>
      <c r="B1222" s="25">
        <v>-1.5236475870800736E-2</v>
      </c>
    </row>
    <row r="1223" spans="1:2">
      <c r="A1223" s="27">
        <v>44315</v>
      </c>
      <c r="B1223" s="25">
        <v>2.4986165105703194E-2</v>
      </c>
    </row>
    <row r="1224" spans="1:2">
      <c r="A1224" s="27">
        <v>44314</v>
      </c>
      <c r="B1224" s="25">
        <v>1.0289884277938533E-3</v>
      </c>
    </row>
    <row r="1225" spans="1:2">
      <c r="A1225" s="27">
        <v>44313</v>
      </c>
      <c r="B1225" s="25">
        <v>-1.355234765276696E-2</v>
      </c>
    </row>
    <row r="1226" spans="1:2">
      <c r="A1226" s="27">
        <v>44312</v>
      </c>
      <c r="B1226" s="25">
        <v>-2.5531653786885406E-3</v>
      </c>
    </row>
    <row r="1227" spans="1:2">
      <c r="A1227" s="27">
        <v>44309</v>
      </c>
      <c r="B1227" s="25">
        <v>-1.4563785113960519E-2</v>
      </c>
    </row>
    <row r="1228" spans="1:2">
      <c r="A1228" s="27">
        <v>44308</v>
      </c>
      <c r="B1228" s="25">
        <v>-1.0135498703270239E-3</v>
      </c>
    </row>
    <row r="1229" spans="1:2">
      <c r="A1229" s="27">
        <v>44306</v>
      </c>
      <c r="B1229" s="25">
        <v>1.0955947828076467E-2</v>
      </c>
    </row>
    <row r="1230" spans="1:2">
      <c r="A1230" s="27">
        <v>44305</v>
      </c>
      <c r="B1230" s="25">
        <v>5.5729546820155662E-3</v>
      </c>
    </row>
    <row r="1231" spans="1:2">
      <c r="A1231" s="27">
        <v>44302</v>
      </c>
      <c r="B1231" s="25">
        <v>3.3943402361860373E-2</v>
      </c>
    </row>
    <row r="1232" spans="1:2">
      <c r="A1232" s="27">
        <v>44301</v>
      </c>
      <c r="B1232" s="25">
        <v>-2.329463959242941E-2</v>
      </c>
    </row>
    <row r="1233" spans="1:2">
      <c r="A1233" s="27">
        <v>44299</v>
      </c>
      <c r="B1233" s="25">
        <v>-4.8857074922384188E-3</v>
      </c>
    </row>
    <row r="1234" spans="1:2">
      <c r="A1234" s="27">
        <v>44298</v>
      </c>
      <c r="B1234" s="25">
        <v>9.7615028109305762E-3</v>
      </c>
    </row>
    <row r="1235" spans="1:2">
      <c r="A1235" s="27">
        <v>44295</v>
      </c>
      <c r="B1235" s="25">
        <v>1.7430675077918404E-2</v>
      </c>
    </row>
    <row r="1236" spans="1:2">
      <c r="A1236" s="27">
        <v>44294</v>
      </c>
      <c r="B1236" s="25">
        <v>8.7514362637614116E-3</v>
      </c>
    </row>
    <row r="1237" spans="1:2">
      <c r="A1237" s="27">
        <v>44293</v>
      </c>
      <c r="B1237" s="25">
        <v>-8.6369484149566855E-3</v>
      </c>
    </row>
    <row r="1238" spans="1:2">
      <c r="A1238" s="27">
        <v>44292</v>
      </c>
      <c r="B1238" s="25">
        <v>-5.3469508574201779E-3</v>
      </c>
    </row>
    <row r="1239" spans="1:2">
      <c r="A1239" s="27">
        <v>44291</v>
      </c>
      <c r="B1239" s="25">
        <v>-3.0475382243474153E-2</v>
      </c>
    </row>
    <row r="1240" spans="1:2">
      <c r="A1240" s="27">
        <v>44287</v>
      </c>
      <c r="B1240" s="25">
        <v>1.65889655057803E-2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5EBA-6469-41A2-9D3E-4CF6BD903B54}">
  <dimension ref="A1:R1001"/>
  <sheetViews>
    <sheetView topLeftCell="B1" zoomScale="109" zoomScaleNormal="50" workbookViewId="0">
      <selection activeCell="H8" sqref="H8"/>
    </sheetView>
  </sheetViews>
  <sheetFormatPr defaultRowHeight="14.4"/>
  <cols>
    <col min="1" max="1" width="15.109375" customWidth="1"/>
    <col min="2" max="2" width="17.77734375" bestFit="1" customWidth="1"/>
    <col min="3" max="3" width="25.44140625" customWidth="1"/>
    <col min="4" max="4" width="22.5546875" customWidth="1"/>
    <col min="5" max="5" width="20.33203125" customWidth="1"/>
    <col min="7" max="7" width="25" customWidth="1"/>
    <col min="8" max="8" width="15.33203125" customWidth="1"/>
    <col min="9" max="9" width="19.77734375" customWidth="1"/>
    <col min="10" max="10" width="8.88671875" customWidth="1"/>
  </cols>
  <sheetData>
    <row r="1" spans="1:18">
      <c r="A1" s="8" t="s">
        <v>3592</v>
      </c>
      <c r="B1" s="8" t="s">
        <v>3593</v>
      </c>
      <c r="C1" s="8" t="s">
        <v>3594</v>
      </c>
      <c r="D1" s="8" t="s">
        <v>3595</v>
      </c>
      <c r="E1" s="8" t="s">
        <v>3596</v>
      </c>
    </row>
    <row r="2" spans="1:18">
      <c r="A2" s="8" cm="1">
        <f t="array" ref="A2:A1001">_xlfn.SEQUENCE(1000)</f>
        <v>1</v>
      </c>
      <c r="B2" s="8">
        <f ca="1">_xlfn.NORM.S.INV(RAND())</f>
        <v>0.13686784746898847</v>
      </c>
      <c r="C2" s="57">
        <f ca="1" xml:space="preserve"> $H$2 + $H$3 * B2</f>
        <v>1.8652308369081683E-3</v>
      </c>
      <c r="D2" s="58">
        <f ca="1">$H$4 * (1 + C2)</f>
        <v>10018652.308369083</v>
      </c>
      <c r="E2" s="59">
        <f ca="1">$H$4-D2</f>
        <v>-18652.30836908333</v>
      </c>
      <c r="G2" s="1" t="s">
        <v>3580</v>
      </c>
      <c r="H2" s="2">
        <f>'Parametric VAR'!F5</f>
        <v>1.6787233454796264E-4</v>
      </c>
    </row>
    <row r="3" spans="1:18">
      <c r="A3" s="8">
        <v>2</v>
      </c>
      <c r="B3" s="8">
        <f t="shared" ref="B3:B66" ca="1" si="0">_xlfn.NORM.S.INV(RAND())</f>
        <v>-1.0216860907615977</v>
      </c>
      <c r="C3" s="57">
        <f t="shared" ref="C3:C66" ca="1" si="1" xml:space="preserve"> $H$2 + $H$3 * B3</f>
        <v>-1.2502507195533318E-2</v>
      </c>
      <c r="D3" s="58">
        <f t="shared" ref="D3:D66" ca="1" si="2">$H$4 * (1 + C3)</f>
        <v>9874974.9280446656</v>
      </c>
      <c r="E3" s="59">
        <f t="shared" ref="E3:E66" ca="1" si="3">$H$4-D3</f>
        <v>125025.0719553344</v>
      </c>
      <c r="G3" s="1" t="s">
        <v>3590</v>
      </c>
      <c r="H3" s="2">
        <f>'Parametric VAR'!F6</f>
        <v>1.2401440760181411E-2</v>
      </c>
    </row>
    <row r="4" spans="1:18">
      <c r="A4" s="8">
        <v>3</v>
      </c>
      <c r="B4" s="8">
        <f t="shared" ca="1" si="0"/>
        <v>0.84119772566792606</v>
      </c>
      <c r="C4" s="57">
        <f t="shared" ca="1" si="1"/>
        <v>1.0599936097018082E-2</v>
      </c>
      <c r="D4" s="58">
        <f t="shared" ca="1" si="2"/>
        <v>10105999.360970182</v>
      </c>
      <c r="E4" s="59">
        <f t="shared" ca="1" si="3"/>
        <v>-105999.36097018234</v>
      </c>
      <c r="G4" s="1" t="s">
        <v>3591</v>
      </c>
      <c r="H4" s="20">
        <f>'Parametric VAR'!F4</f>
        <v>10000000</v>
      </c>
    </row>
    <row r="5" spans="1:18">
      <c r="A5" s="8">
        <v>4</v>
      </c>
      <c r="B5" s="8">
        <f t="shared" ca="1" si="0"/>
        <v>0.84555950545181402</v>
      </c>
      <c r="C5" s="57">
        <f t="shared" ca="1" si="1"/>
        <v>1.0654028450616925E-2</v>
      </c>
      <c r="D5" s="58">
        <f t="shared" ca="1" si="2"/>
        <v>10106540.284506168</v>
      </c>
      <c r="E5" s="59">
        <f t="shared" ca="1" si="3"/>
        <v>-106540.28450616822</v>
      </c>
    </row>
    <row r="6" spans="1:18">
      <c r="A6" s="8">
        <v>5</v>
      </c>
      <c r="B6" s="8">
        <f t="shared" ca="1" si="0"/>
        <v>1.0593134094978807</v>
      </c>
      <c r="C6" s="57">
        <f t="shared" ca="1" si="1"/>
        <v>1.3304884828901723E-2</v>
      </c>
      <c r="D6" s="58">
        <f t="shared" ca="1" si="2"/>
        <v>10133048.848289017</v>
      </c>
      <c r="E6" s="59">
        <f t="shared" ca="1" si="3"/>
        <v>-133048.84828901663</v>
      </c>
    </row>
    <row r="7" spans="1:18">
      <c r="A7" s="8">
        <v>6</v>
      </c>
      <c r="B7" s="8">
        <f t="shared" ca="1" si="0"/>
        <v>4.5740881020899245E-2</v>
      </c>
      <c r="C7" s="57">
        <f t="shared" ca="1" si="1"/>
        <v>7.351251608471508E-4</v>
      </c>
      <c r="D7" s="58">
        <f t="shared" ca="1" si="2"/>
        <v>10007351.251608472</v>
      </c>
      <c r="E7" s="59">
        <f t="shared" ca="1" si="3"/>
        <v>-7351.2516084723175</v>
      </c>
      <c r="G7" s="1"/>
      <c r="H7" s="1" t="s">
        <v>3586</v>
      </c>
      <c r="I7" s="1" t="s">
        <v>3597</v>
      </c>
      <c r="J7" s="86" t="s">
        <v>3598</v>
      </c>
      <c r="K7" s="86"/>
      <c r="L7" s="86"/>
      <c r="M7" s="86"/>
      <c r="N7" s="86"/>
      <c r="O7" s="86"/>
      <c r="P7" s="86"/>
      <c r="Q7" s="86"/>
      <c r="R7" s="86"/>
    </row>
    <row r="8" spans="1:18">
      <c r="A8" s="8">
        <v>7</v>
      </c>
      <c r="B8" s="8">
        <f t="shared" ca="1" si="0"/>
        <v>0.89678275230392202</v>
      </c>
      <c r="C8" s="57">
        <f t="shared" ca="1" si="1"/>
        <v>1.1289270511997492E-2</v>
      </c>
      <c r="D8" s="58">
        <f t="shared" ca="1" si="2"/>
        <v>10112892.705119975</v>
      </c>
      <c r="E8" s="59">
        <f t="shared" ca="1" si="3"/>
        <v>-112892.70511997491</v>
      </c>
      <c r="G8" s="1" t="s">
        <v>3599</v>
      </c>
      <c r="H8" s="21">
        <f ca="1">_xlfn.PERCENTILE.INC(E2:E1001,0.95)</f>
        <v>215592.7071070938</v>
      </c>
      <c r="I8" s="22">
        <f ca="1" xml:space="preserve"> _xlfn.PERCENTILE.INC(C2:C1001, 0.05)</f>
        <v>-2.1559270710709389E-2</v>
      </c>
      <c r="J8" s="1" t="str">
        <f ca="1">"There is a 5% probability that the portfolio will lose more than Rs. "&amp;TEXT(H8,"#,##0.00")&amp;" in one day."</f>
        <v>There is a 5% probability that the portfolio will lose more than Rs. 2,15,592.71 in one day.</v>
      </c>
      <c r="K8" s="1"/>
      <c r="L8" s="1"/>
      <c r="M8" s="1"/>
      <c r="N8" s="1"/>
      <c r="O8" s="1"/>
      <c r="P8" s="1"/>
      <c r="Q8" s="1"/>
      <c r="R8" s="1"/>
    </row>
    <row r="9" spans="1:18">
      <c r="A9" s="8">
        <v>8</v>
      </c>
      <c r="B9" s="8">
        <f t="shared" ca="1" si="0"/>
        <v>0.12937796118245687</v>
      </c>
      <c r="C9" s="57">
        <f t="shared" ca="1" si="1"/>
        <v>1.7723454558252515E-3</v>
      </c>
      <c r="D9" s="58">
        <f t="shared" ca="1" si="2"/>
        <v>10017723.454558251</v>
      </c>
      <c r="E9" s="59">
        <f t="shared" ca="1" si="3"/>
        <v>-17723.454558251426</v>
      </c>
      <c r="G9" s="1" t="s">
        <v>3600</v>
      </c>
      <c r="H9" s="21">
        <f ca="1">_xlfn.PERCENTILE.INC(E2:E1001, 0.99)</f>
        <v>291931.44057172054</v>
      </c>
      <c r="I9" s="22">
        <f ca="1">_xlfn.PERCENTILE.INC(C2:C1001,0.01)</f>
        <v>-2.919314405717207E-2</v>
      </c>
      <c r="J9" s="1" t="str">
        <f ca="1">"There is a 1% probability that the portfolio will lose more than Rs. "&amp;TEXT(H9,"#,##0.00")&amp;" in one day."</f>
        <v>There is a 1% probability that the portfolio will lose more than Rs. 2,91,931.44 in one day.</v>
      </c>
      <c r="K9" s="1"/>
      <c r="L9" s="1"/>
      <c r="M9" s="1"/>
      <c r="N9" s="1"/>
      <c r="O9" s="1"/>
      <c r="P9" s="1"/>
      <c r="Q9" s="1"/>
      <c r="R9" s="1"/>
    </row>
    <row r="10" spans="1:18">
      <c r="A10" s="8">
        <v>9</v>
      </c>
      <c r="B10" s="8">
        <f t="shared" ca="1" si="0"/>
        <v>5.3874214444602483E-2</v>
      </c>
      <c r="C10" s="57">
        <f t="shared" ca="1" si="1"/>
        <v>8.3599021348400998E-4</v>
      </c>
      <c r="D10" s="58">
        <f t="shared" ca="1" si="2"/>
        <v>10008359.902134839</v>
      </c>
      <c r="E10" s="59">
        <f t="shared" ca="1" si="3"/>
        <v>-8359.9021348394454</v>
      </c>
    </row>
    <row r="11" spans="1:18">
      <c r="A11" s="8">
        <v>10</v>
      </c>
      <c r="B11" s="8">
        <f t="shared" ca="1" si="0"/>
        <v>-1.2082707718918233</v>
      </c>
      <c r="C11" s="57">
        <f t="shared" ca="1" si="1"/>
        <v>-1.4816426065327149E-2</v>
      </c>
      <c r="D11" s="58">
        <f t="shared" ca="1" si="2"/>
        <v>9851835.7393467277</v>
      </c>
      <c r="E11" s="59">
        <f t="shared" ca="1" si="3"/>
        <v>148164.26065327227</v>
      </c>
    </row>
    <row r="12" spans="1:18">
      <c r="A12" s="8">
        <v>11</v>
      </c>
      <c r="B12" s="8">
        <f t="shared" ca="1" si="0"/>
        <v>0.85835416957132571</v>
      </c>
      <c r="C12" s="57">
        <f t="shared" ca="1" si="1"/>
        <v>1.0812700719741468E-2</v>
      </c>
      <c r="D12" s="58">
        <f t="shared" ca="1" si="2"/>
        <v>10108127.007197414</v>
      </c>
      <c r="E12" s="59">
        <f t="shared" ca="1" si="3"/>
        <v>-108127.00719741359</v>
      </c>
      <c r="H12" s="60"/>
    </row>
    <row r="13" spans="1:18">
      <c r="A13" s="8">
        <v>12</v>
      </c>
      <c r="B13" s="8">
        <f t="shared" ca="1" si="0"/>
        <v>-1.1052854748675069</v>
      </c>
      <c r="C13" s="57">
        <f t="shared" ca="1" si="1"/>
        <v>-1.3539260005110403E-2</v>
      </c>
      <c r="D13" s="58">
        <f t="shared" ca="1" si="2"/>
        <v>9864607.399948895</v>
      </c>
      <c r="E13" s="59">
        <f t="shared" ca="1" si="3"/>
        <v>135392.60005110502</v>
      </c>
    </row>
    <row r="14" spans="1:18">
      <c r="A14" s="8">
        <v>13</v>
      </c>
      <c r="B14" s="8">
        <f t="shared" ca="1" si="0"/>
        <v>-0.71799062746669395</v>
      </c>
      <c r="C14" s="57">
        <f t="shared" ca="1" si="1"/>
        <v>-8.7362458983457209E-3</v>
      </c>
      <c r="D14" s="58">
        <f t="shared" ca="1" si="2"/>
        <v>9912637.5410165433</v>
      </c>
      <c r="E14" s="59">
        <f t="shared" ca="1" si="3"/>
        <v>87362.458983456716</v>
      </c>
    </row>
    <row r="15" spans="1:18">
      <c r="A15" s="8">
        <v>14</v>
      </c>
      <c r="B15" s="8">
        <f t="shared" ca="1" si="0"/>
        <v>-0.94210652650024673</v>
      </c>
      <c r="C15" s="57">
        <f t="shared" ca="1" si="1"/>
        <v>-1.1515605943625124E-2</v>
      </c>
      <c r="D15" s="58">
        <f t="shared" ca="1" si="2"/>
        <v>9884843.9405637495</v>
      </c>
      <c r="E15" s="59">
        <f t="shared" ca="1" si="3"/>
        <v>115156.05943625048</v>
      </c>
    </row>
    <row r="16" spans="1:18">
      <c r="A16" s="8">
        <v>15</v>
      </c>
      <c r="B16" s="8">
        <f t="shared" ca="1" si="0"/>
        <v>-6.869890162222847E-2</v>
      </c>
      <c r="C16" s="57">
        <f t="shared" ca="1" si="1"/>
        <v>-6.8409302420963428E-4</v>
      </c>
      <c r="D16" s="58">
        <f t="shared" ca="1" si="2"/>
        <v>9993159.069757903</v>
      </c>
      <c r="E16" s="59">
        <f t="shared" ca="1" si="3"/>
        <v>6840.9302420970052</v>
      </c>
    </row>
    <row r="17" spans="1:5">
      <c r="A17" s="8">
        <v>16</v>
      </c>
      <c r="B17" s="8">
        <f t="shared" ca="1" si="0"/>
        <v>0.21004039840419023</v>
      </c>
      <c r="C17" s="57">
        <f t="shared" ca="1" si="1"/>
        <v>2.77267589260243E-3</v>
      </c>
      <c r="D17" s="58">
        <f t="shared" ca="1" si="2"/>
        <v>10027726.758926023</v>
      </c>
      <c r="E17" s="59">
        <f t="shared" ca="1" si="3"/>
        <v>-27726.758926022798</v>
      </c>
    </row>
    <row r="18" spans="1:5">
      <c r="A18" s="8">
        <v>17</v>
      </c>
      <c r="B18" s="8">
        <f t="shared" ca="1" si="0"/>
        <v>-0.6511776844955921</v>
      </c>
      <c r="C18" s="57">
        <f t="shared" ca="1" si="1"/>
        <v>-7.9076691440762223E-3</v>
      </c>
      <c r="D18" s="58">
        <f t="shared" ca="1" si="2"/>
        <v>9920923.308559237</v>
      </c>
      <c r="E18" s="59">
        <f t="shared" ca="1" si="3"/>
        <v>79076.691440762952</v>
      </c>
    </row>
    <row r="19" spans="1:5">
      <c r="A19" s="8">
        <v>18</v>
      </c>
      <c r="B19" s="8">
        <f t="shared" ca="1" si="0"/>
        <v>0.5413024334559452</v>
      </c>
      <c r="C19" s="57">
        <f t="shared" ca="1" si="1"/>
        <v>6.8808023963939074E-3</v>
      </c>
      <c r="D19" s="58">
        <f t="shared" ca="1" si="2"/>
        <v>10068808.023963939</v>
      </c>
      <c r="E19" s="59">
        <f t="shared" ca="1" si="3"/>
        <v>-68808.023963939399</v>
      </c>
    </row>
    <row r="20" spans="1:5">
      <c r="A20" s="8">
        <v>19</v>
      </c>
      <c r="B20" s="8">
        <f t="shared" ca="1" si="0"/>
        <v>-0.26619505075336042</v>
      </c>
      <c r="C20" s="57">
        <f t="shared" ca="1" si="1"/>
        <v>-3.1333298180233208E-3</v>
      </c>
      <c r="D20" s="58">
        <f t="shared" ca="1" si="2"/>
        <v>9968666.7018197663</v>
      </c>
      <c r="E20" s="59">
        <f t="shared" ca="1" si="3"/>
        <v>31333.298180233687</v>
      </c>
    </row>
    <row r="21" spans="1:5">
      <c r="A21" s="8">
        <v>20</v>
      </c>
      <c r="B21" s="8">
        <f t="shared" ca="1" si="0"/>
        <v>-7.3107388266239984E-2</v>
      </c>
      <c r="C21" s="57">
        <f t="shared" ca="1" si="1"/>
        <v>-7.3876461016739409E-4</v>
      </c>
      <c r="D21" s="58">
        <f t="shared" ca="1" si="2"/>
        <v>9992612.3538983259</v>
      </c>
      <c r="E21" s="59">
        <f t="shared" ca="1" si="3"/>
        <v>7387.646101674065</v>
      </c>
    </row>
    <row r="22" spans="1:5">
      <c r="A22" s="8">
        <v>21</v>
      </c>
      <c r="B22" s="8">
        <f t="shared" ca="1" si="0"/>
        <v>-0.1813801165191499</v>
      </c>
      <c r="C22" s="57">
        <f t="shared" ca="1" si="1"/>
        <v>-2.0815024355390764E-3</v>
      </c>
      <c r="D22" s="58">
        <f t="shared" ca="1" si="2"/>
        <v>9979184.975644609</v>
      </c>
      <c r="E22" s="59">
        <f t="shared" ca="1" si="3"/>
        <v>20815.02435539104</v>
      </c>
    </row>
    <row r="23" spans="1:5">
      <c r="A23" s="8">
        <v>22</v>
      </c>
      <c r="B23" s="8">
        <f t="shared" ca="1" si="0"/>
        <v>1.4759118947454566</v>
      </c>
      <c r="C23" s="57">
        <f t="shared" ca="1" si="1"/>
        <v>1.8471306264480843E-2</v>
      </c>
      <c r="D23" s="58">
        <f t="shared" ca="1" si="2"/>
        <v>10184713.062644808</v>
      </c>
      <c r="E23" s="59">
        <f t="shared" ca="1" si="3"/>
        <v>-184713.06264480762</v>
      </c>
    </row>
    <row r="24" spans="1:5">
      <c r="A24" s="8">
        <v>23</v>
      </c>
      <c r="B24" s="8">
        <f t="shared" ca="1" si="0"/>
        <v>-0.59026832558728526</v>
      </c>
      <c r="C24" s="57">
        <f t="shared" ca="1" si="1"/>
        <v>-7.1523053378342288E-3</v>
      </c>
      <c r="D24" s="58">
        <f t="shared" ca="1" si="2"/>
        <v>9928476.9466216583</v>
      </c>
      <c r="E24" s="59">
        <f t="shared" ca="1" si="3"/>
        <v>71523.05337834172</v>
      </c>
    </row>
    <row r="25" spans="1:5">
      <c r="A25" s="8">
        <v>24</v>
      </c>
      <c r="B25" s="8">
        <f t="shared" ca="1" si="0"/>
        <v>-0.19033373798953371</v>
      </c>
      <c r="C25" s="57">
        <f t="shared" ca="1" si="1"/>
        <v>-2.1925402417931296E-3</v>
      </c>
      <c r="D25" s="58">
        <f t="shared" ca="1" si="2"/>
        <v>9978074.5975820683</v>
      </c>
      <c r="E25" s="59">
        <f t="shared" ca="1" si="3"/>
        <v>21925.402417931706</v>
      </c>
    </row>
    <row r="26" spans="1:5">
      <c r="A26" s="8">
        <v>25</v>
      </c>
      <c r="B26" s="8">
        <f t="shared" ca="1" si="0"/>
        <v>-0.17998084141670001</v>
      </c>
      <c r="C26" s="57">
        <f t="shared" ca="1" si="1"/>
        <v>-2.0641494082488474E-3</v>
      </c>
      <c r="D26" s="58">
        <f t="shared" ca="1" si="2"/>
        <v>9979358.5059175119</v>
      </c>
      <c r="E26" s="59">
        <f t="shared" ca="1" si="3"/>
        <v>20641.49408248812</v>
      </c>
    </row>
    <row r="27" spans="1:5">
      <c r="A27" s="8">
        <v>26</v>
      </c>
      <c r="B27" s="8">
        <f t="shared" ca="1" si="0"/>
        <v>-2.2592243454130343</v>
      </c>
      <c r="C27" s="57">
        <f t="shared" ca="1" si="1"/>
        <v>-2.7849764549051408E-2</v>
      </c>
      <c r="D27" s="58">
        <f t="shared" ca="1" si="2"/>
        <v>9721502.3545094859</v>
      </c>
      <c r="E27" s="59">
        <f t="shared" ca="1" si="3"/>
        <v>278497.64549051411</v>
      </c>
    </row>
    <row r="28" spans="1:5">
      <c r="A28" s="8">
        <v>27</v>
      </c>
      <c r="B28" s="8">
        <f t="shared" ca="1" si="0"/>
        <v>-1.0554019379648463</v>
      </c>
      <c r="C28" s="57">
        <f t="shared" ca="1" si="1"/>
        <v>-1.2920632277303733E-2</v>
      </c>
      <c r="D28" s="58">
        <f t="shared" ca="1" si="2"/>
        <v>9870793.6772269625</v>
      </c>
      <c r="E28" s="59">
        <f t="shared" ca="1" si="3"/>
        <v>129206.32277303748</v>
      </c>
    </row>
    <row r="29" spans="1:5">
      <c r="A29" s="8">
        <v>28</v>
      </c>
      <c r="B29" s="8">
        <f t="shared" ca="1" si="0"/>
        <v>0.31683903402002744</v>
      </c>
      <c r="C29" s="57">
        <f t="shared" ca="1" si="1"/>
        <v>4.0971328454604359E-3</v>
      </c>
      <c r="D29" s="58">
        <f t="shared" ca="1" si="2"/>
        <v>10040971.328454604</v>
      </c>
      <c r="E29" s="59">
        <f t="shared" ca="1" si="3"/>
        <v>-40971.328454604372</v>
      </c>
    </row>
    <row r="30" spans="1:5">
      <c r="A30" s="8">
        <v>29</v>
      </c>
      <c r="B30" s="8">
        <f t="shared" ca="1" si="0"/>
        <v>-0.42746883125954621</v>
      </c>
      <c r="C30" s="57">
        <f t="shared" ca="1" si="1"/>
        <v>-5.1333570531412829E-3</v>
      </c>
      <c r="D30" s="58">
        <f t="shared" ca="1" si="2"/>
        <v>9948666.429468587</v>
      </c>
      <c r="E30" s="59">
        <f t="shared" ca="1" si="3"/>
        <v>51333.570531412959</v>
      </c>
    </row>
    <row r="31" spans="1:5">
      <c r="A31" s="8">
        <v>30</v>
      </c>
      <c r="B31" s="8">
        <f t="shared" ca="1" si="0"/>
        <v>-1.0361499640683887</v>
      </c>
      <c r="C31" s="57">
        <f t="shared" ca="1" si="1"/>
        <v>-1.2681880063510256E-2</v>
      </c>
      <c r="D31" s="58">
        <f t="shared" ca="1" si="2"/>
        <v>9873181.1993648969</v>
      </c>
      <c r="E31" s="59">
        <f t="shared" ca="1" si="3"/>
        <v>126818.80063510314</v>
      </c>
    </row>
    <row r="32" spans="1:5">
      <c r="A32" s="8">
        <v>31</v>
      </c>
      <c r="B32" s="8">
        <f t="shared" ca="1" si="0"/>
        <v>-1.2387673887866677</v>
      </c>
      <c r="C32" s="57">
        <f t="shared" ca="1" si="1"/>
        <v>-1.5194628053134511E-2</v>
      </c>
      <c r="D32" s="58">
        <f t="shared" ca="1" si="2"/>
        <v>9848053.7194686551</v>
      </c>
      <c r="E32" s="59">
        <f t="shared" ca="1" si="3"/>
        <v>151946.28053134494</v>
      </c>
    </row>
    <row r="33" spans="1:5">
      <c r="A33" s="8">
        <v>32</v>
      </c>
      <c r="B33" s="8">
        <f t="shared" ca="1" si="0"/>
        <v>-2.132746600280885</v>
      </c>
      <c r="C33" s="57">
        <f t="shared" ca="1" si="1"/>
        <v>-2.6281258285313736E-2</v>
      </c>
      <c r="D33" s="58">
        <f t="shared" ca="1" si="2"/>
        <v>9737187.4171468634</v>
      </c>
      <c r="E33" s="59">
        <f t="shared" ca="1" si="3"/>
        <v>262812.58285313658</v>
      </c>
    </row>
    <row r="34" spans="1:5">
      <c r="A34" s="8">
        <v>33</v>
      </c>
      <c r="B34" s="8">
        <f t="shared" ca="1" si="0"/>
        <v>0.4397235057140404</v>
      </c>
      <c r="C34" s="57">
        <f t="shared" ca="1" si="1"/>
        <v>5.6210773415199264E-3</v>
      </c>
      <c r="D34" s="58">
        <f t="shared" ca="1" si="2"/>
        <v>10056210.7734152</v>
      </c>
      <c r="E34" s="59">
        <f t="shared" ca="1" si="3"/>
        <v>-56210.773415200412</v>
      </c>
    </row>
    <row r="35" spans="1:5">
      <c r="A35" s="8">
        <v>34</v>
      </c>
      <c r="B35" s="8">
        <f t="shared" ca="1" si="0"/>
        <v>-0.51806478278114321</v>
      </c>
      <c r="C35" s="57">
        <f t="shared" ca="1" si="1"/>
        <v>-6.2568773790486355E-3</v>
      </c>
      <c r="D35" s="58">
        <f t="shared" ca="1" si="2"/>
        <v>9937431.2262095138</v>
      </c>
      <c r="E35" s="59">
        <f t="shared" ca="1" si="3"/>
        <v>62568.773790486157</v>
      </c>
    </row>
    <row r="36" spans="1:5">
      <c r="A36" s="8">
        <v>35</v>
      </c>
      <c r="B36" s="8">
        <f t="shared" ca="1" si="0"/>
        <v>0.81814349507887751</v>
      </c>
      <c r="C36" s="57">
        <f t="shared" ca="1" si="1"/>
        <v>1.0314030422096434E-2</v>
      </c>
      <c r="D36" s="58">
        <f t="shared" ca="1" si="2"/>
        <v>10103140.304220963</v>
      </c>
      <c r="E36" s="59">
        <f t="shared" ca="1" si="3"/>
        <v>-103140.30422096327</v>
      </c>
    </row>
    <row r="37" spans="1:5">
      <c r="A37" s="8">
        <v>36</v>
      </c>
      <c r="B37" s="8">
        <f t="shared" ca="1" si="0"/>
        <v>0.72896563782299928</v>
      </c>
      <c r="C37" s="57">
        <f t="shared" ca="1" si="1"/>
        <v>9.2080965082177463E-3</v>
      </c>
      <c r="D37" s="58">
        <f t="shared" ca="1" si="2"/>
        <v>10092080.965082178</v>
      </c>
      <c r="E37" s="59">
        <f t="shared" ca="1" si="3"/>
        <v>-92080.965082177892</v>
      </c>
    </row>
    <row r="38" spans="1:5">
      <c r="A38" s="8">
        <v>37</v>
      </c>
      <c r="B38" s="8">
        <f t="shared" ca="1" si="0"/>
        <v>0.35166307152755427</v>
      </c>
      <c r="C38" s="57">
        <f t="shared" ca="1" si="1"/>
        <v>4.529001083640365E-3</v>
      </c>
      <c r="D38" s="58">
        <f t="shared" ca="1" si="2"/>
        <v>10045290.010836404</v>
      </c>
      <c r="E38" s="59">
        <f t="shared" ca="1" si="3"/>
        <v>-45290.010836403817</v>
      </c>
    </row>
    <row r="39" spans="1:5">
      <c r="A39" s="8">
        <v>38</v>
      </c>
      <c r="B39" s="8">
        <f t="shared" ca="1" si="0"/>
        <v>-1.3621454823519241</v>
      </c>
      <c r="C39" s="57">
        <f t="shared" ca="1" si="1"/>
        <v>-1.6724694171588159E-2</v>
      </c>
      <c r="D39" s="58">
        <f t="shared" ca="1" si="2"/>
        <v>9832753.0582841188</v>
      </c>
      <c r="E39" s="59">
        <f t="shared" ca="1" si="3"/>
        <v>167246.94171588123</v>
      </c>
    </row>
    <row r="40" spans="1:5">
      <c r="A40" s="8">
        <v>39</v>
      </c>
      <c r="B40" s="8">
        <f t="shared" ca="1" si="0"/>
        <v>0.33361019695537891</v>
      </c>
      <c r="C40" s="57">
        <f t="shared" ca="1" si="1"/>
        <v>4.3051194290825469E-3</v>
      </c>
      <c r="D40" s="58">
        <f t="shared" ca="1" si="2"/>
        <v>10043051.194290826</v>
      </c>
      <c r="E40" s="59">
        <f t="shared" ca="1" si="3"/>
        <v>-43051.194290826097</v>
      </c>
    </row>
    <row r="41" spans="1:5">
      <c r="A41" s="8">
        <v>40</v>
      </c>
      <c r="B41" s="8">
        <f t="shared" ca="1" si="0"/>
        <v>-0.80063450065781594</v>
      </c>
      <c r="C41" s="57">
        <f t="shared" ca="1" si="1"/>
        <v>-9.7611489959173649E-3</v>
      </c>
      <c r="D41" s="58">
        <f t="shared" ca="1" si="2"/>
        <v>9902388.5100408252</v>
      </c>
      <c r="E41" s="59">
        <f t="shared" ca="1" si="3"/>
        <v>97611.489959174767</v>
      </c>
    </row>
    <row r="42" spans="1:5">
      <c r="A42" s="8">
        <v>41</v>
      </c>
      <c r="B42" s="8">
        <f t="shared" ca="1" si="0"/>
        <v>0.1986558608183856</v>
      </c>
      <c r="C42" s="57">
        <f t="shared" ca="1" si="1"/>
        <v>2.6314912241500151E-3</v>
      </c>
      <c r="D42" s="58">
        <f t="shared" ca="1" si="2"/>
        <v>10026314.9122415</v>
      </c>
      <c r="E42" s="59">
        <f t="shared" ca="1" si="3"/>
        <v>-26314.912241499871</v>
      </c>
    </row>
    <row r="43" spans="1:5">
      <c r="A43" s="8">
        <v>42</v>
      </c>
      <c r="B43" s="8">
        <f t="shared" ca="1" si="0"/>
        <v>1.8713780573384691</v>
      </c>
      <c r="C43" s="57">
        <f t="shared" ca="1" si="1"/>
        <v>2.3375656452534355E-2</v>
      </c>
      <c r="D43" s="58">
        <f t="shared" ca="1" si="2"/>
        <v>10233756.564525343</v>
      </c>
      <c r="E43" s="59">
        <f t="shared" ca="1" si="3"/>
        <v>-233756.56452534348</v>
      </c>
    </row>
    <row r="44" spans="1:5">
      <c r="A44" s="8">
        <v>43</v>
      </c>
      <c r="B44" s="8">
        <f t="shared" ca="1" si="0"/>
        <v>-0.49126021695523114</v>
      </c>
      <c r="C44" s="57">
        <f t="shared" ca="1" si="1"/>
        <v>-5.924462143856204E-3</v>
      </c>
      <c r="D44" s="58">
        <f t="shared" ca="1" si="2"/>
        <v>9940755.3785614371</v>
      </c>
      <c r="E44" s="59">
        <f t="shared" ca="1" si="3"/>
        <v>59244.62143856287</v>
      </c>
    </row>
    <row r="45" spans="1:5">
      <c r="A45" s="8">
        <v>44</v>
      </c>
      <c r="B45" s="8">
        <f t="shared" ca="1" si="0"/>
        <v>-0.69616738236441278</v>
      </c>
      <c r="C45" s="57">
        <f t="shared" ca="1" si="1"/>
        <v>-8.4656062170148632E-3</v>
      </c>
      <c r="D45" s="58">
        <f t="shared" ca="1" si="2"/>
        <v>9915343.9378298521</v>
      </c>
      <c r="E45" s="59">
        <f t="shared" ca="1" si="3"/>
        <v>84656.062170147896</v>
      </c>
    </row>
    <row r="46" spans="1:5">
      <c r="A46" s="8">
        <v>45</v>
      </c>
      <c r="B46" s="8">
        <f t="shared" ca="1" si="0"/>
        <v>0.811313247227473</v>
      </c>
      <c r="C46" s="57">
        <f t="shared" ca="1" si="1"/>
        <v>1.0229325507989885E-2</v>
      </c>
      <c r="D46" s="58">
        <f t="shared" ca="1" si="2"/>
        <v>10102293.255079899</v>
      </c>
      <c r="E46" s="59">
        <f t="shared" ca="1" si="3"/>
        <v>-102293.25507989898</v>
      </c>
    </row>
    <row r="47" spans="1:5">
      <c r="A47" s="8">
        <v>46</v>
      </c>
      <c r="B47" s="8">
        <f t="shared" ca="1" si="0"/>
        <v>-0.28797583688913814</v>
      </c>
      <c r="C47" s="57">
        <f t="shared" ca="1" si="1"/>
        <v>-3.4034429469963485E-3</v>
      </c>
      <c r="D47" s="58">
        <f t="shared" ca="1" si="2"/>
        <v>9965965.5705300365</v>
      </c>
      <c r="E47" s="59">
        <f t="shared" ca="1" si="3"/>
        <v>34034.429469963536</v>
      </c>
    </row>
    <row r="48" spans="1:5">
      <c r="A48" s="8">
        <v>47</v>
      </c>
      <c r="B48" s="8">
        <f t="shared" ca="1" si="0"/>
        <v>1.206911215969664</v>
      </c>
      <c r="C48" s="57">
        <f t="shared" ca="1" si="1"/>
        <v>1.5135310282194264E-2</v>
      </c>
      <c r="D48" s="58">
        <f t="shared" ca="1" si="2"/>
        <v>10151353.102821942</v>
      </c>
      <c r="E48" s="59">
        <f t="shared" ca="1" si="3"/>
        <v>-151353.10282194242</v>
      </c>
    </row>
    <row r="49" spans="1:5">
      <c r="A49" s="8">
        <v>48</v>
      </c>
      <c r="B49" s="8">
        <f t="shared" ca="1" si="0"/>
        <v>-1.8556384458542223</v>
      </c>
      <c r="C49" s="57">
        <f t="shared" ca="1" si="1"/>
        <v>-2.2844717924028278E-2</v>
      </c>
      <c r="D49" s="58">
        <f t="shared" ca="1" si="2"/>
        <v>9771552.8207597174</v>
      </c>
      <c r="E49" s="59">
        <f t="shared" ca="1" si="3"/>
        <v>228447.17924028262</v>
      </c>
    </row>
    <row r="50" spans="1:5">
      <c r="A50" s="8">
        <v>49</v>
      </c>
      <c r="B50" s="8">
        <f t="shared" ca="1" si="0"/>
        <v>-1.1086921532190654</v>
      </c>
      <c r="C50" s="57">
        <f t="shared" ca="1" si="1"/>
        <v>-1.3581507724876249E-2</v>
      </c>
      <c r="D50" s="58">
        <f t="shared" ca="1" si="2"/>
        <v>9864184.9227512386</v>
      </c>
      <c r="E50" s="59">
        <f t="shared" ca="1" si="3"/>
        <v>135815.07724876143</v>
      </c>
    </row>
    <row r="51" spans="1:5">
      <c r="A51" s="8">
        <v>50</v>
      </c>
      <c r="B51" s="8">
        <f t="shared" ca="1" si="0"/>
        <v>-0.6845039430695985</v>
      </c>
      <c r="C51" s="57">
        <f t="shared" ca="1" si="1"/>
        <v>-8.3209627655402504E-3</v>
      </c>
      <c r="D51" s="58">
        <f t="shared" ca="1" si="2"/>
        <v>9916790.3723445963</v>
      </c>
      <c r="E51" s="59">
        <f t="shared" ca="1" si="3"/>
        <v>83209.627655403689</v>
      </c>
    </row>
    <row r="52" spans="1:5">
      <c r="A52" s="8">
        <v>51</v>
      </c>
      <c r="B52" s="8">
        <f t="shared" ca="1" si="0"/>
        <v>1.590978062717382</v>
      </c>
      <c r="C52" s="57">
        <f t="shared" ca="1" si="1"/>
        <v>1.9898292530085758E-2</v>
      </c>
      <c r="D52" s="58">
        <f t="shared" ca="1" si="2"/>
        <v>10198982.925300857</v>
      </c>
      <c r="E52" s="59">
        <f t="shared" ca="1" si="3"/>
        <v>-198982.92530085705</v>
      </c>
    </row>
    <row r="53" spans="1:5">
      <c r="A53" s="8">
        <v>52</v>
      </c>
      <c r="B53" s="8">
        <f t="shared" ca="1" si="0"/>
        <v>-9.1691460977782899E-2</v>
      </c>
      <c r="C53" s="57">
        <f t="shared" ca="1" si="1"/>
        <v>-9.6923388698249755E-4</v>
      </c>
      <c r="D53" s="58">
        <f t="shared" ca="1" si="2"/>
        <v>9990307.661130175</v>
      </c>
      <c r="E53" s="59">
        <f t="shared" ca="1" si="3"/>
        <v>9692.3388698250055</v>
      </c>
    </row>
    <row r="54" spans="1:5">
      <c r="A54" s="8">
        <v>53</v>
      </c>
      <c r="B54" s="8">
        <f t="shared" ca="1" si="0"/>
        <v>-6.8145800209482257E-2</v>
      </c>
      <c r="C54" s="57">
        <f t="shared" ca="1" si="1"/>
        <v>-6.7723376980508964E-4</v>
      </c>
      <c r="D54" s="58">
        <f t="shared" ca="1" si="2"/>
        <v>9993227.6623019483</v>
      </c>
      <c r="E54" s="59">
        <f t="shared" ca="1" si="3"/>
        <v>6772.337698051706</v>
      </c>
    </row>
    <row r="55" spans="1:5">
      <c r="A55" s="8">
        <v>54</v>
      </c>
      <c r="B55" s="8">
        <f t="shared" ca="1" si="0"/>
        <v>0.52540512655687666</v>
      </c>
      <c r="C55" s="57">
        <f t="shared" ca="1" si="1"/>
        <v>6.6836528866386852E-3</v>
      </c>
      <c r="D55" s="58">
        <f t="shared" ca="1" si="2"/>
        <v>10066836.528866388</v>
      </c>
      <c r="E55" s="59">
        <f t="shared" ca="1" si="3"/>
        <v>-66836.528866387904</v>
      </c>
    </row>
    <row r="56" spans="1:5">
      <c r="A56" s="8">
        <v>55</v>
      </c>
      <c r="B56" s="8">
        <f t="shared" ca="1" si="0"/>
        <v>0.60610988857512993</v>
      </c>
      <c r="C56" s="57">
        <f t="shared" ca="1" si="1"/>
        <v>7.684508211872592E-3</v>
      </c>
      <c r="D56" s="58">
        <f t="shared" ca="1" si="2"/>
        <v>10076845.082118725</v>
      </c>
      <c r="E56" s="59">
        <f t="shared" ca="1" si="3"/>
        <v>-76845.082118725404</v>
      </c>
    </row>
    <row r="57" spans="1:5">
      <c r="A57" s="8">
        <v>56</v>
      </c>
      <c r="B57" s="8">
        <f t="shared" ca="1" si="0"/>
        <v>-0.82389102327446939</v>
      </c>
      <c r="C57" s="57">
        <f t="shared" ca="1" si="1"/>
        <v>-1.0049563383435612E-2</v>
      </c>
      <c r="D57" s="58">
        <f t="shared" ca="1" si="2"/>
        <v>9899504.3661656436</v>
      </c>
      <c r="E57" s="59">
        <f t="shared" ca="1" si="3"/>
        <v>100495.63383435644</v>
      </c>
    </row>
    <row r="58" spans="1:5">
      <c r="A58" s="8">
        <v>57</v>
      </c>
      <c r="B58" s="8">
        <f t="shared" ca="1" si="0"/>
        <v>-0.32374004189155492</v>
      </c>
      <c r="C58" s="57">
        <f t="shared" ca="1" si="1"/>
        <v>-3.8469706166688036E-3</v>
      </c>
      <c r="D58" s="58">
        <f t="shared" ca="1" si="2"/>
        <v>9961530.2938333116</v>
      </c>
      <c r="E58" s="59">
        <f t="shared" ca="1" si="3"/>
        <v>38469.706166688353</v>
      </c>
    </row>
    <row r="59" spans="1:5">
      <c r="A59" s="8">
        <v>58</v>
      </c>
      <c r="B59" s="8">
        <f t="shared" ca="1" si="0"/>
        <v>1.355395608337161</v>
      </c>
      <c r="C59" s="57">
        <f t="shared" ca="1" si="1"/>
        <v>1.6976730677951309E-2</v>
      </c>
      <c r="D59" s="58">
        <f t="shared" ca="1" si="2"/>
        <v>10169767.306779513</v>
      </c>
      <c r="E59" s="59">
        <f t="shared" ca="1" si="3"/>
        <v>-169767.30677951314</v>
      </c>
    </row>
    <row r="60" spans="1:5">
      <c r="A60" s="8">
        <v>59</v>
      </c>
      <c r="B60" s="8">
        <f t="shared" ca="1" si="0"/>
        <v>-1.0736756861522676</v>
      </c>
      <c r="C60" s="57">
        <f t="shared" ca="1" si="1"/>
        <v>-1.3147253082916512E-2</v>
      </c>
      <c r="D60" s="58">
        <f t="shared" ca="1" si="2"/>
        <v>9868527.4691708349</v>
      </c>
      <c r="E60" s="59">
        <f t="shared" ca="1" si="3"/>
        <v>131472.53082916513</v>
      </c>
    </row>
    <row r="61" spans="1:5">
      <c r="A61" s="8">
        <v>60</v>
      </c>
      <c r="B61" s="8">
        <f t="shared" ca="1" si="0"/>
        <v>-1.0161474244192039</v>
      </c>
      <c r="C61" s="57">
        <f t="shared" ca="1" si="1"/>
        <v>-1.2433819752997712E-2</v>
      </c>
      <c r="D61" s="58">
        <f t="shared" ca="1" si="2"/>
        <v>9875661.8024700228</v>
      </c>
      <c r="E61" s="59">
        <f t="shared" ca="1" si="3"/>
        <v>124338.19752997719</v>
      </c>
    </row>
    <row r="62" spans="1:5">
      <c r="A62" s="8">
        <v>61</v>
      </c>
      <c r="B62" s="8">
        <f t="shared" ca="1" si="0"/>
        <v>0.14877037468324322</v>
      </c>
      <c r="C62" s="57">
        <f t="shared" ca="1" si="1"/>
        <v>2.0128393230521959E-3</v>
      </c>
      <c r="D62" s="58">
        <f t="shared" ca="1" si="2"/>
        <v>10020128.393230522</v>
      </c>
      <c r="E62" s="59">
        <f t="shared" ca="1" si="3"/>
        <v>-20128.393230522051</v>
      </c>
    </row>
    <row r="63" spans="1:5">
      <c r="A63" s="8">
        <v>62</v>
      </c>
      <c r="B63" s="8">
        <f t="shared" ca="1" si="0"/>
        <v>0.12788123808441884</v>
      </c>
      <c r="C63" s="57">
        <f t="shared" ca="1" si="1"/>
        <v>1.7537839329905378E-3</v>
      </c>
      <c r="D63" s="58">
        <f t="shared" ca="1" si="2"/>
        <v>10017537.839329906</v>
      </c>
      <c r="E63" s="59">
        <f t="shared" ca="1" si="3"/>
        <v>-17537.839329905808</v>
      </c>
    </row>
    <row r="64" spans="1:5">
      <c r="A64" s="8">
        <v>63</v>
      </c>
      <c r="B64" s="8">
        <f t="shared" ca="1" si="0"/>
        <v>0.32660165622346882</v>
      </c>
      <c r="C64" s="57">
        <f t="shared" ca="1" si="1"/>
        <v>4.2182034263804451E-3</v>
      </c>
      <c r="D64" s="58">
        <f t="shared" ca="1" si="2"/>
        <v>10042182.034263805</v>
      </c>
      <c r="E64" s="59">
        <f t="shared" ca="1" si="3"/>
        <v>-42182.034263804555</v>
      </c>
    </row>
    <row r="65" spans="1:5">
      <c r="A65" s="8">
        <v>64</v>
      </c>
      <c r="B65" s="8">
        <f t="shared" ca="1" si="0"/>
        <v>2.4955797359784166</v>
      </c>
      <c r="C65" s="57">
        <f t="shared" ca="1" si="1"/>
        <v>3.111665659259346E-2</v>
      </c>
      <c r="D65" s="58">
        <f t="shared" ca="1" si="2"/>
        <v>10311166.565925935</v>
      </c>
      <c r="E65" s="59">
        <f t="shared" ca="1" si="3"/>
        <v>-311166.56592593528</v>
      </c>
    </row>
    <row r="66" spans="1:5">
      <c r="A66" s="8">
        <v>65</v>
      </c>
      <c r="B66" s="8">
        <f t="shared" ca="1" si="0"/>
        <v>-1.2648208806310886</v>
      </c>
      <c r="C66" s="57">
        <f t="shared" ca="1" si="1"/>
        <v>-1.5517728888838964E-2</v>
      </c>
      <c r="D66" s="58">
        <f t="shared" ca="1" si="2"/>
        <v>9844822.7111116108</v>
      </c>
      <c r="E66" s="59">
        <f t="shared" ca="1" si="3"/>
        <v>155177.28888838924</v>
      </c>
    </row>
    <row r="67" spans="1:5">
      <c r="A67" s="8">
        <v>66</v>
      </c>
      <c r="B67" s="8">
        <f t="shared" ref="B67:B130" ca="1" si="4">_xlfn.NORM.S.INV(RAND())</f>
        <v>-0.99926818775777526</v>
      </c>
      <c r="C67" s="57">
        <f t="shared" ref="C67:C130" ca="1" si="5" xml:space="preserve"> $H$2 + $H$3 * B67</f>
        <v>-1.2224492899463922E-2</v>
      </c>
      <c r="D67" s="58">
        <f t="shared" ref="D67:D130" ca="1" si="6">$H$4 * (1 + C67)</f>
        <v>9877755.0710053612</v>
      </c>
      <c r="E67" s="59">
        <f t="shared" ref="E67:E130" ca="1" si="7">$H$4-D67</f>
        <v>122244.92899463885</v>
      </c>
    </row>
    <row r="68" spans="1:5">
      <c r="A68" s="8">
        <v>67</v>
      </c>
      <c r="B68" s="8">
        <f t="shared" ca="1" si="4"/>
        <v>-9.1501224965516353E-2</v>
      </c>
      <c r="C68" s="57">
        <f t="shared" ca="1" si="5"/>
        <v>-9.668746863459208E-4</v>
      </c>
      <c r="D68" s="58">
        <f t="shared" ca="1" si="6"/>
        <v>9990331.2531365398</v>
      </c>
      <c r="E68" s="59">
        <f t="shared" ca="1" si="7"/>
        <v>9668.7468634601682</v>
      </c>
    </row>
    <row r="69" spans="1:5">
      <c r="A69" s="8">
        <v>68</v>
      </c>
      <c r="B69" s="8">
        <f t="shared" ca="1" si="4"/>
        <v>-0.43494368945293471</v>
      </c>
      <c r="C69" s="57">
        <f t="shared" ca="1" si="5"/>
        <v>-5.2260560642173473E-3</v>
      </c>
      <c r="D69" s="58">
        <f t="shared" ca="1" si="6"/>
        <v>9947739.4393578265</v>
      </c>
      <c r="E69" s="59">
        <f t="shared" ca="1" si="7"/>
        <v>52260.560642173514</v>
      </c>
    </row>
    <row r="70" spans="1:5">
      <c r="A70" s="8">
        <v>69</v>
      </c>
      <c r="B70" s="8">
        <f t="shared" ca="1" si="4"/>
        <v>0.33045088317890003</v>
      </c>
      <c r="C70" s="57">
        <f t="shared" ca="1" si="5"/>
        <v>4.2659393864407195E-3</v>
      </c>
      <c r="D70" s="58">
        <f t="shared" ca="1" si="6"/>
        <v>10042659.393864408</v>
      </c>
      <c r="E70" s="59">
        <f t="shared" ca="1" si="7"/>
        <v>-42659.393864408135</v>
      </c>
    </row>
    <row r="71" spans="1:5">
      <c r="A71" s="8">
        <v>70</v>
      </c>
      <c r="B71" s="8">
        <f t="shared" ca="1" si="4"/>
        <v>-0.5065865241426678</v>
      </c>
      <c r="C71" s="57">
        <f t="shared" ca="1" si="5"/>
        <v>-6.1145304345135423E-3</v>
      </c>
      <c r="D71" s="58">
        <f t="shared" ca="1" si="6"/>
        <v>9938854.6956548654</v>
      </c>
      <c r="E71" s="59">
        <f t="shared" ca="1" si="7"/>
        <v>61145.304345134646</v>
      </c>
    </row>
    <row r="72" spans="1:5">
      <c r="A72" s="8">
        <v>71</v>
      </c>
      <c r="B72" s="8">
        <f t="shared" ca="1" si="4"/>
        <v>-0.4229078792206758</v>
      </c>
      <c r="C72" s="57">
        <f t="shared" ca="1" si="5"/>
        <v>-5.0767946766212034E-3</v>
      </c>
      <c r="D72" s="58">
        <f t="shared" ca="1" si="6"/>
        <v>9949232.0532337874</v>
      </c>
      <c r="E72" s="59">
        <f t="shared" ca="1" si="7"/>
        <v>50767.946766212583</v>
      </c>
    </row>
    <row r="73" spans="1:5">
      <c r="A73" s="8">
        <v>72</v>
      </c>
      <c r="B73" s="8">
        <f t="shared" ca="1" si="4"/>
        <v>-0.58225306151944656</v>
      </c>
      <c r="C73" s="57">
        <f t="shared" ca="1" si="5"/>
        <v>-7.0529045153197162E-3</v>
      </c>
      <c r="D73" s="58">
        <f t="shared" ca="1" si="6"/>
        <v>9929470.9548468031</v>
      </c>
      <c r="E73" s="59">
        <f t="shared" ca="1" si="7"/>
        <v>70529.045153196901</v>
      </c>
    </row>
    <row r="74" spans="1:5">
      <c r="A74" s="8">
        <v>73</v>
      </c>
      <c r="B74" s="8">
        <f t="shared" ca="1" si="4"/>
        <v>-3.5104568647236906E-2</v>
      </c>
      <c r="C74" s="57">
        <f t="shared" ca="1" si="5"/>
        <v>-2.6747489394246754E-4</v>
      </c>
      <c r="D74" s="58">
        <f t="shared" ca="1" si="6"/>
        <v>9997325.2510605752</v>
      </c>
      <c r="E74" s="59">
        <f t="shared" ca="1" si="7"/>
        <v>2674.7489394247532</v>
      </c>
    </row>
    <row r="75" spans="1:5">
      <c r="A75" s="8">
        <v>74</v>
      </c>
      <c r="B75" s="8">
        <f t="shared" ca="1" si="4"/>
        <v>1.0071387150885904</v>
      </c>
      <c r="C75" s="57">
        <f t="shared" ca="1" si="5"/>
        <v>1.2657843447004342E-2</v>
      </c>
      <c r="D75" s="58">
        <f t="shared" ca="1" si="6"/>
        <v>10126578.434470044</v>
      </c>
      <c r="E75" s="59">
        <f t="shared" ca="1" si="7"/>
        <v>-126578.43447004445</v>
      </c>
    </row>
    <row r="76" spans="1:5">
      <c r="A76" s="8">
        <v>75</v>
      </c>
      <c r="B76" s="8">
        <f t="shared" ca="1" si="4"/>
        <v>-0.95733140337270761</v>
      </c>
      <c r="C76" s="57">
        <f t="shared" ca="1" si="5"/>
        <v>-1.1704416352240005E-2</v>
      </c>
      <c r="D76" s="58">
        <f t="shared" ca="1" si="6"/>
        <v>9882955.8364776</v>
      </c>
      <c r="E76" s="59">
        <f t="shared" ca="1" si="7"/>
        <v>117044.16352239996</v>
      </c>
    </row>
    <row r="77" spans="1:5">
      <c r="A77" s="8">
        <v>76</v>
      </c>
      <c r="B77" s="8">
        <f t="shared" ca="1" si="4"/>
        <v>-1.9213553391599398</v>
      </c>
      <c r="C77" s="57">
        <f t="shared" ca="1" si="5"/>
        <v>-2.3659702083302293E-2</v>
      </c>
      <c r="D77" s="58">
        <f t="shared" ca="1" si="6"/>
        <v>9763402.9791669771</v>
      </c>
      <c r="E77" s="59">
        <f t="shared" ca="1" si="7"/>
        <v>236597.02083302289</v>
      </c>
    </row>
    <row r="78" spans="1:5">
      <c r="A78" s="8">
        <v>77</v>
      </c>
      <c r="B78" s="8">
        <f t="shared" ca="1" si="4"/>
        <v>0.31025002679331026</v>
      </c>
      <c r="C78" s="57">
        <f t="shared" ca="1" si="5"/>
        <v>4.0154196626698956E-3</v>
      </c>
      <c r="D78" s="58">
        <f t="shared" ca="1" si="6"/>
        <v>10040154.196626699</v>
      </c>
      <c r="E78" s="59">
        <f t="shared" ca="1" si="7"/>
        <v>-40154.196626698598</v>
      </c>
    </row>
    <row r="79" spans="1:5">
      <c r="A79" s="8">
        <v>78</v>
      </c>
      <c r="B79" s="8">
        <f t="shared" ca="1" si="4"/>
        <v>0.47479667181486634</v>
      </c>
      <c r="C79" s="57">
        <f t="shared" ca="1" si="5"/>
        <v>6.0560351331913221E-3</v>
      </c>
      <c r="D79" s="58">
        <f t="shared" ca="1" si="6"/>
        <v>10060560.351331914</v>
      </c>
      <c r="E79" s="59">
        <f t="shared" ca="1" si="7"/>
        <v>-60560.351331913844</v>
      </c>
    </row>
    <row r="80" spans="1:5">
      <c r="A80" s="8">
        <v>79</v>
      </c>
      <c r="B80" s="8">
        <f t="shared" ca="1" si="4"/>
        <v>8.6476687617928358E-2</v>
      </c>
      <c r="C80" s="57">
        <f t="shared" ca="1" si="5"/>
        <v>1.2403078531784144E-3</v>
      </c>
      <c r="D80" s="58">
        <f t="shared" ca="1" si="6"/>
        <v>10012403.078531785</v>
      </c>
      <c r="E80" s="59">
        <f t="shared" ca="1" si="7"/>
        <v>-12403.078531784937</v>
      </c>
    </row>
    <row r="81" spans="1:5">
      <c r="A81" s="8">
        <v>80</v>
      </c>
      <c r="B81" s="8">
        <f t="shared" ca="1" si="4"/>
        <v>0.45756465370544458</v>
      </c>
      <c r="C81" s="57">
        <f t="shared" ca="1" si="5"/>
        <v>5.8423332814289547E-3</v>
      </c>
      <c r="D81" s="58">
        <f t="shared" ca="1" si="6"/>
        <v>10058423.332814291</v>
      </c>
      <c r="E81" s="59">
        <f t="shared" ca="1" si="7"/>
        <v>-58423.33281429112</v>
      </c>
    </row>
    <row r="82" spans="1:5">
      <c r="A82" s="8">
        <v>81</v>
      </c>
      <c r="B82" s="8">
        <f t="shared" ca="1" si="4"/>
        <v>-6.6398270461933542E-2</v>
      </c>
      <c r="C82" s="57">
        <f t="shared" ca="1" si="5"/>
        <v>-6.5556188316420933E-4</v>
      </c>
      <c r="D82" s="58">
        <f t="shared" ca="1" si="6"/>
        <v>9993444.381168358</v>
      </c>
      <c r="E82" s="59">
        <f t="shared" ca="1" si="7"/>
        <v>6555.6188316419721</v>
      </c>
    </row>
    <row r="83" spans="1:5">
      <c r="A83" s="8">
        <v>82</v>
      </c>
      <c r="B83" s="8">
        <f t="shared" ca="1" si="4"/>
        <v>0.67874799632602856</v>
      </c>
      <c r="C83" s="57">
        <f t="shared" ca="1" si="5"/>
        <v>8.5853254020770361E-3</v>
      </c>
      <c r="D83" s="58">
        <f t="shared" ca="1" si="6"/>
        <v>10085853.254020771</v>
      </c>
      <c r="E83" s="59">
        <f t="shared" ca="1" si="7"/>
        <v>-85853.254020771012</v>
      </c>
    </row>
    <row r="84" spans="1:5">
      <c r="A84" s="8">
        <v>83</v>
      </c>
      <c r="B84" s="8">
        <f t="shared" ca="1" si="4"/>
        <v>-0.65220490609082338</v>
      </c>
      <c r="C84" s="57">
        <f t="shared" ca="1" si="5"/>
        <v>-7.9204081718370623E-3</v>
      </c>
      <c r="D84" s="58">
        <f t="shared" ca="1" si="6"/>
        <v>9920795.9182816297</v>
      </c>
      <c r="E84" s="59">
        <f t="shared" ca="1" si="7"/>
        <v>79204.081718370318</v>
      </c>
    </row>
    <row r="85" spans="1:5">
      <c r="A85" s="8">
        <v>84</v>
      </c>
      <c r="B85" s="8">
        <f t="shared" ca="1" si="4"/>
        <v>1.8495286963074555</v>
      </c>
      <c r="C85" s="57">
        <f t="shared" ca="1" si="5"/>
        <v>2.3104692896060427E-2</v>
      </c>
      <c r="D85" s="58">
        <f t="shared" ca="1" si="6"/>
        <v>10231046.928960603</v>
      </c>
      <c r="E85" s="59">
        <f t="shared" ca="1" si="7"/>
        <v>-231046.92896060273</v>
      </c>
    </row>
    <row r="86" spans="1:5">
      <c r="A86" s="8">
        <v>85</v>
      </c>
      <c r="B86" s="8">
        <f t="shared" ca="1" si="4"/>
        <v>8.6156974854304999E-2</v>
      </c>
      <c r="C86" s="57">
        <f t="shared" ca="1" si="5"/>
        <v>1.2363429542800654E-3</v>
      </c>
      <c r="D86" s="58">
        <f t="shared" ca="1" si="6"/>
        <v>10012363.4295428</v>
      </c>
      <c r="E86" s="59">
        <f t="shared" ca="1" si="7"/>
        <v>-12363.429542800412</v>
      </c>
    </row>
    <row r="87" spans="1:5">
      <c r="A87" s="8">
        <v>86</v>
      </c>
      <c r="B87" s="8">
        <f t="shared" ca="1" si="4"/>
        <v>-0.26304841481934754</v>
      </c>
      <c r="C87" s="57">
        <f t="shared" ca="1" si="5"/>
        <v>-3.0943069988938017E-3</v>
      </c>
      <c r="D87" s="58">
        <f t="shared" ca="1" si="6"/>
        <v>9969056.930011062</v>
      </c>
      <c r="E87" s="59">
        <f t="shared" ca="1" si="7"/>
        <v>30943.069988938048</v>
      </c>
    </row>
    <row r="88" spans="1:5">
      <c r="A88" s="8">
        <v>87</v>
      </c>
      <c r="B88" s="8">
        <f t="shared" ca="1" si="4"/>
        <v>0.68545005124499347</v>
      </c>
      <c r="C88" s="57">
        <f t="shared" ca="1" si="5"/>
        <v>8.6684405391260627E-3</v>
      </c>
      <c r="D88" s="58">
        <f t="shared" ca="1" si="6"/>
        <v>10086684.405391259</v>
      </c>
      <c r="E88" s="59">
        <f t="shared" ca="1" si="7"/>
        <v>-86684.405391259119</v>
      </c>
    </row>
    <row r="89" spans="1:5">
      <c r="A89" s="8">
        <v>88</v>
      </c>
      <c r="B89" s="8">
        <f t="shared" ca="1" si="4"/>
        <v>0.63684294663106367</v>
      </c>
      <c r="C89" s="57">
        <f t="shared" ca="1" si="5"/>
        <v>8.0656424107324719E-3</v>
      </c>
      <c r="D89" s="58">
        <f t="shared" ca="1" si="6"/>
        <v>10080656.424107324</v>
      </c>
      <c r="E89" s="59">
        <f t="shared" ca="1" si="7"/>
        <v>-80656.424107324332</v>
      </c>
    </row>
    <row r="90" spans="1:5">
      <c r="A90" s="8">
        <v>89</v>
      </c>
      <c r="B90" s="8">
        <f t="shared" ca="1" si="4"/>
        <v>1.7394367146232919</v>
      </c>
      <c r="C90" s="57">
        <f t="shared" ca="1" si="5"/>
        <v>2.1739393707033292E-2</v>
      </c>
      <c r="D90" s="58">
        <f t="shared" ca="1" si="6"/>
        <v>10217393.937070334</v>
      </c>
      <c r="E90" s="59">
        <f t="shared" ca="1" si="7"/>
        <v>-217393.93707033433</v>
      </c>
    </row>
    <row r="91" spans="1:5">
      <c r="A91" s="8">
        <v>90</v>
      </c>
      <c r="B91" s="8">
        <f t="shared" ca="1" si="4"/>
        <v>-0.1127337297215007</v>
      </c>
      <c r="C91" s="57">
        <f t="shared" ca="1" si="5"/>
        <v>-1.2301883362675306E-3</v>
      </c>
      <c r="D91" s="58">
        <f t="shared" ca="1" si="6"/>
        <v>9987698.1166373249</v>
      </c>
      <c r="E91" s="59">
        <f t="shared" ca="1" si="7"/>
        <v>12301.883362675086</v>
      </c>
    </row>
    <row r="92" spans="1:5">
      <c r="A92" s="8">
        <v>91</v>
      </c>
      <c r="B92" s="8">
        <f t="shared" ca="1" si="4"/>
        <v>1.0740604950273489</v>
      </c>
      <c r="C92" s="57">
        <f t="shared" ca="1" si="5"/>
        <v>1.3487769936480751E-2</v>
      </c>
      <c r="D92" s="58">
        <f t="shared" ca="1" si="6"/>
        <v>10134877.699364807</v>
      </c>
      <c r="E92" s="59">
        <f t="shared" ca="1" si="7"/>
        <v>-134877.69936480746</v>
      </c>
    </row>
    <row r="93" spans="1:5">
      <c r="A93" s="8">
        <v>92</v>
      </c>
      <c r="B93" s="8">
        <f t="shared" ca="1" si="4"/>
        <v>-1.6948967116177429</v>
      </c>
      <c r="C93" s="57">
        <f t="shared" ca="1" si="5"/>
        <v>-2.0851288829205752E-2</v>
      </c>
      <c r="D93" s="58">
        <f t="shared" ca="1" si="6"/>
        <v>9791487.1117079426</v>
      </c>
      <c r="E93" s="59">
        <f t="shared" ca="1" si="7"/>
        <v>208512.88829205744</v>
      </c>
    </row>
    <row r="94" spans="1:5">
      <c r="A94" s="8">
        <v>93</v>
      </c>
      <c r="B94" s="8">
        <f t="shared" ca="1" si="4"/>
        <v>1.3257554543750174</v>
      </c>
      <c r="C94" s="57">
        <f t="shared" ca="1" si="5"/>
        <v>1.6609150064467129E-2</v>
      </c>
      <c r="D94" s="58">
        <f t="shared" ca="1" si="6"/>
        <v>10166091.500644671</v>
      </c>
      <c r="E94" s="59">
        <f t="shared" ca="1" si="7"/>
        <v>-166091.5006446708</v>
      </c>
    </row>
    <row r="95" spans="1:5">
      <c r="A95" s="8">
        <v>94</v>
      </c>
      <c r="B95" s="8">
        <f t="shared" ca="1" si="4"/>
        <v>0.21459743032527484</v>
      </c>
      <c r="C95" s="57">
        <f t="shared" ca="1" si="5"/>
        <v>2.8291896540140163E-3</v>
      </c>
      <c r="D95" s="58">
        <f t="shared" ca="1" si="6"/>
        <v>10028291.896540141</v>
      </c>
      <c r="E95" s="59">
        <f t="shared" ca="1" si="7"/>
        <v>-28291.896540140733</v>
      </c>
    </row>
    <row r="96" spans="1:5">
      <c r="A96" s="8">
        <v>95</v>
      </c>
      <c r="B96" s="8">
        <f t="shared" ca="1" si="4"/>
        <v>0.4372495063767925</v>
      </c>
      <c r="C96" s="57">
        <f t="shared" ca="1" si="5"/>
        <v>5.5903961852983184E-3</v>
      </c>
      <c r="D96" s="58">
        <f t="shared" ca="1" si="6"/>
        <v>10055903.961852983</v>
      </c>
      <c r="E96" s="59">
        <f t="shared" ca="1" si="7"/>
        <v>-55903.96185298264</v>
      </c>
    </row>
    <row r="97" spans="1:5">
      <c r="A97" s="8">
        <v>96</v>
      </c>
      <c r="B97" s="8">
        <f t="shared" ca="1" si="4"/>
        <v>-0.75145081589335017</v>
      </c>
      <c r="C97" s="57">
        <f t="shared" ca="1" si="5"/>
        <v>-9.1512004429434059E-3</v>
      </c>
      <c r="D97" s="58">
        <f t="shared" ca="1" si="6"/>
        <v>9908487.9955705665</v>
      </c>
      <c r="E97" s="59">
        <f t="shared" ca="1" si="7"/>
        <v>91512.004429433495</v>
      </c>
    </row>
    <row r="98" spans="1:5">
      <c r="A98" s="8">
        <v>97</v>
      </c>
      <c r="B98" s="8">
        <f t="shared" ca="1" si="4"/>
        <v>0.94816599544433677</v>
      </c>
      <c r="C98" s="57">
        <f t="shared" ca="1" si="5"/>
        <v>1.1926496757869344E-2</v>
      </c>
      <c r="D98" s="58">
        <f t="shared" ca="1" si="6"/>
        <v>10119264.967578694</v>
      </c>
      <c r="E98" s="59">
        <f t="shared" ca="1" si="7"/>
        <v>-119264.96757869422</v>
      </c>
    </row>
    <row r="99" spans="1:5">
      <c r="A99" s="8">
        <v>98</v>
      </c>
      <c r="B99" s="8">
        <f t="shared" ca="1" si="4"/>
        <v>-2.0377424014670353</v>
      </c>
      <c r="C99" s="57">
        <f t="shared" ca="1" si="5"/>
        <v>-2.5103069341755282E-2</v>
      </c>
      <c r="D99" s="58">
        <f t="shared" ca="1" si="6"/>
        <v>9748969.3065824471</v>
      </c>
      <c r="E99" s="59">
        <f t="shared" ca="1" si="7"/>
        <v>251030.69341755286</v>
      </c>
    </row>
    <row r="100" spans="1:5">
      <c r="A100" s="8">
        <v>99</v>
      </c>
      <c r="B100" s="8">
        <f t="shared" ca="1" si="4"/>
        <v>-1.0005342481185209</v>
      </c>
      <c r="C100" s="57">
        <f t="shared" ca="1" si="5"/>
        <v>-1.2240193872026522E-2</v>
      </c>
      <c r="D100" s="58">
        <f t="shared" ca="1" si="6"/>
        <v>9877598.0612797346</v>
      </c>
      <c r="E100" s="59">
        <f t="shared" ca="1" si="7"/>
        <v>122401.9387202654</v>
      </c>
    </row>
    <row r="101" spans="1:5">
      <c r="A101" s="8">
        <v>100</v>
      </c>
      <c r="B101" s="8">
        <f t="shared" ca="1" si="4"/>
        <v>0.59436962066419463</v>
      </c>
      <c r="C101" s="57">
        <f t="shared" ca="1" si="5"/>
        <v>7.5389119748664694E-3</v>
      </c>
      <c r="D101" s="58">
        <f t="shared" ca="1" si="6"/>
        <v>10075389.119748665</v>
      </c>
      <c r="E101" s="59">
        <f t="shared" ca="1" si="7"/>
        <v>-75389.11974866502</v>
      </c>
    </row>
    <row r="102" spans="1:5">
      <c r="A102" s="8">
        <v>101</v>
      </c>
      <c r="B102" s="8">
        <f t="shared" ca="1" si="4"/>
        <v>-0.11185188208555109</v>
      </c>
      <c r="C102" s="57">
        <f t="shared" ca="1" si="5"/>
        <v>-1.2192521550507956E-3</v>
      </c>
      <c r="D102" s="58">
        <f t="shared" ca="1" si="6"/>
        <v>9987807.4784494918</v>
      </c>
      <c r="E102" s="59">
        <f t="shared" ca="1" si="7"/>
        <v>12192.521550508216</v>
      </c>
    </row>
    <row r="103" spans="1:5">
      <c r="A103" s="8">
        <v>102</v>
      </c>
      <c r="B103" s="8">
        <f t="shared" ca="1" si="4"/>
        <v>-1.6131347806337789E-2</v>
      </c>
      <c r="C103" s="57">
        <f t="shared" ca="1" si="5"/>
        <v>-3.2179619654217794E-5</v>
      </c>
      <c r="D103" s="58">
        <f t="shared" ca="1" si="6"/>
        <v>9999678.2038034573</v>
      </c>
      <c r="E103" s="59">
        <f t="shared" ca="1" si="7"/>
        <v>321.79619654268026</v>
      </c>
    </row>
    <row r="104" spans="1:5">
      <c r="A104" s="8">
        <v>103</v>
      </c>
      <c r="B104" s="8">
        <f t="shared" ca="1" si="4"/>
        <v>-0.57655560912208059</v>
      </c>
      <c r="C104" s="57">
        <f t="shared" ca="1" si="5"/>
        <v>-6.9822478969298286E-3</v>
      </c>
      <c r="D104" s="58">
        <f t="shared" ca="1" si="6"/>
        <v>9930177.5210307017</v>
      </c>
      <c r="E104" s="59">
        <f t="shared" ca="1" si="7"/>
        <v>69822.478969298303</v>
      </c>
    </row>
    <row r="105" spans="1:5">
      <c r="A105" s="8">
        <v>104</v>
      </c>
      <c r="B105" s="8">
        <f t="shared" ca="1" si="4"/>
        <v>-0.31961076723234572</v>
      </c>
      <c r="C105" s="57">
        <f t="shared" ca="1" si="5"/>
        <v>-3.7957616616001028E-3</v>
      </c>
      <c r="D105" s="58">
        <f t="shared" ca="1" si="6"/>
        <v>9962042.3833839986</v>
      </c>
      <c r="E105" s="59">
        <f t="shared" ca="1" si="7"/>
        <v>37957.616616001353</v>
      </c>
    </row>
    <row r="106" spans="1:5">
      <c r="A106" s="8">
        <v>105</v>
      </c>
      <c r="B106" s="8">
        <f t="shared" ca="1" si="4"/>
        <v>-0.47534968986467091</v>
      </c>
      <c r="C106" s="57">
        <f t="shared" ca="1" si="5"/>
        <v>-5.7271486846793597E-3</v>
      </c>
      <c r="D106" s="58">
        <f t="shared" ca="1" si="6"/>
        <v>9942728.5131532066</v>
      </c>
      <c r="E106" s="59">
        <f t="shared" ca="1" si="7"/>
        <v>57271.486846793443</v>
      </c>
    </row>
    <row r="107" spans="1:5">
      <c r="A107" s="8">
        <v>106</v>
      </c>
      <c r="B107" s="8">
        <f t="shared" ca="1" si="4"/>
        <v>-2.2673721982339625</v>
      </c>
      <c r="C107" s="57">
        <f t="shared" ca="1" si="5"/>
        <v>-2.7950809663132826E-2</v>
      </c>
      <c r="D107" s="58">
        <f t="shared" ca="1" si="6"/>
        <v>9720491.9033686724</v>
      </c>
      <c r="E107" s="59">
        <f t="shared" ca="1" si="7"/>
        <v>279508.09663132764</v>
      </c>
    </row>
    <row r="108" spans="1:5">
      <c r="A108" s="8">
        <v>107</v>
      </c>
      <c r="B108" s="8">
        <f t="shared" ca="1" si="4"/>
        <v>0.36934960514593418</v>
      </c>
      <c r="C108" s="57">
        <f t="shared" ca="1" si="5"/>
        <v>4.7483395825616602E-3</v>
      </c>
      <c r="D108" s="58">
        <f t="shared" ca="1" si="6"/>
        <v>10047483.395825615</v>
      </c>
      <c r="E108" s="59">
        <f t="shared" ca="1" si="7"/>
        <v>-47483.395825615153</v>
      </c>
    </row>
    <row r="109" spans="1:5">
      <c r="A109" s="8">
        <v>108</v>
      </c>
      <c r="B109" s="8">
        <f t="shared" ca="1" si="4"/>
        <v>-0.79667461728397415</v>
      </c>
      <c r="C109" s="57">
        <f t="shared" ca="1" si="5"/>
        <v>-9.7120407368394401E-3</v>
      </c>
      <c r="D109" s="58">
        <f t="shared" ca="1" si="6"/>
        <v>9902879.5926316064</v>
      </c>
      <c r="E109" s="59">
        <f t="shared" ca="1" si="7"/>
        <v>97120.407368393615</v>
      </c>
    </row>
    <row r="110" spans="1:5">
      <c r="A110" s="8">
        <v>109</v>
      </c>
      <c r="B110" s="8">
        <f t="shared" ca="1" si="4"/>
        <v>2.2753739910981059</v>
      </c>
      <c r="C110" s="57">
        <f t="shared" ca="1" si="5"/>
        <v>2.8385788092408666E-2</v>
      </c>
      <c r="D110" s="58">
        <f t="shared" ca="1" si="6"/>
        <v>10283857.880924087</v>
      </c>
      <c r="E110" s="59">
        <f t="shared" ca="1" si="7"/>
        <v>-283857.88092408702</v>
      </c>
    </row>
    <row r="111" spans="1:5">
      <c r="A111" s="8">
        <v>110</v>
      </c>
      <c r="B111" s="8">
        <f t="shared" ca="1" si="4"/>
        <v>-2.0359425701083643E-2</v>
      </c>
      <c r="C111" s="57">
        <f t="shared" ca="1" si="5"/>
        <v>-8.4613877195341034E-5</v>
      </c>
      <c r="D111" s="58">
        <f t="shared" ca="1" si="6"/>
        <v>9999153.8612280469</v>
      </c>
      <c r="E111" s="59">
        <f t="shared" ca="1" si="7"/>
        <v>846.13877195306122</v>
      </c>
    </row>
    <row r="112" spans="1:5">
      <c r="A112" s="8">
        <v>111</v>
      </c>
      <c r="B112" s="8">
        <f t="shared" ca="1" si="4"/>
        <v>2.6529259579290265</v>
      </c>
      <c r="C112" s="57">
        <f t="shared" ca="1" si="5"/>
        <v>3.3067976442952306E-2</v>
      </c>
      <c r="D112" s="58">
        <f t="shared" ca="1" si="6"/>
        <v>10330679.764429523</v>
      </c>
      <c r="E112" s="59">
        <f t="shared" ca="1" si="7"/>
        <v>-330679.76442952268</v>
      </c>
    </row>
    <row r="113" spans="1:5">
      <c r="A113" s="8">
        <v>112</v>
      </c>
      <c r="B113" s="8">
        <f t="shared" ca="1" si="4"/>
        <v>-1.9108333523586616</v>
      </c>
      <c r="C113" s="57">
        <f t="shared" ca="1" si="5"/>
        <v>-2.3529214287306831E-2</v>
      </c>
      <c r="D113" s="58">
        <f t="shared" ca="1" si="6"/>
        <v>9764707.8571269326</v>
      </c>
      <c r="E113" s="59">
        <f t="shared" ca="1" si="7"/>
        <v>235292.14287306741</v>
      </c>
    </row>
    <row r="114" spans="1:5">
      <c r="A114" s="8">
        <v>113</v>
      </c>
      <c r="B114" s="8">
        <f t="shared" ca="1" si="4"/>
        <v>-0.54851435826785677</v>
      </c>
      <c r="C114" s="57">
        <f t="shared" ca="1" si="5"/>
        <v>-6.6344959856197861E-3</v>
      </c>
      <c r="D114" s="58">
        <f t="shared" ca="1" si="6"/>
        <v>9933655.0401438009</v>
      </c>
      <c r="E114" s="59">
        <f t="shared" ca="1" si="7"/>
        <v>66344.959856199101</v>
      </c>
    </row>
    <row r="115" spans="1:5">
      <c r="A115" s="8">
        <v>114</v>
      </c>
      <c r="B115" s="8">
        <f t="shared" ca="1" si="4"/>
        <v>0.62723238913994206</v>
      </c>
      <c r="C115" s="57">
        <f t="shared" ca="1" si="5"/>
        <v>7.9464576513340081E-3</v>
      </c>
      <c r="D115" s="58">
        <f t="shared" ca="1" si="6"/>
        <v>10079464.576513339</v>
      </c>
      <c r="E115" s="59">
        <f t="shared" ca="1" si="7"/>
        <v>-79464.576513338834</v>
      </c>
    </row>
    <row r="116" spans="1:5">
      <c r="A116" s="8">
        <v>115</v>
      </c>
      <c r="B116" s="8">
        <f t="shared" ca="1" si="4"/>
        <v>-1.3317776257694827</v>
      </c>
      <c r="C116" s="57">
        <f t="shared" ca="1" si="5"/>
        <v>-1.6348088997167325E-2</v>
      </c>
      <c r="D116" s="58">
        <f t="shared" ca="1" si="6"/>
        <v>9836519.1100283265</v>
      </c>
      <c r="E116" s="59">
        <f t="shared" ca="1" si="7"/>
        <v>163480.88997167349</v>
      </c>
    </row>
    <row r="117" spans="1:5">
      <c r="A117" s="8">
        <v>116</v>
      </c>
      <c r="B117" s="8">
        <f t="shared" ca="1" si="4"/>
        <v>-0.88616305871891898</v>
      </c>
      <c r="C117" s="57">
        <f t="shared" ca="1" si="5"/>
        <v>-1.0821826342015872E-2</v>
      </c>
      <c r="D117" s="58">
        <f t="shared" ca="1" si="6"/>
        <v>9891781.736579841</v>
      </c>
      <c r="E117" s="59">
        <f t="shared" ca="1" si="7"/>
        <v>108218.263420159</v>
      </c>
    </row>
    <row r="118" spans="1:5">
      <c r="A118" s="8">
        <v>117</v>
      </c>
      <c r="B118" s="8">
        <f t="shared" ca="1" si="4"/>
        <v>0.310702245309745</v>
      </c>
      <c r="C118" s="57">
        <f t="shared" ca="1" si="5"/>
        <v>4.0210278238121183E-3</v>
      </c>
      <c r="D118" s="58">
        <f t="shared" ca="1" si="6"/>
        <v>10040210.278238121</v>
      </c>
      <c r="E118" s="59">
        <f t="shared" ca="1" si="7"/>
        <v>-40210.27823812142</v>
      </c>
    </row>
    <row r="119" spans="1:5">
      <c r="A119" s="8">
        <v>118</v>
      </c>
      <c r="B119" s="8">
        <f t="shared" ca="1" si="4"/>
        <v>-2.286282865963392</v>
      </c>
      <c r="C119" s="57">
        <f t="shared" ca="1" si="5"/>
        <v>-2.818532918871482E-2</v>
      </c>
      <c r="D119" s="58">
        <f t="shared" ca="1" si="6"/>
        <v>9718146.7081128508</v>
      </c>
      <c r="E119" s="59">
        <f t="shared" ca="1" si="7"/>
        <v>281853.29188714921</v>
      </c>
    </row>
    <row r="120" spans="1:5">
      <c r="A120" s="8">
        <v>119</v>
      </c>
      <c r="B120" s="8">
        <f t="shared" ca="1" si="4"/>
        <v>0.86397324918317708</v>
      </c>
      <c r="C120" s="57">
        <f t="shared" ca="1" si="5"/>
        <v>1.0882385402674586E-2</v>
      </c>
      <c r="D120" s="58">
        <f t="shared" ca="1" si="6"/>
        <v>10108823.854026744</v>
      </c>
      <c r="E120" s="59">
        <f t="shared" ca="1" si="7"/>
        <v>-108823.85402674414</v>
      </c>
    </row>
    <row r="121" spans="1:5">
      <c r="A121" s="8">
        <v>120</v>
      </c>
      <c r="B121" s="8">
        <f t="shared" ca="1" si="4"/>
        <v>1.6421254200759767</v>
      </c>
      <c r="C121" s="57">
        <f t="shared" ca="1" si="5"/>
        <v>2.0532593452408199E-2</v>
      </c>
      <c r="D121" s="58">
        <f t="shared" ca="1" si="6"/>
        <v>10205325.934524082</v>
      </c>
      <c r="E121" s="59">
        <f t="shared" ca="1" si="7"/>
        <v>-205325.93452408165</v>
      </c>
    </row>
    <row r="122" spans="1:5">
      <c r="A122" s="8">
        <v>121</v>
      </c>
      <c r="B122" s="8">
        <f t="shared" ca="1" si="4"/>
        <v>1.0339476737561528</v>
      </c>
      <c r="C122" s="57">
        <f t="shared" ca="1" si="5"/>
        <v>1.2990313159762268E-2</v>
      </c>
      <c r="D122" s="58">
        <f t="shared" ca="1" si="6"/>
        <v>10129903.131597621</v>
      </c>
      <c r="E122" s="59">
        <f t="shared" ca="1" si="7"/>
        <v>-129903.13159762137</v>
      </c>
    </row>
    <row r="123" spans="1:5">
      <c r="A123" s="8">
        <v>122</v>
      </c>
      <c r="B123" s="8">
        <f t="shared" ca="1" si="4"/>
        <v>-0.31650759842492782</v>
      </c>
      <c r="C123" s="57">
        <f t="shared" ca="1" si="5"/>
        <v>-3.7572778974660666E-3</v>
      </c>
      <c r="D123" s="58">
        <f t="shared" ca="1" si="6"/>
        <v>9962427.2210253403</v>
      </c>
      <c r="E123" s="59">
        <f t="shared" ca="1" si="7"/>
        <v>37572.778974659741</v>
      </c>
    </row>
    <row r="124" spans="1:5">
      <c r="A124" s="8">
        <v>123</v>
      </c>
      <c r="B124" s="8">
        <f t="shared" ca="1" si="4"/>
        <v>5.438517440832577E-2</v>
      </c>
      <c r="C124" s="57">
        <f t="shared" ca="1" si="5"/>
        <v>8.4232685320494876E-4</v>
      </c>
      <c r="D124" s="58">
        <f t="shared" ca="1" si="6"/>
        <v>10008423.268532049</v>
      </c>
      <c r="E124" s="59">
        <f t="shared" ca="1" si="7"/>
        <v>-8423.2685320489109</v>
      </c>
    </row>
    <row r="125" spans="1:5">
      <c r="A125" s="8">
        <v>124</v>
      </c>
      <c r="B125" s="8">
        <f t="shared" ca="1" si="4"/>
        <v>-7.0823772912415872E-3</v>
      </c>
      <c r="C125" s="57">
        <f t="shared" ca="1" si="5"/>
        <v>8.0040652129376012E-5</v>
      </c>
      <c r="D125" s="58">
        <f t="shared" ca="1" si="6"/>
        <v>10000800.406521292</v>
      </c>
      <c r="E125" s="59">
        <f t="shared" ca="1" si="7"/>
        <v>-800.40652129240334</v>
      </c>
    </row>
    <row r="126" spans="1:5">
      <c r="A126" s="8">
        <v>125</v>
      </c>
      <c r="B126" s="8">
        <f t="shared" ca="1" si="4"/>
        <v>-0.21157081876188022</v>
      </c>
      <c r="C126" s="57">
        <f t="shared" ca="1" si="5"/>
        <v>-2.4559106409105728E-3</v>
      </c>
      <c r="D126" s="58">
        <f t="shared" ca="1" si="6"/>
        <v>9975440.8935908936</v>
      </c>
      <c r="E126" s="59">
        <f t="shared" ca="1" si="7"/>
        <v>24559.106409106404</v>
      </c>
    </row>
    <row r="127" spans="1:5">
      <c r="A127" s="8">
        <v>126</v>
      </c>
      <c r="B127" s="8">
        <f t="shared" ca="1" si="4"/>
        <v>-0.47737100471586674</v>
      </c>
      <c r="C127" s="57">
        <f t="shared" ca="1" si="5"/>
        <v>-5.7522159010641397E-3</v>
      </c>
      <c r="D127" s="58">
        <f t="shared" ca="1" si="6"/>
        <v>9942477.8409893587</v>
      </c>
      <c r="E127" s="59">
        <f t="shared" ca="1" si="7"/>
        <v>57522.159010641277</v>
      </c>
    </row>
    <row r="128" spans="1:5">
      <c r="A128" s="8">
        <v>127</v>
      </c>
      <c r="B128" s="8">
        <f t="shared" ca="1" si="4"/>
        <v>0.60274483652404665</v>
      </c>
      <c r="C128" s="57">
        <f t="shared" ca="1" si="5"/>
        <v>7.6427767182061556E-3</v>
      </c>
      <c r="D128" s="58">
        <f t="shared" ca="1" si="6"/>
        <v>10076427.767182061</v>
      </c>
      <c r="E128" s="59">
        <f t="shared" ca="1" si="7"/>
        <v>-76427.767182061449</v>
      </c>
    </row>
    <row r="129" spans="1:5">
      <c r="A129" s="8">
        <v>128</v>
      </c>
      <c r="B129" s="8">
        <f t="shared" ca="1" si="4"/>
        <v>1.314295606628425</v>
      </c>
      <c r="C129" s="57">
        <f t="shared" ca="1" si="5"/>
        <v>1.6467031441517066E-2</v>
      </c>
      <c r="D129" s="58">
        <f t="shared" ca="1" si="6"/>
        <v>10164670.31441517</v>
      </c>
      <c r="E129" s="59">
        <f t="shared" ca="1" si="7"/>
        <v>-164670.31441516988</v>
      </c>
    </row>
    <row r="130" spans="1:5">
      <c r="A130" s="8">
        <v>129</v>
      </c>
      <c r="B130" s="8">
        <f t="shared" ca="1" si="4"/>
        <v>-0.20653043925144446</v>
      </c>
      <c r="C130" s="57">
        <f t="shared" ca="1" si="5"/>
        <v>-2.3934026730030714E-3</v>
      </c>
      <c r="D130" s="58">
        <f t="shared" ca="1" si="6"/>
        <v>9976065.9732699692</v>
      </c>
      <c r="E130" s="59">
        <f t="shared" ca="1" si="7"/>
        <v>23934.026730030775</v>
      </c>
    </row>
    <row r="131" spans="1:5">
      <c r="A131" s="8">
        <v>130</v>
      </c>
      <c r="B131" s="8">
        <f t="shared" ref="B131:B194" ca="1" si="8">_xlfn.NORM.S.INV(RAND())</f>
        <v>-1.2208421202950706</v>
      </c>
      <c r="C131" s="57">
        <f t="shared" ref="C131:C194" ca="1" si="9" xml:space="preserve"> $H$2 + $H$3 * B131</f>
        <v>-1.4972328897825621E-2</v>
      </c>
      <c r="D131" s="58">
        <f t="shared" ref="D131:D194" ca="1" si="10">$H$4 * (1 + C131)</f>
        <v>9850276.7110217437</v>
      </c>
      <c r="E131" s="59">
        <f t="shared" ref="E131:E194" ca="1" si="11">$H$4-D131</f>
        <v>149723.28897825629</v>
      </c>
    </row>
    <row r="132" spans="1:5">
      <c r="A132" s="8">
        <v>131</v>
      </c>
      <c r="B132" s="8">
        <f t="shared" ca="1" si="8"/>
        <v>-0.4789330149281037</v>
      </c>
      <c r="C132" s="57">
        <f t="shared" ca="1" si="9"/>
        <v>-5.7715870781779944E-3</v>
      </c>
      <c r="D132" s="58">
        <f t="shared" ca="1" si="10"/>
        <v>9942284.1292182188</v>
      </c>
      <c r="E132" s="59">
        <f t="shared" ca="1" si="11"/>
        <v>57715.870781781152</v>
      </c>
    </row>
    <row r="133" spans="1:5">
      <c r="A133" s="8">
        <v>132</v>
      </c>
      <c r="B133" s="8">
        <f t="shared" ca="1" si="8"/>
        <v>-1.2727288855647683</v>
      </c>
      <c r="C133" s="57">
        <f t="shared" ca="1" si="9"/>
        <v>-1.5615799543555216E-2</v>
      </c>
      <c r="D133" s="58">
        <f t="shared" ca="1" si="10"/>
        <v>9843842.0045644473</v>
      </c>
      <c r="E133" s="59">
        <f t="shared" ca="1" si="11"/>
        <v>156157.99543555267</v>
      </c>
    </row>
    <row r="134" spans="1:5">
      <c r="A134" s="8">
        <v>133</v>
      </c>
      <c r="B134" s="8">
        <f t="shared" ca="1" si="8"/>
        <v>0.61445074893425478</v>
      </c>
      <c r="C134" s="57">
        <f t="shared" ca="1" si="9"/>
        <v>7.7879468975052242E-3</v>
      </c>
      <c r="D134" s="58">
        <f t="shared" ca="1" si="10"/>
        <v>10077879.468975052</v>
      </c>
      <c r="E134" s="59">
        <f t="shared" ca="1" si="11"/>
        <v>-77879.468975052238</v>
      </c>
    </row>
    <row r="135" spans="1:5">
      <c r="A135" s="8">
        <v>134</v>
      </c>
      <c r="B135" s="8">
        <f t="shared" ca="1" si="8"/>
        <v>-0.31439463280444085</v>
      </c>
      <c r="C135" s="57">
        <f t="shared" ca="1" si="9"/>
        <v>-3.731074079495298E-3</v>
      </c>
      <c r="D135" s="58">
        <f t="shared" ca="1" si="10"/>
        <v>9962689.259205047</v>
      </c>
      <c r="E135" s="59">
        <f t="shared" ca="1" si="11"/>
        <v>37310.740794952959</v>
      </c>
    </row>
    <row r="136" spans="1:5">
      <c r="A136" s="8">
        <v>135</v>
      </c>
      <c r="B136" s="8">
        <f t="shared" ca="1" si="8"/>
        <v>-9.0117995033446988E-2</v>
      </c>
      <c r="C136" s="57">
        <f t="shared" ca="1" si="9"/>
        <v>-9.4972064228565287E-4</v>
      </c>
      <c r="D136" s="58">
        <f t="shared" ca="1" si="10"/>
        <v>9990502.7935771439</v>
      </c>
      <c r="E136" s="59">
        <f t="shared" ca="1" si="11"/>
        <v>9497.2064228560776</v>
      </c>
    </row>
    <row r="137" spans="1:5">
      <c r="A137" s="8">
        <v>136</v>
      </c>
      <c r="B137" s="8">
        <f t="shared" ca="1" si="8"/>
        <v>0.89010619846512617</v>
      </c>
      <c r="C137" s="57">
        <f t="shared" ca="1" si="9"/>
        <v>1.1206471625083503E-2</v>
      </c>
      <c r="D137" s="58">
        <f t="shared" ca="1" si="10"/>
        <v>10112064.716250835</v>
      </c>
      <c r="E137" s="59">
        <f t="shared" ca="1" si="11"/>
        <v>-112064.71625083499</v>
      </c>
    </row>
    <row r="138" spans="1:5">
      <c r="A138" s="8">
        <v>137</v>
      </c>
      <c r="B138" s="8">
        <f t="shared" ca="1" si="8"/>
        <v>-0.73326873005083759</v>
      </c>
      <c r="C138" s="57">
        <f t="shared" ca="1" si="9"/>
        <v>-8.9257163824709527E-3</v>
      </c>
      <c r="D138" s="58">
        <f t="shared" ca="1" si="10"/>
        <v>9910742.8361752909</v>
      </c>
      <c r="E138" s="59">
        <f t="shared" ca="1" si="11"/>
        <v>89257.163824709132</v>
      </c>
    </row>
    <row r="139" spans="1:5">
      <c r="A139" s="8">
        <v>138</v>
      </c>
      <c r="B139" s="8">
        <f t="shared" ca="1" si="8"/>
        <v>-0.26072944511482632</v>
      </c>
      <c r="C139" s="57">
        <f t="shared" ca="1" si="9"/>
        <v>-3.0655484334785265E-3</v>
      </c>
      <c r="D139" s="58">
        <f t="shared" ca="1" si="10"/>
        <v>9969344.5156652145</v>
      </c>
      <c r="E139" s="59">
        <f t="shared" ca="1" si="11"/>
        <v>30655.484334785491</v>
      </c>
    </row>
    <row r="140" spans="1:5">
      <c r="A140" s="8">
        <v>139</v>
      </c>
      <c r="B140" s="8">
        <f t="shared" ca="1" si="8"/>
        <v>-2.0751406727681929</v>
      </c>
      <c r="C140" s="57">
        <f t="shared" ca="1" si="9"/>
        <v>-2.556686178782978E-2</v>
      </c>
      <c r="D140" s="58">
        <f t="shared" ca="1" si="10"/>
        <v>9744331.3821217027</v>
      </c>
      <c r="E140" s="59">
        <f t="shared" ca="1" si="11"/>
        <v>255668.61787829734</v>
      </c>
    </row>
    <row r="141" spans="1:5">
      <c r="A141" s="8">
        <v>140</v>
      </c>
      <c r="B141" s="8">
        <f t="shared" ca="1" si="8"/>
        <v>0.79201455087710382</v>
      </c>
      <c r="C141" s="57">
        <f t="shared" ca="1" si="9"/>
        <v>9.9899938684520524E-3</v>
      </c>
      <c r="D141" s="58">
        <f t="shared" ca="1" si="10"/>
        <v>10099899.938684519</v>
      </c>
      <c r="E141" s="59">
        <f t="shared" ca="1" si="11"/>
        <v>-99899.93868451938</v>
      </c>
    </row>
    <row r="142" spans="1:5">
      <c r="A142" s="8">
        <v>141</v>
      </c>
      <c r="B142" s="8">
        <f t="shared" ca="1" si="8"/>
        <v>1.7485165660184911</v>
      </c>
      <c r="C142" s="57">
        <f t="shared" ca="1" si="9"/>
        <v>2.185199694622211E-2</v>
      </c>
      <c r="D142" s="58">
        <f t="shared" ca="1" si="10"/>
        <v>10218519.969462221</v>
      </c>
      <c r="E142" s="59">
        <f t="shared" ca="1" si="11"/>
        <v>-218519.96946222149</v>
      </c>
    </row>
    <row r="143" spans="1:5">
      <c r="A143" s="8">
        <v>142</v>
      </c>
      <c r="B143" s="8">
        <f t="shared" ca="1" si="8"/>
        <v>3.4510214396426164</v>
      </c>
      <c r="C143" s="57">
        <f t="shared" ca="1" si="9"/>
        <v>4.296551028039184E-2</v>
      </c>
      <c r="D143" s="58">
        <f t="shared" ca="1" si="10"/>
        <v>10429655.102803919</v>
      </c>
      <c r="E143" s="59">
        <f t="shared" ca="1" si="11"/>
        <v>-429655.10280391946</v>
      </c>
    </row>
    <row r="144" spans="1:5">
      <c r="A144" s="8">
        <v>143</v>
      </c>
      <c r="B144" s="8">
        <f t="shared" ca="1" si="8"/>
        <v>-0.65632178364730343</v>
      </c>
      <c r="C144" s="57">
        <f t="shared" ca="1" si="9"/>
        <v>-7.9714633849706697E-3</v>
      </c>
      <c r="D144" s="58">
        <f t="shared" ca="1" si="10"/>
        <v>9920285.3661502935</v>
      </c>
      <c r="E144" s="59">
        <f t="shared" ca="1" si="11"/>
        <v>79714.633849706501</v>
      </c>
    </row>
    <row r="145" spans="1:5">
      <c r="A145" s="8">
        <v>144</v>
      </c>
      <c r="B145" s="8">
        <f t="shared" ca="1" si="8"/>
        <v>0.28405983699335935</v>
      </c>
      <c r="C145" s="57">
        <f t="shared" ca="1" si="9"/>
        <v>3.6906235753678966E-3</v>
      </c>
      <c r="D145" s="58">
        <f t="shared" ca="1" si="10"/>
        <v>10036906.23575368</v>
      </c>
      <c r="E145" s="59">
        <f t="shared" ca="1" si="11"/>
        <v>-36906.235753679648</v>
      </c>
    </row>
    <row r="146" spans="1:5">
      <c r="A146" s="8">
        <v>145</v>
      </c>
      <c r="B146" s="8">
        <f t="shared" ca="1" si="8"/>
        <v>0.37895647626503687</v>
      </c>
      <c r="C146" s="57">
        <f t="shared" ca="1" si="9"/>
        <v>4.86747862563591E-3</v>
      </c>
      <c r="D146" s="58">
        <f t="shared" ca="1" si="10"/>
        <v>10048674.78625636</v>
      </c>
      <c r="E146" s="59">
        <f t="shared" ca="1" si="11"/>
        <v>-48674.78625635989</v>
      </c>
    </row>
    <row r="147" spans="1:5">
      <c r="A147" s="8">
        <v>146</v>
      </c>
      <c r="B147" s="8">
        <f t="shared" ca="1" si="8"/>
        <v>1.3752981478208481</v>
      </c>
      <c r="C147" s="57">
        <f t="shared" ca="1" si="9"/>
        <v>1.7223550842335428E-2</v>
      </c>
      <c r="D147" s="58">
        <f t="shared" ca="1" si="10"/>
        <v>10172235.508423354</v>
      </c>
      <c r="E147" s="59">
        <f t="shared" ca="1" si="11"/>
        <v>-172235.50842335448</v>
      </c>
    </row>
    <row r="148" spans="1:5">
      <c r="A148" s="8">
        <v>147</v>
      </c>
      <c r="B148" s="8">
        <f t="shared" ca="1" si="8"/>
        <v>1.2771684319279635</v>
      </c>
      <c r="C148" s="57">
        <f t="shared" ca="1" si="9"/>
        <v>1.6006600983876386E-2</v>
      </c>
      <c r="D148" s="58">
        <f t="shared" ca="1" si="10"/>
        <v>10160066.009838764</v>
      </c>
      <c r="E148" s="59">
        <f t="shared" ca="1" si="11"/>
        <v>-160066.00983876362</v>
      </c>
    </row>
    <row r="149" spans="1:5">
      <c r="A149" s="8">
        <v>148</v>
      </c>
      <c r="B149" s="8">
        <f t="shared" ca="1" si="8"/>
        <v>1.1526585157347784</v>
      </c>
      <c r="C149" s="57">
        <f t="shared" ca="1" si="9"/>
        <v>1.4462498634151451E-2</v>
      </c>
      <c r="D149" s="58">
        <f t="shared" ca="1" si="10"/>
        <v>10144624.986341516</v>
      </c>
      <c r="E149" s="59">
        <f t="shared" ca="1" si="11"/>
        <v>-144624.98634151556</v>
      </c>
    </row>
    <row r="150" spans="1:5">
      <c r="A150" s="8">
        <v>149</v>
      </c>
      <c r="B150" s="8">
        <f t="shared" ca="1" si="8"/>
        <v>-1.9744723100231587</v>
      </c>
      <c r="C150" s="57">
        <f t="shared" ca="1" si="9"/>
        <v>-2.4318429050822786E-2</v>
      </c>
      <c r="D150" s="58">
        <f t="shared" ca="1" si="10"/>
        <v>9756815.7094917726</v>
      </c>
      <c r="E150" s="59">
        <f t="shared" ca="1" si="11"/>
        <v>243184.29050822742</v>
      </c>
    </row>
    <row r="151" spans="1:5">
      <c r="A151" s="8">
        <v>150</v>
      </c>
      <c r="B151" s="8">
        <f t="shared" ca="1" si="8"/>
        <v>-0.46747325860768707</v>
      </c>
      <c r="C151" s="57">
        <f t="shared" ca="1" si="9"/>
        <v>-5.6294695890442333E-3</v>
      </c>
      <c r="D151" s="58">
        <f t="shared" ca="1" si="10"/>
        <v>9943705.3041095585</v>
      </c>
      <c r="E151" s="59">
        <f t="shared" ca="1" si="11"/>
        <v>56294.695890441537</v>
      </c>
    </row>
    <row r="152" spans="1:5">
      <c r="A152" s="8">
        <v>151</v>
      </c>
      <c r="B152" s="8">
        <f t="shared" ca="1" si="8"/>
        <v>1.0623504431039072</v>
      </c>
      <c r="C152" s="57">
        <f t="shared" ca="1" si="9"/>
        <v>1.3342548421253542E-2</v>
      </c>
      <c r="D152" s="58">
        <f t="shared" ca="1" si="10"/>
        <v>10133425.484212535</v>
      </c>
      <c r="E152" s="59">
        <f t="shared" ca="1" si="11"/>
        <v>-133425.4842125345</v>
      </c>
    </row>
    <row r="153" spans="1:5">
      <c r="A153" s="8">
        <v>152</v>
      </c>
      <c r="B153" s="8">
        <f t="shared" ca="1" si="8"/>
        <v>0.46494951219551944</v>
      </c>
      <c r="C153" s="57">
        <f t="shared" ca="1" si="9"/>
        <v>5.9339161665159417E-3</v>
      </c>
      <c r="D153" s="58">
        <f t="shared" ca="1" si="10"/>
        <v>10059339.16166516</v>
      </c>
      <c r="E153" s="59">
        <f t="shared" ca="1" si="11"/>
        <v>-59339.161665160209</v>
      </c>
    </row>
    <row r="154" spans="1:5">
      <c r="A154" s="8">
        <v>153</v>
      </c>
      <c r="B154" s="8">
        <f t="shared" ca="1" si="8"/>
        <v>0.97231153560748451</v>
      </c>
      <c r="C154" s="57">
        <f t="shared" ca="1" si="9"/>
        <v>1.2225936243825201E-2</v>
      </c>
      <c r="D154" s="58">
        <f t="shared" ca="1" si="10"/>
        <v>10122259.362438252</v>
      </c>
      <c r="E154" s="59">
        <f t="shared" ca="1" si="11"/>
        <v>-122259.3624382522</v>
      </c>
    </row>
    <row r="155" spans="1:5">
      <c r="A155" s="8">
        <v>154</v>
      </c>
      <c r="B155" s="8">
        <f t="shared" ca="1" si="8"/>
        <v>0.98990216610780657</v>
      </c>
      <c r="C155" s="57">
        <f t="shared" ca="1" si="9"/>
        <v>1.2444085405909185E-2</v>
      </c>
      <c r="D155" s="58">
        <f t="shared" ca="1" si="10"/>
        <v>10124440.854059091</v>
      </c>
      <c r="E155" s="59">
        <f t="shared" ca="1" si="11"/>
        <v>-124440.85405909084</v>
      </c>
    </row>
    <row r="156" spans="1:5">
      <c r="A156" s="8">
        <v>155</v>
      </c>
      <c r="B156" s="8">
        <f t="shared" ca="1" si="8"/>
        <v>1.9942727066688801</v>
      </c>
      <c r="C156" s="57">
        <f t="shared" ca="1" si="9"/>
        <v>2.4899727165948717E-2</v>
      </c>
      <c r="D156" s="58">
        <f t="shared" ca="1" si="10"/>
        <v>10248997.271659488</v>
      </c>
      <c r="E156" s="59">
        <f t="shared" ca="1" si="11"/>
        <v>-248997.27165948786</v>
      </c>
    </row>
    <row r="157" spans="1:5">
      <c r="A157" s="8">
        <v>156</v>
      </c>
      <c r="B157" s="8">
        <f t="shared" ca="1" si="8"/>
        <v>-8.2383530650257109E-2</v>
      </c>
      <c r="C157" s="57">
        <f t="shared" ca="1" si="9"/>
        <v>-8.5380214042579043E-4</v>
      </c>
      <c r="D157" s="58">
        <f t="shared" ca="1" si="10"/>
        <v>9991461.978595743</v>
      </c>
      <c r="E157" s="59">
        <f t="shared" ca="1" si="11"/>
        <v>8538.0214042570442</v>
      </c>
    </row>
    <row r="158" spans="1:5">
      <c r="A158" s="8">
        <v>157</v>
      </c>
      <c r="B158" s="8">
        <f t="shared" ca="1" si="8"/>
        <v>0.10021723255599267</v>
      </c>
      <c r="C158" s="57">
        <f t="shared" ca="1" si="9"/>
        <v>1.4107104072404294E-3</v>
      </c>
      <c r="D158" s="58">
        <f t="shared" ca="1" si="10"/>
        <v>10014107.104072405</v>
      </c>
      <c r="E158" s="59">
        <f t="shared" ca="1" si="11"/>
        <v>-14107.104072405025</v>
      </c>
    </row>
    <row r="159" spans="1:5">
      <c r="A159" s="8">
        <v>158</v>
      </c>
      <c r="B159" s="8">
        <f t="shared" ca="1" si="8"/>
        <v>-0.67046988947698849</v>
      </c>
      <c r="C159" s="57">
        <f t="shared" ca="1" si="9"/>
        <v>-8.1469202812862879E-3</v>
      </c>
      <c r="D159" s="58">
        <f t="shared" ca="1" si="10"/>
        <v>9918530.7971871365</v>
      </c>
      <c r="E159" s="59">
        <f t="shared" ca="1" si="11"/>
        <v>81469.202812863514</v>
      </c>
    </row>
    <row r="160" spans="1:5">
      <c r="A160" s="8">
        <v>159</v>
      </c>
      <c r="B160" s="8">
        <f t="shared" ca="1" si="8"/>
        <v>0.94891442883982713</v>
      </c>
      <c r="C160" s="57">
        <f t="shared" ca="1" si="9"/>
        <v>1.1935778410286459E-2</v>
      </c>
      <c r="D160" s="58">
        <f t="shared" ca="1" si="10"/>
        <v>10119357.784102865</v>
      </c>
      <c r="E160" s="59">
        <f t="shared" ca="1" si="11"/>
        <v>-119357.78410286456</v>
      </c>
    </row>
    <row r="161" spans="1:5">
      <c r="A161" s="8">
        <v>160</v>
      </c>
      <c r="B161" s="8">
        <f t="shared" ca="1" si="8"/>
        <v>-0.51776030465161349</v>
      </c>
      <c r="C161" s="57">
        <f t="shared" ca="1" si="9"/>
        <v>-6.2531014115625016E-3</v>
      </c>
      <c r="D161" s="58">
        <f t="shared" ca="1" si="10"/>
        <v>9937468.985884374</v>
      </c>
      <c r="E161" s="59">
        <f t="shared" ca="1" si="11"/>
        <v>62531.014115625992</v>
      </c>
    </row>
    <row r="162" spans="1:5">
      <c r="A162" s="8">
        <v>161</v>
      </c>
      <c r="B162" s="8">
        <f t="shared" ca="1" si="8"/>
        <v>1.0865183879992117</v>
      </c>
      <c r="C162" s="57">
        <f t="shared" ca="1" si="9"/>
        <v>1.3642265758167989E-2</v>
      </c>
      <c r="D162" s="58">
        <f t="shared" ca="1" si="10"/>
        <v>10136422.657581681</v>
      </c>
      <c r="E162" s="59">
        <f t="shared" ca="1" si="11"/>
        <v>-136422.65758168139</v>
      </c>
    </row>
    <row r="163" spans="1:5">
      <c r="A163" s="8">
        <v>162</v>
      </c>
      <c r="B163" s="8">
        <f t="shared" ca="1" si="8"/>
        <v>-0.20827698360301083</v>
      </c>
      <c r="C163" s="57">
        <f t="shared" ca="1" si="9"/>
        <v>-2.4150623393140512E-3</v>
      </c>
      <c r="D163" s="58">
        <f t="shared" ca="1" si="10"/>
        <v>9975849.3766068593</v>
      </c>
      <c r="E163" s="59">
        <f t="shared" ca="1" si="11"/>
        <v>24150.623393140733</v>
      </c>
    </row>
    <row r="164" spans="1:5">
      <c r="A164" s="8">
        <v>163</v>
      </c>
      <c r="B164" s="8">
        <f t="shared" ca="1" si="8"/>
        <v>-0.31590590575719019</v>
      </c>
      <c r="C164" s="57">
        <f t="shared" ca="1" si="9"/>
        <v>-3.7498160414912831E-3</v>
      </c>
      <c r="D164" s="58">
        <f t="shared" ca="1" si="10"/>
        <v>9962501.8395850882</v>
      </c>
      <c r="E164" s="59">
        <f t="shared" ca="1" si="11"/>
        <v>37498.160414911807</v>
      </c>
    </row>
    <row r="165" spans="1:5">
      <c r="A165" s="8">
        <v>164</v>
      </c>
      <c r="B165" s="8">
        <f t="shared" ca="1" si="8"/>
        <v>1.0415832204969289</v>
      </c>
      <c r="C165" s="57">
        <f t="shared" ca="1" si="9"/>
        <v>1.3085004940339599E-2</v>
      </c>
      <c r="D165" s="58">
        <f t="shared" ca="1" si="10"/>
        <v>10130850.049403397</v>
      </c>
      <c r="E165" s="59">
        <f t="shared" ca="1" si="11"/>
        <v>-130850.04940339737</v>
      </c>
    </row>
    <row r="166" spans="1:5">
      <c r="A166" s="8">
        <v>165</v>
      </c>
      <c r="B166" s="8">
        <f t="shared" ca="1" si="8"/>
        <v>1.6122481530445707</v>
      </c>
      <c r="C166" s="57">
        <f t="shared" ca="1" si="9"/>
        <v>2.0162072295242098E-2</v>
      </c>
      <c r="D166" s="58">
        <f t="shared" ca="1" si="10"/>
        <v>10201620.72295242</v>
      </c>
      <c r="E166" s="59">
        <f t="shared" ca="1" si="11"/>
        <v>-201620.72295241989</v>
      </c>
    </row>
    <row r="167" spans="1:5">
      <c r="A167" s="8">
        <v>166</v>
      </c>
      <c r="B167" s="8">
        <f t="shared" ca="1" si="8"/>
        <v>0.34933814761179027</v>
      </c>
      <c r="C167" s="57">
        <f t="shared" ca="1" si="9"/>
        <v>4.500168677427089E-3</v>
      </c>
      <c r="D167" s="58">
        <f t="shared" ca="1" si="10"/>
        <v>10045001.686774271</v>
      </c>
      <c r="E167" s="59">
        <f t="shared" ca="1" si="11"/>
        <v>-45001.686774270609</v>
      </c>
    </row>
    <row r="168" spans="1:5">
      <c r="A168" s="8">
        <v>167</v>
      </c>
      <c r="B168" s="8">
        <f t="shared" ca="1" si="8"/>
        <v>0.36687333434607611</v>
      </c>
      <c r="C168" s="57">
        <f t="shared" ca="1" si="9"/>
        <v>4.7176302569310533E-3</v>
      </c>
      <c r="D168" s="58">
        <f t="shared" ca="1" si="10"/>
        <v>10047176.302569309</v>
      </c>
      <c r="E168" s="59">
        <f t="shared" ca="1" si="11"/>
        <v>-47176.30256930925</v>
      </c>
    </row>
    <row r="169" spans="1:5">
      <c r="A169" s="8">
        <v>168</v>
      </c>
      <c r="B169" s="8">
        <f t="shared" ca="1" si="8"/>
        <v>2.3356445934328085</v>
      </c>
      <c r="C169" s="57">
        <f t="shared" ca="1" si="9"/>
        <v>2.9133230396842933E-2</v>
      </c>
      <c r="D169" s="58">
        <f t="shared" ca="1" si="10"/>
        <v>10291332.30396843</v>
      </c>
      <c r="E169" s="59">
        <f t="shared" ca="1" si="11"/>
        <v>-291332.30396842957</v>
      </c>
    </row>
    <row r="170" spans="1:5">
      <c r="A170" s="8">
        <v>169</v>
      </c>
      <c r="B170" s="8">
        <f t="shared" ca="1" si="8"/>
        <v>-1.4052343806663075</v>
      </c>
      <c r="C170" s="57">
        <f t="shared" ca="1" si="9"/>
        <v>-1.7259058591455465E-2</v>
      </c>
      <c r="D170" s="58">
        <f t="shared" ca="1" si="10"/>
        <v>9827409.4140854459</v>
      </c>
      <c r="E170" s="59">
        <f t="shared" ca="1" si="11"/>
        <v>172590.58591455407</v>
      </c>
    </row>
    <row r="171" spans="1:5">
      <c r="A171" s="8">
        <v>170</v>
      </c>
      <c r="B171" s="8">
        <f t="shared" ca="1" si="8"/>
        <v>0.97963933699055084</v>
      </c>
      <c r="C171" s="57">
        <f t="shared" ca="1" si="9"/>
        <v>1.2316811538579673E-2</v>
      </c>
      <c r="D171" s="58">
        <f t="shared" ca="1" si="10"/>
        <v>10123168.115385797</v>
      </c>
      <c r="E171" s="59">
        <f t="shared" ca="1" si="11"/>
        <v>-123168.11538579687</v>
      </c>
    </row>
    <row r="172" spans="1:5">
      <c r="A172" s="8">
        <v>171</v>
      </c>
      <c r="B172" s="8">
        <f t="shared" ca="1" si="8"/>
        <v>-0.45282145772376003</v>
      </c>
      <c r="C172" s="57">
        <f t="shared" ca="1" si="9"/>
        <v>-5.4477661483522382E-3</v>
      </c>
      <c r="D172" s="58">
        <f t="shared" ca="1" si="10"/>
        <v>9945522.3385164775</v>
      </c>
      <c r="E172" s="59">
        <f t="shared" ca="1" si="11"/>
        <v>54477.661483522505</v>
      </c>
    </row>
    <row r="173" spans="1:5">
      <c r="A173" s="8">
        <v>172</v>
      </c>
      <c r="B173" s="8">
        <f t="shared" ca="1" si="8"/>
        <v>-0.51131605967701454</v>
      </c>
      <c r="C173" s="57">
        <f t="shared" ca="1" si="9"/>
        <v>-6.1731834892659165E-3</v>
      </c>
      <c r="D173" s="58">
        <f t="shared" ca="1" si="10"/>
        <v>9938268.1651073415</v>
      </c>
      <c r="E173" s="59">
        <f t="shared" ca="1" si="11"/>
        <v>61731.834892658517</v>
      </c>
    </row>
    <row r="174" spans="1:5">
      <c r="A174" s="8">
        <v>173</v>
      </c>
      <c r="B174" s="8">
        <f t="shared" ca="1" si="8"/>
        <v>-2.7327632421231085</v>
      </c>
      <c r="C174" s="57">
        <f t="shared" ca="1" si="9"/>
        <v>-3.3722329124243056E-2</v>
      </c>
      <c r="D174" s="58">
        <f t="shared" ca="1" si="10"/>
        <v>9662776.70875757</v>
      </c>
      <c r="E174" s="59">
        <f t="shared" ca="1" si="11"/>
        <v>337223.29124242999</v>
      </c>
    </row>
    <row r="175" spans="1:5">
      <c r="A175" s="8">
        <v>174</v>
      </c>
      <c r="B175" s="8">
        <f t="shared" ca="1" si="8"/>
        <v>-0.277001852452266</v>
      </c>
      <c r="C175" s="57">
        <f t="shared" ca="1" si="9"/>
        <v>-3.2673497290993257E-3</v>
      </c>
      <c r="D175" s="58">
        <f t="shared" ca="1" si="10"/>
        <v>9967326.5027090069</v>
      </c>
      <c r="E175" s="59">
        <f t="shared" ca="1" si="11"/>
        <v>32673.497290993109</v>
      </c>
    </row>
    <row r="176" spans="1:5">
      <c r="A176" s="8">
        <v>175</v>
      </c>
      <c r="B176" s="8">
        <f t="shared" ca="1" si="8"/>
        <v>1.4197461121367905</v>
      </c>
      <c r="C176" s="57">
        <f t="shared" ca="1" si="9"/>
        <v>1.7774769638710244E-2</v>
      </c>
      <c r="D176" s="58">
        <f t="shared" ca="1" si="10"/>
        <v>10177747.696387103</v>
      </c>
      <c r="E176" s="59">
        <f t="shared" ca="1" si="11"/>
        <v>-177747.69638710283</v>
      </c>
    </row>
    <row r="177" spans="1:5">
      <c r="A177" s="8">
        <v>176</v>
      </c>
      <c r="B177" s="8">
        <f t="shared" ca="1" si="8"/>
        <v>0.44163286864096396</v>
      </c>
      <c r="C177" s="57">
        <f t="shared" ca="1" si="9"/>
        <v>5.6447561927478558E-3</v>
      </c>
      <c r="D177" s="58">
        <f t="shared" ca="1" si="10"/>
        <v>10056447.561927479</v>
      </c>
      <c r="E177" s="59">
        <f t="shared" ca="1" si="11"/>
        <v>-56447.56192747876</v>
      </c>
    </row>
    <row r="178" spans="1:5">
      <c r="A178" s="8">
        <v>177</v>
      </c>
      <c r="B178" s="8">
        <f t="shared" ca="1" si="8"/>
        <v>-1.9630757417129014E-2</v>
      </c>
      <c r="C178" s="57">
        <f t="shared" ca="1" si="9"/>
        <v>-7.5577340638054667E-5</v>
      </c>
      <c r="D178" s="58">
        <f t="shared" ca="1" si="10"/>
        <v>9999244.2265936192</v>
      </c>
      <c r="E178" s="59">
        <f t="shared" ca="1" si="11"/>
        <v>755.77340638078749</v>
      </c>
    </row>
    <row r="179" spans="1:5">
      <c r="A179" s="8">
        <v>178</v>
      </c>
      <c r="B179" s="8">
        <f t="shared" ca="1" si="8"/>
        <v>0.23378009832481567</v>
      </c>
      <c r="C179" s="57">
        <f t="shared" ca="1" si="9"/>
        <v>3.0670823748325496E-3</v>
      </c>
      <c r="D179" s="58">
        <f t="shared" ca="1" si="10"/>
        <v>10030670.823748324</v>
      </c>
      <c r="E179" s="59">
        <f t="shared" ca="1" si="11"/>
        <v>-30670.823748324066</v>
      </c>
    </row>
    <row r="180" spans="1:5">
      <c r="A180" s="8">
        <v>179</v>
      </c>
      <c r="B180" s="8">
        <f t="shared" ca="1" si="8"/>
        <v>0.65770877648573312</v>
      </c>
      <c r="C180" s="57">
        <f t="shared" ca="1" si="9"/>
        <v>8.3244087635871798E-3</v>
      </c>
      <c r="D180" s="58">
        <f t="shared" ca="1" si="10"/>
        <v>10083244.087635873</v>
      </c>
      <c r="E180" s="59">
        <f t="shared" ca="1" si="11"/>
        <v>-83244.087635872886</v>
      </c>
    </row>
    <row r="181" spans="1:5">
      <c r="A181" s="8">
        <v>180</v>
      </c>
      <c r="B181" s="8">
        <f t="shared" ca="1" si="8"/>
        <v>0.14507822335214768</v>
      </c>
      <c r="C181" s="57">
        <f t="shared" ca="1" si="9"/>
        <v>1.9670513270419895E-3</v>
      </c>
      <c r="D181" s="58">
        <f t="shared" ca="1" si="10"/>
        <v>10019670.513270419</v>
      </c>
      <c r="E181" s="59">
        <f t="shared" ca="1" si="11"/>
        <v>-19670.513270419091</v>
      </c>
    </row>
    <row r="182" spans="1:5">
      <c r="A182" s="8">
        <v>181</v>
      </c>
      <c r="B182" s="8">
        <f t="shared" ca="1" si="8"/>
        <v>0.85610207221506374</v>
      </c>
      <c r="C182" s="57">
        <f t="shared" ca="1" si="9"/>
        <v>1.0784771467791625E-2</v>
      </c>
      <c r="D182" s="58">
        <f t="shared" ca="1" si="10"/>
        <v>10107847.714677915</v>
      </c>
      <c r="E182" s="59">
        <f t="shared" ca="1" si="11"/>
        <v>-107847.71467791498</v>
      </c>
    </row>
    <row r="183" spans="1:5">
      <c r="A183" s="8">
        <v>182</v>
      </c>
      <c r="B183" s="8">
        <f t="shared" ca="1" si="8"/>
        <v>0.72787900947911932</v>
      </c>
      <c r="C183" s="57">
        <f t="shared" ca="1" si="9"/>
        <v>9.1946207511827849E-3</v>
      </c>
      <c r="D183" s="58">
        <f t="shared" ca="1" si="10"/>
        <v>10091946.207511827</v>
      </c>
      <c r="E183" s="59">
        <f t="shared" ca="1" si="11"/>
        <v>-91946.20751182735</v>
      </c>
    </row>
    <row r="184" spans="1:5">
      <c r="A184" s="8">
        <v>183</v>
      </c>
      <c r="B184" s="8">
        <f t="shared" ca="1" si="8"/>
        <v>0.3831991220365038</v>
      </c>
      <c r="C184" s="57">
        <f t="shared" ca="1" si="9"/>
        <v>4.9200935458371918E-3</v>
      </c>
      <c r="D184" s="58">
        <f t="shared" ca="1" si="10"/>
        <v>10049200.935458371</v>
      </c>
      <c r="E184" s="59">
        <f t="shared" ca="1" si="11"/>
        <v>-49200.935458371416</v>
      </c>
    </row>
    <row r="185" spans="1:5">
      <c r="A185" s="8">
        <v>184</v>
      </c>
      <c r="B185" s="8">
        <f t="shared" ca="1" si="8"/>
        <v>4.5107867603305735E-2</v>
      </c>
      <c r="C185" s="57">
        <f t="shared" ca="1" si="9"/>
        <v>7.2727488244846497E-4</v>
      </c>
      <c r="D185" s="58">
        <f t="shared" ca="1" si="10"/>
        <v>10007272.748824485</v>
      </c>
      <c r="E185" s="59">
        <f t="shared" ca="1" si="11"/>
        <v>-7272.7488244846463</v>
      </c>
    </row>
    <row r="186" spans="1:5">
      <c r="A186" s="8">
        <v>185</v>
      </c>
      <c r="B186" s="8">
        <f t="shared" ca="1" si="8"/>
        <v>0.89192406929348467</v>
      </c>
      <c r="C186" s="57">
        <f t="shared" ca="1" si="9"/>
        <v>1.1229015842471053E-2</v>
      </c>
      <c r="D186" s="58">
        <f t="shared" ca="1" si="10"/>
        <v>10112290.158424711</v>
      </c>
      <c r="E186" s="59">
        <f t="shared" ca="1" si="11"/>
        <v>-112290.15842471085</v>
      </c>
    </row>
    <row r="187" spans="1:5">
      <c r="A187" s="8">
        <v>186</v>
      </c>
      <c r="B187" s="8">
        <f t="shared" ca="1" si="8"/>
        <v>9.9335299036922148E-2</v>
      </c>
      <c r="C187" s="57">
        <f t="shared" ca="1" si="9"/>
        <v>1.399773160949258E-3</v>
      </c>
      <c r="D187" s="58">
        <f t="shared" ca="1" si="10"/>
        <v>10013997.731609492</v>
      </c>
      <c r="E187" s="59">
        <f t="shared" ca="1" si="11"/>
        <v>-13997.731609491631</v>
      </c>
    </row>
    <row r="188" spans="1:5">
      <c r="A188" s="8">
        <v>187</v>
      </c>
      <c r="B188" s="8">
        <f t="shared" ca="1" si="8"/>
        <v>1.0888568666864396</v>
      </c>
      <c r="C188" s="57">
        <f t="shared" ca="1" si="9"/>
        <v>1.3671266263076591E-2</v>
      </c>
      <c r="D188" s="58">
        <f t="shared" ca="1" si="10"/>
        <v>10136712.662630767</v>
      </c>
      <c r="E188" s="59">
        <f t="shared" ca="1" si="11"/>
        <v>-136712.66263076663</v>
      </c>
    </row>
    <row r="189" spans="1:5">
      <c r="A189" s="8">
        <v>188</v>
      </c>
      <c r="B189" s="8">
        <f t="shared" ca="1" si="8"/>
        <v>-0.89589615416178237</v>
      </c>
      <c r="C189" s="57">
        <f t="shared" ca="1" si="9"/>
        <v>-1.0942530748563732E-2</v>
      </c>
      <c r="D189" s="58">
        <f t="shared" ca="1" si="10"/>
        <v>9890574.6925143618</v>
      </c>
      <c r="E189" s="59">
        <f t="shared" ca="1" si="11"/>
        <v>109425.30748563819</v>
      </c>
    </row>
    <row r="190" spans="1:5">
      <c r="A190" s="8">
        <v>189</v>
      </c>
      <c r="B190" s="8">
        <f t="shared" ca="1" si="8"/>
        <v>-1.7580201928992911</v>
      </c>
      <c r="C190" s="57">
        <f t="shared" ca="1" si="9"/>
        <v>-2.1634110942895295E-2</v>
      </c>
      <c r="D190" s="58">
        <f t="shared" ca="1" si="10"/>
        <v>9783658.8905710466</v>
      </c>
      <c r="E190" s="59">
        <f t="shared" ca="1" si="11"/>
        <v>216341.10942895338</v>
      </c>
    </row>
    <row r="191" spans="1:5">
      <c r="A191" s="8">
        <v>190</v>
      </c>
      <c r="B191" s="8">
        <f t="shared" ca="1" si="8"/>
        <v>1.6157598411594296</v>
      </c>
      <c r="C191" s="57">
        <f t="shared" ca="1" si="9"/>
        <v>2.0205622287366755E-2</v>
      </c>
      <c r="D191" s="58">
        <f t="shared" ca="1" si="10"/>
        <v>10202056.222873667</v>
      </c>
      <c r="E191" s="59">
        <f t="shared" ca="1" si="11"/>
        <v>-202056.22287366726</v>
      </c>
    </row>
    <row r="192" spans="1:5">
      <c r="A192" s="8">
        <v>191</v>
      </c>
      <c r="B192" s="8">
        <f t="shared" ca="1" si="8"/>
        <v>0.54788726241206687</v>
      </c>
      <c r="C192" s="57">
        <f t="shared" ca="1" si="9"/>
        <v>6.9624637626091767E-3</v>
      </c>
      <c r="D192" s="58">
        <f t="shared" ca="1" si="10"/>
        <v>10069624.637626091</v>
      </c>
      <c r="E192" s="59">
        <f t="shared" ca="1" si="11"/>
        <v>-69624.637626091018</v>
      </c>
    </row>
    <row r="193" spans="1:5">
      <c r="A193" s="8">
        <v>192</v>
      </c>
      <c r="B193" s="8">
        <f t="shared" ca="1" si="8"/>
        <v>1.486733840069894</v>
      </c>
      <c r="C193" s="57">
        <f t="shared" ca="1" si="9"/>
        <v>1.8605513978331774E-2</v>
      </c>
      <c r="D193" s="58">
        <f t="shared" ca="1" si="10"/>
        <v>10186055.139783319</v>
      </c>
      <c r="E193" s="59">
        <f t="shared" ca="1" si="11"/>
        <v>-186055.13978331909</v>
      </c>
    </row>
    <row r="194" spans="1:5">
      <c r="A194" s="8">
        <v>193</v>
      </c>
      <c r="B194" s="8">
        <f t="shared" ca="1" si="8"/>
        <v>-0.82490100483471707</v>
      </c>
      <c r="C194" s="57">
        <f t="shared" ca="1" si="9"/>
        <v>-1.00620886099239E-2</v>
      </c>
      <c r="D194" s="58">
        <f t="shared" ca="1" si="10"/>
        <v>9899379.1139007621</v>
      </c>
      <c r="E194" s="59">
        <f t="shared" ca="1" si="11"/>
        <v>100620.88609923795</v>
      </c>
    </row>
    <row r="195" spans="1:5">
      <c r="A195" s="8">
        <v>194</v>
      </c>
      <c r="B195" s="8">
        <f t="shared" ref="B195:B258" ca="1" si="12">_xlfn.NORM.S.INV(RAND())</f>
        <v>-0.32452862567988627</v>
      </c>
      <c r="C195" s="57">
        <f t="shared" ref="C195:C258" ca="1" si="13" xml:space="preserve"> $H$2 + $H$3 * B195</f>
        <v>-3.8567501918042348E-3</v>
      </c>
      <c r="D195" s="58">
        <f t="shared" ref="D195:D258" ca="1" si="14">$H$4 * (1 + C195)</f>
        <v>9961432.4980819579</v>
      </c>
      <c r="E195" s="59">
        <f t="shared" ref="E195:E258" ca="1" si="15">$H$4-D195</f>
        <v>38567.501918042079</v>
      </c>
    </row>
    <row r="196" spans="1:5">
      <c r="A196" s="8">
        <v>195</v>
      </c>
      <c r="B196" s="8">
        <f t="shared" ca="1" si="12"/>
        <v>-0.1348730673758424</v>
      </c>
      <c r="C196" s="57">
        <f t="shared" ca="1" si="13"/>
        <v>-1.504748020657503E-3</v>
      </c>
      <c r="D196" s="58">
        <f t="shared" ca="1" si="14"/>
        <v>9984952.5197934248</v>
      </c>
      <c r="E196" s="59">
        <f t="shared" ca="1" si="15"/>
        <v>15047.480206575245</v>
      </c>
    </row>
    <row r="197" spans="1:5">
      <c r="A197" s="8">
        <v>196</v>
      </c>
      <c r="B197" s="8">
        <f t="shared" ca="1" si="12"/>
        <v>0.5051080311012377</v>
      </c>
      <c r="C197" s="57">
        <f t="shared" ca="1" si="13"/>
        <v>6.4319396597418317E-3</v>
      </c>
      <c r="D197" s="58">
        <f t="shared" ca="1" si="14"/>
        <v>10064319.396597419</v>
      </c>
      <c r="E197" s="59">
        <f t="shared" ca="1" si="15"/>
        <v>-64319.396597418934</v>
      </c>
    </row>
    <row r="198" spans="1:5">
      <c r="A198" s="8">
        <v>197</v>
      </c>
      <c r="B198" s="8">
        <f t="shared" ca="1" si="12"/>
        <v>1.3861430670147008</v>
      </c>
      <c r="C198" s="57">
        <f t="shared" ca="1" si="13"/>
        <v>1.7358043465266943E-2</v>
      </c>
      <c r="D198" s="58">
        <f t="shared" ca="1" si="14"/>
        <v>10173580.434652669</v>
      </c>
      <c r="E198" s="59">
        <f t="shared" ca="1" si="15"/>
        <v>-173580.43465266936</v>
      </c>
    </row>
    <row r="199" spans="1:5">
      <c r="A199" s="8">
        <v>198</v>
      </c>
      <c r="B199" s="8">
        <f t="shared" ca="1" si="12"/>
        <v>0.12503545167364555</v>
      </c>
      <c r="C199" s="57">
        <f t="shared" ca="1" si="13"/>
        <v>1.7184920814012036E-3</v>
      </c>
      <c r="D199" s="58">
        <f t="shared" ca="1" si="14"/>
        <v>10017184.920814013</v>
      </c>
      <c r="E199" s="59">
        <f t="shared" ca="1" si="15"/>
        <v>-17184.920814013109</v>
      </c>
    </row>
    <row r="200" spans="1:5">
      <c r="A200" s="8">
        <v>199</v>
      </c>
      <c r="B200" s="8">
        <f t="shared" ca="1" si="12"/>
        <v>-0.81825152342582819</v>
      </c>
      <c r="C200" s="57">
        <f t="shared" ca="1" si="13"/>
        <v>-9.9796254601456358E-3</v>
      </c>
      <c r="D200" s="58">
        <f t="shared" ca="1" si="14"/>
        <v>9900203.7453985438</v>
      </c>
      <c r="E200" s="59">
        <f t="shared" ca="1" si="15"/>
        <v>99796.254601456225</v>
      </c>
    </row>
    <row r="201" spans="1:5">
      <c r="A201" s="8">
        <v>200</v>
      </c>
      <c r="B201" s="8">
        <f t="shared" ca="1" si="12"/>
        <v>1.4089955016948059</v>
      </c>
      <c r="C201" s="57">
        <f t="shared" ca="1" si="13"/>
        <v>1.7641446580178185E-2</v>
      </c>
      <c r="D201" s="58">
        <f t="shared" ca="1" si="14"/>
        <v>10176414.465801781</v>
      </c>
      <c r="E201" s="59">
        <f t="shared" ca="1" si="15"/>
        <v>-176414.46580178104</v>
      </c>
    </row>
    <row r="202" spans="1:5">
      <c r="A202" s="8">
        <v>201</v>
      </c>
      <c r="B202" s="8">
        <f t="shared" ca="1" si="12"/>
        <v>0.98592594799596145</v>
      </c>
      <c r="C202" s="57">
        <f t="shared" ca="1" si="13"/>
        <v>1.2394774572545578E-2</v>
      </c>
      <c r="D202" s="58">
        <f t="shared" ca="1" si="14"/>
        <v>10123947.745725457</v>
      </c>
      <c r="E202" s="59">
        <f t="shared" ca="1" si="15"/>
        <v>-123947.74572545663</v>
      </c>
    </row>
    <row r="203" spans="1:5">
      <c r="A203" s="8">
        <v>202</v>
      </c>
      <c r="B203" s="8">
        <f t="shared" ca="1" si="12"/>
        <v>0.60403732491209938</v>
      </c>
      <c r="C203" s="57">
        <f t="shared" ca="1" si="13"/>
        <v>7.6588054363838139E-3</v>
      </c>
      <c r="D203" s="58">
        <f t="shared" ca="1" si="14"/>
        <v>10076588.054363837</v>
      </c>
      <c r="E203" s="59">
        <f t="shared" ca="1" si="15"/>
        <v>-76588.054363837466</v>
      </c>
    </row>
    <row r="204" spans="1:5">
      <c r="A204" s="8">
        <v>203</v>
      </c>
      <c r="B204" s="8">
        <f t="shared" ca="1" si="12"/>
        <v>-0.59596959242991865</v>
      </c>
      <c r="C204" s="57">
        <f t="shared" ca="1" si="13"/>
        <v>-7.2230092608411333E-3</v>
      </c>
      <c r="D204" s="58">
        <f t="shared" ca="1" si="14"/>
        <v>9927769.9073915873</v>
      </c>
      <c r="E204" s="59">
        <f t="shared" ca="1" si="15"/>
        <v>72230.092608412728</v>
      </c>
    </row>
    <row r="205" spans="1:5">
      <c r="A205" s="8">
        <v>204</v>
      </c>
      <c r="B205" s="8">
        <f t="shared" ca="1" si="12"/>
        <v>-0.38593034013733835</v>
      </c>
      <c r="C205" s="57">
        <f t="shared" ca="1" si="13"/>
        <v>-4.6182199162219011E-3</v>
      </c>
      <c r="D205" s="58">
        <f t="shared" ca="1" si="14"/>
        <v>9953817.8008377813</v>
      </c>
      <c r="E205" s="59">
        <f t="shared" ca="1" si="15"/>
        <v>46182.19916221872</v>
      </c>
    </row>
    <row r="206" spans="1:5">
      <c r="A206" s="8">
        <v>205</v>
      </c>
      <c r="B206" s="8">
        <f t="shared" ca="1" si="12"/>
        <v>1.1861115794533992</v>
      </c>
      <c r="C206" s="57">
        <f t="shared" ca="1" si="13"/>
        <v>1.48773648221045E-2</v>
      </c>
      <c r="D206" s="58">
        <f t="shared" ca="1" si="14"/>
        <v>10148773.648221046</v>
      </c>
      <c r="E206" s="59">
        <f t="shared" ca="1" si="15"/>
        <v>-148773.64822104573</v>
      </c>
    </row>
    <row r="207" spans="1:5">
      <c r="A207" s="8">
        <v>206</v>
      </c>
      <c r="B207" s="8">
        <f t="shared" ca="1" si="12"/>
        <v>-0.60180089896624589</v>
      </c>
      <c r="C207" s="57">
        <f t="shared" ca="1" si="13"/>
        <v>-7.2953258634058538E-3</v>
      </c>
      <c r="D207" s="58">
        <f t="shared" ca="1" si="14"/>
        <v>9927046.7413659412</v>
      </c>
      <c r="E207" s="59">
        <f t="shared" ca="1" si="15"/>
        <v>72953.258634058759</v>
      </c>
    </row>
    <row r="208" spans="1:5">
      <c r="A208" s="8">
        <v>207</v>
      </c>
      <c r="B208" s="8">
        <f t="shared" ca="1" si="12"/>
        <v>1.2215102830619591</v>
      </c>
      <c r="C208" s="57">
        <f t="shared" ca="1" si="13"/>
        <v>1.5316359747893275E-2</v>
      </c>
      <c r="D208" s="58">
        <f t="shared" ca="1" si="14"/>
        <v>10153163.597478934</v>
      </c>
      <c r="E208" s="59">
        <f t="shared" ca="1" si="15"/>
        <v>-153163.59747893363</v>
      </c>
    </row>
    <row r="209" spans="1:5">
      <c r="A209" s="8">
        <v>208</v>
      </c>
      <c r="B209" s="8">
        <f t="shared" ca="1" si="12"/>
        <v>0.1901552221603291</v>
      </c>
      <c r="C209" s="57">
        <f t="shared" ca="1" si="13"/>
        <v>2.5260710574084191E-3</v>
      </c>
      <c r="D209" s="58">
        <f t="shared" ca="1" si="14"/>
        <v>10025260.710574085</v>
      </c>
      <c r="E209" s="59">
        <f t="shared" ca="1" si="15"/>
        <v>-25260.710574084893</v>
      </c>
    </row>
    <row r="210" spans="1:5">
      <c r="A210" s="8">
        <v>209</v>
      </c>
      <c r="B210" s="8">
        <f t="shared" ca="1" si="12"/>
        <v>0.93911134276053032</v>
      </c>
      <c r="C210" s="57">
        <f t="shared" ca="1" si="13"/>
        <v>1.18142060190071E-2</v>
      </c>
      <c r="D210" s="58">
        <f t="shared" ca="1" si="14"/>
        <v>10118142.060190072</v>
      </c>
      <c r="E210" s="59">
        <f t="shared" ca="1" si="15"/>
        <v>-118142.06019007228</v>
      </c>
    </row>
    <row r="211" spans="1:5">
      <c r="A211" s="8">
        <v>210</v>
      </c>
      <c r="B211" s="8">
        <f t="shared" ca="1" si="12"/>
        <v>1.6477103232445469</v>
      </c>
      <c r="C211" s="57">
        <f t="shared" ca="1" si="13"/>
        <v>2.0601854298204575E-2</v>
      </c>
      <c r="D211" s="58">
        <f t="shared" ca="1" si="14"/>
        <v>10206018.542982046</v>
      </c>
      <c r="E211" s="59">
        <f t="shared" ca="1" si="15"/>
        <v>-206018.54298204556</v>
      </c>
    </row>
    <row r="212" spans="1:5">
      <c r="A212" s="8">
        <v>211</v>
      </c>
      <c r="B212" s="8">
        <f t="shared" ca="1" si="12"/>
        <v>7.5771098723088756E-3</v>
      </c>
      <c r="C212" s="57">
        <f t="shared" ca="1" si="13"/>
        <v>2.6183941376278688E-4</v>
      </c>
      <c r="D212" s="58">
        <f t="shared" ca="1" si="14"/>
        <v>10002618.394137628</v>
      </c>
      <c r="E212" s="59">
        <f t="shared" ca="1" si="15"/>
        <v>-2618.3941376283765</v>
      </c>
    </row>
    <row r="213" spans="1:5">
      <c r="A213" s="8">
        <v>212</v>
      </c>
      <c r="B213" s="8">
        <f t="shared" ca="1" si="12"/>
        <v>-0.77558014714999923</v>
      </c>
      <c r="C213" s="57">
        <f t="shared" ca="1" si="13"/>
        <v>-9.4504389151055333E-3</v>
      </c>
      <c r="D213" s="58">
        <f t="shared" ca="1" si="14"/>
        <v>9905495.6108489446</v>
      </c>
      <c r="E213" s="59">
        <f t="shared" ca="1" si="15"/>
        <v>94504.389151055366</v>
      </c>
    </row>
    <row r="214" spans="1:5">
      <c r="A214" s="8">
        <v>213</v>
      </c>
      <c r="B214" s="8">
        <f t="shared" ca="1" si="12"/>
        <v>0.58356602562884063</v>
      </c>
      <c r="C214" s="57">
        <f t="shared" ca="1" si="13"/>
        <v>7.4049318310385366E-3</v>
      </c>
      <c r="D214" s="58">
        <f t="shared" ca="1" si="14"/>
        <v>10074049.318310386</v>
      </c>
      <c r="E214" s="59">
        <f t="shared" ca="1" si="15"/>
        <v>-74049.31831038557</v>
      </c>
    </row>
    <row r="215" spans="1:5">
      <c r="A215" s="8">
        <v>214</v>
      </c>
      <c r="B215" s="8">
        <f t="shared" ca="1" si="12"/>
        <v>-0.14963094453719686</v>
      </c>
      <c r="C215" s="57">
        <f t="shared" ca="1" si="13"/>
        <v>-1.6877669600200746E-3</v>
      </c>
      <c r="D215" s="58">
        <f t="shared" ca="1" si="14"/>
        <v>9983122.3303998001</v>
      </c>
      <c r="E215" s="59">
        <f t="shared" ca="1" si="15"/>
        <v>16877.669600199908</v>
      </c>
    </row>
    <row r="216" spans="1:5">
      <c r="A216" s="8">
        <v>215</v>
      </c>
      <c r="B216" s="8">
        <f t="shared" ca="1" si="12"/>
        <v>0.73171575776433517</v>
      </c>
      <c r="C216" s="57">
        <f t="shared" ca="1" si="13"/>
        <v>9.242201957753618E-3</v>
      </c>
      <c r="D216" s="58">
        <f t="shared" ca="1" si="14"/>
        <v>10092422.019577537</v>
      </c>
      <c r="E216" s="59">
        <f t="shared" ca="1" si="15"/>
        <v>-92422.019577536732</v>
      </c>
    </row>
    <row r="217" spans="1:5">
      <c r="A217" s="8">
        <v>216</v>
      </c>
      <c r="B217" s="8">
        <f t="shared" ca="1" si="12"/>
        <v>0.24005675415666719</v>
      </c>
      <c r="C217" s="57">
        <f t="shared" ca="1" si="13"/>
        <v>3.1449219503033032E-3</v>
      </c>
      <c r="D217" s="58">
        <f t="shared" ca="1" si="14"/>
        <v>10031449.219503032</v>
      </c>
      <c r="E217" s="59">
        <f t="shared" ca="1" si="15"/>
        <v>-31449.219503032044</v>
      </c>
    </row>
    <row r="218" spans="1:5">
      <c r="A218" s="8">
        <v>217</v>
      </c>
      <c r="B218" s="8">
        <f t="shared" ca="1" si="12"/>
        <v>-0.76437484647595899</v>
      </c>
      <c r="C218" s="57">
        <f t="shared" ca="1" si="13"/>
        <v>-9.3114770425964024E-3</v>
      </c>
      <c r="D218" s="58">
        <f t="shared" ca="1" si="14"/>
        <v>9906885.2295740359</v>
      </c>
      <c r="E218" s="59">
        <f t="shared" ca="1" si="15"/>
        <v>93114.770425964147</v>
      </c>
    </row>
    <row r="219" spans="1:5">
      <c r="A219" s="8">
        <v>218</v>
      </c>
      <c r="B219" s="8">
        <f t="shared" ca="1" si="12"/>
        <v>2.3703356505860236</v>
      </c>
      <c r="C219" s="57">
        <f t="shared" ca="1" si="13"/>
        <v>2.9563449487036597E-2</v>
      </c>
      <c r="D219" s="58">
        <f t="shared" ca="1" si="14"/>
        <v>10295634.494870365</v>
      </c>
      <c r="E219" s="59">
        <f t="shared" ca="1" si="15"/>
        <v>-295634.49487036467</v>
      </c>
    </row>
    <row r="220" spans="1:5">
      <c r="A220" s="8">
        <v>219</v>
      </c>
      <c r="B220" s="8">
        <f t="shared" ca="1" si="12"/>
        <v>-8.7429982094802655E-2</v>
      </c>
      <c r="C220" s="57">
        <f t="shared" ca="1" si="13"/>
        <v>-9.16385409064454E-4</v>
      </c>
      <c r="D220" s="58">
        <f t="shared" ca="1" si="14"/>
        <v>9990836.145909356</v>
      </c>
      <c r="E220" s="59">
        <f t="shared" ca="1" si="15"/>
        <v>9163.8540906440467</v>
      </c>
    </row>
    <row r="221" spans="1:5">
      <c r="A221" s="8">
        <v>220</v>
      </c>
      <c r="B221" s="8">
        <f t="shared" ca="1" si="12"/>
        <v>-0.71269595745411163</v>
      </c>
      <c r="C221" s="57">
        <f t="shared" ca="1" si="13"/>
        <v>-8.6705843618399732E-3</v>
      </c>
      <c r="D221" s="58">
        <f t="shared" ca="1" si="14"/>
        <v>9913294.1563815996</v>
      </c>
      <c r="E221" s="59">
        <f t="shared" ca="1" si="15"/>
        <v>86705.843618400395</v>
      </c>
    </row>
    <row r="222" spans="1:5">
      <c r="A222" s="8">
        <v>221</v>
      </c>
      <c r="B222" s="8">
        <f t="shared" ca="1" si="12"/>
        <v>0.20745417063477126</v>
      </c>
      <c r="C222" s="57">
        <f t="shared" ca="1" si="13"/>
        <v>2.7406029421276441E-3</v>
      </c>
      <c r="D222" s="58">
        <f t="shared" ca="1" si="14"/>
        <v>10027406.029421277</v>
      </c>
      <c r="E222" s="59">
        <f t="shared" ca="1" si="15"/>
        <v>-27406.029421277344</v>
      </c>
    </row>
    <row r="223" spans="1:5">
      <c r="A223" s="8">
        <v>222</v>
      </c>
      <c r="B223" s="8">
        <f t="shared" ca="1" si="12"/>
        <v>0.11748722993070558</v>
      </c>
      <c r="C223" s="57">
        <f t="shared" ca="1" si="13"/>
        <v>1.6248832566114202E-3</v>
      </c>
      <c r="D223" s="58">
        <f t="shared" ca="1" si="14"/>
        <v>10016248.832566114</v>
      </c>
      <c r="E223" s="59">
        <f t="shared" ca="1" si="15"/>
        <v>-16248.832566114143</v>
      </c>
    </row>
    <row r="224" spans="1:5">
      <c r="A224" s="8">
        <v>223</v>
      </c>
      <c r="B224" s="8">
        <f t="shared" ca="1" si="12"/>
        <v>0.84897240118489148</v>
      </c>
      <c r="C224" s="57">
        <f t="shared" ca="1" si="13"/>
        <v>1.0696353274871362E-2</v>
      </c>
      <c r="D224" s="58">
        <f t="shared" ca="1" si="14"/>
        <v>10106963.532748714</v>
      </c>
      <c r="E224" s="59">
        <f t="shared" ca="1" si="15"/>
        <v>-106963.53274871409</v>
      </c>
    </row>
    <row r="225" spans="1:5">
      <c r="A225" s="8">
        <v>224</v>
      </c>
      <c r="B225" s="8">
        <f t="shared" ca="1" si="12"/>
        <v>-1.6983212576447626</v>
      </c>
      <c r="C225" s="57">
        <f t="shared" ca="1" si="13"/>
        <v>-2.0893758133890352E-2</v>
      </c>
      <c r="D225" s="58">
        <f t="shared" ca="1" si="14"/>
        <v>9791062.4186610971</v>
      </c>
      <c r="E225" s="59">
        <f t="shared" ca="1" si="15"/>
        <v>208937.58133890294</v>
      </c>
    </row>
    <row r="226" spans="1:5">
      <c r="A226" s="8">
        <v>225</v>
      </c>
      <c r="B226" s="8">
        <f t="shared" ca="1" si="12"/>
        <v>1.2621373656517847</v>
      </c>
      <c r="C226" s="57">
        <f t="shared" ca="1" si="13"/>
        <v>1.5820194105889994E-2</v>
      </c>
      <c r="D226" s="58">
        <f t="shared" ca="1" si="14"/>
        <v>10158201.9410589</v>
      </c>
      <c r="E226" s="59">
        <f t="shared" ca="1" si="15"/>
        <v>-158201.94105890021</v>
      </c>
    </row>
    <row r="227" spans="1:5">
      <c r="A227" s="8">
        <v>226</v>
      </c>
      <c r="B227" s="8">
        <f t="shared" ca="1" si="12"/>
        <v>-5.3272954615635498E-2</v>
      </c>
      <c r="C227" s="57">
        <f t="shared" ca="1" si="13"/>
        <v>-4.9278905623767379E-4</v>
      </c>
      <c r="D227" s="58">
        <f t="shared" ca="1" si="14"/>
        <v>9995072.109437624</v>
      </c>
      <c r="E227" s="59">
        <f t="shared" ca="1" si="15"/>
        <v>4927.8905623760074</v>
      </c>
    </row>
    <row r="228" spans="1:5">
      <c r="A228" s="8">
        <v>227</v>
      </c>
      <c r="B228" s="8">
        <f t="shared" ca="1" si="12"/>
        <v>-0.41177356445477509</v>
      </c>
      <c r="C228" s="57">
        <f t="shared" ca="1" si="13"/>
        <v>-4.9387131316466727E-3</v>
      </c>
      <c r="D228" s="58">
        <f t="shared" ca="1" si="14"/>
        <v>9950612.8686835337</v>
      </c>
      <c r="E228" s="59">
        <f t="shared" ca="1" si="15"/>
        <v>49387.131316466257</v>
      </c>
    </row>
    <row r="229" spans="1:5">
      <c r="A229" s="8">
        <v>228</v>
      </c>
      <c r="B229" s="8">
        <f t="shared" ca="1" si="12"/>
        <v>0.1858804720475484</v>
      </c>
      <c r="C229" s="57">
        <f t="shared" ca="1" si="13"/>
        <v>2.4730579971201905E-3</v>
      </c>
      <c r="D229" s="58">
        <f t="shared" ca="1" si="14"/>
        <v>10024730.579971202</v>
      </c>
      <c r="E229" s="59">
        <f t="shared" ca="1" si="15"/>
        <v>-24730.579971201718</v>
      </c>
    </row>
    <row r="230" spans="1:5">
      <c r="A230" s="8">
        <v>229</v>
      </c>
      <c r="B230" s="8">
        <f t="shared" ca="1" si="12"/>
        <v>1.0159548104941092</v>
      </c>
      <c r="C230" s="57">
        <f t="shared" ca="1" si="13"/>
        <v>1.276717573191199E-2</v>
      </c>
      <c r="D230" s="58">
        <f t="shared" ca="1" si="14"/>
        <v>10127671.757319119</v>
      </c>
      <c r="E230" s="59">
        <f t="shared" ca="1" si="15"/>
        <v>-127671.75731911883</v>
      </c>
    </row>
    <row r="231" spans="1:5">
      <c r="A231" s="8">
        <v>230</v>
      </c>
      <c r="B231" s="8">
        <f t="shared" ca="1" si="12"/>
        <v>1.0111241163220947E-2</v>
      </c>
      <c r="C231" s="57">
        <f t="shared" ca="1" si="13"/>
        <v>2.9326629284555502E-4</v>
      </c>
      <c r="D231" s="58">
        <f t="shared" ca="1" si="14"/>
        <v>10002932.662928456</v>
      </c>
      <c r="E231" s="59">
        <f t="shared" ca="1" si="15"/>
        <v>-2932.6629284564406</v>
      </c>
    </row>
    <row r="232" spans="1:5">
      <c r="A232" s="8">
        <v>231</v>
      </c>
      <c r="B232" s="8">
        <f t="shared" ca="1" si="12"/>
        <v>1.1811384718441815</v>
      </c>
      <c r="C232" s="57">
        <f t="shared" ca="1" si="13"/>
        <v>1.481569112269478E-2</v>
      </c>
      <c r="D232" s="58">
        <f t="shared" ca="1" si="14"/>
        <v>10148156.911226949</v>
      </c>
      <c r="E232" s="59">
        <f t="shared" ca="1" si="15"/>
        <v>-148156.91122694872</v>
      </c>
    </row>
    <row r="233" spans="1:5">
      <c r="A233" s="8">
        <v>232</v>
      </c>
      <c r="B233" s="8">
        <f t="shared" ca="1" si="12"/>
        <v>-1.8047573739627487</v>
      </c>
      <c r="C233" s="57">
        <f t="shared" ca="1" si="13"/>
        <v>-2.2213719325151635E-2</v>
      </c>
      <c r="D233" s="58">
        <f t="shared" ca="1" si="14"/>
        <v>9777862.8067484833</v>
      </c>
      <c r="E233" s="59">
        <f t="shared" ca="1" si="15"/>
        <v>222137.19325151667</v>
      </c>
    </row>
    <row r="234" spans="1:5">
      <c r="A234" s="8">
        <v>233</v>
      </c>
      <c r="B234" s="8">
        <f t="shared" ca="1" si="12"/>
        <v>0.73612935254474154</v>
      </c>
      <c r="C234" s="57">
        <f t="shared" ca="1" si="13"/>
        <v>9.2969368919622718E-3</v>
      </c>
      <c r="D234" s="58">
        <f t="shared" ca="1" si="14"/>
        <v>10092969.368919622</v>
      </c>
      <c r="E234" s="59">
        <f t="shared" ca="1" si="15"/>
        <v>-92969.368919622153</v>
      </c>
    </row>
    <row r="235" spans="1:5">
      <c r="A235" s="8">
        <v>234</v>
      </c>
      <c r="B235" s="8">
        <f t="shared" ca="1" si="12"/>
        <v>-0.79509382717693078</v>
      </c>
      <c r="C235" s="57">
        <f t="shared" ca="1" si="13"/>
        <v>-9.6924366619726594E-3</v>
      </c>
      <c r="D235" s="58">
        <f t="shared" ca="1" si="14"/>
        <v>9903075.6333802734</v>
      </c>
      <c r="E235" s="59">
        <f t="shared" ca="1" si="15"/>
        <v>96924.366619726643</v>
      </c>
    </row>
    <row r="236" spans="1:5">
      <c r="A236" s="8">
        <v>235</v>
      </c>
      <c r="B236" s="8">
        <f t="shared" ca="1" si="12"/>
        <v>1.1689120364497767</v>
      </c>
      <c r="C236" s="57">
        <f t="shared" ca="1" si="13"/>
        <v>1.4664065708442883E-2</v>
      </c>
      <c r="D236" s="58">
        <f t="shared" ca="1" si="14"/>
        <v>10146640.65708443</v>
      </c>
      <c r="E236" s="59">
        <f t="shared" ca="1" si="15"/>
        <v>-146640.65708442964</v>
      </c>
    </row>
    <row r="237" spans="1:5">
      <c r="A237" s="8">
        <v>236</v>
      </c>
      <c r="B237" s="8">
        <f t="shared" ca="1" si="12"/>
        <v>-0.38148715792706828</v>
      </c>
      <c r="C237" s="57">
        <f t="shared" ca="1" si="13"/>
        <v>-4.5631180552545446E-3</v>
      </c>
      <c r="D237" s="58">
        <f t="shared" ca="1" si="14"/>
        <v>9954368.8194474541</v>
      </c>
      <c r="E237" s="59">
        <f t="shared" ca="1" si="15"/>
        <v>45631.180552545935</v>
      </c>
    </row>
    <row r="238" spans="1:5">
      <c r="A238" s="8">
        <v>237</v>
      </c>
      <c r="B238" s="8">
        <f t="shared" ca="1" si="12"/>
        <v>-0.87241172958338142</v>
      </c>
      <c r="C238" s="57">
        <f t="shared" ca="1" si="13"/>
        <v>-1.0651290048367745E-2</v>
      </c>
      <c r="D238" s="58">
        <f t="shared" ca="1" si="14"/>
        <v>9893487.0995163228</v>
      </c>
      <c r="E238" s="59">
        <f t="shared" ca="1" si="15"/>
        <v>106512.90048367716</v>
      </c>
    </row>
    <row r="239" spans="1:5">
      <c r="A239" s="8">
        <v>238</v>
      </c>
      <c r="B239" s="8">
        <f t="shared" ca="1" si="12"/>
        <v>-0.23270545189309239</v>
      </c>
      <c r="C239" s="57">
        <f t="shared" ca="1" si="13"/>
        <v>-2.7180105416754678E-3</v>
      </c>
      <c r="D239" s="58">
        <f t="shared" ca="1" si="14"/>
        <v>9972819.8945832457</v>
      </c>
      <c r="E239" s="59">
        <f t="shared" ca="1" si="15"/>
        <v>27180.105416754261</v>
      </c>
    </row>
    <row r="240" spans="1:5">
      <c r="A240" s="8">
        <v>239</v>
      </c>
      <c r="B240" s="8">
        <f t="shared" ca="1" si="12"/>
        <v>0.5597629960996332</v>
      </c>
      <c r="C240" s="57">
        <f t="shared" ca="1" si="13"/>
        <v>7.1097399704192219E-3</v>
      </c>
      <c r="D240" s="58">
        <f t="shared" ca="1" si="14"/>
        <v>10071097.399704192</v>
      </c>
      <c r="E240" s="59">
        <f t="shared" ca="1" si="15"/>
        <v>-71097.399704191834</v>
      </c>
    </row>
    <row r="241" spans="1:5">
      <c r="A241" s="8">
        <v>240</v>
      </c>
      <c r="B241" s="8">
        <f t="shared" ca="1" si="12"/>
        <v>-0.84520479885481903</v>
      </c>
      <c r="C241" s="57">
        <f t="shared" ca="1" si="13"/>
        <v>-1.031388490867112E-2</v>
      </c>
      <c r="D241" s="58">
        <f t="shared" ca="1" si="14"/>
        <v>9896861.1509132888</v>
      </c>
      <c r="E241" s="59">
        <f t="shared" ca="1" si="15"/>
        <v>103138.84908671118</v>
      </c>
    </row>
    <row r="242" spans="1:5">
      <c r="A242" s="8">
        <v>241</v>
      </c>
      <c r="B242" s="8">
        <f t="shared" ca="1" si="12"/>
        <v>0.17197203875930203</v>
      </c>
      <c r="C242" s="57">
        <f t="shared" ca="1" si="13"/>
        <v>2.3005733856290684E-3</v>
      </c>
      <c r="D242" s="58">
        <f t="shared" ca="1" si="14"/>
        <v>10023005.733856292</v>
      </c>
      <c r="E242" s="59">
        <f t="shared" ca="1" si="15"/>
        <v>-23005.733856292441</v>
      </c>
    </row>
    <row r="243" spans="1:5">
      <c r="A243" s="8">
        <v>242</v>
      </c>
      <c r="B243" s="8">
        <f t="shared" ca="1" si="12"/>
        <v>1.001318764518883</v>
      </c>
      <c r="C243" s="57">
        <f t="shared" ca="1" si="13"/>
        <v>1.2585667674786931E-2</v>
      </c>
      <c r="D243" s="58">
        <f t="shared" ca="1" si="14"/>
        <v>10125856.676747868</v>
      </c>
      <c r="E243" s="59">
        <f t="shared" ca="1" si="15"/>
        <v>-125856.67674786784</v>
      </c>
    </row>
    <row r="244" spans="1:5">
      <c r="A244" s="8">
        <v>243</v>
      </c>
      <c r="B244" s="8">
        <f t="shared" ca="1" si="12"/>
        <v>0.6571442879463858</v>
      </c>
      <c r="C244" s="57">
        <f t="shared" ca="1" si="13"/>
        <v>8.3174082924066615E-3</v>
      </c>
      <c r="D244" s="58">
        <f t="shared" ca="1" si="14"/>
        <v>10083174.082924066</v>
      </c>
      <c r="E244" s="59">
        <f t="shared" ca="1" si="15"/>
        <v>-83174.082924066111</v>
      </c>
    </row>
    <row r="245" spans="1:5">
      <c r="A245" s="8">
        <v>244</v>
      </c>
      <c r="B245" s="8">
        <f t="shared" ca="1" si="12"/>
        <v>0.27680226819003051</v>
      </c>
      <c r="C245" s="57">
        <f t="shared" ca="1" si="13"/>
        <v>3.6006192657904732E-3</v>
      </c>
      <c r="D245" s="58">
        <f t="shared" ca="1" si="14"/>
        <v>10036006.192657905</v>
      </c>
      <c r="E245" s="59">
        <f t="shared" ca="1" si="15"/>
        <v>-36006.192657904699</v>
      </c>
    </row>
    <row r="246" spans="1:5">
      <c r="A246" s="8">
        <v>245</v>
      </c>
      <c r="B246" s="8">
        <f t="shared" ca="1" si="12"/>
        <v>-0.68916400384969345</v>
      </c>
      <c r="C246" s="57">
        <f t="shared" ca="1" si="13"/>
        <v>-8.3787542332434441E-3</v>
      </c>
      <c r="D246" s="58">
        <f t="shared" ca="1" si="14"/>
        <v>9916212.457667565</v>
      </c>
      <c r="E246" s="59">
        <f t="shared" ca="1" si="15"/>
        <v>83787.542332435027</v>
      </c>
    </row>
    <row r="247" spans="1:5">
      <c r="A247" s="8">
        <v>246</v>
      </c>
      <c r="B247" s="8">
        <f t="shared" ca="1" si="12"/>
        <v>-0.23634742158935645</v>
      </c>
      <c r="C247" s="57">
        <f t="shared" ca="1" si="13"/>
        <v>-2.7631762131140624E-3</v>
      </c>
      <c r="D247" s="58">
        <f t="shared" ca="1" si="14"/>
        <v>9972368.2378688585</v>
      </c>
      <c r="E247" s="59">
        <f t="shared" ca="1" si="15"/>
        <v>27631.762131141499</v>
      </c>
    </row>
    <row r="248" spans="1:5">
      <c r="A248" s="8">
        <v>247</v>
      </c>
      <c r="B248" s="8">
        <f t="shared" ca="1" si="12"/>
        <v>-1.3255256340686401</v>
      </c>
      <c r="C248" s="57">
        <f t="shared" ca="1" si="13"/>
        <v>-1.627055529245618E-2</v>
      </c>
      <c r="D248" s="58">
        <f t="shared" ca="1" si="14"/>
        <v>9837294.4470754378</v>
      </c>
      <c r="E248" s="59">
        <f t="shared" ca="1" si="15"/>
        <v>162705.55292456225</v>
      </c>
    </row>
    <row r="249" spans="1:5">
      <c r="A249" s="8">
        <v>248</v>
      </c>
      <c r="B249" s="8">
        <f t="shared" ca="1" si="12"/>
        <v>-1.3797752796054907</v>
      </c>
      <c r="C249" s="57">
        <f t="shared" ca="1" si="13"/>
        <v>-1.6943329057842273E-2</v>
      </c>
      <c r="D249" s="58">
        <f t="shared" ca="1" si="14"/>
        <v>9830566.7094215769</v>
      </c>
      <c r="E249" s="59">
        <f t="shared" ca="1" si="15"/>
        <v>169433.29057842307</v>
      </c>
    </row>
    <row r="250" spans="1:5">
      <c r="A250" s="8">
        <v>249</v>
      </c>
      <c r="B250" s="8">
        <f t="shared" ca="1" si="12"/>
        <v>0.68524879060747768</v>
      </c>
      <c r="C250" s="57">
        <f t="shared" ca="1" si="13"/>
        <v>8.665944617252553E-3</v>
      </c>
      <c r="D250" s="58">
        <f t="shared" ca="1" si="14"/>
        <v>10086659.446172526</v>
      </c>
      <c r="E250" s="59">
        <f t="shared" ca="1" si="15"/>
        <v>-86659.446172526106</v>
      </c>
    </row>
    <row r="251" spans="1:5">
      <c r="A251" s="8">
        <v>250</v>
      </c>
      <c r="B251" s="8">
        <f t="shared" ca="1" si="12"/>
        <v>7.4398625260251303E-2</v>
      </c>
      <c r="C251" s="57">
        <f t="shared" ca="1" si="13"/>
        <v>1.0905224783519054E-3</v>
      </c>
      <c r="D251" s="58">
        <f t="shared" ca="1" si="14"/>
        <v>10010905.224783519</v>
      </c>
      <c r="E251" s="59">
        <f t="shared" ca="1" si="15"/>
        <v>-10905.224783519283</v>
      </c>
    </row>
    <row r="252" spans="1:5">
      <c r="A252" s="8">
        <v>251</v>
      </c>
      <c r="B252" s="8">
        <f t="shared" ca="1" si="12"/>
        <v>-0.25548680637756921</v>
      </c>
      <c r="C252" s="57">
        <f t="shared" ca="1" si="13"/>
        <v>-3.0005321597514002E-3</v>
      </c>
      <c r="D252" s="58">
        <f t="shared" ca="1" si="14"/>
        <v>9969994.6784024853</v>
      </c>
      <c r="E252" s="59">
        <f t="shared" ca="1" si="15"/>
        <v>30005.321597514674</v>
      </c>
    </row>
    <row r="253" spans="1:5">
      <c r="A253" s="8">
        <v>252</v>
      </c>
      <c r="B253" s="8">
        <f t="shared" ca="1" si="12"/>
        <v>1.0144510887528428</v>
      </c>
      <c r="C253" s="57">
        <f t="shared" ca="1" si="13"/>
        <v>1.2748527415817879E-2</v>
      </c>
      <c r="D253" s="58">
        <f t="shared" ca="1" si="14"/>
        <v>10127485.27415818</v>
      </c>
      <c r="E253" s="59">
        <f t="shared" ca="1" si="15"/>
        <v>-127485.27415817976</v>
      </c>
    </row>
    <row r="254" spans="1:5">
      <c r="A254" s="8">
        <v>253</v>
      </c>
      <c r="B254" s="8">
        <f t="shared" ca="1" si="12"/>
        <v>-0.2925194392755382</v>
      </c>
      <c r="C254" s="57">
        <f t="shared" ca="1" si="13"/>
        <v>-3.4597901628291077E-3</v>
      </c>
      <c r="D254" s="58">
        <f t="shared" ca="1" si="14"/>
        <v>9965402.0983717088</v>
      </c>
      <c r="E254" s="59">
        <f t="shared" ca="1" si="15"/>
        <v>34597.901628291234</v>
      </c>
    </row>
    <row r="255" spans="1:5">
      <c r="A255" s="8">
        <v>254</v>
      </c>
      <c r="B255" s="8">
        <f t="shared" ca="1" si="12"/>
        <v>0.37082558894570938</v>
      </c>
      <c r="C255" s="57">
        <f t="shared" ca="1" si="13"/>
        <v>4.7666439082175603E-3</v>
      </c>
      <c r="D255" s="58">
        <f t="shared" ca="1" si="14"/>
        <v>10047666.439082175</v>
      </c>
      <c r="E255" s="59">
        <f t="shared" ca="1" si="15"/>
        <v>-47666.439082175493</v>
      </c>
    </row>
    <row r="256" spans="1:5">
      <c r="A256" s="8">
        <v>255</v>
      </c>
      <c r="B256" s="8">
        <f t="shared" ca="1" si="12"/>
        <v>-0.35137611289315712</v>
      </c>
      <c r="C256" s="57">
        <f t="shared" ca="1" si="13"/>
        <v>-4.1896977140393407E-3</v>
      </c>
      <c r="D256" s="58">
        <f t="shared" ca="1" si="14"/>
        <v>9958103.0228596069</v>
      </c>
      <c r="E256" s="59">
        <f t="shared" ca="1" si="15"/>
        <v>41896.977140393108</v>
      </c>
    </row>
    <row r="257" spans="1:5">
      <c r="A257" s="8">
        <v>256</v>
      </c>
      <c r="B257" s="8">
        <f t="shared" ca="1" si="12"/>
        <v>-1.0297502768648261</v>
      </c>
      <c r="C257" s="57">
        <f t="shared" ca="1" si="13"/>
        <v>-1.2602514721771584E-2</v>
      </c>
      <c r="D257" s="58">
        <f t="shared" ca="1" si="14"/>
        <v>9873974.8527822848</v>
      </c>
      <c r="E257" s="59">
        <f t="shared" ca="1" si="15"/>
        <v>126025.14721771516</v>
      </c>
    </row>
    <row r="258" spans="1:5">
      <c r="A258" s="8">
        <v>257</v>
      </c>
      <c r="B258" s="8">
        <f t="shared" ca="1" si="12"/>
        <v>-0.46021825135064443</v>
      </c>
      <c r="C258" s="57">
        <f t="shared" ca="1" si="13"/>
        <v>-5.5394970463313329E-3</v>
      </c>
      <c r="D258" s="58">
        <f t="shared" ca="1" si="14"/>
        <v>9944605.0295366868</v>
      </c>
      <c r="E258" s="59">
        <f t="shared" ca="1" si="15"/>
        <v>55394.970463313162</v>
      </c>
    </row>
    <row r="259" spans="1:5">
      <c r="A259" s="8">
        <v>258</v>
      </c>
      <c r="B259" s="8">
        <f t="shared" ref="B259:B322" ca="1" si="16">_xlfn.NORM.S.INV(RAND())</f>
        <v>0.84568706955085848</v>
      </c>
      <c r="C259" s="57">
        <f t="shared" ref="C259:C322" ca="1" si="17" xml:space="preserve"> $H$2 + $H$3 * B259</f>
        <v>1.0655610429234351E-2</v>
      </c>
      <c r="D259" s="58">
        <f t="shared" ref="D259:D322" ca="1" si="18">$H$4 * (1 + C259)</f>
        <v>10106556.104292344</v>
      </c>
      <c r="E259" s="59">
        <f t="shared" ref="E259:E322" ca="1" si="19">$H$4-D259</f>
        <v>-106556.1042923443</v>
      </c>
    </row>
    <row r="260" spans="1:5">
      <c r="A260" s="8">
        <v>259</v>
      </c>
      <c r="B260" s="8">
        <f t="shared" ca="1" si="16"/>
        <v>-0.30855703490598541</v>
      </c>
      <c r="C260" s="57">
        <f t="shared" ca="1" si="17"/>
        <v>-3.6586794549758432E-3</v>
      </c>
      <c r="D260" s="58">
        <f t="shared" ca="1" si="18"/>
        <v>9963413.2054502405</v>
      </c>
      <c r="E260" s="59">
        <f t="shared" ca="1" si="19"/>
        <v>36586.794549759477</v>
      </c>
    </row>
    <row r="261" spans="1:5">
      <c r="A261" s="8">
        <v>260</v>
      </c>
      <c r="B261" s="8">
        <f t="shared" ca="1" si="16"/>
        <v>-1.8948246240608162</v>
      </c>
      <c r="C261" s="57">
        <f t="shared" ca="1" si="17"/>
        <v>-2.3330682991675261E-2</v>
      </c>
      <c r="D261" s="58">
        <f t="shared" ca="1" si="18"/>
        <v>9766693.1700832471</v>
      </c>
      <c r="E261" s="59">
        <f t="shared" ca="1" si="19"/>
        <v>233306.82991675287</v>
      </c>
    </row>
    <row r="262" spans="1:5">
      <c r="A262" s="8">
        <v>261</v>
      </c>
      <c r="B262" s="8">
        <f t="shared" ca="1" si="16"/>
        <v>2.3826864969789185</v>
      </c>
      <c r="C262" s="57">
        <f t="shared" ca="1" si="17"/>
        <v>2.9716617776916185E-2</v>
      </c>
      <c r="D262" s="58">
        <f t="shared" ca="1" si="18"/>
        <v>10297166.177769162</v>
      </c>
      <c r="E262" s="59">
        <f t="shared" ca="1" si="19"/>
        <v>-297166.17776916176</v>
      </c>
    </row>
    <row r="263" spans="1:5">
      <c r="A263" s="8">
        <v>262</v>
      </c>
      <c r="B263" s="8">
        <f t="shared" ca="1" si="16"/>
        <v>0.1687197458482747</v>
      </c>
      <c r="C263" s="57">
        <f t="shared" ca="1" si="17"/>
        <v>2.2602402677582047E-3</v>
      </c>
      <c r="D263" s="58">
        <f t="shared" ca="1" si="18"/>
        <v>10022602.402677583</v>
      </c>
      <c r="E263" s="59">
        <f t="shared" ca="1" si="19"/>
        <v>-22602.402677582577</v>
      </c>
    </row>
    <row r="264" spans="1:5">
      <c r="A264" s="8">
        <v>263</v>
      </c>
      <c r="B264" s="8">
        <f t="shared" ca="1" si="16"/>
        <v>1.1774969514153719</v>
      </c>
      <c r="C264" s="57">
        <f t="shared" ca="1" si="17"/>
        <v>1.4770531022819907E-2</v>
      </c>
      <c r="D264" s="58">
        <f t="shared" ca="1" si="18"/>
        <v>10147705.310228199</v>
      </c>
      <c r="E264" s="59">
        <f t="shared" ca="1" si="19"/>
        <v>-147705.31022819877</v>
      </c>
    </row>
    <row r="265" spans="1:5">
      <c r="A265" s="8">
        <v>264</v>
      </c>
      <c r="B265" s="8">
        <f t="shared" ca="1" si="16"/>
        <v>1.2116953808317403</v>
      </c>
      <c r="C265" s="57">
        <f t="shared" ca="1" si="17"/>
        <v>1.5194640819318246E-2</v>
      </c>
      <c r="D265" s="58">
        <f t="shared" ca="1" si="18"/>
        <v>10151946.408193182</v>
      </c>
      <c r="E265" s="59">
        <f t="shared" ca="1" si="19"/>
        <v>-151946.4081931822</v>
      </c>
    </row>
    <row r="266" spans="1:5">
      <c r="A266" s="8">
        <v>265</v>
      </c>
      <c r="B266" s="8">
        <f t="shared" ca="1" si="16"/>
        <v>0.47010473818960546</v>
      </c>
      <c r="C266" s="57">
        <f t="shared" ca="1" si="17"/>
        <v>5.997848396286946E-3</v>
      </c>
      <c r="D266" s="58">
        <f t="shared" ca="1" si="18"/>
        <v>10059978.483962871</v>
      </c>
      <c r="E266" s="59">
        <f t="shared" ca="1" si="19"/>
        <v>-59978.483962871134</v>
      </c>
    </row>
    <row r="267" spans="1:5">
      <c r="A267" s="8">
        <v>266</v>
      </c>
      <c r="B267" s="8">
        <f t="shared" ca="1" si="16"/>
        <v>0.99944978165130938</v>
      </c>
      <c r="C267" s="57">
        <f t="shared" ca="1" si="17"/>
        <v>1.2562489594472922E-2</v>
      </c>
      <c r="D267" s="58">
        <f t="shared" ca="1" si="18"/>
        <v>10125624.895944729</v>
      </c>
      <c r="E267" s="59">
        <f t="shared" ca="1" si="19"/>
        <v>-125624.89594472945</v>
      </c>
    </row>
    <row r="268" spans="1:5">
      <c r="A268" s="8">
        <v>267</v>
      </c>
      <c r="B268" s="8">
        <f t="shared" ca="1" si="16"/>
        <v>1.0467816910734408E-3</v>
      </c>
      <c r="C268" s="57">
        <f t="shared" ca="1" si="17"/>
        <v>1.8085393567865242E-4</v>
      </c>
      <c r="D268" s="58">
        <f t="shared" ca="1" si="18"/>
        <v>10001808.539356787</v>
      </c>
      <c r="E268" s="59">
        <f t="shared" ca="1" si="19"/>
        <v>-1808.5393567867577</v>
      </c>
    </row>
    <row r="269" spans="1:5">
      <c r="A269" s="8">
        <v>268</v>
      </c>
      <c r="B269" s="8">
        <f t="shared" ca="1" si="16"/>
        <v>-1.4507326159519491</v>
      </c>
      <c r="C269" s="57">
        <f t="shared" ca="1" si="17"/>
        <v>-1.7823302261043145E-2</v>
      </c>
      <c r="D269" s="58">
        <f t="shared" ca="1" si="18"/>
        <v>9821766.9773895685</v>
      </c>
      <c r="E269" s="59">
        <f t="shared" ca="1" si="19"/>
        <v>178233.02261043154</v>
      </c>
    </row>
    <row r="270" spans="1:5">
      <c r="A270" s="8">
        <v>269</v>
      </c>
      <c r="B270" s="8">
        <f t="shared" ca="1" si="16"/>
        <v>-0.81928715126219542</v>
      </c>
      <c r="C270" s="57">
        <f t="shared" ca="1" si="17"/>
        <v>-9.9924687374079394E-3</v>
      </c>
      <c r="D270" s="58">
        <f t="shared" ca="1" si="18"/>
        <v>9900075.3126259204</v>
      </c>
      <c r="E270" s="59">
        <f t="shared" ca="1" si="19"/>
        <v>99924.6873740796</v>
      </c>
    </row>
    <row r="271" spans="1:5">
      <c r="A271" s="8">
        <v>270</v>
      </c>
      <c r="B271" s="8">
        <f t="shared" ca="1" si="16"/>
        <v>1.5525907965767141</v>
      </c>
      <c r="C271" s="57">
        <f t="shared" ca="1" si="17"/>
        <v>1.9422235123096949E-2</v>
      </c>
      <c r="D271" s="58">
        <f t="shared" ca="1" si="18"/>
        <v>10194222.35123097</v>
      </c>
      <c r="E271" s="59">
        <f t="shared" ca="1" si="19"/>
        <v>-194222.35123096965</v>
      </c>
    </row>
    <row r="272" spans="1:5">
      <c r="A272" s="8">
        <v>271</v>
      </c>
      <c r="B272" s="8">
        <f t="shared" ca="1" si="16"/>
        <v>1.1390602098597085</v>
      </c>
      <c r="C272" s="57">
        <f t="shared" ca="1" si="17"/>
        <v>1.4293860049402944E-2</v>
      </c>
      <c r="D272" s="58">
        <f t="shared" ca="1" si="18"/>
        <v>10142938.600494029</v>
      </c>
      <c r="E272" s="59">
        <f t="shared" ca="1" si="19"/>
        <v>-142938.600494029</v>
      </c>
    </row>
    <row r="273" spans="1:5">
      <c r="A273" s="8">
        <v>272</v>
      </c>
      <c r="B273" s="8">
        <f t="shared" ca="1" si="16"/>
        <v>-0.56691170447373351</v>
      </c>
      <c r="C273" s="57">
        <f t="shared" ca="1" si="17"/>
        <v>-6.8626495847365146E-3</v>
      </c>
      <c r="D273" s="58">
        <f t="shared" ca="1" si="18"/>
        <v>9931373.5041526351</v>
      </c>
      <c r="E273" s="59">
        <f t="shared" ca="1" si="19"/>
        <v>68626.495847364888</v>
      </c>
    </row>
    <row r="274" spans="1:5">
      <c r="A274" s="8">
        <v>273</v>
      </c>
      <c r="B274" s="8">
        <f t="shared" ca="1" si="16"/>
        <v>-0.54392325011089304</v>
      </c>
      <c r="C274" s="57">
        <f t="shared" ca="1" si="17"/>
        <v>-6.5775596297876146E-3</v>
      </c>
      <c r="D274" s="58">
        <f t="shared" ca="1" si="18"/>
        <v>9934224.403702125</v>
      </c>
      <c r="E274" s="59">
        <f t="shared" ca="1" si="19"/>
        <v>65775.596297875047</v>
      </c>
    </row>
    <row r="275" spans="1:5">
      <c r="A275" s="8">
        <v>274</v>
      </c>
      <c r="B275" s="8">
        <f t="shared" ca="1" si="16"/>
        <v>-0.23362809161917847</v>
      </c>
      <c r="C275" s="57">
        <f t="shared" ca="1" si="17"/>
        <v>-2.7294526035815145E-3</v>
      </c>
      <c r="D275" s="58">
        <f t="shared" ca="1" si="18"/>
        <v>9972705.4739641845</v>
      </c>
      <c r="E275" s="59">
        <f t="shared" ca="1" si="19"/>
        <v>27294.526035815477</v>
      </c>
    </row>
    <row r="276" spans="1:5">
      <c r="A276" s="8">
        <v>275</v>
      </c>
      <c r="B276" s="8">
        <f t="shared" ca="1" si="16"/>
        <v>0.95441761991724017</v>
      </c>
      <c r="C276" s="57">
        <f t="shared" ca="1" si="17"/>
        <v>1.2004025908424955E-2</v>
      </c>
      <c r="D276" s="58">
        <f t="shared" ca="1" si="18"/>
        <v>10120040.259084249</v>
      </c>
      <c r="E276" s="59">
        <f t="shared" ca="1" si="19"/>
        <v>-120040.25908424892</v>
      </c>
    </row>
    <row r="277" spans="1:5">
      <c r="A277" s="8">
        <v>276</v>
      </c>
      <c r="B277" s="8">
        <f t="shared" ca="1" si="16"/>
        <v>0.69330463144774435</v>
      </c>
      <c r="C277" s="57">
        <f t="shared" ca="1" si="17"/>
        <v>8.7658486502065706E-3</v>
      </c>
      <c r="D277" s="58">
        <f t="shared" ca="1" si="18"/>
        <v>10087658.486502064</v>
      </c>
      <c r="E277" s="59">
        <f t="shared" ca="1" si="19"/>
        <v>-87658.486502064392</v>
      </c>
    </row>
    <row r="278" spans="1:5">
      <c r="A278" s="8">
        <v>277</v>
      </c>
      <c r="B278" s="8">
        <f t="shared" ca="1" si="16"/>
        <v>-0.53004552676415262</v>
      </c>
      <c r="C278" s="57">
        <f t="shared" ca="1" si="17"/>
        <v>-6.4054558658168262E-3</v>
      </c>
      <c r="D278" s="58">
        <f t="shared" ca="1" si="18"/>
        <v>9935945.4413418304</v>
      </c>
      <c r="E278" s="59">
        <f t="shared" ca="1" si="19"/>
        <v>64054.558658169582</v>
      </c>
    </row>
    <row r="279" spans="1:5">
      <c r="A279" s="8">
        <v>278</v>
      </c>
      <c r="B279" s="8">
        <f t="shared" ca="1" si="16"/>
        <v>0.36414479362617735</v>
      </c>
      <c r="C279" s="57">
        <f t="shared" ca="1" si="17"/>
        <v>4.683792420831486E-3</v>
      </c>
      <c r="D279" s="58">
        <f t="shared" ca="1" si="18"/>
        <v>10046837.924208313</v>
      </c>
      <c r="E279" s="59">
        <f t="shared" ca="1" si="19"/>
        <v>-46837.924208313227</v>
      </c>
    </row>
    <row r="280" spans="1:5">
      <c r="A280" s="8">
        <v>279</v>
      </c>
      <c r="B280" s="8">
        <f t="shared" ca="1" si="16"/>
        <v>-8.0073026504464045E-2</v>
      </c>
      <c r="C280" s="57">
        <f t="shared" ca="1" si="17"/>
        <v>-8.2514856013558434E-4</v>
      </c>
      <c r="D280" s="58">
        <f t="shared" ca="1" si="18"/>
        <v>9991748.5143986437</v>
      </c>
      <c r="E280" s="59">
        <f t="shared" ca="1" si="19"/>
        <v>8251.485601356253</v>
      </c>
    </row>
    <row r="281" spans="1:5">
      <c r="A281" s="8">
        <v>280</v>
      </c>
      <c r="B281" s="8">
        <f t="shared" ca="1" si="16"/>
        <v>-1.9866010361801183</v>
      </c>
      <c r="C281" s="57">
        <f t="shared" ca="1" si="17"/>
        <v>-2.4468842729754782E-2</v>
      </c>
      <c r="D281" s="58">
        <f t="shared" ca="1" si="18"/>
        <v>9755311.5727024525</v>
      </c>
      <c r="E281" s="59">
        <f t="shared" ca="1" si="19"/>
        <v>244688.42729754746</v>
      </c>
    </row>
    <row r="282" spans="1:5">
      <c r="A282" s="8">
        <v>281</v>
      </c>
      <c r="B282" s="8">
        <f t="shared" ca="1" si="16"/>
        <v>1.3345959478191736</v>
      </c>
      <c r="C282" s="57">
        <f t="shared" ca="1" si="17"/>
        <v>1.6718784920205603E-2</v>
      </c>
      <c r="D282" s="58">
        <f t="shared" ca="1" si="18"/>
        <v>10167187.849202055</v>
      </c>
      <c r="E282" s="59">
        <f t="shared" ca="1" si="19"/>
        <v>-167187.84920205548</v>
      </c>
    </row>
    <row r="283" spans="1:5">
      <c r="A283" s="8">
        <v>282</v>
      </c>
      <c r="B283" s="8">
        <f t="shared" ca="1" si="16"/>
        <v>0.73907680581928692</v>
      </c>
      <c r="C283" s="57">
        <f t="shared" ca="1" si="17"/>
        <v>9.33348955913995E-3</v>
      </c>
      <c r="D283" s="58">
        <f t="shared" ca="1" si="18"/>
        <v>10093334.895591399</v>
      </c>
      <c r="E283" s="59">
        <f t="shared" ca="1" si="19"/>
        <v>-93334.895591398701</v>
      </c>
    </row>
    <row r="284" spans="1:5">
      <c r="A284" s="8">
        <v>283</v>
      </c>
      <c r="B284" s="8">
        <f t="shared" ca="1" si="16"/>
        <v>0.11881413459964726</v>
      </c>
      <c r="C284" s="57">
        <f t="shared" ca="1" si="17"/>
        <v>1.6413387862577087E-3</v>
      </c>
      <c r="D284" s="58">
        <f t="shared" ca="1" si="18"/>
        <v>10016413.387862578</v>
      </c>
      <c r="E284" s="59">
        <f t="shared" ca="1" si="19"/>
        <v>-16413.387862578034</v>
      </c>
    </row>
    <row r="285" spans="1:5">
      <c r="A285" s="8">
        <v>284</v>
      </c>
      <c r="B285" s="8">
        <f t="shared" ca="1" si="16"/>
        <v>-0.60070786240987228</v>
      </c>
      <c r="C285" s="57">
        <f t="shared" ca="1" si="17"/>
        <v>-7.2817706353032743E-3</v>
      </c>
      <c r="D285" s="58">
        <f t="shared" ca="1" si="18"/>
        <v>9927182.293646967</v>
      </c>
      <c r="E285" s="59">
        <f t="shared" ca="1" si="19"/>
        <v>72817.706353032961</v>
      </c>
    </row>
    <row r="286" spans="1:5">
      <c r="A286" s="8">
        <v>285</v>
      </c>
      <c r="B286" s="8">
        <f t="shared" ca="1" si="16"/>
        <v>-2.3669935064055267</v>
      </c>
      <c r="C286" s="57">
        <f t="shared" ca="1" si="17"/>
        <v>-2.9186257414874257E-2</v>
      </c>
      <c r="D286" s="58">
        <f t="shared" ca="1" si="18"/>
        <v>9708137.4258512575</v>
      </c>
      <c r="E286" s="59">
        <f t="shared" ca="1" si="19"/>
        <v>291862.57414874248</v>
      </c>
    </row>
    <row r="287" spans="1:5">
      <c r="A287" s="8">
        <v>286</v>
      </c>
      <c r="B287" s="8">
        <f t="shared" ca="1" si="16"/>
        <v>0.35868846583472097</v>
      </c>
      <c r="C287" s="57">
        <f t="shared" ca="1" si="17"/>
        <v>4.6161260949576085E-3</v>
      </c>
      <c r="D287" s="58">
        <f t="shared" ca="1" si="18"/>
        <v>10046161.260949576</v>
      </c>
      <c r="E287" s="59">
        <f t="shared" ca="1" si="19"/>
        <v>-46161.260949576274</v>
      </c>
    </row>
    <row r="288" spans="1:5">
      <c r="A288" s="8">
        <v>287</v>
      </c>
      <c r="B288" s="8">
        <f t="shared" ca="1" si="16"/>
        <v>0.69483025418203925</v>
      </c>
      <c r="C288" s="57">
        <f t="shared" ca="1" si="17"/>
        <v>8.7847685701683154E-3</v>
      </c>
      <c r="D288" s="58">
        <f t="shared" ca="1" si="18"/>
        <v>10087847.685701683</v>
      </c>
      <c r="E288" s="59">
        <f t="shared" ca="1" si="19"/>
        <v>-87847.685701683164</v>
      </c>
    </row>
    <row r="289" spans="1:5">
      <c r="A289" s="8">
        <v>288</v>
      </c>
      <c r="B289" s="8">
        <f t="shared" ca="1" si="16"/>
        <v>0.21036833955917861</v>
      </c>
      <c r="C289" s="57">
        <f t="shared" ca="1" si="17"/>
        <v>2.7767428354088437E-3</v>
      </c>
      <c r="D289" s="58">
        <f t="shared" ca="1" si="18"/>
        <v>10027767.428354088</v>
      </c>
      <c r="E289" s="59">
        <f t="shared" ca="1" si="19"/>
        <v>-27767.428354088217</v>
      </c>
    </row>
    <row r="290" spans="1:5">
      <c r="A290" s="8">
        <v>289</v>
      </c>
      <c r="B290" s="8">
        <f t="shared" ca="1" si="16"/>
        <v>1.7492478680034094</v>
      </c>
      <c r="C290" s="57">
        <f t="shared" ca="1" si="17"/>
        <v>2.1861066144465875E-2</v>
      </c>
      <c r="D290" s="58">
        <f t="shared" ca="1" si="18"/>
        <v>10218610.661444658</v>
      </c>
      <c r="E290" s="59">
        <f t="shared" ca="1" si="19"/>
        <v>-218610.66144465841</v>
      </c>
    </row>
    <row r="291" spans="1:5">
      <c r="A291" s="8">
        <v>290</v>
      </c>
      <c r="B291" s="8">
        <f t="shared" ca="1" si="16"/>
        <v>0.53727719613055658</v>
      </c>
      <c r="C291" s="57">
        <f t="shared" ca="1" si="17"/>
        <v>6.830883654157429E-3</v>
      </c>
      <c r="D291" s="58">
        <f t="shared" ca="1" si="18"/>
        <v>10068308.836541574</v>
      </c>
      <c r="E291" s="59">
        <f t="shared" ca="1" si="19"/>
        <v>-68308.836541574448</v>
      </c>
    </row>
    <row r="292" spans="1:5">
      <c r="A292" s="8">
        <v>291</v>
      </c>
      <c r="B292" s="8">
        <f t="shared" ca="1" si="16"/>
        <v>-0.51124459388694565</v>
      </c>
      <c r="C292" s="57">
        <f t="shared" ca="1" si="17"/>
        <v>-6.1722972105039972E-3</v>
      </c>
      <c r="D292" s="58">
        <f t="shared" ca="1" si="18"/>
        <v>9938277.0278949589</v>
      </c>
      <c r="E292" s="59">
        <f t="shared" ca="1" si="19"/>
        <v>61722.972105041146</v>
      </c>
    </row>
    <row r="293" spans="1:5">
      <c r="A293" s="8">
        <v>292</v>
      </c>
      <c r="B293" s="8">
        <f t="shared" ca="1" si="16"/>
        <v>-0.71835418599752232</v>
      </c>
      <c r="C293" s="57">
        <f t="shared" ca="1" si="17"/>
        <v>-8.7407545479286485E-3</v>
      </c>
      <c r="D293" s="58">
        <f t="shared" ca="1" si="18"/>
        <v>9912592.4545207135</v>
      </c>
      <c r="E293" s="59">
        <f t="shared" ca="1" si="19"/>
        <v>87407.545479286462</v>
      </c>
    </row>
    <row r="294" spans="1:5">
      <c r="A294" s="8">
        <v>293</v>
      </c>
      <c r="B294" s="8">
        <f t="shared" ca="1" si="16"/>
        <v>-0.70734920326299411</v>
      </c>
      <c r="C294" s="57">
        <f t="shared" ca="1" si="17"/>
        <v>-8.6042769064795781E-3</v>
      </c>
      <c r="D294" s="58">
        <f t="shared" ca="1" si="18"/>
        <v>9913957.2309352048</v>
      </c>
      <c r="E294" s="59">
        <f t="shared" ca="1" si="19"/>
        <v>86042.769064795226</v>
      </c>
    </row>
    <row r="295" spans="1:5">
      <c r="A295" s="8">
        <v>294</v>
      </c>
      <c r="B295" s="8">
        <f t="shared" ca="1" si="16"/>
        <v>-0.59536760900275054</v>
      </c>
      <c r="C295" s="57">
        <f t="shared" ca="1" si="17"/>
        <v>-7.2155437990304968E-3</v>
      </c>
      <c r="D295" s="58">
        <f t="shared" ca="1" si="18"/>
        <v>9927844.5620096959</v>
      </c>
      <c r="E295" s="59">
        <f t="shared" ca="1" si="19"/>
        <v>72155.437990304083</v>
      </c>
    </row>
    <row r="296" spans="1:5">
      <c r="A296" s="8">
        <v>295</v>
      </c>
      <c r="B296" s="8">
        <f t="shared" ca="1" si="16"/>
        <v>1.8147660935758649</v>
      </c>
      <c r="C296" s="57">
        <f t="shared" ca="1" si="17"/>
        <v>2.2673586537614886E-2</v>
      </c>
      <c r="D296" s="58">
        <f t="shared" ca="1" si="18"/>
        <v>10226735.865376148</v>
      </c>
      <c r="E296" s="59">
        <f t="shared" ca="1" si="19"/>
        <v>-226735.86537614837</v>
      </c>
    </row>
    <row r="297" spans="1:5">
      <c r="A297" s="8">
        <v>296</v>
      </c>
      <c r="B297" s="8">
        <f t="shared" ca="1" si="16"/>
        <v>-1.8729064409004879</v>
      </c>
      <c r="C297" s="57">
        <f t="shared" ca="1" si="17"/>
        <v>-2.3058865941641644E-2</v>
      </c>
      <c r="D297" s="58">
        <f t="shared" ca="1" si="18"/>
        <v>9769411.3405835833</v>
      </c>
      <c r="E297" s="59">
        <f t="shared" ca="1" si="19"/>
        <v>230588.65941641666</v>
      </c>
    </row>
    <row r="298" spans="1:5">
      <c r="A298" s="8">
        <v>297</v>
      </c>
      <c r="B298" s="8">
        <f t="shared" ca="1" si="16"/>
        <v>0.80772010374109671</v>
      </c>
      <c r="C298" s="57">
        <f t="shared" ca="1" si="17"/>
        <v>1.0184765351900757E-2</v>
      </c>
      <c r="D298" s="58">
        <f t="shared" ca="1" si="18"/>
        <v>10101847.653519006</v>
      </c>
      <c r="E298" s="59">
        <f t="shared" ca="1" si="19"/>
        <v>-101847.65351900645</v>
      </c>
    </row>
    <row r="299" spans="1:5">
      <c r="A299" s="8">
        <v>298</v>
      </c>
      <c r="B299" s="8">
        <f t="shared" ca="1" si="16"/>
        <v>-0.35120242038922528</v>
      </c>
      <c r="C299" s="57">
        <f t="shared" ca="1" si="17"/>
        <v>-4.1875436767413428E-3</v>
      </c>
      <c r="D299" s="58">
        <f t="shared" ca="1" si="18"/>
        <v>9958124.5632325858</v>
      </c>
      <c r="E299" s="59">
        <f t="shared" ca="1" si="19"/>
        <v>41875.436767414212</v>
      </c>
    </row>
    <row r="300" spans="1:5">
      <c r="A300" s="8">
        <v>299</v>
      </c>
      <c r="B300" s="8">
        <f t="shared" ca="1" si="16"/>
        <v>-0.62387342584982985</v>
      </c>
      <c r="C300" s="57">
        <f t="shared" ca="1" si="17"/>
        <v>-7.5690569979801319E-3</v>
      </c>
      <c r="D300" s="58">
        <f t="shared" ca="1" si="18"/>
        <v>9924309.4300201982</v>
      </c>
      <c r="E300" s="59">
        <f t="shared" ca="1" si="19"/>
        <v>75690.569979801774</v>
      </c>
    </row>
    <row r="301" spans="1:5">
      <c r="A301" s="8">
        <v>300</v>
      </c>
      <c r="B301" s="8">
        <f t="shared" ca="1" si="16"/>
        <v>-0.1411571248286248</v>
      </c>
      <c r="C301" s="57">
        <f t="shared" ca="1" si="17"/>
        <v>-1.5826793868917604E-3</v>
      </c>
      <c r="D301" s="58">
        <f t="shared" ca="1" si="18"/>
        <v>9984173.206131082</v>
      </c>
      <c r="E301" s="59">
        <f t="shared" ca="1" si="19"/>
        <v>15826.793868917972</v>
      </c>
    </row>
    <row r="302" spans="1:5">
      <c r="A302" s="8">
        <v>301</v>
      </c>
      <c r="B302" s="8">
        <f t="shared" ca="1" si="16"/>
        <v>-0.25666050056514988</v>
      </c>
      <c r="C302" s="57">
        <f t="shared" ca="1" si="17"/>
        <v>-3.0150876586892512E-3</v>
      </c>
      <c r="D302" s="58">
        <f t="shared" ca="1" si="18"/>
        <v>9969849.1234131064</v>
      </c>
      <c r="E302" s="59">
        <f t="shared" ca="1" si="19"/>
        <v>30150.876586893573</v>
      </c>
    </row>
    <row r="303" spans="1:5">
      <c r="A303" s="8">
        <v>302</v>
      </c>
      <c r="B303" s="8">
        <f t="shared" ca="1" si="16"/>
        <v>0.5568077604030538</v>
      </c>
      <c r="C303" s="57">
        <f t="shared" ca="1" si="17"/>
        <v>7.0730907899957188E-3</v>
      </c>
      <c r="D303" s="58">
        <f t="shared" ca="1" si="18"/>
        <v>10070730.907899957</v>
      </c>
      <c r="E303" s="59">
        <f t="shared" ca="1" si="19"/>
        <v>-70730.90789995715</v>
      </c>
    </row>
    <row r="304" spans="1:5">
      <c r="A304" s="8">
        <v>303</v>
      </c>
      <c r="B304" s="8">
        <f t="shared" ca="1" si="16"/>
        <v>0.72787148362965837</v>
      </c>
      <c r="C304" s="57">
        <f t="shared" ca="1" si="17"/>
        <v>9.1945274198065256E-3</v>
      </c>
      <c r="D304" s="58">
        <f t="shared" ca="1" si="18"/>
        <v>10091945.274198065</v>
      </c>
      <c r="E304" s="59">
        <f t="shared" ca="1" si="19"/>
        <v>-91945.274198064581</v>
      </c>
    </row>
    <row r="305" spans="1:5">
      <c r="A305" s="8">
        <v>304</v>
      </c>
      <c r="B305" s="8">
        <f t="shared" ca="1" si="16"/>
        <v>1.2949288292361734</v>
      </c>
      <c r="C305" s="57">
        <f t="shared" ca="1" si="17"/>
        <v>1.6226855498971435E-2</v>
      </c>
      <c r="D305" s="58">
        <f t="shared" ca="1" si="18"/>
        <v>10162268.554989716</v>
      </c>
      <c r="E305" s="59">
        <f t="shared" ca="1" si="19"/>
        <v>-162268.55498971604</v>
      </c>
    </row>
    <row r="306" spans="1:5">
      <c r="A306" s="8">
        <v>305</v>
      </c>
      <c r="B306" s="8">
        <f t="shared" ca="1" si="16"/>
        <v>2.62156629148437</v>
      </c>
      <c r="C306" s="57">
        <f t="shared" ca="1" si="17"/>
        <v>3.2679071397279852E-2</v>
      </c>
      <c r="D306" s="58">
        <f t="shared" ca="1" si="18"/>
        <v>10326790.713972798</v>
      </c>
      <c r="E306" s="59">
        <f t="shared" ca="1" si="19"/>
        <v>-326790.71397279762</v>
      </c>
    </row>
    <row r="307" spans="1:5">
      <c r="A307" s="8">
        <v>306</v>
      </c>
      <c r="B307" s="8">
        <f t="shared" ca="1" si="16"/>
        <v>-0.49240393243781216</v>
      </c>
      <c r="C307" s="57">
        <f t="shared" ca="1" si="17"/>
        <v>-5.9386458636599346E-3</v>
      </c>
      <c r="D307" s="58">
        <f t="shared" ca="1" si="18"/>
        <v>9940613.5413634013</v>
      </c>
      <c r="E307" s="59">
        <f t="shared" ca="1" si="19"/>
        <v>59386.458636598662</v>
      </c>
    </row>
    <row r="308" spans="1:5">
      <c r="A308" s="8">
        <v>307</v>
      </c>
      <c r="B308" s="8">
        <f t="shared" ca="1" si="16"/>
        <v>7.0907335460776516E-2</v>
      </c>
      <c r="C308" s="57">
        <f t="shared" ca="1" si="17"/>
        <v>1.0472254547270932E-3</v>
      </c>
      <c r="D308" s="58">
        <f t="shared" ca="1" si="18"/>
        <v>10010472.254547272</v>
      </c>
      <c r="E308" s="59">
        <f t="shared" ca="1" si="19"/>
        <v>-10472.254547271878</v>
      </c>
    </row>
    <row r="309" spans="1:5">
      <c r="A309" s="8">
        <v>308</v>
      </c>
      <c r="B309" s="8">
        <f t="shared" ca="1" si="16"/>
        <v>1.1874567439518013</v>
      </c>
      <c r="C309" s="57">
        <f t="shared" ca="1" si="17"/>
        <v>1.4894046799944133E-2</v>
      </c>
      <c r="D309" s="58">
        <f t="shared" ca="1" si="18"/>
        <v>10148940.467999442</v>
      </c>
      <c r="E309" s="59">
        <f t="shared" ca="1" si="19"/>
        <v>-148940.46799944155</v>
      </c>
    </row>
    <row r="310" spans="1:5">
      <c r="A310" s="8">
        <v>309</v>
      </c>
      <c r="B310" s="8">
        <f t="shared" ca="1" si="16"/>
        <v>0.84250707385788426</v>
      </c>
      <c r="C310" s="57">
        <f t="shared" ca="1" si="17"/>
        <v>1.0616173901030299E-2</v>
      </c>
      <c r="D310" s="58">
        <f t="shared" ca="1" si="18"/>
        <v>10106161.739010302</v>
      </c>
      <c r="E310" s="59">
        <f t="shared" ca="1" si="19"/>
        <v>-106161.73901030235</v>
      </c>
    </row>
    <row r="311" spans="1:5">
      <c r="A311" s="8">
        <v>310</v>
      </c>
      <c r="B311" s="8">
        <f t="shared" ca="1" si="16"/>
        <v>0.47526677062868355</v>
      </c>
      <c r="C311" s="57">
        <f t="shared" ca="1" si="17"/>
        <v>6.0618650357823082E-3</v>
      </c>
      <c r="D311" s="58">
        <f t="shared" ca="1" si="18"/>
        <v>10060618.650357822</v>
      </c>
      <c r="E311" s="59">
        <f t="shared" ca="1" si="19"/>
        <v>-60618.650357821956</v>
      </c>
    </row>
    <row r="312" spans="1:5">
      <c r="A312" s="8">
        <v>311</v>
      </c>
      <c r="B312" s="8">
        <f t="shared" ca="1" si="16"/>
        <v>0.42600332645383787</v>
      </c>
      <c r="C312" s="57">
        <f t="shared" ca="1" si="17"/>
        <v>5.4509273512054557E-3</v>
      </c>
      <c r="D312" s="58">
        <f t="shared" ca="1" si="18"/>
        <v>10054509.273512056</v>
      </c>
      <c r="E312" s="59">
        <f t="shared" ca="1" si="19"/>
        <v>-54509.273512056097</v>
      </c>
    </row>
    <row r="313" spans="1:5">
      <c r="A313" s="8">
        <v>312</v>
      </c>
      <c r="B313" s="8">
        <f t="shared" ca="1" si="16"/>
        <v>0.31736748562038219</v>
      </c>
      <c r="C313" s="57">
        <f t="shared" ca="1" si="17"/>
        <v>4.1036864066768576E-3</v>
      </c>
      <c r="D313" s="58">
        <f t="shared" ca="1" si="18"/>
        <v>10041036.864066768</v>
      </c>
      <c r="E313" s="59">
        <f t="shared" ca="1" si="19"/>
        <v>-41036.864066768438</v>
      </c>
    </row>
    <row r="314" spans="1:5">
      <c r="A314" s="8">
        <v>313</v>
      </c>
      <c r="B314" s="8">
        <f t="shared" ca="1" si="16"/>
        <v>-1.0477749182205869</v>
      </c>
      <c r="C314" s="57">
        <f t="shared" ca="1" si="17"/>
        <v>-1.2826046243768567E-2</v>
      </c>
      <c r="D314" s="58">
        <f t="shared" ca="1" si="18"/>
        <v>9871739.5375623144</v>
      </c>
      <c r="E314" s="59">
        <f t="shared" ca="1" si="19"/>
        <v>128260.46243768558</v>
      </c>
    </row>
    <row r="315" spans="1:5">
      <c r="A315" s="8">
        <v>314</v>
      </c>
      <c r="B315" s="8">
        <f t="shared" ca="1" si="16"/>
        <v>-1.9346590087032185</v>
      </c>
      <c r="C315" s="57">
        <f t="shared" ca="1" si="17"/>
        <v>-2.3824686753036294E-2</v>
      </c>
      <c r="D315" s="58">
        <f t="shared" ca="1" si="18"/>
        <v>9761753.1324696373</v>
      </c>
      <c r="E315" s="59">
        <f t="shared" ca="1" si="19"/>
        <v>238246.86753036268</v>
      </c>
    </row>
    <row r="316" spans="1:5">
      <c r="A316" s="8">
        <v>315</v>
      </c>
      <c r="B316" s="8">
        <f t="shared" ca="1" si="16"/>
        <v>0.66740664752704293</v>
      </c>
      <c r="C316" s="57">
        <f t="shared" ca="1" si="17"/>
        <v>8.4446763368058609E-3</v>
      </c>
      <c r="D316" s="58">
        <f t="shared" ca="1" si="18"/>
        <v>10084446.763368057</v>
      </c>
      <c r="E316" s="59">
        <f t="shared" ca="1" si="19"/>
        <v>-84446.763368057087</v>
      </c>
    </row>
    <row r="317" spans="1:5">
      <c r="A317" s="8">
        <v>316</v>
      </c>
      <c r="B317" s="8">
        <f t="shared" ca="1" si="16"/>
        <v>-1.2846817315042565</v>
      </c>
      <c r="C317" s="57">
        <f t="shared" ca="1" si="17"/>
        <v>-1.5764032054389355E-2</v>
      </c>
      <c r="D317" s="58">
        <f t="shared" ca="1" si="18"/>
        <v>9842359.6794561055</v>
      </c>
      <c r="E317" s="59">
        <f t="shared" ca="1" si="19"/>
        <v>157640.32054389454</v>
      </c>
    </row>
    <row r="318" spans="1:5">
      <c r="A318" s="8">
        <v>317</v>
      </c>
      <c r="B318" s="8">
        <f t="shared" ca="1" si="16"/>
        <v>1.0994384594355602</v>
      </c>
      <c r="C318" s="57">
        <f t="shared" ca="1" si="17"/>
        <v>1.3802493258703176E-2</v>
      </c>
      <c r="D318" s="58">
        <f t="shared" ca="1" si="18"/>
        <v>10138024.932587031</v>
      </c>
      <c r="E318" s="59">
        <f t="shared" ca="1" si="19"/>
        <v>-138024.93258703128</v>
      </c>
    </row>
    <row r="319" spans="1:5">
      <c r="A319" s="8">
        <v>318</v>
      </c>
      <c r="B319" s="8">
        <f t="shared" ca="1" si="16"/>
        <v>0.11966283835449727</v>
      </c>
      <c r="C319" s="57">
        <f t="shared" ca="1" si="17"/>
        <v>1.6518639355964245E-3</v>
      </c>
      <c r="D319" s="58">
        <f t="shared" ca="1" si="18"/>
        <v>10016518.639355965</v>
      </c>
      <c r="E319" s="59">
        <f t="shared" ca="1" si="19"/>
        <v>-16518.639355964959</v>
      </c>
    </row>
    <row r="320" spans="1:5">
      <c r="A320" s="8">
        <v>319</v>
      </c>
      <c r="B320" s="8">
        <f t="shared" ca="1" si="16"/>
        <v>5.2794832854308124E-2</v>
      </c>
      <c r="C320" s="57">
        <f t="shared" ca="1" si="17"/>
        <v>8.2260432663434414E-4</v>
      </c>
      <c r="D320" s="58">
        <f t="shared" ca="1" si="18"/>
        <v>10008226.043266345</v>
      </c>
      <c r="E320" s="59">
        <f t="shared" ca="1" si="19"/>
        <v>-8226.0432663448155</v>
      </c>
    </row>
    <row r="321" spans="1:5">
      <c r="A321" s="8">
        <v>320</v>
      </c>
      <c r="B321" s="8">
        <f t="shared" ca="1" si="16"/>
        <v>-0.54762838172813377</v>
      </c>
      <c r="C321" s="57">
        <f t="shared" ca="1" si="17"/>
        <v>-6.6235086000475006E-3</v>
      </c>
      <c r="D321" s="58">
        <f t="shared" ca="1" si="18"/>
        <v>9933764.9139995258</v>
      </c>
      <c r="E321" s="59">
        <f t="shared" ca="1" si="19"/>
        <v>66235.08600047417</v>
      </c>
    </row>
    <row r="322" spans="1:5">
      <c r="A322" s="8">
        <v>321</v>
      </c>
      <c r="B322" s="8">
        <f t="shared" ca="1" si="16"/>
        <v>0.41834459170478167</v>
      </c>
      <c r="C322" s="57">
        <f t="shared" ca="1" si="17"/>
        <v>5.3559480059170916E-3</v>
      </c>
      <c r="D322" s="58">
        <f t="shared" ca="1" si="18"/>
        <v>10053559.480059171</v>
      </c>
      <c r="E322" s="59">
        <f t="shared" ca="1" si="19"/>
        <v>-53559.480059171095</v>
      </c>
    </row>
    <row r="323" spans="1:5">
      <c r="A323" s="8">
        <v>322</v>
      </c>
      <c r="B323" s="8">
        <f t="shared" ref="B323:B386" ca="1" si="20">_xlfn.NORM.S.INV(RAND())</f>
        <v>0.94121387104292153</v>
      </c>
      <c r="C323" s="57">
        <f t="shared" ref="C323:C386" ca="1" si="21" xml:space="preserve"> $H$2 + $H$3 * B323</f>
        <v>1.1840280398947781E-2</v>
      </c>
      <c r="D323" s="58">
        <f t="shared" ref="D323:D386" ca="1" si="22">$H$4 * (1 + C323)</f>
        <v>10118402.803989477</v>
      </c>
      <c r="E323" s="59">
        <f t="shared" ref="E323:E386" ca="1" si="23">$H$4-D323</f>
        <v>-118402.80398947746</v>
      </c>
    </row>
    <row r="324" spans="1:5">
      <c r="A324" s="8">
        <v>323</v>
      </c>
      <c r="B324" s="8">
        <f t="shared" ca="1" si="20"/>
        <v>0.8948125035921719</v>
      </c>
      <c r="C324" s="57">
        <f t="shared" ca="1" si="21"/>
        <v>1.1264836589315898E-2</v>
      </c>
      <c r="D324" s="58">
        <f t="shared" ca="1" si="22"/>
        <v>10112648.365893159</v>
      </c>
      <c r="E324" s="59">
        <f t="shared" ca="1" si="23"/>
        <v>-112648.36589315906</v>
      </c>
    </row>
    <row r="325" spans="1:5">
      <c r="A325" s="8">
        <v>324</v>
      </c>
      <c r="B325" s="8">
        <f t="shared" ca="1" si="20"/>
        <v>0.44214306751693211</v>
      </c>
      <c r="C325" s="57">
        <f t="shared" ca="1" si="21"/>
        <v>5.6510833938840863E-3</v>
      </c>
      <c r="D325" s="58">
        <f t="shared" ca="1" si="22"/>
        <v>10056510.833938841</v>
      </c>
      <c r="E325" s="59">
        <f t="shared" ca="1" si="23"/>
        <v>-56510.833938840777</v>
      </c>
    </row>
    <row r="326" spans="1:5">
      <c r="A326" s="8">
        <v>325</v>
      </c>
      <c r="B326" s="8">
        <f t="shared" ca="1" si="20"/>
        <v>-1.1301748028164955</v>
      </c>
      <c r="C326" s="57">
        <f t="shared" ca="1" si="21"/>
        <v>-1.3847923531230513E-2</v>
      </c>
      <c r="D326" s="58">
        <f t="shared" ca="1" si="22"/>
        <v>9861520.7646876946</v>
      </c>
      <c r="E326" s="59">
        <f t="shared" ca="1" si="23"/>
        <v>138479.23531230539</v>
      </c>
    </row>
    <row r="327" spans="1:5">
      <c r="A327" s="8">
        <v>326</v>
      </c>
      <c r="B327" s="8">
        <f t="shared" ca="1" si="20"/>
        <v>-0.28913629398894503</v>
      </c>
      <c r="C327" s="57">
        <f t="shared" ca="1" si="21"/>
        <v>-3.4178342869743356E-3</v>
      </c>
      <c r="D327" s="58">
        <f t="shared" ca="1" si="22"/>
        <v>9965821.6571302563</v>
      </c>
      <c r="E327" s="59">
        <f t="shared" ca="1" si="23"/>
        <v>34178.342869743705</v>
      </c>
    </row>
    <row r="328" spans="1:5">
      <c r="A328" s="8">
        <v>327</v>
      </c>
      <c r="B328" s="8">
        <f t="shared" ca="1" si="20"/>
        <v>1.4938070497404961</v>
      </c>
      <c r="C328" s="57">
        <f t="shared" ca="1" si="21"/>
        <v>1.8693231969046088E-2</v>
      </c>
      <c r="D328" s="58">
        <f t="shared" ca="1" si="22"/>
        <v>10186932.31969046</v>
      </c>
      <c r="E328" s="59">
        <f t="shared" ca="1" si="23"/>
        <v>-186932.31969046034</v>
      </c>
    </row>
    <row r="329" spans="1:5">
      <c r="A329" s="8">
        <v>328</v>
      </c>
      <c r="B329" s="8">
        <f t="shared" ca="1" si="20"/>
        <v>-0.64572224397284883</v>
      </c>
      <c r="C329" s="57">
        <f t="shared" ca="1" si="21"/>
        <v>-7.8400138216127291E-3</v>
      </c>
      <c r="D329" s="58">
        <f t="shared" ca="1" si="22"/>
        <v>9921599.8617838733</v>
      </c>
      <c r="E329" s="59">
        <f t="shared" ca="1" si="23"/>
        <v>78400.13821612671</v>
      </c>
    </row>
    <row r="330" spans="1:5">
      <c r="A330" s="8">
        <v>329</v>
      </c>
      <c r="B330" s="8">
        <f t="shared" ca="1" si="20"/>
        <v>-0.10023936979456309</v>
      </c>
      <c r="C330" s="57">
        <f t="shared" ca="1" si="21"/>
        <v>-1.0752402717972293E-3</v>
      </c>
      <c r="D330" s="58">
        <f t="shared" ca="1" si="22"/>
        <v>9989247.5972820278</v>
      </c>
      <c r="E330" s="59">
        <f t="shared" ca="1" si="23"/>
        <v>10752.402717972174</v>
      </c>
    </row>
    <row r="331" spans="1:5">
      <c r="A331" s="8">
        <v>330</v>
      </c>
      <c r="B331" s="8">
        <f t="shared" ca="1" si="20"/>
        <v>0.117529589937633</v>
      </c>
      <c r="C331" s="57">
        <f t="shared" ca="1" si="21"/>
        <v>1.6254085817279315E-3</v>
      </c>
      <c r="D331" s="58">
        <f t="shared" ca="1" si="22"/>
        <v>10016254.085817279</v>
      </c>
      <c r="E331" s="59">
        <f t="shared" ca="1" si="23"/>
        <v>-16254.085817279294</v>
      </c>
    </row>
    <row r="332" spans="1:5">
      <c r="A332" s="8">
        <v>331</v>
      </c>
      <c r="B332" s="8">
        <f t="shared" ca="1" si="20"/>
        <v>-0.10760677254748925</v>
      </c>
      <c r="C332" s="57">
        <f t="shared" ca="1" si="21"/>
        <v>-1.1666066805940407E-3</v>
      </c>
      <c r="D332" s="58">
        <f t="shared" ca="1" si="22"/>
        <v>9988333.9331940599</v>
      </c>
      <c r="E332" s="59">
        <f t="shared" ca="1" si="23"/>
        <v>11666.066805940121</v>
      </c>
    </row>
    <row r="333" spans="1:5">
      <c r="A333" s="8">
        <v>332</v>
      </c>
      <c r="B333" s="8">
        <f t="shared" ca="1" si="20"/>
        <v>0.14217179783579148</v>
      </c>
      <c r="C333" s="57">
        <f t="shared" ca="1" si="21"/>
        <v>1.9310074631770182E-3</v>
      </c>
      <c r="D333" s="58">
        <f t="shared" ca="1" si="22"/>
        <v>10019310.074631771</v>
      </c>
      <c r="E333" s="59">
        <f t="shared" ca="1" si="23"/>
        <v>-19310.074631771073</v>
      </c>
    </row>
    <row r="334" spans="1:5">
      <c r="A334" s="8">
        <v>333</v>
      </c>
      <c r="B334" s="8">
        <f t="shared" ca="1" si="20"/>
        <v>-7.4546304599379803E-2</v>
      </c>
      <c r="C334" s="57">
        <f t="shared" ca="1" si="21"/>
        <v>-7.5660924583168497E-4</v>
      </c>
      <c r="D334" s="58">
        <f t="shared" ca="1" si="22"/>
        <v>9992433.9075416829</v>
      </c>
      <c r="E334" s="59">
        <f t="shared" ca="1" si="23"/>
        <v>7566.0924583170563</v>
      </c>
    </row>
    <row r="335" spans="1:5">
      <c r="A335" s="8">
        <v>334</v>
      </c>
      <c r="B335" s="8">
        <f t="shared" ca="1" si="20"/>
        <v>-2.4831735920410902</v>
      </c>
      <c r="C335" s="57">
        <f t="shared" ca="1" si="21"/>
        <v>-3.0627057864396501E-2</v>
      </c>
      <c r="D335" s="58">
        <f t="shared" ca="1" si="22"/>
        <v>9693729.4213560354</v>
      </c>
      <c r="E335" s="59">
        <f t="shared" ca="1" si="23"/>
        <v>306270.5786439646</v>
      </c>
    </row>
    <row r="336" spans="1:5">
      <c r="A336" s="8">
        <v>335</v>
      </c>
      <c r="B336" s="8">
        <f t="shared" ca="1" si="20"/>
        <v>-0.68961062946774754</v>
      </c>
      <c r="C336" s="57">
        <f t="shared" ca="1" si="21"/>
        <v>-8.3842930343877211E-3</v>
      </c>
      <c r="D336" s="58">
        <f t="shared" ca="1" si="22"/>
        <v>9916157.0696561225</v>
      </c>
      <c r="E336" s="59">
        <f t="shared" ca="1" si="23"/>
        <v>83842.930343877524</v>
      </c>
    </row>
    <row r="337" spans="1:5">
      <c r="A337" s="8">
        <v>336</v>
      </c>
      <c r="B337" s="8">
        <f t="shared" ca="1" si="20"/>
        <v>1.0751232720063879</v>
      </c>
      <c r="C337" s="57">
        <f t="shared" ca="1" si="21"/>
        <v>1.3500949902227588E-2</v>
      </c>
      <c r="D337" s="58">
        <f t="shared" ca="1" si="22"/>
        <v>10135009.499022275</v>
      </c>
      <c r="E337" s="59">
        <f t="shared" ca="1" si="23"/>
        <v>-135009.49902227521</v>
      </c>
    </row>
    <row r="338" spans="1:5">
      <c r="A338" s="8">
        <v>337</v>
      </c>
      <c r="B338" s="8">
        <f t="shared" ca="1" si="20"/>
        <v>-0.16924893205534386</v>
      </c>
      <c r="C338" s="57">
        <f t="shared" ca="1" si="21"/>
        <v>-1.9310582700603528E-3</v>
      </c>
      <c r="D338" s="58">
        <f t="shared" ca="1" si="22"/>
        <v>9980689.4172993973</v>
      </c>
      <c r="E338" s="59">
        <f t="shared" ca="1" si="23"/>
        <v>19310.58270060271</v>
      </c>
    </row>
    <row r="339" spans="1:5">
      <c r="A339" s="8">
        <v>338</v>
      </c>
      <c r="B339" s="8">
        <f t="shared" ca="1" si="20"/>
        <v>0.23745880083488324</v>
      </c>
      <c r="C339" s="57">
        <f t="shared" ca="1" si="21"/>
        <v>3.1127035860854832E-3</v>
      </c>
      <c r="D339" s="58">
        <f t="shared" ca="1" si="22"/>
        <v>10031127.035860853</v>
      </c>
      <c r="E339" s="59">
        <f t="shared" ca="1" si="23"/>
        <v>-31127.03586085327</v>
      </c>
    </row>
    <row r="340" spans="1:5">
      <c r="A340" s="8">
        <v>339</v>
      </c>
      <c r="B340" s="8">
        <f t="shared" ca="1" si="20"/>
        <v>0.14654575382932403</v>
      </c>
      <c r="C340" s="57">
        <f t="shared" ca="1" si="21"/>
        <v>1.9852508193184525E-3</v>
      </c>
      <c r="D340" s="58">
        <f t="shared" ca="1" si="22"/>
        <v>10019852.508193186</v>
      </c>
      <c r="E340" s="59">
        <f t="shared" ca="1" si="23"/>
        <v>-19852.508193185553</v>
      </c>
    </row>
    <row r="341" spans="1:5">
      <c r="A341" s="8">
        <v>340</v>
      </c>
      <c r="B341" s="8">
        <f t="shared" ca="1" si="20"/>
        <v>0.1753280019275909</v>
      </c>
      <c r="C341" s="57">
        <f t="shared" ca="1" si="21"/>
        <v>2.3421921640539535E-3</v>
      </c>
      <c r="D341" s="58">
        <f t="shared" ca="1" si="22"/>
        <v>10023421.921640538</v>
      </c>
      <c r="E341" s="59">
        <f t="shared" ca="1" si="23"/>
        <v>-23421.921640537679</v>
      </c>
    </row>
    <row r="342" spans="1:5">
      <c r="A342" s="8">
        <v>341</v>
      </c>
      <c r="B342" s="8">
        <f t="shared" ca="1" si="20"/>
        <v>1.970969969495399</v>
      </c>
      <c r="C342" s="57">
        <f t="shared" ca="1" si="21"/>
        <v>2.4610739651341716E-2</v>
      </c>
      <c r="D342" s="58">
        <f t="shared" ca="1" si="22"/>
        <v>10246107.396513417</v>
      </c>
      <c r="E342" s="59">
        <f t="shared" ca="1" si="23"/>
        <v>-246107.39651341736</v>
      </c>
    </row>
    <row r="343" spans="1:5">
      <c r="A343" s="8">
        <v>342</v>
      </c>
      <c r="B343" s="8">
        <f t="shared" ca="1" si="20"/>
        <v>3.7713901338884692E-2</v>
      </c>
      <c r="C343" s="57">
        <f t="shared" ca="1" si="21"/>
        <v>6.3557904783746754E-4</v>
      </c>
      <c r="D343" s="58">
        <f t="shared" ca="1" si="22"/>
        <v>10006355.790478375</v>
      </c>
      <c r="E343" s="59">
        <f t="shared" ca="1" si="23"/>
        <v>-6355.790478374809</v>
      </c>
    </row>
    <row r="344" spans="1:5">
      <c r="A344" s="8">
        <v>343</v>
      </c>
      <c r="B344" s="8">
        <f t="shared" ca="1" si="20"/>
        <v>-2.870346048691458</v>
      </c>
      <c r="C344" s="57">
        <f t="shared" ca="1" si="21"/>
        <v>-3.5428554149519939E-2</v>
      </c>
      <c r="D344" s="58">
        <f t="shared" ca="1" si="22"/>
        <v>9645714.4585047998</v>
      </c>
      <c r="E344" s="59">
        <f t="shared" ca="1" si="23"/>
        <v>354285.54149520025</v>
      </c>
    </row>
    <row r="345" spans="1:5">
      <c r="A345" s="8">
        <v>344</v>
      </c>
      <c r="B345" s="8">
        <f t="shared" ca="1" si="20"/>
        <v>0.42780815366563663</v>
      </c>
      <c r="C345" s="57">
        <f t="shared" ca="1" si="21"/>
        <v>5.4733098089549412E-3</v>
      </c>
      <c r="D345" s="58">
        <f t="shared" ca="1" si="22"/>
        <v>10054733.09808955</v>
      </c>
      <c r="E345" s="59">
        <f t="shared" ca="1" si="23"/>
        <v>-54733.09808954969</v>
      </c>
    </row>
    <row r="346" spans="1:5">
      <c r="A346" s="8">
        <v>345</v>
      </c>
      <c r="B346" s="8">
        <f t="shared" ca="1" si="20"/>
        <v>-0.67139967187519711</v>
      </c>
      <c r="C346" s="57">
        <f t="shared" ca="1" si="21"/>
        <v>-8.1584509226175304E-3</v>
      </c>
      <c r="D346" s="58">
        <f t="shared" ca="1" si="22"/>
        <v>9918415.490773825</v>
      </c>
      <c r="E346" s="59">
        <f t="shared" ca="1" si="23"/>
        <v>81584.509226175025</v>
      </c>
    </row>
    <row r="347" spans="1:5">
      <c r="A347" s="8">
        <v>346</v>
      </c>
      <c r="B347" s="8">
        <f t="shared" ca="1" si="20"/>
        <v>-0.50638961121868487</v>
      </c>
      <c r="C347" s="57">
        <f t="shared" ca="1" si="21"/>
        <v>-6.1120884305518536E-3</v>
      </c>
      <c r="D347" s="58">
        <f t="shared" ca="1" si="22"/>
        <v>9938879.1156944819</v>
      </c>
      <c r="E347" s="59">
        <f t="shared" ca="1" si="23"/>
        <v>61120.884305518121</v>
      </c>
    </row>
    <row r="348" spans="1:5">
      <c r="A348" s="8">
        <v>347</v>
      </c>
      <c r="B348" s="8">
        <f t="shared" ca="1" si="20"/>
        <v>2.4274702426442754</v>
      </c>
      <c r="C348" s="57">
        <f t="shared" ca="1" si="21"/>
        <v>3.0272000745804137E-2</v>
      </c>
      <c r="D348" s="58">
        <f t="shared" ca="1" si="22"/>
        <v>10302720.007458042</v>
      </c>
      <c r="E348" s="59">
        <f t="shared" ca="1" si="23"/>
        <v>-302720.00745804235</v>
      </c>
    </row>
    <row r="349" spans="1:5">
      <c r="A349" s="8">
        <v>348</v>
      </c>
      <c r="B349" s="8">
        <f t="shared" ca="1" si="20"/>
        <v>-1.7770936743299093</v>
      </c>
      <c r="C349" s="57">
        <f t="shared" ca="1" si="21"/>
        <v>-2.1870649592947523E-2</v>
      </c>
      <c r="D349" s="58">
        <f t="shared" ca="1" si="22"/>
        <v>9781293.504070526</v>
      </c>
      <c r="E349" s="59">
        <f t="shared" ca="1" si="23"/>
        <v>218706.49592947401</v>
      </c>
    </row>
    <row r="350" spans="1:5">
      <c r="A350" s="8">
        <v>349</v>
      </c>
      <c r="B350" s="8">
        <f t="shared" ca="1" si="20"/>
        <v>0.40601171697997679</v>
      </c>
      <c r="C350" s="57">
        <f t="shared" ca="1" si="21"/>
        <v>5.2030025906146856E-3</v>
      </c>
      <c r="D350" s="58">
        <f t="shared" ca="1" si="22"/>
        <v>10052030.025906147</v>
      </c>
      <c r="E350" s="59">
        <f t="shared" ca="1" si="23"/>
        <v>-52030.025906147435</v>
      </c>
    </row>
    <row r="351" spans="1:5">
      <c r="A351" s="8">
        <v>350</v>
      </c>
      <c r="B351" s="8">
        <f t="shared" ca="1" si="20"/>
        <v>1.0551921358381815</v>
      </c>
      <c r="C351" s="57">
        <f t="shared" ca="1" si="21"/>
        <v>1.3253775097754467E-2</v>
      </c>
      <c r="D351" s="58">
        <f t="shared" ca="1" si="22"/>
        <v>10132537.750977544</v>
      </c>
      <c r="E351" s="59">
        <f t="shared" ca="1" si="23"/>
        <v>-132537.75097754411</v>
      </c>
    </row>
    <row r="352" spans="1:5">
      <c r="A352" s="8">
        <v>351</v>
      </c>
      <c r="B352" s="8">
        <f t="shared" ca="1" si="20"/>
        <v>-0.45433380934197448</v>
      </c>
      <c r="C352" s="57">
        <f t="shared" ca="1" si="21"/>
        <v>-5.4665214873540896E-3</v>
      </c>
      <c r="D352" s="58">
        <f t="shared" ca="1" si="22"/>
        <v>9945334.7851264589</v>
      </c>
      <c r="E352" s="59">
        <f t="shared" ca="1" si="23"/>
        <v>54665.214873541147</v>
      </c>
    </row>
    <row r="353" spans="1:5">
      <c r="A353" s="8">
        <v>352</v>
      </c>
      <c r="B353" s="8">
        <f t="shared" ca="1" si="20"/>
        <v>2.3276589909459067</v>
      </c>
      <c r="C353" s="57">
        <f t="shared" ca="1" si="21"/>
        <v>2.9034197420667263E-2</v>
      </c>
      <c r="D353" s="58">
        <f t="shared" ca="1" si="22"/>
        <v>10290341.974206671</v>
      </c>
      <c r="E353" s="59">
        <f t="shared" ca="1" si="23"/>
        <v>-290341.97420667112</v>
      </c>
    </row>
    <row r="354" spans="1:5">
      <c r="A354" s="8">
        <v>353</v>
      </c>
      <c r="B354" s="8">
        <f t="shared" ca="1" si="20"/>
        <v>0.80273411209384027</v>
      </c>
      <c r="C354" s="57">
        <f t="shared" ca="1" si="21"/>
        <v>1.0122931871856547E-2</v>
      </c>
      <c r="D354" s="58">
        <f t="shared" ca="1" si="22"/>
        <v>10101229.318718566</v>
      </c>
      <c r="E354" s="59">
        <f t="shared" ca="1" si="23"/>
        <v>-101229.31871856563</v>
      </c>
    </row>
    <row r="355" spans="1:5">
      <c r="A355" s="8">
        <v>354</v>
      </c>
      <c r="B355" s="8">
        <f t="shared" ca="1" si="20"/>
        <v>-0.34431016081880556</v>
      </c>
      <c r="C355" s="57">
        <f t="shared" ca="1" si="21"/>
        <v>-4.1020697279749892E-3</v>
      </c>
      <c r="D355" s="58">
        <f t="shared" ca="1" si="22"/>
        <v>9958979.3027202506</v>
      </c>
      <c r="E355" s="59">
        <f t="shared" ca="1" si="23"/>
        <v>41020.697279749438</v>
      </c>
    </row>
    <row r="356" spans="1:5">
      <c r="A356" s="8">
        <v>355</v>
      </c>
      <c r="B356" s="8">
        <f t="shared" ca="1" si="20"/>
        <v>0.53293740153314428</v>
      </c>
      <c r="C356" s="57">
        <f t="shared" ca="1" si="21"/>
        <v>6.7770639485462648E-3</v>
      </c>
      <c r="D356" s="58">
        <f t="shared" ca="1" si="22"/>
        <v>10067770.639485464</v>
      </c>
      <c r="E356" s="59">
        <f t="shared" ca="1" si="23"/>
        <v>-67770.6394854635</v>
      </c>
    </row>
    <row r="357" spans="1:5">
      <c r="A357" s="8">
        <v>356</v>
      </c>
      <c r="B357" s="8">
        <f t="shared" ca="1" si="20"/>
        <v>0.27895405713072013</v>
      </c>
      <c r="C357" s="57">
        <f t="shared" ca="1" si="21"/>
        <v>3.6273045488668491E-3</v>
      </c>
      <c r="D357" s="58">
        <f t="shared" ca="1" si="22"/>
        <v>10036273.045488669</v>
      </c>
      <c r="E357" s="59">
        <f t="shared" ca="1" si="23"/>
        <v>-36273.045488668606</v>
      </c>
    </row>
    <row r="358" spans="1:5">
      <c r="A358" s="8">
        <v>357</v>
      </c>
      <c r="B358" s="8">
        <f t="shared" ca="1" si="20"/>
        <v>-0.35520793986705984</v>
      </c>
      <c r="C358" s="57">
        <f t="shared" ca="1" si="21"/>
        <v>-4.2372178892594609E-3</v>
      </c>
      <c r="D358" s="58">
        <f t="shared" ca="1" si="22"/>
        <v>9957627.8211074062</v>
      </c>
      <c r="E358" s="59">
        <f t="shared" ca="1" si="23"/>
        <v>42372.178892593831</v>
      </c>
    </row>
    <row r="359" spans="1:5">
      <c r="A359" s="8">
        <v>358</v>
      </c>
      <c r="B359" s="8">
        <f t="shared" ca="1" si="20"/>
        <v>-8.5645150744536672E-2</v>
      </c>
      <c r="C359" s="57">
        <f t="shared" ca="1" si="21"/>
        <v>-8.9425092880721568E-4</v>
      </c>
      <c r="D359" s="58">
        <f t="shared" ca="1" si="22"/>
        <v>9991057.4907119274</v>
      </c>
      <c r="E359" s="59">
        <f t="shared" ca="1" si="23"/>
        <v>8942.5092880725861</v>
      </c>
    </row>
    <row r="360" spans="1:5">
      <c r="A360" s="8">
        <v>359</v>
      </c>
      <c r="B360" s="8">
        <f t="shared" ca="1" si="20"/>
        <v>-1.947143629466114</v>
      </c>
      <c r="C360" s="57">
        <f t="shared" ca="1" si="21"/>
        <v>-2.3979514037840672E-2</v>
      </c>
      <c r="D360" s="58">
        <f t="shared" ca="1" si="22"/>
        <v>9760204.8596215937</v>
      </c>
      <c r="E360" s="59">
        <f t="shared" ca="1" si="23"/>
        <v>239795.14037840627</v>
      </c>
    </row>
    <row r="361" spans="1:5">
      <c r="A361" s="8">
        <v>360</v>
      </c>
      <c r="B361" s="8">
        <f t="shared" ca="1" si="20"/>
        <v>-0.47118220242048664</v>
      </c>
      <c r="C361" s="57">
        <f t="shared" ca="1" si="21"/>
        <v>-5.6754658360215083E-3</v>
      </c>
      <c r="D361" s="58">
        <f t="shared" ca="1" si="22"/>
        <v>9943245.3416397851</v>
      </c>
      <c r="E361" s="59">
        <f t="shared" ca="1" si="23"/>
        <v>56754.658360214904</v>
      </c>
    </row>
    <row r="362" spans="1:5">
      <c r="A362" s="8">
        <v>361</v>
      </c>
      <c r="B362" s="8">
        <f t="shared" ca="1" si="20"/>
        <v>0.56668216945796379</v>
      </c>
      <c r="C362" s="57">
        <f t="shared" ca="1" si="21"/>
        <v>7.1955476889319836E-3</v>
      </c>
      <c r="D362" s="58">
        <f t="shared" ca="1" si="22"/>
        <v>10071955.47688932</v>
      </c>
      <c r="E362" s="59">
        <f t="shared" ca="1" si="23"/>
        <v>-71955.476889319718</v>
      </c>
    </row>
    <row r="363" spans="1:5">
      <c r="A363" s="8">
        <v>362</v>
      </c>
      <c r="B363" s="8">
        <f t="shared" ca="1" si="20"/>
        <v>-2.2551324028827371</v>
      </c>
      <c r="C363" s="57">
        <f t="shared" ca="1" si="21"/>
        <v>-2.7799018566167861E-2</v>
      </c>
      <c r="D363" s="58">
        <f t="shared" ca="1" si="22"/>
        <v>9722009.8143383209</v>
      </c>
      <c r="E363" s="59">
        <f t="shared" ca="1" si="23"/>
        <v>277990.18566167913</v>
      </c>
    </row>
    <row r="364" spans="1:5">
      <c r="A364" s="8">
        <v>363</v>
      </c>
      <c r="B364" s="8">
        <f t="shared" ca="1" si="20"/>
        <v>0.11407164097171887</v>
      </c>
      <c r="C364" s="57">
        <f t="shared" ca="1" si="21"/>
        <v>1.5825250324754169E-3</v>
      </c>
      <c r="D364" s="58">
        <f t="shared" ca="1" si="22"/>
        <v>10015825.250324754</v>
      </c>
      <c r="E364" s="59">
        <f t="shared" ca="1" si="23"/>
        <v>-15825.250324754044</v>
      </c>
    </row>
    <row r="365" spans="1:5">
      <c r="A365" s="8">
        <v>364</v>
      </c>
      <c r="B365" s="8">
        <f t="shared" ca="1" si="20"/>
        <v>0.60108747749054392</v>
      </c>
      <c r="C365" s="57">
        <f t="shared" ca="1" si="21"/>
        <v>7.6222230783338204E-3</v>
      </c>
      <c r="D365" s="58">
        <f t="shared" ca="1" si="22"/>
        <v>10076222.230783338</v>
      </c>
      <c r="E365" s="59">
        <f t="shared" ca="1" si="23"/>
        <v>-76222.230783337727</v>
      </c>
    </row>
    <row r="366" spans="1:5">
      <c r="A366" s="8">
        <v>365</v>
      </c>
      <c r="B366" s="8">
        <f t="shared" ca="1" si="20"/>
        <v>-0.54864430955069377</v>
      </c>
      <c r="C366" s="57">
        <f t="shared" ca="1" si="21"/>
        <v>-6.6361075687555986E-3</v>
      </c>
      <c r="D366" s="58">
        <f t="shared" ca="1" si="22"/>
        <v>9933638.9243124444</v>
      </c>
      <c r="E366" s="59">
        <f t="shared" ca="1" si="23"/>
        <v>66361.075687555596</v>
      </c>
    </row>
    <row r="367" spans="1:5">
      <c r="A367" s="8">
        <v>366</v>
      </c>
      <c r="B367" s="8">
        <f t="shared" ca="1" si="20"/>
        <v>2.4781503802015519</v>
      </c>
      <c r="C367" s="57">
        <f t="shared" ca="1" si="21"/>
        <v>3.0900507469438548E-2</v>
      </c>
      <c r="D367" s="58">
        <f t="shared" ca="1" si="22"/>
        <v>10309005.074694386</v>
      </c>
      <c r="E367" s="59">
        <f t="shared" ca="1" si="23"/>
        <v>-309005.07469438575</v>
      </c>
    </row>
    <row r="368" spans="1:5">
      <c r="A368" s="8">
        <v>367</v>
      </c>
      <c r="B368" s="8">
        <f t="shared" ca="1" si="20"/>
        <v>1.6676827528136486</v>
      </c>
      <c r="C368" s="57">
        <f t="shared" ca="1" si="21"/>
        <v>2.0849541200342683E-2</v>
      </c>
      <c r="D368" s="58">
        <f t="shared" ca="1" si="22"/>
        <v>10208495.412003426</v>
      </c>
      <c r="E368" s="59">
        <f t="shared" ca="1" si="23"/>
        <v>-208495.41200342588</v>
      </c>
    </row>
    <row r="369" spans="1:5">
      <c r="A369" s="8">
        <v>368</v>
      </c>
      <c r="B369" s="8">
        <f t="shared" ca="1" si="20"/>
        <v>-1.4566848612789141</v>
      </c>
      <c r="C369" s="57">
        <f t="shared" ca="1" si="21"/>
        <v>-1.7897118678855566E-2</v>
      </c>
      <c r="D369" s="58">
        <f t="shared" ca="1" si="22"/>
        <v>9821028.8132114448</v>
      </c>
      <c r="E369" s="59">
        <f t="shared" ca="1" si="23"/>
        <v>178971.18678855523</v>
      </c>
    </row>
    <row r="370" spans="1:5">
      <c r="A370" s="8">
        <v>369</v>
      </c>
      <c r="B370" s="8">
        <f t="shared" ca="1" si="20"/>
        <v>-0.56822921726152231</v>
      </c>
      <c r="C370" s="57">
        <f t="shared" ca="1" si="21"/>
        <v>-6.8789886415250587E-3</v>
      </c>
      <c r="D370" s="58">
        <f t="shared" ca="1" si="22"/>
        <v>9931210.1135847494</v>
      </c>
      <c r="E370" s="59">
        <f t="shared" ca="1" si="23"/>
        <v>68789.886415250599</v>
      </c>
    </row>
    <row r="371" spans="1:5">
      <c r="A371" s="8">
        <v>370</v>
      </c>
      <c r="B371" s="8">
        <f t="shared" ca="1" si="20"/>
        <v>-0.40452539577689633</v>
      </c>
      <c r="C371" s="57">
        <f t="shared" ca="1" si="21"/>
        <v>-4.8488253971681571E-3</v>
      </c>
      <c r="D371" s="58">
        <f t="shared" ca="1" si="22"/>
        <v>9951511.746028319</v>
      </c>
      <c r="E371" s="59">
        <f t="shared" ca="1" si="23"/>
        <v>48488.253971680999</v>
      </c>
    </row>
    <row r="372" spans="1:5">
      <c r="A372" s="8">
        <v>371</v>
      </c>
      <c r="B372" s="8">
        <f t="shared" ca="1" si="20"/>
        <v>9.4641361594561005E-2</v>
      </c>
      <c r="C372" s="57">
        <f t="shared" ca="1" si="21"/>
        <v>1.3415615738258189E-3</v>
      </c>
      <c r="D372" s="58">
        <f t="shared" ca="1" si="22"/>
        <v>10013415.61573826</v>
      </c>
      <c r="E372" s="59">
        <f t="shared" ca="1" si="23"/>
        <v>-13415.615738259628</v>
      </c>
    </row>
    <row r="373" spans="1:5">
      <c r="A373" s="8">
        <v>372</v>
      </c>
      <c r="B373" s="8">
        <f t="shared" ca="1" si="20"/>
        <v>-1.3396734045771566</v>
      </c>
      <c r="C373" s="57">
        <f t="shared" ca="1" si="21"/>
        <v>-1.644600803030619E-2</v>
      </c>
      <c r="D373" s="58">
        <f t="shared" ca="1" si="22"/>
        <v>9835539.9196969382</v>
      </c>
      <c r="E373" s="59">
        <f t="shared" ca="1" si="23"/>
        <v>164460.08030306175</v>
      </c>
    </row>
    <row r="374" spans="1:5">
      <c r="A374" s="8">
        <v>373</v>
      </c>
      <c r="B374" s="8">
        <f t="shared" ca="1" si="20"/>
        <v>0.8449514644205649</v>
      </c>
      <c r="C374" s="57">
        <f t="shared" ca="1" si="21"/>
        <v>1.064648786578813E-2</v>
      </c>
      <c r="D374" s="58">
        <f t="shared" ca="1" si="22"/>
        <v>10106464.878657881</v>
      </c>
      <c r="E374" s="59">
        <f t="shared" ca="1" si="23"/>
        <v>-106464.87865788117</v>
      </c>
    </row>
    <row r="375" spans="1:5">
      <c r="A375" s="8">
        <v>374</v>
      </c>
      <c r="B375" s="8">
        <f t="shared" ca="1" si="20"/>
        <v>1.4560000745039379</v>
      </c>
      <c r="C375" s="57">
        <f t="shared" ca="1" si="21"/>
        <v>1.8224371005328269E-2</v>
      </c>
      <c r="D375" s="58">
        <f t="shared" ca="1" si="22"/>
        <v>10182243.710053282</v>
      </c>
      <c r="E375" s="59">
        <f t="shared" ca="1" si="23"/>
        <v>-182243.71005328186</v>
      </c>
    </row>
    <row r="376" spans="1:5">
      <c r="A376" s="8">
        <v>375</v>
      </c>
      <c r="B376" s="8">
        <f t="shared" ca="1" si="20"/>
        <v>-0.33663701113646111</v>
      </c>
      <c r="C376" s="57">
        <f t="shared" ca="1" si="21"/>
        <v>-4.0069116167453893E-3</v>
      </c>
      <c r="D376" s="58">
        <f t="shared" ca="1" si="22"/>
        <v>9959930.883832546</v>
      </c>
      <c r="E376" s="59">
        <f t="shared" ca="1" si="23"/>
        <v>40069.116167454049</v>
      </c>
    </row>
    <row r="377" spans="1:5">
      <c r="A377" s="8">
        <v>376</v>
      </c>
      <c r="B377" s="8">
        <f t="shared" ca="1" si="20"/>
        <v>1.5075259355878086</v>
      </c>
      <c r="C377" s="57">
        <f t="shared" ca="1" si="21"/>
        <v>1.8863365919177227E-2</v>
      </c>
      <c r="D377" s="58">
        <f t="shared" ca="1" si="22"/>
        <v>10188633.659191772</v>
      </c>
      <c r="E377" s="59">
        <f t="shared" ca="1" si="23"/>
        <v>-188633.65919177234</v>
      </c>
    </row>
    <row r="378" spans="1:5">
      <c r="A378" s="8">
        <v>377</v>
      </c>
      <c r="B378" s="8">
        <f t="shared" ca="1" si="20"/>
        <v>0.94330215963684005</v>
      </c>
      <c r="C378" s="57">
        <f t="shared" ca="1" si="21"/>
        <v>1.1866178186235423E-2</v>
      </c>
      <c r="D378" s="58">
        <f t="shared" ca="1" si="22"/>
        <v>10118661.781862354</v>
      </c>
      <c r="E378" s="59">
        <f t="shared" ca="1" si="23"/>
        <v>-118661.78186235391</v>
      </c>
    </row>
    <row r="379" spans="1:5">
      <c r="A379" s="8">
        <v>378</v>
      </c>
      <c r="B379" s="8">
        <f t="shared" ca="1" si="20"/>
        <v>0.422973204447608</v>
      </c>
      <c r="C379" s="57">
        <f t="shared" ca="1" si="21"/>
        <v>5.4133494726490731E-3</v>
      </c>
      <c r="D379" s="58">
        <f t="shared" ca="1" si="22"/>
        <v>10054133.494726492</v>
      </c>
      <c r="E379" s="59">
        <f t="shared" ca="1" si="23"/>
        <v>-54133.494726492092</v>
      </c>
    </row>
    <row r="380" spans="1:5">
      <c r="A380" s="8">
        <v>379</v>
      </c>
      <c r="B380" s="8">
        <f t="shared" ca="1" si="20"/>
        <v>0.39372626151955764</v>
      </c>
      <c r="C380" s="57">
        <f t="shared" ca="1" si="21"/>
        <v>5.0506452425104504E-3</v>
      </c>
      <c r="D380" s="58">
        <f t="shared" ca="1" si="22"/>
        <v>10050506.452425105</v>
      </c>
      <c r="E380" s="59">
        <f t="shared" ca="1" si="23"/>
        <v>-50506.452425105497</v>
      </c>
    </row>
    <row r="381" spans="1:5">
      <c r="A381" s="8">
        <v>380</v>
      </c>
      <c r="B381" s="8">
        <f t="shared" ca="1" si="20"/>
        <v>0.42479997463535912</v>
      </c>
      <c r="C381" s="57">
        <f t="shared" ca="1" si="21"/>
        <v>5.4360040549149349E-3</v>
      </c>
      <c r="D381" s="58">
        <f t="shared" ca="1" si="22"/>
        <v>10054360.040549148</v>
      </c>
      <c r="E381" s="59">
        <f t="shared" ca="1" si="23"/>
        <v>-54360.040549147874</v>
      </c>
    </row>
    <row r="382" spans="1:5">
      <c r="A382" s="8">
        <v>381</v>
      </c>
      <c r="B382" s="8">
        <f t="shared" ca="1" si="20"/>
        <v>0.58355058814605087</v>
      </c>
      <c r="C382" s="57">
        <f t="shared" ca="1" si="21"/>
        <v>7.4047403840102333E-3</v>
      </c>
      <c r="D382" s="58">
        <f t="shared" ca="1" si="22"/>
        <v>10074047.403840102</v>
      </c>
      <c r="E382" s="59">
        <f t="shared" ca="1" si="23"/>
        <v>-74047.403840102255</v>
      </c>
    </row>
    <row r="383" spans="1:5">
      <c r="A383" s="8">
        <v>382</v>
      </c>
      <c r="B383" s="8">
        <f t="shared" ca="1" si="20"/>
        <v>-1.9785628253195071</v>
      </c>
      <c r="C383" s="57">
        <f t="shared" ca="1" si="21"/>
        <v>-2.4369157333949065E-2</v>
      </c>
      <c r="D383" s="58">
        <f t="shared" ca="1" si="22"/>
        <v>9756308.4266605098</v>
      </c>
      <c r="E383" s="59">
        <f t="shared" ca="1" si="23"/>
        <v>243691.57333949022</v>
      </c>
    </row>
    <row r="384" spans="1:5">
      <c r="A384" s="8">
        <v>383</v>
      </c>
      <c r="B384" s="8">
        <f t="shared" ca="1" si="20"/>
        <v>-1.6030969345954249</v>
      </c>
      <c r="C384" s="57">
        <f t="shared" ca="1" si="21"/>
        <v>-1.9712839332665613E-2</v>
      </c>
      <c r="D384" s="58">
        <f t="shared" ca="1" si="22"/>
        <v>9802871.6066733431</v>
      </c>
      <c r="E384" s="59">
        <f t="shared" ca="1" si="23"/>
        <v>197128.39332665689</v>
      </c>
    </row>
    <row r="385" spans="1:5">
      <c r="A385" s="8">
        <v>384</v>
      </c>
      <c r="B385" s="8">
        <f t="shared" ca="1" si="20"/>
        <v>-0.38604483662767103</v>
      </c>
      <c r="C385" s="57">
        <f t="shared" ca="1" si="21"/>
        <v>-4.6196398376640102E-3</v>
      </c>
      <c r="D385" s="58">
        <f t="shared" ca="1" si="22"/>
        <v>9953803.6016233601</v>
      </c>
      <c r="E385" s="59">
        <f t="shared" ca="1" si="23"/>
        <v>46196.398376639932</v>
      </c>
    </row>
    <row r="386" spans="1:5">
      <c r="A386" s="8">
        <v>385</v>
      </c>
      <c r="B386" s="8">
        <f t="shared" ca="1" si="20"/>
        <v>-0.11094323608334938</v>
      </c>
      <c r="C386" s="57">
        <f t="shared" ca="1" si="21"/>
        <v>-1.2079836354825155E-3</v>
      </c>
      <c r="D386" s="58">
        <f t="shared" ca="1" si="22"/>
        <v>9987920.1636451762</v>
      </c>
      <c r="E386" s="59">
        <f t="shared" ca="1" si="23"/>
        <v>12079.836354823783</v>
      </c>
    </row>
    <row r="387" spans="1:5">
      <c r="A387" s="8">
        <v>386</v>
      </c>
      <c r="B387" s="8">
        <f t="shared" ref="B387:B450" ca="1" si="24">_xlfn.NORM.S.INV(RAND())</f>
        <v>-1.096673953753504</v>
      </c>
      <c r="C387" s="57">
        <f t="shared" ref="C387:C450" ca="1" si="25" xml:space="preserve"> $H$2 + $H$3 * B387</f>
        <v>-1.3432464736160044E-2</v>
      </c>
      <c r="D387" s="58">
        <f t="shared" ref="D387:D450" ca="1" si="26">$H$4 * (1 + C387)</f>
        <v>9865675.3526383992</v>
      </c>
      <c r="E387" s="59">
        <f t="shared" ref="E387:E450" ca="1" si="27">$H$4-D387</f>
        <v>134324.64736160077</v>
      </c>
    </row>
    <row r="388" spans="1:5">
      <c r="A388" s="8">
        <v>387</v>
      </c>
      <c r="B388" s="8">
        <f t="shared" ca="1" si="24"/>
        <v>-0.14344124964496169</v>
      </c>
      <c r="C388" s="57">
        <f t="shared" ca="1" si="25"/>
        <v>-1.6110058254904225E-3</v>
      </c>
      <c r="D388" s="58">
        <f t="shared" ca="1" si="26"/>
        <v>9983889.941745095</v>
      </c>
      <c r="E388" s="59">
        <f t="shared" ca="1" si="27"/>
        <v>16110.058254905045</v>
      </c>
    </row>
    <row r="389" spans="1:5">
      <c r="A389" s="8">
        <v>388</v>
      </c>
      <c r="B389" s="8">
        <f t="shared" ca="1" si="24"/>
        <v>0.26002139117539003</v>
      </c>
      <c r="C389" s="57">
        <f t="shared" ca="1" si="25"/>
        <v>3.3925122135895192E-3</v>
      </c>
      <c r="D389" s="58">
        <f t="shared" ca="1" si="26"/>
        <v>10033925.122135896</v>
      </c>
      <c r="E389" s="59">
        <f t="shared" ca="1" si="27"/>
        <v>-33925.122135896236</v>
      </c>
    </row>
    <row r="390" spans="1:5">
      <c r="A390" s="8">
        <v>389</v>
      </c>
      <c r="B390" s="8">
        <f t="shared" ca="1" si="24"/>
        <v>-0.28810598418762051</v>
      </c>
      <c r="C390" s="57">
        <f t="shared" ca="1" si="25"/>
        <v>-3.4050569610085753E-3</v>
      </c>
      <c r="D390" s="58">
        <f t="shared" ca="1" si="26"/>
        <v>9965949.4303899147</v>
      </c>
      <c r="E390" s="59">
        <f t="shared" ca="1" si="27"/>
        <v>34050.569610085338</v>
      </c>
    </row>
    <row r="391" spans="1:5">
      <c r="A391" s="8">
        <v>390</v>
      </c>
      <c r="B391" s="8">
        <f t="shared" ca="1" si="24"/>
        <v>0.85366460112667242</v>
      </c>
      <c r="C391" s="57">
        <f t="shared" ca="1" si="25"/>
        <v>1.0754543314484284E-2</v>
      </c>
      <c r="D391" s="58">
        <f t="shared" ca="1" si="26"/>
        <v>10107545.433144841</v>
      </c>
      <c r="E391" s="59">
        <f t="shared" ca="1" si="27"/>
        <v>-107545.43314484134</v>
      </c>
    </row>
    <row r="392" spans="1:5">
      <c r="A392" s="8">
        <v>391</v>
      </c>
      <c r="B392" s="8">
        <f t="shared" ca="1" si="24"/>
        <v>0.50651475899300136</v>
      </c>
      <c r="C392" s="57">
        <f t="shared" ca="1" si="25"/>
        <v>6.4493851123572331E-3</v>
      </c>
      <c r="D392" s="58">
        <f t="shared" ca="1" si="26"/>
        <v>10064493.851123573</v>
      </c>
      <c r="E392" s="59">
        <f t="shared" ca="1" si="27"/>
        <v>-64493.851123573259</v>
      </c>
    </row>
    <row r="393" spans="1:5">
      <c r="A393" s="8">
        <v>392</v>
      </c>
      <c r="B393" s="8">
        <f t="shared" ca="1" si="24"/>
        <v>0.49631283815006638</v>
      </c>
      <c r="C393" s="57">
        <f t="shared" ca="1" si="25"/>
        <v>6.322866595383515E-3</v>
      </c>
      <c r="D393" s="58">
        <f t="shared" ca="1" si="26"/>
        <v>10063228.665953835</v>
      </c>
      <c r="E393" s="59">
        <f t="shared" ca="1" si="27"/>
        <v>-63228.665953835472</v>
      </c>
    </row>
    <row r="394" spans="1:5">
      <c r="A394" s="8">
        <v>393</v>
      </c>
      <c r="B394" s="8">
        <f t="shared" ca="1" si="24"/>
        <v>-0.79924036211872229</v>
      </c>
      <c r="C394" s="57">
        <f t="shared" ca="1" si="25"/>
        <v>-9.7438596694133101E-3</v>
      </c>
      <c r="D394" s="58">
        <f t="shared" ca="1" si="26"/>
        <v>9902561.4033058677</v>
      </c>
      <c r="E394" s="59">
        <f t="shared" ca="1" si="27"/>
        <v>97438.596694132313</v>
      </c>
    </row>
    <row r="395" spans="1:5">
      <c r="A395" s="8">
        <v>394</v>
      </c>
      <c r="B395" s="8">
        <f t="shared" ca="1" si="24"/>
        <v>-0.65923609999881883</v>
      </c>
      <c r="C395" s="57">
        <f t="shared" ca="1" si="25"/>
        <v>-8.007605106560416E-3</v>
      </c>
      <c r="D395" s="58">
        <f t="shared" ca="1" si="26"/>
        <v>9919923.9489343967</v>
      </c>
      <c r="E395" s="59">
        <f t="shared" ca="1" si="27"/>
        <v>80076.051065603271</v>
      </c>
    </row>
    <row r="396" spans="1:5">
      <c r="A396" s="8">
        <v>395</v>
      </c>
      <c r="B396" s="8">
        <f t="shared" ca="1" si="24"/>
        <v>-2.2441158526272771</v>
      </c>
      <c r="C396" s="57">
        <f t="shared" ca="1" si="25"/>
        <v>-2.7662397470793212E-2</v>
      </c>
      <c r="D396" s="58">
        <f t="shared" ca="1" si="26"/>
        <v>9723376.0252920669</v>
      </c>
      <c r="E396" s="59">
        <f t="shared" ca="1" si="27"/>
        <v>276623.97470793314</v>
      </c>
    </row>
    <row r="397" spans="1:5">
      <c r="A397" s="8">
        <v>396</v>
      </c>
      <c r="B397" s="8">
        <f t="shared" ca="1" si="24"/>
        <v>-0.55664224849475474</v>
      </c>
      <c r="C397" s="57">
        <f t="shared" ca="1" si="25"/>
        <v>-6.7352935347739186E-3</v>
      </c>
      <c r="D397" s="58">
        <f t="shared" ca="1" si="26"/>
        <v>9932647.0646522623</v>
      </c>
      <c r="E397" s="59">
        <f t="shared" ca="1" si="27"/>
        <v>67352.935347737744</v>
      </c>
    </row>
    <row r="398" spans="1:5">
      <c r="A398" s="8">
        <v>397</v>
      </c>
      <c r="B398" s="8">
        <f t="shared" ca="1" si="24"/>
        <v>-0.30373189350665131</v>
      </c>
      <c r="C398" s="57">
        <f t="shared" ca="1" si="25"/>
        <v>-3.5988407497525026E-3</v>
      </c>
      <c r="D398" s="58">
        <f t="shared" ca="1" si="26"/>
        <v>9964011.5925024748</v>
      </c>
      <c r="E398" s="59">
        <f t="shared" ca="1" si="27"/>
        <v>35988.407497525215</v>
      </c>
    </row>
    <row r="399" spans="1:5">
      <c r="A399" s="8">
        <v>398</v>
      </c>
      <c r="B399" s="8">
        <f t="shared" ca="1" si="24"/>
        <v>-0.5139883494558346</v>
      </c>
      <c r="C399" s="57">
        <f t="shared" ca="1" si="25"/>
        <v>-6.2063237326519917E-3</v>
      </c>
      <c r="D399" s="58">
        <f t="shared" ca="1" si="26"/>
        <v>9937936.7626734804</v>
      </c>
      <c r="E399" s="59">
        <f t="shared" ca="1" si="27"/>
        <v>62063.237326519564</v>
      </c>
    </row>
    <row r="400" spans="1:5">
      <c r="A400" s="8">
        <v>399</v>
      </c>
      <c r="B400" s="8">
        <f t="shared" ca="1" si="24"/>
        <v>-0.45848062725705702</v>
      </c>
      <c r="C400" s="57">
        <f t="shared" ca="1" si="25"/>
        <v>-5.5179480040712442E-3</v>
      </c>
      <c r="D400" s="58">
        <f t="shared" ca="1" si="26"/>
        <v>9944820.5199592877</v>
      </c>
      <c r="E400" s="59">
        <f t="shared" ca="1" si="27"/>
        <v>55179.480040712282</v>
      </c>
    </row>
    <row r="401" spans="1:5">
      <c r="A401" s="8">
        <v>400</v>
      </c>
      <c r="B401" s="8">
        <f t="shared" ca="1" si="24"/>
        <v>1.7172226010458396</v>
      </c>
      <c r="C401" s="57">
        <f t="shared" ca="1" si="25"/>
        <v>2.1463906693462577E-2</v>
      </c>
      <c r="D401" s="58">
        <f t="shared" ca="1" si="26"/>
        <v>10214639.066934625</v>
      </c>
      <c r="E401" s="59">
        <f t="shared" ca="1" si="27"/>
        <v>-214639.06693462469</v>
      </c>
    </row>
    <row r="402" spans="1:5">
      <c r="A402" s="8">
        <v>401</v>
      </c>
      <c r="B402" s="8">
        <f t="shared" ca="1" si="24"/>
        <v>0.82767352506237579</v>
      </c>
      <c r="C402" s="57">
        <f t="shared" ca="1" si="25"/>
        <v>1.0432216524379541E-2</v>
      </c>
      <c r="D402" s="58">
        <f t="shared" ca="1" si="26"/>
        <v>10104322.165243795</v>
      </c>
      <c r="E402" s="59">
        <f t="shared" ca="1" si="27"/>
        <v>-104322.16524379514</v>
      </c>
    </row>
    <row r="403" spans="1:5">
      <c r="A403" s="8">
        <v>402</v>
      </c>
      <c r="B403" s="8">
        <f t="shared" ca="1" si="24"/>
        <v>5.9346573721498756E-2</v>
      </c>
      <c r="C403" s="57">
        <f t="shared" ca="1" si="25"/>
        <v>9.0385535287486828E-4</v>
      </c>
      <c r="D403" s="58">
        <f t="shared" ca="1" si="26"/>
        <v>10009038.553528748</v>
      </c>
      <c r="E403" s="59">
        <f t="shared" ca="1" si="27"/>
        <v>-9038.5535287484527</v>
      </c>
    </row>
    <row r="404" spans="1:5">
      <c r="A404" s="8">
        <v>403</v>
      </c>
      <c r="B404" s="8">
        <f t="shared" ca="1" si="24"/>
        <v>2.1555486800404986</v>
      </c>
      <c r="C404" s="57">
        <f t="shared" ca="1" si="25"/>
        <v>2.6899781595757438E-2</v>
      </c>
      <c r="D404" s="58">
        <f t="shared" ca="1" si="26"/>
        <v>10268997.815957574</v>
      </c>
      <c r="E404" s="59">
        <f t="shared" ca="1" si="27"/>
        <v>-268997.81595757417</v>
      </c>
    </row>
    <row r="405" spans="1:5">
      <c r="A405" s="8">
        <v>404</v>
      </c>
      <c r="B405" s="8">
        <f t="shared" ca="1" si="24"/>
        <v>-2.5829464392452848</v>
      </c>
      <c r="C405" s="57">
        <f t="shared" ca="1" si="25"/>
        <v>-3.1864384918473945E-2</v>
      </c>
      <c r="D405" s="58">
        <f t="shared" ca="1" si="26"/>
        <v>9681356.1508152597</v>
      </c>
      <c r="E405" s="59">
        <f t="shared" ca="1" si="27"/>
        <v>318643.84918474033</v>
      </c>
    </row>
    <row r="406" spans="1:5">
      <c r="A406" s="8">
        <v>405</v>
      </c>
      <c r="B406" s="8">
        <f t="shared" ca="1" si="24"/>
        <v>5.6266276877870768E-3</v>
      </c>
      <c r="C406" s="57">
        <f t="shared" ca="1" si="25"/>
        <v>2.3765062449765059E-4</v>
      </c>
      <c r="D406" s="58">
        <f t="shared" ca="1" si="26"/>
        <v>10002376.506244976</v>
      </c>
      <c r="E406" s="59">
        <f t="shared" ca="1" si="27"/>
        <v>-2376.5062449760735</v>
      </c>
    </row>
    <row r="407" spans="1:5">
      <c r="A407" s="8">
        <v>406</v>
      </c>
      <c r="B407" s="8">
        <f t="shared" ca="1" si="24"/>
        <v>-0.39359681265169455</v>
      </c>
      <c r="C407" s="57">
        <f t="shared" ca="1" si="25"/>
        <v>-4.7132952209482486E-3</v>
      </c>
      <c r="D407" s="58">
        <f t="shared" ca="1" si="26"/>
        <v>9952867.047790518</v>
      </c>
      <c r="E407" s="59">
        <f t="shared" ca="1" si="27"/>
        <v>47132.952209481969</v>
      </c>
    </row>
    <row r="408" spans="1:5">
      <c r="A408" s="8">
        <v>407</v>
      </c>
      <c r="B408" s="8">
        <f t="shared" ca="1" si="24"/>
        <v>-1.9125928408656592E-2</v>
      </c>
      <c r="C408" s="57">
        <f t="shared" ca="1" si="25"/>
        <v>-6.931673359546279E-5</v>
      </c>
      <c r="D408" s="58">
        <f t="shared" ca="1" si="26"/>
        <v>9999306.8326640464</v>
      </c>
      <c r="E408" s="59">
        <f t="shared" ca="1" si="27"/>
        <v>693.16733595356345</v>
      </c>
    </row>
    <row r="409" spans="1:5">
      <c r="A409" s="8">
        <v>408</v>
      </c>
      <c r="B409" s="8">
        <f t="shared" ca="1" si="24"/>
        <v>-1.5535252681520335</v>
      </c>
      <c r="C409" s="57">
        <f t="shared" ca="1" si="25"/>
        <v>-1.9098079247884422E-2</v>
      </c>
      <c r="D409" s="58">
        <f t="shared" ca="1" si="26"/>
        <v>9809019.2075211555</v>
      </c>
      <c r="E409" s="59">
        <f t="shared" ca="1" si="27"/>
        <v>190980.79247884452</v>
      </c>
    </row>
    <row r="410" spans="1:5">
      <c r="A410" s="8">
        <v>409</v>
      </c>
      <c r="B410" s="8">
        <f t="shared" ca="1" si="24"/>
        <v>-0.6190053259886269</v>
      </c>
      <c r="C410" s="57">
        <f t="shared" ca="1" si="25"/>
        <v>-7.508685545936776E-3</v>
      </c>
      <c r="D410" s="58">
        <f t="shared" ca="1" si="26"/>
        <v>9924913.1445406321</v>
      </c>
      <c r="E410" s="59">
        <f t="shared" ca="1" si="27"/>
        <v>75086.855459367856</v>
      </c>
    </row>
    <row r="411" spans="1:5">
      <c r="A411" s="8">
        <v>410</v>
      </c>
      <c r="B411" s="8">
        <f t="shared" ca="1" si="24"/>
        <v>-0.76815142700683436</v>
      </c>
      <c r="C411" s="57">
        <f t="shared" ca="1" si="25"/>
        <v>-9.3583120823261083E-3</v>
      </c>
      <c r="D411" s="58">
        <f t="shared" ca="1" si="26"/>
        <v>9906416.8791767396</v>
      </c>
      <c r="E411" s="59">
        <f t="shared" ca="1" si="27"/>
        <v>93583.120823260397</v>
      </c>
    </row>
    <row r="412" spans="1:5">
      <c r="A412" s="8">
        <v>411</v>
      </c>
      <c r="B412" s="8">
        <f t="shared" ca="1" si="24"/>
        <v>2.8183402764167826E-2</v>
      </c>
      <c r="C412" s="57">
        <f t="shared" ca="1" si="25"/>
        <v>5.1738713434812292E-4</v>
      </c>
      <c r="D412" s="58">
        <f t="shared" ca="1" si="26"/>
        <v>10005173.87134348</v>
      </c>
      <c r="E412" s="59">
        <f t="shared" ca="1" si="27"/>
        <v>-5173.8713434804231</v>
      </c>
    </row>
    <row r="413" spans="1:5">
      <c r="A413" s="8">
        <v>412</v>
      </c>
      <c r="B413" s="8">
        <f t="shared" ca="1" si="24"/>
        <v>-0.95104508369227181</v>
      </c>
      <c r="C413" s="57">
        <f t="shared" ca="1" si="25"/>
        <v>-1.1626456931123517E-2</v>
      </c>
      <c r="D413" s="58">
        <f t="shared" ca="1" si="26"/>
        <v>9883735.4306887649</v>
      </c>
      <c r="E413" s="59">
        <f t="shared" ca="1" si="27"/>
        <v>116264.5693112351</v>
      </c>
    </row>
    <row r="414" spans="1:5">
      <c r="A414" s="8">
        <v>413</v>
      </c>
      <c r="B414" s="8">
        <f t="shared" ca="1" si="24"/>
        <v>0.70368093579762658</v>
      </c>
      <c r="C414" s="57">
        <f t="shared" ca="1" si="25"/>
        <v>8.8945297739112476E-3</v>
      </c>
      <c r="D414" s="58">
        <f t="shared" ca="1" si="26"/>
        <v>10088945.297739111</v>
      </c>
      <c r="E414" s="59">
        <f t="shared" ca="1" si="27"/>
        <v>-88945.297739110887</v>
      </c>
    </row>
    <row r="415" spans="1:5">
      <c r="A415" s="8">
        <v>414</v>
      </c>
      <c r="B415" s="8">
        <f t="shared" ca="1" si="24"/>
        <v>0.21554986811761104</v>
      </c>
      <c r="C415" s="57">
        <f t="shared" ca="1" si="25"/>
        <v>2.8410012548734315E-3</v>
      </c>
      <c r="D415" s="58">
        <f t="shared" ca="1" si="26"/>
        <v>10028410.012548734</v>
      </c>
      <c r="E415" s="59">
        <f t="shared" ca="1" si="27"/>
        <v>-28410.012548733503</v>
      </c>
    </row>
    <row r="416" spans="1:5">
      <c r="A416" s="8">
        <v>415</v>
      </c>
      <c r="B416" s="8">
        <f t="shared" ca="1" si="24"/>
        <v>-3.3049799338297314E-3</v>
      </c>
      <c r="C416" s="57">
        <f t="shared" ca="1" si="25"/>
        <v>1.2688582168498495E-4</v>
      </c>
      <c r="D416" s="58">
        <f t="shared" ca="1" si="26"/>
        <v>10001268.85821685</v>
      </c>
      <c r="E416" s="59">
        <f t="shared" ca="1" si="27"/>
        <v>-1268.858216850087</v>
      </c>
    </row>
    <row r="417" spans="1:5">
      <c r="A417" s="8">
        <v>416</v>
      </c>
      <c r="B417" s="8">
        <f t="shared" ca="1" si="24"/>
        <v>0.47745552402105113</v>
      </c>
      <c r="C417" s="57">
        <f t="shared" ca="1" si="25"/>
        <v>6.0890087313164006E-3</v>
      </c>
      <c r="D417" s="58">
        <f t="shared" ca="1" si="26"/>
        <v>10060890.087313164</v>
      </c>
      <c r="E417" s="59">
        <f t="shared" ca="1" si="27"/>
        <v>-60890.087313164026</v>
      </c>
    </row>
    <row r="418" spans="1:5">
      <c r="A418" s="8">
        <v>417</v>
      </c>
      <c r="B418" s="8">
        <f t="shared" ca="1" si="24"/>
        <v>1.4789980567735388</v>
      </c>
      <c r="C418" s="57">
        <f t="shared" ca="1" si="25"/>
        <v>1.8509579120048424E-2</v>
      </c>
      <c r="D418" s="58">
        <f t="shared" ca="1" si="26"/>
        <v>10185095.791200485</v>
      </c>
      <c r="E418" s="59">
        <f t="shared" ca="1" si="27"/>
        <v>-185095.79120048508</v>
      </c>
    </row>
    <row r="419" spans="1:5">
      <c r="A419" s="8">
        <v>418</v>
      </c>
      <c r="B419" s="8">
        <f t="shared" ca="1" si="24"/>
        <v>0.42779918323500826</v>
      </c>
      <c r="C419" s="57">
        <f t="shared" ca="1" si="25"/>
        <v>5.4731985626909098E-3</v>
      </c>
      <c r="D419" s="58">
        <f t="shared" ca="1" si="26"/>
        <v>10054731.98562691</v>
      </c>
      <c r="E419" s="59">
        <f t="shared" ca="1" si="27"/>
        <v>-54731.985626909882</v>
      </c>
    </row>
    <row r="420" spans="1:5">
      <c r="A420" s="8">
        <v>419</v>
      </c>
      <c r="B420" s="8">
        <f t="shared" ca="1" si="24"/>
        <v>-0.34899058602906985</v>
      </c>
      <c r="C420" s="57">
        <f t="shared" ca="1" si="25"/>
        <v>-4.1601137439525411E-3</v>
      </c>
      <c r="D420" s="58">
        <f t="shared" ca="1" si="26"/>
        <v>9958398.8625604752</v>
      </c>
      <c r="E420" s="59">
        <f t="shared" ca="1" si="27"/>
        <v>41601.137439524755</v>
      </c>
    </row>
    <row r="421" spans="1:5">
      <c r="A421" s="8">
        <v>420</v>
      </c>
      <c r="B421" s="8">
        <f t="shared" ca="1" si="24"/>
        <v>0.877105956026486</v>
      </c>
      <c r="C421" s="57">
        <f t="shared" ca="1" si="25"/>
        <v>1.1045249888612711E-2</v>
      </c>
      <c r="D421" s="58">
        <f t="shared" ca="1" si="26"/>
        <v>10110452.498886127</v>
      </c>
      <c r="E421" s="59">
        <f t="shared" ca="1" si="27"/>
        <v>-110452.49888612702</v>
      </c>
    </row>
    <row r="422" spans="1:5">
      <c r="A422" s="8">
        <v>421</v>
      </c>
      <c r="B422" s="8">
        <f t="shared" ca="1" si="24"/>
        <v>0.6485261688795585</v>
      </c>
      <c r="C422" s="57">
        <f t="shared" ca="1" si="25"/>
        <v>8.2105311993352133E-3</v>
      </c>
      <c r="D422" s="58">
        <f t="shared" ca="1" si="26"/>
        <v>10082105.311993353</v>
      </c>
      <c r="E422" s="59">
        <f t="shared" ca="1" si="27"/>
        <v>-82105.311993353069</v>
      </c>
    </row>
    <row r="423" spans="1:5">
      <c r="A423" s="8">
        <v>422</v>
      </c>
      <c r="B423" s="8">
        <f t="shared" ca="1" si="24"/>
        <v>0.49602894479039106</v>
      </c>
      <c r="C423" s="57">
        <f t="shared" ca="1" si="25"/>
        <v>6.3193459087012927E-3</v>
      </c>
      <c r="D423" s="58">
        <f t="shared" ca="1" si="26"/>
        <v>10063193.459087012</v>
      </c>
      <c r="E423" s="59">
        <f t="shared" ca="1" si="27"/>
        <v>-63193.459087012336</v>
      </c>
    </row>
    <row r="424" spans="1:5">
      <c r="A424" s="8">
        <v>423</v>
      </c>
      <c r="B424" s="8">
        <f t="shared" ca="1" si="24"/>
        <v>-0.67845964936512271</v>
      </c>
      <c r="C424" s="57">
        <f t="shared" ca="1" si="25"/>
        <v>-8.2460048152270572E-3</v>
      </c>
      <c r="D424" s="58">
        <f t="shared" ca="1" si="26"/>
        <v>9917539.9518477283</v>
      </c>
      <c r="E424" s="59">
        <f t="shared" ca="1" si="27"/>
        <v>82460.048152271658</v>
      </c>
    </row>
    <row r="425" spans="1:5">
      <c r="A425" s="8">
        <v>424</v>
      </c>
      <c r="B425" s="8">
        <f t="shared" ca="1" si="24"/>
        <v>0.98391225603449761</v>
      </c>
      <c r="C425" s="57">
        <f t="shared" ca="1" si="25"/>
        <v>1.236980189097623E-2</v>
      </c>
      <c r="D425" s="58">
        <f t="shared" ca="1" si="26"/>
        <v>10123698.018909762</v>
      </c>
      <c r="E425" s="59">
        <f t="shared" ca="1" si="27"/>
        <v>-123698.01890976168</v>
      </c>
    </row>
    <row r="426" spans="1:5">
      <c r="A426" s="8">
        <v>425</v>
      </c>
      <c r="B426" s="8">
        <f t="shared" ca="1" si="24"/>
        <v>0.43034716061553163</v>
      </c>
      <c r="C426" s="57">
        <f t="shared" ca="1" si="25"/>
        <v>5.5047971532337526E-3</v>
      </c>
      <c r="D426" s="58">
        <f t="shared" ca="1" si="26"/>
        <v>10055047.971532337</v>
      </c>
      <c r="E426" s="59">
        <f t="shared" ca="1" si="27"/>
        <v>-55047.971532337368</v>
      </c>
    </row>
    <row r="427" spans="1:5">
      <c r="A427" s="8">
        <v>426</v>
      </c>
      <c r="B427" s="8">
        <f t="shared" ca="1" si="24"/>
        <v>-0.23386464383223723</v>
      </c>
      <c r="C427" s="57">
        <f t="shared" ca="1" si="25"/>
        <v>-2.7323861918384525E-3</v>
      </c>
      <c r="D427" s="58">
        <f t="shared" ca="1" si="26"/>
        <v>9972676.1380816158</v>
      </c>
      <c r="E427" s="59">
        <f t="shared" ca="1" si="27"/>
        <v>27323.861918384209</v>
      </c>
    </row>
    <row r="428" spans="1:5">
      <c r="A428" s="8">
        <v>427</v>
      </c>
      <c r="B428" s="8">
        <f t="shared" ca="1" si="24"/>
        <v>-6.074023177608414E-2</v>
      </c>
      <c r="C428" s="57">
        <f t="shared" ca="1" si="25"/>
        <v>-5.8539405158283342E-4</v>
      </c>
      <c r="D428" s="58">
        <f t="shared" ca="1" si="26"/>
        <v>9994146.0594841707</v>
      </c>
      <c r="E428" s="59">
        <f t="shared" ca="1" si="27"/>
        <v>5853.9405158292502</v>
      </c>
    </row>
    <row r="429" spans="1:5">
      <c r="A429" s="8">
        <v>428</v>
      </c>
      <c r="B429" s="8">
        <f t="shared" ca="1" si="24"/>
        <v>-1.4574932550103614</v>
      </c>
      <c r="C429" s="57">
        <f t="shared" ca="1" si="25"/>
        <v>-1.7907143925827013E-2</v>
      </c>
      <c r="D429" s="58">
        <f t="shared" ca="1" si="26"/>
        <v>9820928.56074173</v>
      </c>
      <c r="E429" s="59">
        <f t="shared" ca="1" si="27"/>
        <v>179071.43925826997</v>
      </c>
    </row>
    <row r="430" spans="1:5">
      <c r="A430" s="8">
        <v>429</v>
      </c>
      <c r="B430" s="8">
        <f t="shared" ca="1" si="24"/>
        <v>-1.0403890458733784</v>
      </c>
      <c r="C430" s="57">
        <f t="shared" ca="1" si="25"/>
        <v>-1.27344507853924E-2</v>
      </c>
      <c r="D430" s="58">
        <f t="shared" ca="1" si="26"/>
        <v>9872655.4921460766</v>
      </c>
      <c r="E430" s="59">
        <f t="shared" ca="1" si="27"/>
        <v>127344.50785392337</v>
      </c>
    </row>
    <row r="431" spans="1:5">
      <c r="A431" s="8">
        <v>430</v>
      </c>
      <c r="B431" s="8">
        <f t="shared" ca="1" si="24"/>
        <v>0.97691029821470876</v>
      </c>
      <c r="C431" s="57">
        <f t="shared" ca="1" si="25"/>
        <v>1.228296752586883E-2</v>
      </c>
      <c r="D431" s="58">
        <f t="shared" ca="1" si="26"/>
        <v>10122829.675258689</v>
      </c>
      <c r="E431" s="59">
        <f t="shared" ca="1" si="27"/>
        <v>-122829.67525868863</v>
      </c>
    </row>
    <row r="432" spans="1:5">
      <c r="A432" s="8">
        <v>431</v>
      </c>
      <c r="B432" s="8">
        <f t="shared" ca="1" si="24"/>
        <v>-1.8225337652167932</v>
      </c>
      <c r="C432" s="57">
        <f t="shared" ca="1" si="25"/>
        <v>-2.2434172188218474E-2</v>
      </c>
      <c r="D432" s="58">
        <f t="shared" ca="1" si="26"/>
        <v>9775658.278117815</v>
      </c>
      <c r="E432" s="59">
        <f t="shared" ca="1" si="27"/>
        <v>224341.72188218497</v>
      </c>
    </row>
    <row r="433" spans="1:5">
      <c r="A433" s="8">
        <v>432</v>
      </c>
      <c r="B433" s="8">
        <f t="shared" ca="1" si="24"/>
        <v>-1.1806881004022605</v>
      </c>
      <c r="C433" s="57">
        <f t="shared" ca="1" si="25"/>
        <v>-1.4474361198841792E-2</v>
      </c>
      <c r="D433" s="58">
        <f t="shared" ca="1" si="26"/>
        <v>9855256.3880115822</v>
      </c>
      <c r="E433" s="59">
        <f t="shared" ca="1" si="27"/>
        <v>144743.6119884178</v>
      </c>
    </row>
    <row r="434" spans="1:5">
      <c r="A434" s="8">
        <v>433</v>
      </c>
      <c r="B434" s="8">
        <f t="shared" ca="1" si="24"/>
        <v>-0.95529839655178339</v>
      </c>
      <c r="C434" s="57">
        <f t="shared" ca="1" si="25"/>
        <v>-1.1679204138585269E-2</v>
      </c>
      <c r="D434" s="58">
        <f t="shared" ca="1" si="26"/>
        <v>9883207.9586141482</v>
      </c>
      <c r="E434" s="59">
        <f t="shared" ca="1" si="27"/>
        <v>116792.0413858518</v>
      </c>
    </row>
    <row r="435" spans="1:5">
      <c r="A435" s="8">
        <v>434</v>
      </c>
      <c r="B435" s="8">
        <f t="shared" ca="1" si="24"/>
        <v>-1.9646089310296186</v>
      </c>
      <c r="C435" s="57">
        <f t="shared" ca="1" si="25"/>
        <v>-2.4196108940539182E-2</v>
      </c>
      <c r="D435" s="58">
        <f t="shared" ca="1" si="26"/>
        <v>9758038.9105946086</v>
      </c>
      <c r="E435" s="59">
        <f t="shared" ca="1" si="27"/>
        <v>241961.08940539137</v>
      </c>
    </row>
    <row r="436" spans="1:5">
      <c r="A436" s="8">
        <v>435</v>
      </c>
      <c r="B436" s="8">
        <f t="shared" ca="1" si="24"/>
        <v>-0.18561897967008667</v>
      </c>
      <c r="C436" s="57">
        <f t="shared" ca="1" si="25"/>
        <v>-2.134070445795935E-3</v>
      </c>
      <c r="D436" s="58">
        <f t="shared" ca="1" si="26"/>
        <v>9978659.2955420408</v>
      </c>
      <c r="E436" s="59">
        <f t="shared" ca="1" si="27"/>
        <v>21340.70445795916</v>
      </c>
    </row>
    <row r="437" spans="1:5">
      <c r="A437" s="8">
        <v>436</v>
      </c>
      <c r="B437" s="8">
        <f t="shared" ca="1" si="24"/>
        <v>-0.79074193533095727</v>
      </c>
      <c r="C437" s="57">
        <f t="shared" ca="1" si="25"/>
        <v>-9.6384669330501025E-3</v>
      </c>
      <c r="D437" s="58">
        <f t="shared" ca="1" si="26"/>
        <v>9903615.3306694981</v>
      </c>
      <c r="E437" s="59">
        <f t="shared" ca="1" si="27"/>
        <v>96384.669330501929</v>
      </c>
    </row>
    <row r="438" spans="1:5">
      <c r="A438" s="8">
        <v>437</v>
      </c>
      <c r="B438" s="8">
        <f t="shared" ca="1" si="24"/>
        <v>-0.50924273800132536</v>
      </c>
      <c r="C438" s="57">
        <f t="shared" ca="1" si="25"/>
        <v>-6.1474713133280569E-3</v>
      </c>
      <c r="D438" s="58">
        <f t="shared" ca="1" si="26"/>
        <v>9938525.2868667189</v>
      </c>
      <c r="E438" s="59">
        <f t="shared" ca="1" si="27"/>
        <v>61474.713133281097</v>
      </c>
    </row>
    <row r="439" spans="1:5">
      <c r="A439" s="8">
        <v>438</v>
      </c>
      <c r="B439" s="8">
        <f t="shared" ca="1" si="24"/>
        <v>1.2666262156507366</v>
      </c>
      <c r="C439" s="57">
        <f t="shared" ca="1" si="25"/>
        <v>1.5875862313233336E-2</v>
      </c>
      <c r="D439" s="58">
        <f t="shared" ca="1" si="26"/>
        <v>10158758.623132333</v>
      </c>
      <c r="E439" s="59">
        <f t="shared" ca="1" si="27"/>
        <v>-158758.62313233316</v>
      </c>
    </row>
    <row r="440" spans="1:5">
      <c r="A440" s="8">
        <v>439</v>
      </c>
      <c r="B440" s="8">
        <f t="shared" ca="1" si="24"/>
        <v>-0.6638994999364819</v>
      </c>
      <c r="C440" s="57">
        <f t="shared" ca="1" si="25"/>
        <v>-8.0654379846283788E-3</v>
      </c>
      <c r="D440" s="58">
        <f t="shared" ca="1" si="26"/>
        <v>9919345.6201537158</v>
      </c>
      <c r="E440" s="59">
        <f t="shared" ca="1" si="27"/>
        <v>80654.379846284166</v>
      </c>
    </row>
    <row r="441" spans="1:5">
      <c r="A441" s="8">
        <v>440</v>
      </c>
      <c r="B441" s="8">
        <f t="shared" ca="1" si="24"/>
        <v>-0.57412463936498626</v>
      </c>
      <c r="C441" s="57">
        <f t="shared" ca="1" si="25"/>
        <v>-6.952100369497431E-3</v>
      </c>
      <c r="D441" s="58">
        <f t="shared" ca="1" si="26"/>
        <v>9930478.9963050261</v>
      </c>
      <c r="E441" s="59">
        <f t="shared" ca="1" si="27"/>
        <v>69521.003694973886</v>
      </c>
    </row>
    <row r="442" spans="1:5">
      <c r="A442" s="8">
        <v>441</v>
      </c>
      <c r="B442" s="8">
        <f t="shared" ca="1" si="24"/>
        <v>-0.21016436962073926</v>
      </c>
      <c r="C442" s="57">
        <f t="shared" ca="1" si="25"/>
        <v>-2.4384686452045049E-3</v>
      </c>
      <c r="D442" s="58">
        <f t="shared" ca="1" si="26"/>
        <v>9975615.3135479558</v>
      </c>
      <c r="E442" s="59">
        <f t="shared" ca="1" si="27"/>
        <v>24384.686452044174</v>
      </c>
    </row>
    <row r="443" spans="1:5">
      <c r="A443" s="8">
        <v>442</v>
      </c>
      <c r="B443" s="8">
        <f t="shared" ca="1" si="24"/>
        <v>-0.42855850585123761</v>
      </c>
      <c r="C443" s="57">
        <f t="shared" ca="1" si="25"/>
        <v>-5.1468705880380189E-3</v>
      </c>
      <c r="D443" s="58">
        <f t="shared" ca="1" si="26"/>
        <v>9948531.2941196207</v>
      </c>
      <c r="E443" s="59">
        <f t="shared" ca="1" si="27"/>
        <v>51468.705880379304</v>
      </c>
    </row>
    <row r="444" spans="1:5">
      <c r="A444" s="8">
        <v>443</v>
      </c>
      <c r="B444" s="8">
        <f t="shared" ca="1" si="24"/>
        <v>1.4946837456038067</v>
      </c>
      <c r="C444" s="57">
        <f t="shared" ca="1" si="25"/>
        <v>1.8704104260859632E-2</v>
      </c>
      <c r="D444" s="58">
        <f t="shared" ca="1" si="26"/>
        <v>10187041.042608596</v>
      </c>
      <c r="E444" s="59">
        <f t="shared" ca="1" si="27"/>
        <v>-187041.04260859638</v>
      </c>
    </row>
    <row r="445" spans="1:5">
      <c r="A445" s="8">
        <v>444</v>
      </c>
      <c r="B445" s="8">
        <f t="shared" ca="1" si="24"/>
        <v>5.1769477931344218E-2</v>
      </c>
      <c r="C445" s="57">
        <f t="shared" ca="1" si="25"/>
        <v>8.098884482990469E-4</v>
      </c>
      <c r="D445" s="58">
        <f t="shared" ca="1" si="26"/>
        <v>10008098.884482989</v>
      </c>
      <c r="E445" s="59">
        <f t="shared" ca="1" si="27"/>
        <v>-8098.8844829890877</v>
      </c>
    </row>
    <row r="446" spans="1:5">
      <c r="A446" s="8">
        <v>445</v>
      </c>
      <c r="B446" s="8">
        <f t="shared" ca="1" si="24"/>
        <v>0.99908099828801888</v>
      </c>
      <c r="C446" s="57">
        <f t="shared" ca="1" si="25"/>
        <v>1.2557916149439735E-2</v>
      </c>
      <c r="D446" s="58">
        <f t="shared" ca="1" si="26"/>
        <v>10125579.161494398</v>
      </c>
      <c r="E446" s="59">
        <f t="shared" ca="1" si="27"/>
        <v>-125579.16149439849</v>
      </c>
    </row>
    <row r="447" spans="1:5">
      <c r="A447" s="8">
        <v>446</v>
      </c>
      <c r="B447" s="8">
        <f t="shared" ca="1" si="24"/>
        <v>1.0908672982166465</v>
      </c>
      <c r="C447" s="57">
        <f t="shared" ca="1" si="25"/>
        <v>1.3696198510600853E-2</v>
      </c>
      <c r="D447" s="58">
        <f t="shared" ca="1" si="26"/>
        <v>10136961.985106008</v>
      </c>
      <c r="E447" s="59">
        <f t="shared" ca="1" si="27"/>
        <v>-136961.98510600813</v>
      </c>
    </row>
    <row r="448" spans="1:5">
      <c r="A448" s="8">
        <v>447</v>
      </c>
      <c r="B448" s="8">
        <f t="shared" ca="1" si="24"/>
        <v>-2.8953508041135445E-2</v>
      </c>
      <c r="C448" s="57">
        <f t="shared" ca="1" si="25"/>
        <v>-1.9119288022361472E-4</v>
      </c>
      <c r="D448" s="58">
        <f t="shared" ca="1" si="26"/>
        <v>9998088.0711977631</v>
      </c>
      <c r="E448" s="59">
        <f t="shared" ca="1" si="27"/>
        <v>1911.9288022369146</v>
      </c>
    </row>
    <row r="449" spans="1:5">
      <c r="A449" s="8">
        <v>448</v>
      </c>
      <c r="B449" s="8">
        <f t="shared" ca="1" si="24"/>
        <v>-2.0244491846297867</v>
      </c>
      <c r="C449" s="57">
        <f t="shared" ca="1" si="25"/>
        <v>-2.4938214300635898E-2</v>
      </c>
      <c r="D449" s="58">
        <f t="shared" ca="1" si="26"/>
        <v>9750617.8569936417</v>
      </c>
      <c r="E449" s="59">
        <f t="shared" ca="1" si="27"/>
        <v>249382.1430063583</v>
      </c>
    </row>
    <row r="450" spans="1:5">
      <c r="A450" s="8">
        <v>449</v>
      </c>
      <c r="B450" s="8">
        <f t="shared" ca="1" si="24"/>
        <v>-0.29973459395651991</v>
      </c>
      <c r="C450" s="57">
        <f t="shared" ca="1" si="25"/>
        <v>-3.5492684761808482E-3</v>
      </c>
      <c r="D450" s="58">
        <f t="shared" ca="1" si="26"/>
        <v>9964507.3152381908</v>
      </c>
      <c r="E450" s="59">
        <f t="shared" ca="1" si="27"/>
        <v>35492.684761809185</v>
      </c>
    </row>
    <row r="451" spans="1:5">
      <c r="A451" s="8">
        <v>450</v>
      </c>
      <c r="B451" s="8">
        <f t="shared" ref="B451:B514" ca="1" si="28">_xlfn.NORM.S.INV(RAND())</f>
        <v>-1.661370146244517</v>
      </c>
      <c r="C451" s="57">
        <f t="shared" ref="C451:C514" ca="1" si="29" xml:space="preserve"> $H$2 + $H$3 * B451</f>
        <v>-2.0435511114837341E-2</v>
      </c>
      <c r="D451" s="58">
        <f t="shared" ref="D451:D514" ca="1" si="30">$H$4 * (1 + C451)</f>
        <v>9795644.8888516258</v>
      </c>
      <c r="E451" s="59">
        <f t="shared" ref="E451:E514" ca="1" si="31">$H$4-D451</f>
        <v>204355.11114837416</v>
      </c>
    </row>
    <row r="452" spans="1:5">
      <c r="A452" s="8">
        <v>451</v>
      </c>
      <c r="B452" s="8">
        <f t="shared" ca="1" si="28"/>
        <v>0.85786317155474434</v>
      </c>
      <c r="C452" s="57">
        <f t="shared" ca="1" si="29"/>
        <v>1.0806611636925468E-2</v>
      </c>
      <c r="D452" s="58">
        <f t="shared" ca="1" si="30"/>
        <v>10108066.116369255</v>
      </c>
      <c r="E452" s="59">
        <f t="shared" ca="1" si="31"/>
        <v>-108066.11636925489</v>
      </c>
    </row>
    <row r="453" spans="1:5">
      <c r="A453" s="8">
        <v>452</v>
      </c>
      <c r="B453" s="8">
        <f t="shared" ca="1" si="28"/>
        <v>0.21580703241381369</v>
      </c>
      <c r="C453" s="57">
        <f t="shared" ca="1" si="29"/>
        <v>2.8441904626584223E-3</v>
      </c>
      <c r="D453" s="58">
        <f t="shared" ca="1" si="30"/>
        <v>10028441.904626584</v>
      </c>
      <c r="E453" s="59">
        <f t="shared" ca="1" si="31"/>
        <v>-28441.904626583681</v>
      </c>
    </row>
    <row r="454" spans="1:5">
      <c r="A454" s="8">
        <v>453</v>
      </c>
      <c r="B454" s="8">
        <f t="shared" ca="1" si="28"/>
        <v>0.1477885149925392</v>
      </c>
      <c r="C454" s="57">
        <f t="shared" ca="1" si="29"/>
        <v>2.0006628482631197E-3</v>
      </c>
      <c r="D454" s="58">
        <f t="shared" ca="1" si="30"/>
        <v>10020006.628482632</v>
      </c>
      <c r="E454" s="59">
        <f t="shared" ca="1" si="31"/>
        <v>-20006.628482632339</v>
      </c>
    </row>
    <row r="455" spans="1:5">
      <c r="A455" s="8">
        <v>454</v>
      </c>
      <c r="B455" s="8">
        <f t="shared" ca="1" si="28"/>
        <v>-1.8937096825135362</v>
      </c>
      <c r="C455" s="57">
        <f t="shared" ca="1" si="29"/>
        <v>-2.3316856110125603E-2</v>
      </c>
      <c r="D455" s="58">
        <f t="shared" ca="1" si="30"/>
        <v>9766831.4388987441</v>
      </c>
      <c r="E455" s="59">
        <f t="shared" ca="1" si="31"/>
        <v>233168.56110125594</v>
      </c>
    </row>
    <row r="456" spans="1:5">
      <c r="A456" s="8">
        <v>455</v>
      </c>
      <c r="B456" s="8">
        <f t="shared" ca="1" si="28"/>
        <v>1.7231392098105229</v>
      </c>
      <c r="C456" s="57">
        <f t="shared" ca="1" si="29"/>
        <v>2.153728116655897E-2</v>
      </c>
      <c r="D456" s="58">
        <f t="shared" ca="1" si="30"/>
        <v>10215372.811665591</v>
      </c>
      <c r="E456" s="59">
        <f t="shared" ca="1" si="31"/>
        <v>-215372.81166559085</v>
      </c>
    </row>
    <row r="457" spans="1:5">
      <c r="A457" s="8">
        <v>456</v>
      </c>
      <c r="B457" s="8">
        <f t="shared" ca="1" si="28"/>
        <v>2.0664657756674365</v>
      </c>
      <c r="C457" s="57">
        <f t="shared" ca="1" si="29"/>
        <v>2.5795025234430002E-2</v>
      </c>
      <c r="D457" s="58">
        <f t="shared" ca="1" si="30"/>
        <v>10257950.252344301</v>
      </c>
      <c r="E457" s="59">
        <f t="shared" ca="1" si="31"/>
        <v>-257950.25234430097</v>
      </c>
    </row>
    <row r="458" spans="1:5">
      <c r="A458" s="8">
        <v>457</v>
      </c>
      <c r="B458" s="8">
        <f t="shared" ca="1" si="28"/>
        <v>-0.90172028721810082</v>
      </c>
      <c r="C458" s="57">
        <f t="shared" ca="1" si="29"/>
        <v>-1.1014758389641081E-2</v>
      </c>
      <c r="D458" s="58">
        <f t="shared" ca="1" si="30"/>
        <v>9889852.4161035903</v>
      </c>
      <c r="E458" s="59">
        <f t="shared" ca="1" si="31"/>
        <v>110147.58389640972</v>
      </c>
    </row>
    <row r="459" spans="1:5">
      <c r="A459" s="8">
        <v>458</v>
      </c>
      <c r="B459" s="8">
        <f t="shared" ca="1" si="28"/>
        <v>0.82060656107370389</v>
      </c>
      <c r="C459" s="57">
        <f t="shared" ca="1" si="29"/>
        <v>1.0344575989119691E-2</v>
      </c>
      <c r="D459" s="58">
        <f t="shared" ca="1" si="30"/>
        <v>10103445.759891197</v>
      </c>
      <c r="E459" s="59">
        <f t="shared" ca="1" si="31"/>
        <v>-103445.75989119709</v>
      </c>
    </row>
    <row r="460" spans="1:5">
      <c r="A460" s="8">
        <v>459</v>
      </c>
      <c r="B460" s="8">
        <f t="shared" ca="1" si="28"/>
        <v>-1.7035056267986539</v>
      </c>
      <c r="C460" s="57">
        <f t="shared" ca="1" si="29"/>
        <v>-2.0958051780831249E-2</v>
      </c>
      <c r="D460" s="58">
        <f t="shared" ca="1" si="30"/>
        <v>9790419.4821916874</v>
      </c>
      <c r="E460" s="59">
        <f t="shared" ca="1" si="31"/>
        <v>209580.51780831255</v>
      </c>
    </row>
    <row r="461" spans="1:5">
      <c r="A461" s="8">
        <v>460</v>
      </c>
      <c r="B461" s="8">
        <f t="shared" ca="1" si="28"/>
        <v>0.26583094459909751</v>
      </c>
      <c r="C461" s="57">
        <f t="shared" ca="1" si="29"/>
        <v>3.4645590462167369E-3</v>
      </c>
      <c r="D461" s="58">
        <f t="shared" ca="1" si="30"/>
        <v>10034645.590462169</v>
      </c>
      <c r="E461" s="59">
        <f t="shared" ca="1" si="31"/>
        <v>-34645.590462168679</v>
      </c>
    </row>
    <row r="462" spans="1:5">
      <c r="A462" s="8">
        <v>461</v>
      </c>
      <c r="B462" s="8">
        <f t="shared" ca="1" si="28"/>
        <v>-0.99936255265305862</v>
      </c>
      <c r="C462" s="57">
        <f t="shared" ca="1" si="29"/>
        <v>-1.2225663160122619E-2</v>
      </c>
      <c r="D462" s="58">
        <f t="shared" ca="1" si="30"/>
        <v>9877743.3683987744</v>
      </c>
      <c r="E462" s="59">
        <f t="shared" ca="1" si="31"/>
        <v>122256.63160122558</v>
      </c>
    </row>
    <row r="463" spans="1:5">
      <c r="A463" s="8">
        <v>462</v>
      </c>
      <c r="B463" s="8">
        <f t="shared" ca="1" si="28"/>
        <v>1.7715952263753689</v>
      </c>
      <c r="C463" s="57">
        <f t="shared" ca="1" si="29"/>
        <v>2.2138205585462273E-2</v>
      </c>
      <c r="D463" s="58">
        <f t="shared" ca="1" si="30"/>
        <v>10221382.055854622</v>
      </c>
      <c r="E463" s="59">
        <f t="shared" ca="1" si="31"/>
        <v>-221382.05585462227</v>
      </c>
    </row>
    <row r="464" spans="1:5">
      <c r="A464" s="8">
        <v>463</v>
      </c>
      <c r="B464" s="8">
        <f t="shared" ca="1" si="28"/>
        <v>-0.56918702744702565</v>
      </c>
      <c r="C464" s="57">
        <f t="shared" ca="1" si="29"/>
        <v>-6.8908668678000764E-3</v>
      </c>
      <c r="D464" s="58">
        <f t="shared" ca="1" si="30"/>
        <v>9931091.3313219994</v>
      </c>
      <c r="E464" s="59">
        <f t="shared" ca="1" si="31"/>
        <v>68908.668678000569</v>
      </c>
    </row>
    <row r="465" spans="1:5">
      <c r="A465" s="8">
        <v>464</v>
      </c>
      <c r="B465" s="8">
        <f t="shared" ca="1" si="28"/>
        <v>1.4018085453774756</v>
      </c>
      <c r="C465" s="57">
        <f t="shared" ca="1" si="29"/>
        <v>1.7552317967162799E-2</v>
      </c>
      <c r="D465" s="58">
        <f t="shared" ca="1" si="30"/>
        <v>10175523.179671628</v>
      </c>
      <c r="E465" s="59">
        <f t="shared" ca="1" si="31"/>
        <v>-175523.1796716284</v>
      </c>
    </row>
    <row r="466" spans="1:5">
      <c r="A466" s="8">
        <v>465</v>
      </c>
      <c r="B466" s="8">
        <f t="shared" ca="1" si="28"/>
        <v>0.45009070521277406</v>
      </c>
      <c r="C466" s="57">
        <f t="shared" ca="1" si="29"/>
        <v>5.7496455519524545E-3</v>
      </c>
      <c r="D466" s="58">
        <f t="shared" ca="1" si="30"/>
        <v>10057496.455519525</v>
      </c>
      <c r="E466" s="59">
        <f t="shared" ca="1" si="31"/>
        <v>-57496.455519525334</v>
      </c>
    </row>
    <row r="467" spans="1:5">
      <c r="A467" s="8">
        <v>466</v>
      </c>
      <c r="B467" s="8">
        <f t="shared" ca="1" si="28"/>
        <v>1.7331743037530303</v>
      </c>
      <c r="C467" s="57">
        <f t="shared" ca="1" si="29"/>
        <v>2.1661730789609829E-2</v>
      </c>
      <c r="D467" s="58">
        <f t="shared" ca="1" si="30"/>
        <v>10216617.307896098</v>
      </c>
      <c r="E467" s="59">
        <f t="shared" ca="1" si="31"/>
        <v>-216617.30789609812</v>
      </c>
    </row>
    <row r="468" spans="1:5">
      <c r="A468" s="8">
        <v>467</v>
      </c>
      <c r="B468" s="8">
        <f t="shared" ca="1" si="28"/>
        <v>1.4013654082047748</v>
      </c>
      <c r="C468" s="57">
        <f t="shared" ca="1" si="29"/>
        <v>1.7546822427766916E-2</v>
      </c>
      <c r="D468" s="58">
        <f t="shared" ca="1" si="30"/>
        <v>10175468.224277668</v>
      </c>
      <c r="E468" s="59">
        <f t="shared" ca="1" si="31"/>
        <v>-175468.2242776677</v>
      </c>
    </row>
    <row r="469" spans="1:5">
      <c r="A469" s="8">
        <v>468</v>
      </c>
      <c r="B469" s="8">
        <f t="shared" ca="1" si="28"/>
        <v>-0.45383415936609089</v>
      </c>
      <c r="C469" s="57">
        <f t="shared" ca="1" si="29"/>
        <v>-5.4603251077773429E-3</v>
      </c>
      <c r="D469" s="58">
        <f t="shared" ca="1" si="30"/>
        <v>9945396.748922227</v>
      </c>
      <c r="E469" s="59">
        <f t="shared" ca="1" si="31"/>
        <v>54603.251077773049</v>
      </c>
    </row>
    <row r="470" spans="1:5">
      <c r="A470" s="8">
        <v>469</v>
      </c>
      <c r="B470" s="8">
        <f t="shared" ca="1" si="28"/>
        <v>1.2618179010840729</v>
      </c>
      <c r="C470" s="57">
        <f t="shared" ca="1" si="29"/>
        <v>1.5816232284978537E-2</v>
      </c>
      <c r="D470" s="58">
        <f t="shared" ca="1" si="30"/>
        <v>10158162.322849786</v>
      </c>
      <c r="E470" s="59">
        <f t="shared" ca="1" si="31"/>
        <v>-158162.32284978591</v>
      </c>
    </row>
    <row r="471" spans="1:5">
      <c r="A471" s="8">
        <v>470</v>
      </c>
      <c r="B471" s="8">
        <f t="shared" ca="1" si="28"/>
        <v>-0.60470470369713036</v>
      </c>
      <c r="C471" s="57">
        <f t="shared" ca="1" si="29"/>
        <v>-7.3313372257550521E-3</v>
      </c>
      <c r="D471" s="58">
        <f t="shared" ca="1" si="30"/>
        <v>9926686.6277424488</v>
      </c>
      <c r="E471" s="59">
        <f t="shared" ca="1" si="31"/>
        <v>73313.372257551178</v>
      </c>
    </row>
    <row r="472" spans="1:5">
      <c r="A472" s="8">
        <v>471</v>
      </c>
      <c r="B472" s="8">
        <f t="shared" ca="1" si="28"/>
        <v>-0.61543736614961619</v>
      </c>
      <c r="C472" s="57">
        <f t="shared" ca="1" si="29"/>
        <v>-7.4644377033585788E-3</v>
      </c>
      <c r="D472" s="58">
        <f t="shared" ca="1" si="30"/>
        <v>9925355.6229664143</v>
      </c>
      <c r="E472" s="59">
        <f t="shared" ca="1" si="31"/>
        <v>74644.377033585683</v>
      </c>
    </row>
    <row r="473" spans="1:5">
      <c r="A473" s="8">
        <v>472</v>
      </c>
      <c r="B473" s="8">
        <f t="shared" ca="1" si="28"/>
        <v>1.2207803290080146</v>
      </c>
      <c r="C473" s="57">
        <f t="shared" ca="1" si="29"/>
        <v>1.5307307265935629E-2</v>
      </c>
      <c r="D473" s="58">
        <f t="shared" ca="1" si="30"/>
        <v>10153073.072659355</v>
      </c>
      <c r="E473" s="59">
        <f t="shared" ca="1" si="31"/>
        <v>-153073.07265935466</v>
      </c>
    </row>
    <row r="474" spans="1:5">
      <c r="A474" s="8">
        <v>473</v>
      </c>
      <c r="B474" s="8">
        <f t="shared" ca="1" si="28"/>
        <v>-1.4260099518271911</v>
      </c>
      <c r="C474" s="57">
        <f t="shared" ca="1" si="29"/>
        <v>-1.7516705606466097E-2</v>
      </c>
      <c r="D474" s="58">
        <f t="shared" ca="1" si="30"/>
        <v>9824832.9439353384</v>
      </c>
      <c r="E474" s="59">
        <f t="shared" ca="1" si="31"/>
        <v>175167.05606466159</v>
      </c>
    </row>
    <row r="475" spans="1:5">
      <c r="A475" s="8">
        <v>474</v>
      </c>
      <c r="B475" s="8">
        <f t="shared" ca="1" si="28"/>
        <v>-1.3411268447468725</v>
      </c>
      <c r="C475" s="57">
        <f t="shared" ca="1" si="29"/>
        <v>-1.6464032782469388E-2</v>
      </c>
      <c r="D475" s="58">
        <f t="shared" ca="1" si="30"/>
        <v>9835359.672175305</v>
      </c>
      <c r="E475" s="59">
        <f t="shared" ca="1" si="31"/>
        <v>164640.32782469504</v>
      </c>
    </row>
    <row r="476" spans="1:5">
      <c r="A476" s="8">
        <v>475</v>
      </c>
      <c r="B476" s="8">
        <f t="shared" ca="1" si="28"/>
        <v>-1.7516677703624208</v>
      </c>
      <c r="C476" s="57">
        <f t="shared" ca="1" si="29"/>
        <v>-2.1555331751120656E-2</v>
      </c>
      <c r="D476" s="58">
        <f t="shared" ca="1" si="30"/>
        <v>9784446.6824887935</v>
      </c>
      <c r="E476" s="59">
        <f t="shared" ca="1" si="31"/>
        <v>215553.31751120649</v>
      </c>
    </row>
    <row r="477" spans="1:5">
      <c r="A477" s="8">
        <v>476</v>
      </c>
      <c r="B477" s="8">
        <f t="shared" ca="1" si="28"/>
        <v>-0.67415855655695034</v>
      </c>
      <c r="C477" s="57">
        <f t="shared" ca="1" si="29"/>
        <v>-8.1926650675624661E-3</v>
      </c>
      <c r="D477" s="58">
        <f t="shared" ca="1" si="30"/>
        <v>9918073.3493243754</v>
      </c>
      <c r="E477" s="59">
        <f t="shared" ca="1" si="31"/>
        <v>81926.650675624609</v>
      </c>
    </row>
    <row r="478" spans="1:5">
      <c r="A478" s="8">
        <v>477</v>
      </c>
      <c r="B478" s="8">
        <f t="shared" ca="1" si="28"/>
        <v>-1.6247687889209832</v>
      </c>
      <c r="C478" s="57">
        <f t="shared" ca="1" si="29"/>
        <v>-1.9981601550247308E-2</v>
      </c>
      <c r="D478" s="58">
        <f t="shared" ca="1" si="30"/>
        <v>9800183.9844975267</v>
      </c>
      <c r="E478" s="59">
        <f t="shared" ca="1" si="31"/>
        <v>199816.01550247334</v>
      </c>
    </row>
    <row r="479" spans="1:5">
      <c r="A479" s="8">
        <v>478</v>
      </c>
      <c r="B479" s="8">
        <f t="shared" ca="1" si="28"/>
        <v>-0.71501693980974823</v>
      </c>
      <c r="C479" s="57">
        <f t="shared" ca="1" si="29"/>
        <v>-8.6993678870288266E-3</v>
      </c>
      <c r="D479" s="58">
        <f t="shared" ca="1" si="30"/>
        <v>9913006.3211297113</v>
      </c>
      <c r="E479" s="59">
        <f t="shared" ca="1" si="31"/>
        <v>86993.678870288655</v>
      </c>
    </row>
    <row r="480" spans="1:5">
      <c r="A480" s="8">
        <v>479</v>
      </c>
      <c r="B480" s="8">
        <f t="shared" ca="1" si="28"/>
        <v>-0.46578236956157743</v>
      </c>
      <c r="C480" s="57">
        <f t="shared" ca="1" si="29"/>
        <v>-5.6085001287068652E-3</v>
      </c>
      <c r="D480" s="58">
        <f t="shared" ca="1" si="30"/>
        <v>9943914.9987129308</v>
      </c>
      <c r="E480" s="59">
        <f t="shared" ca="1" si="31"/>
        <v>56085.001287069172</v>
      </c>
    </row>
    <row r="481" spans="1:5">
      <c r="A481" s="8">
        <v>480</v>
      </c>
      <c r="B481" s="8">
        <f t="shared" ca="1" si="28"/>
        <v>-0.3805437969496131</v>
      </c>
      <c r="C481" s="57">
        <f t="shared" ca="1" si="29"/>
        <v>-4.5514190199771676E-3</v>
      </c>
      <c r="D481" s="58">
        <f t="shared" ca="1" si="30"/>
        <v>9954485.8098002281</v>
      </c>
      <c r="E481" s="59">
        <f t="shared" ca="1" si="31"/>
        <v>45514.190199771896</v>
      </c>
    </row>
    <row r="482" spans="1:5">
      <c r="A482" s="8">
        <v>481</v>
      </c>
      <c r="B482" s="8">
        <f t="shared" ca="1" si="28"/>
        <v>-1.5379926327904379</v>
      </c>
      <c r="C482" s="57">
        <f t="shared" ca="1" si="29"/>
        <v>-1.8905452190598096E-2</v>
      </c>
      <c r="D482" s="58">
        <f t="shared" ca="1" si="30"/>
        <v>9810945.478094019</v>
      </c>
      <c r="E482" s="59">
        <f t="shared" ca="1" si="31"/>
        <v>189054.521905981</v>
      </c>
    </row>
    <row r="483" spans="1:5">
      <c r="A483" s="8">
        <v>482</v>
      </c>
      <c r="B483" s="8">
        <f t="shared" ca="1" si="28"/>
        <v>1.162362695393037</v>
      </c>
      <c r="C483" s="57">
        <f t="shared" ca="1" si="29"/>
        <v>1.4582844443309503E-2</v>
      </c>
      <c r="D483" s="58">
        <f t="shared" ca="1" si="30"/>
        <v>10145828.444433097</v>
      </c>
      <c r="E483" s="59">
        <f t="shared" ca="1" si="31"/>
        <v>-145828.4444330968</v>
      </c>
    </row>
    <row r="484" spans="1:5">
      <c r="A484" s="8">
        <v>483</v>
      </c>
      <c r="B484" s="8">
        <f t="shared" ca="1" si="28"/>
        <v>-1.3362072171793085</v>
      </c>
      <c r="C484" s="57">
        <f t="shared" ca="1" si="29"/>
        <v>-1.640302231262809E-2</v>
      </c>
      <c r="D484" s="58">
        <f t="shared" ca="1" si="30"/>
        <v>9835969.7768737189</v>
      </c>
      <c r="E484" s="59">
        <f t="shared" ca="1" si="31"/>
        <v>164030.22312628105</v>
      </c>
    </row>
    <row r="485" spans="1:5">
      <c r="A485" s="8">
        <v>484</v>
      </c>
      <c r="B485" s="8">
        <f t="shared" ca="1" si="28"/>
        <v>0.35087970846890726</v>
      </c>
      <c r="C485" s="57">
        <f t="shared" ca="1" si="29"/>
        <v>4.5192862530748397E-3</v>
      </c>
      <c r="D485" s="58">
        <f t="shared" ca="1" si="30"/>
        <v>10045192.862530747</v>
      </c>
      <c r="E485" s="59">
        <f t="shared" ca="1" si="31"/>
        <v>-45192.862530747429</v>
      </c>
    </row>
    <row r="486" spans="1:5">
      <c r="A486" s="8">
        <v>485</v>
      </c>
      <c r="B486" s="8">
        <f t="shared" ca="1" si="28"/>
        <v>-1.1161121770933333</v>
      </c>
      <c r="C486" s="57">
        <f t="shared" ca="1" si="29"/>
        <v>-1.3673526711392114E-2</v>
      </c>
      <c r="D486" s="58">
        <f t="shared" ca="1" si="30"/>
        <v>9863264.7328860797</v>
      </c>
      <c r="E486" s="59">
        <f t="shared" ca="1" si="31"/>
        <v>136735.2671139203</v>
      </c>
    </row>
    <row r="487" spans="1:5">
      <c r="A487" s="8">
        <v>486</v>
      </c>
      <c r="B487" s="8">
        <f t="shared" ca="1" si="28"/>
        <v>-0.59028663714323604</v>
      </c>
      <c r="C487" s="57">
        <f t="shared" ca="1" si="29"/>
        <v>-7.1525324275105787E-3</v>
      </c>
      <c r="D487" s="58">
        <f t="shared" ca="1" si="30"/>
        <v>9928474.6757248938</v>
      </c>
      <c r="E487" s="59">
        <f t="shared" ca="1" si="31"/>
        <v>71525.324275106192</v>
      </c>
    </row>
    <row r="488" spans="1:5">
      <c r="A488" s="8">
        <v>487</v>
      </c>
      <c r="B488" s="8">
        <f t="shared" ca="1" si="28"/>
        <v>-2.0126156557852135</v>
      </c>
      <c r="C488" s="57">
        <f t="shared" ca="1" si="29"/>
        <v>-2.4791461493686023E-2</v>
      </c>
      <c r="D488" s="58">
        <f t="shared" ca="1" si="30"/>
        <v>9752085.3850631397</v>
      </c>
      <c r="E488" s="59">
        <f t="shared" ca="1" si="31"/>
        <v>247914.61493686028</v>
      </c>
    </row>
    <row r="489" spans="1:5">
      <c r="A489" s="8">
        <v>488</v>
      </c>
      <c r="B489" s="8">
        <f t="shared" ca="1" si="28"/>
        <v>0.92641036175257818</v>
      </c>
      <c r="C489" s="57">
        <f t="shared" ca="1" si="29"/>
        <v>1.1656695555440792E-2</v>
      </c>
      <c r="D489" s="58">
        <f t="shared" ca="1" si="30"/>
        <v>10116566.955554407</v>
      </c>
      <c r="E489" s="59">
        <f t="shared" ca="1" si="31"/>
        <v>-116566.95555440709</v>
      </c>
    </row>
    <row r="490" spans="1:5">
      <c r="A490" s="8">
        <v>489</v>
      </c>
      <c r="B490" s="8">
        <f t="shared" ca="1" si="28"/>
        <v>-1.2986585224893057</v>
      </c>
      <c r="C490" s="57">
        <f t="shared" ca="1" si="29"/>
        <v>-1.593736439980788E-2</v>
      </c>
      <c r="D490" s="58">
        <f t="shared" ca="1" si="30"/>
        <v>9840626.356001921</v>
      </c>
      <c r="E490" s="59">
        <f t="shared" ca="1" si="31"/>
        <v>159373.643998079</v>
      </c>
    </row>
    <row r="491" spans="1:5">
      <c r="A491" s="8">
        <v>490</v>
      </c>
      <c r="B491" s="8">
        <f t="shared" ca="1" si="28"/>
        <v>-0.75776212339069382</v>
      </c>
      <c r="C491" s="57">
        <f t="shared" ca="1" si="29"/>
        <v>-9.2294697489910017E-3</v>
      </c>
      <c r="D491" s="58">
        <f t="shared" ca="1" si="30"/>
        <v>9907705.3025100902</v>
      </c>
      <c r="E491" s="59">
        <f t="shared" ca="1" si="31"/>
        <v>92294.697489909828</v>
      </c>
    </row>
    <row r="492" spans="1:5">
      <c r="A492" s="8">
        <v>491</v>
      </c>
      <c r="B492" s="8">
        <f t="shared" ca="1" si="28"/>
        <v>0.54800875437426211</v>
      </c>
      <c r="C492" s="57">
        <f t="shared" ca="1" si="29"/>
        <v>6.9639704379811799E-3</v>
      </c>
      <c r="D492" s="58">
        <f t="shared" ca="1" si="30"/>
        <v>10069639.704379812</v>
      </c>
      <c r="E492" s="59">
        <f t="shared" ca="1" si="31"/>
        <v>-69639.704379811883</v>
      </c>
    </row>
    <row r="493" spans="1:5">
      <c r="A493" s="8">
        <v>492</v>
      </c>
      <c r="B493" s="8">
        <f t="shared" ca="1" si="28"/>
        <v>-1.2845898977693475</v>
      </c>
      <c r="C493" s="57">
        <f t="shared" ca="1" si="29"/>
        <v>-1.5762893183766096E-2</v>
      </c>
      <c r="D493" s="58">
        <f t="shared" ca="1" si="30"/>
        <v>9842371.0681623388</v>
      </c>
      <c r="E493" s="59">
        <f t="shared" ca="1" si="31"/>
        <v>157628.93183766119</v>
      </c>
    </row>
    <row r="494" spans="1:5">
      <c r="A494" s="8">
        <v>493</v>
      </c>
      <c r="B494" s="8">
        <f t="shared" ca="1" si="28"/>
        <v>0.56569068243885801</v>
      </c>
      <c r="C494" s="57">
        <f t="shared" ca="1" si="29"/>
        <v>7.1832518214000546E-3</v>
      </c>
      <c r="D494" s="58">
        <f t="shared" ca="1" si="30"/>
        <v>10071832.518214</v>
      </c>
      <c r="E494" s="59">
        <f t="shared" ca="1" si="31"/>
        <v>-71832.518214000389</v>
      </c>
    </row>
    <row r="495" spans="1:5">
      <c r="A495" s="8">
        <v>494</v>
      </c>
      <c r="B495" s="8">
        <f t="shared" ca="1" si="28"/>
        <v>-1.6119012605140666</v>
      </c>
      <c r="C495" s="57">
        <f t="shared" ca="1" si="29"/>
        <v>-1.9822025658978979E-2</v>
      </c>
      <c r="D495" s="58">
        <f t="shared" ca="1" si="30"/>
        <v>9801779.7434102111</v>
      </c>
      <c r="E495" s="59">
        <f t="shared" ca="1" si="31"/>
        <v>198220.25658978894</v>
      </c>
    </row>
    <row r="496" spans="1:5">
      <c r="A496" s="8">
        <v>495</v>
      </c>
      <c r="B496" s="8">
        <f t="shared" ca="1" si="28"/>
        <v>1.1243746883816199</v>
      </c>
      <c r="C496" s="57">
        <f t="shared" ca="1" si="29"/>
        <v>1.4111738424760056E-2</v>
      </c>
      <c r="D496" s="58">
        <f t="shared" ca="1" si="30"/>
        <v>10141117.384247599</v>
      </c>
      <c r="E496" s="59">
        <f t="shared" ca="1" si="31"/>
        <v>-141117.38424759917</v>
      </c>
    </row>
    <row r="497" spans="1:5">
      <c r="A497" s="8">
        <v>496</v>
      </c>
      <c r="B497" s="8">
        <f t="shared" ca="1" si="28"/>
        <v>0.47295579567457918</v>
      </c>
      <c r="C497" s="57">
        <f t="shared" ca="1" si="29"/>
        <v>6.0332056167907199E-3</v>
      </c>
      <c r="D497" s="58">
        <f t="shared" ca="1" si="30"/>
        <v>10060332.056167906</v>
      </c>
      <c r="E497" s="59">
        <f t="shared" ca="1" si="31"/>
        <v>-60332.05616790615</v>
      </c>
    </row>
    <row r="498" spans="1:5">
      <c r="A498" s="8">
        <v>497</v>
      </c>
      <c r="B498" s="8">
        <f t="shared" ca="1" si="28"/>
        <v>-1.2186914630093193</v>
      </c>
      <c r="C498" s="57">
        <f t="shared" ca="1" si="29"/>
        <v>-1.4945657648900925E-2</v>
      </c>
      <c r="D498" s="58">
        <f t="shared" ca="1" si="30"/>
        <v>9850543.423510991</v>
      </c>
      <c r="E498" s="59">
        <f t="shared" ca="1" si="31"/>
        <v>149456.57648900896</v>
      </c>
    </row>
    <row r="499" spans="1:5">
      <c r="A499" s="8">
        <v>498</v>
      </c>
      <c r="B499" s="8">
        <f t="shared" ca="1" si="28"/>
        <v>1.0678936202435965</v>
      </c>
      <c r="C499" s="57">
        <f t="shared" ca="1" si="29"/>
        <v>1.3411291804174589E-2</v>
      </c>
      <c r="D499" s="58">
        <f t="shared" ca="1" si="30"/>
        <v>10134112.918041747</v>
      </c>
      <c r="E499" s="59">
        <f t="shared" ca="1" si="31"/>
        <v>-134112.91804174706</v>
      </c>
    </row>
    <row r="500" spans="1:5">
      <c r="A500" s="8">
        <v>499</v>
      </c>
      <c r="B500" s="8">
        <f t="shared" ca="1" si="28"/>
        <v>1.8126333212688309E-2</v>
      </c>
      <c r="C500" s="57">
        <f t="shared" ca="1" si="29"/>
        <v>3.9266498208442548E-4</v>
      </c>
      <c r="D500" s="58">
        <f t="shared" ca="1" si="30"/>
        <v>10003926.649820844</v>
      </c>
      <c r="E500" s="59">
        <f t="shared" ca="1" si="31"/>
        <v>-3926.6498208437115</v>
      </c>
    </row>
    <row r="501" spans="1:5">
      <c r="A501" s="8">
        <v>500</v>
      </c>
      <c r="B501" s="8">
        <f t="shared" ca="1" si="28"/>
        <v>-0.68250463864766608</v>
      </c>
      <c r="C501" s="57">
        <f t="shared" ca="1" si="29"/>
        <v>-8.2961685101900877E-3</v>
      </c>
      <c r="D501" s="58">
        <f t="shared" ca="1" si="30"/>
        <v>9917038.3148980998</v>
      </c>
      <c r="E501" s="59">
        <f t="shared" ca="1" si="31"/>
        <v>82961.68510190025</v>
      </c>
    </row>
    <row r="502" spans="1:5">
      <c r="A502" s="8">
        <v>501</v>
      </c>
      <c r="B502" s="8">
        <f t="shared" ca="1" si="28"/>
        <v>-1.0423041710528171</v>
      </c>
      <c r="C502" s="57">
        <f t="shared" ca="1" si="29"/>
        <v>-1.2758201096853539E-2</v>
      </c>
      <c r="D502" s="58">
        <f t="shared" ca="1" si="30"/>
        <v>9872417.9890314639</v>
      </c>
      <c r="E502" s="59">
        <f t="shared" ca="1" si="31"/>
        <v>127582.01096853614</v>
      </c>
    </row>
    <row r="503" spans="1:5">
      <c r="A503" s="8">
        <v>502</v>
      </c>
      <c r="B503" s="8">
        <f t="shared" ca="1" si="28"/>
        <v>0.56915544870414159</v>
      </c>
      <c r="C503" s="57">
        <f t="shared" ca="1" si="29"/>
        <v>7.226219914986844E-3</v>
      </c>
      <c r="D503" s="58">
        <f t="shared" ca="1" si="30"/>
        <v>10072262.199149868</v>
      </c>
      <c r="E503" s="59">
        <f t="shared" ca="1" si="31"/>
        <v>-72262.19914986752</v>
      </c>
    </row>
    <row r="504" spans="1:5">
      <c r="A504" s="8">
        <v>503</v>
      </c>
      <c r="B504" s="8">
        <f t="shared" ca="1" si="28"/>
        <v>8.8112706895975001E-2</v>
      </c>
      <c r="C504" s="57">
        <f t="shared" ca="1" si="29"/>
        <v>1.2605968493376246E-3</v>
      </c>
      <c r="D504" s="58">
        <f t="shared" ca="1" si="30"/>
        <v>10012605.968493376</v>
      </c>
      <c r="E504" s="59">
        <f t="shared" ca="1" si="31"/>
        <v>-12605.968493375927</v>
      </c>
    </row>
    <row r="505" spans="1:5">
      <c r="A505" s="8">
        <v>504</v>
      </c>
      <c r="B505" s="8">
        <f t="shared" ca="1" si="28"/>
        <v>0.94305637758708283</v>
      </c>
      <c r="C505" s="57">
        <f t="shared" ca="1" si="29"/>
        <v>1.1863130134705442E-2</v>
      </c>
      <c r="D505" s="58">
        <f t="shared" ca="1" si="30"/>
        <v>10118631.301347055</v>
      </c>
      <c r="E505" s="59">
        <f t="shared" ca="1" si="31"/>
        <v>-118631.30134705454</v>
      </c>
    </row>
    <row r="506" spans="1:5">
      <c r="A506" s="8">
        <v>505</v>
      </c>
      <c r="B506" s="8">
        <f t="shared" ca="1" si="28"/>
        <v>-0.41561070943586692</v>
      </c>
      <c r="C506" s="57">
        <f t="shared" ca="1" si="29"/>
        <v>-4.9862992578179098E-3</v>
      </c>
      <c r="D506" s="58">
        <f t="shared" ca="1" si="30"/>
        <v>9950137.0074218214</v>
      </c>
      <c r="E506" s="59">
        <f t="shared" ca="1" si="31"/>
        <v>49862.992578178644</v>
      </c>
    </row>
    <row r="507" spans="1:5">
      <c r="A507" s="8">
        <v>506</v>
      </c>
      <c r="B507" s="8">
        <f t="shared" ca="1" si="28"/>
        <v>-0.75734406461067605</v>
      </c>
      <c r="C507" s="57">
        <f t="shared" ca="1" si="29"/>
        <v>-9.2242852177963387E-3</v>
      </c>
      <c r="D507" s="58">
        <f t="shared" ca="1" si="30"/>
        <v>9907757.1478220355</v>
      </c>
      <c r="E507" s="59">
        <f t="shared" ca="1" si="31"/>
        <v>92242.852177964523</v>
      </c>
    </row>
    <row r="508" spans="1:5">
      <c r="A508" s="8">
        <v>507</v>
      </c>
      <c r="B508" s="8">
        <f t="shared" ca="1" si="28"/>
        <v>-0.11712386886579139</v>
      </c>
      <c r="C508" s="57">
        <f t="shared" ca="1" si="29"/>
        <v>-1.2846323867944053E-3</v>
      </c>
      <c r="D508" s="58">
        <f t="shared" ca="1" si="30"/>
        <v>9987153.676132055</v>
      </c>
      <c r="E508" s="59">
        <f t="shared" ca="1" si="31"/>
        <v>12846.323867945001</v>
      </c>
    </row>
    <row r="509" spans="1:5">
      <c r="A509" s="8">
        <v>508</v>
      </c>
      <c r="B509" s="8">
        <f t="shared" ca="1" si="28"/>
        <v>0.52022824877293428</v>
      </c>
      <c r="C509" s="57">
        <f t="shared" ca="1" si="29"/>
        <v>6.6194521434784249E-3</v>
      </c>
      <c r="D509" s="58">
        <f t="shared" ca="1" si="30"/>
        <v>10066194.521434784</v>
      </c>
      <c r="E509" s="59">
        <f t="shared" ca="1" si="31"/>
        <v>-66194.521434783936</v>
      </c>
    </row>
    <row r="510" spans="1:5">
      <c r="A510" s="8">
        <v>509</v>
      </c>
      <c r="B510" s="8">
        <f t="shared" ca="1" si="28"/>
        <v>-0.17343503598912455</v>
      </c>
      <c r="C510" s="57">
        <f t="shared" ca="1" si="29"/>
        <v>-1.9829719900110966E-3</v>
      </c>
      <c r="D510" s="58">
        <f t="shared" ca="1" si="30"/>
        <v>9980170.2800998893</v>
      </c>
      <c r="E510" s="59">
        <f t="shared" ca="1" si="31"/>
        <v>19829.719900110736</v>
      </c>
    </row>
    <row r="511" spans="1:5">
      <c r="A511" s="8">
        <v>510</v>
      </c>
      <c r="B511" s="8">
        <f t="shared" ca="1" si="28"/>
        <v>0.24003101200095289</v>
      </c>
      <c r="C511" s="57">
        <f t="shared" ca="1" si="29"/>
        <v>3.144602710484173E-3</v>
      </c>
      <c r="D511" s="58">
        <f t="shared" ca="1" si="30"/>
        <v>10031446.027104842</v>
      </c>
      <c r="E511" s="59">
        <f t="shared" ca="1" si="31"/>
        <v>-31446.027104841545</v>
      </c>
    </row>
    <row r="512" spans="1:5">
      <c r="A512" s="8">
        <v>511</v>
      </c>
      <c r="B512" s="8">
        <f t="shared" ca="1" si="28"/>
        <v>1.0599688394632987</v>
      </c>
      <c r="C512" s="57">
        <f t="shared" ca="1" si="29"/>
        <v>1.3313013104790302E-2</v>
      </c>
      <c r="D512" s="58">
        <f t="shared" ca="1" si="30"/>
        <v>10133130.131047903</v>
      </c>
      <c r="E512" s="59">
        <f t="shared" ca="1" si="31"/>
        <v>-133130.13104790263</v>
      </c>
    </row>
    <row r="513" spans="1:5">
      <c r="A513" s="8">
        <v>512</v>
      </c>
      <c r="B513" s="8">
        <f t="shared" ca="1" si="28"/>
        <v>0.59954490057297471</v>
      </c>
      <c r="C513" s="57">
        <f t="shared" ca="1" si="29"/>
        <v>7.6030929020725621E-3</v>
      </c>
      <c r="D513" s="58">
        <f t="shared" ca="1" si="30"/>
        <v>10076030.929020725</v>
      </c>
      <c r="E513" s="59">
        <f t="shared" ca="1" si="31"/>
        <v>-76030.929020725191</v>
      </c>
    </row>
    <row r="514" spans="1:5">
      <c r="A514" s="8">
        <v>513</v>
      </c>
      <c r="B514" s="8">
        <f t="shared" ca="1" si="28"/>
        <v>-1.3807237545695039</v>
      </c>
      <c r="C514" s="57">
        <f t="shared" ca="1" si="29"/>
        <v>-1.6955091513920998E-2</v>
      </c>
      <c r="D514" s="58">
        <f t="shared" ca="1" si="30"/>
        <v>9830449.0848607887</v>
      </c>
      <c r="E514" s="59">
        <f t="shared" ca="1" si="31"/>
        <v>169550.91513921134</v>
      </c>
    </row>
    <row r="515" spans="1:5">
      <c r="A515" s="8">
        <v>514</v>
      </c>
      <c r="B515" s="8">
        <f t="shared" ref="B515:B578" ca="1" si="32">_xlfn.NORM.S.INV(RAND())</f>
        <v>-0.94316834063746524</v>
      </c>
      <c r="C515" s="57">
        <f t="shared" ref="C515:C578" ca="1" si="33" xml:space="preserve"> $H$2 + $H$3 * B515</f>
        <v>-1.1528773968746162E-2</v>
      </c>
      <c r="D515" s="58">
        <f t="shared" ref="D515:D578" ca="1" si="34">$H$4 * (1 + C515)</f>
        <v>9884712.2603125386</v>
      </c>
      <c r="E515" s="59">
        <f t="shared" ref="E515:E578" ca="1" si="35">$H$4-D515</f>
        <v>115287.73968746141</v>
      </c>
    </row>
    <row r="516" spans="1:5">
      <c r="A516" s="8">
        <v>515</v>
      </c>
      <c r="B516" s="8">
        <f t="shared" ca="1" si="32"/>
        <v>1.5811376102847576</v>
      </c>
      <c r="C516" s="57">
        <f t="shared" ca="1" si="33"/>
        <v>1.9776256742189184E-2</v>
      </c>
      <c r="D516" s="58">
        <f t="shared" ca="1" si="34"/>
        <v>10197762.567421891</v>
      </c>
      <c r="E516" s="59">
        <f t="shared" ca="1" si="35"/>
        <v>-197762.5674218908</v>
      </c>
    </row>
    <row r="517" spans="1:5">
      <c r="A517" s="8">
        <v>516</v>
      </c>
      <c r="B517" s="8">
        <f t="shared" ca="1" si="32"/>
        <v>-0.88841417064031836</v>
      </c>
      <c r="C517" s="57">
        <f t="shared" ca="1" si="33"/>
        <v>-1.0849743373153644E-2</v>
      </c>
      <c r="D517" s="58">
        <f t="shared" ca="1" si="34"/>
        <v>9891502.5662684627</v>
      </c>
      <c r="E517" s="59">
        <f t="shared" ca="1" si="35"/>
        <v>108497.43373153731</v>
      </c>
    </row>
    <row r="518" spans="1:5">
      <c r="A518" s="8">
        <v>517</v>
      </c>
      <c r="B518" s="8">
        <f t="shared" ca="1" si="32"/>
        <v>-2.107421014016758</v>
      </c>
      <c r="C518" s="57">
        <f t="shared" ca="1" si="33"/>
        <v>-2.5967184527542299E-2</v>
      </c>
      <c r="D518" s="58">
        <f t="shared" ca="1" si="34"/>
        <v>9740328.1547245774</v>
      </c>
      <c r="E518" s="59">
        <f t="shared" ca="1" si="35"/>
        <v>259671.84527542256</v>
      </c>
    </row>
    <row r="519" spans="1:5">
      <c r="A519" s="8">
        <v>518</v>
      </c>
      <c r="B519" s="8">
        <f t="shared" ca="1" si="32"/>
        <v>-1.6072742476038826</v>
      </c>
      <c r="C519" s="57">
        <f t="shared" ca="1" si="33"/>
        <v>-1.9764644032476738E-2</v>
      </c>
      <c r="D519" s="58">
        <f t="shared" ca="1" si="34"/>
        <v>9802353.5596752334</v>
      </c>
      <c r="E519" s="59">
        <f t="shared" ca="1" si="35"/>
        <v>197646.44032476656</v>
      </c>
    </row>
    <row r="520" spans="1:5">
      <c r="A520" s="8">
        <v>519</v>
      </c>
      <c r="B520" s="8">
        <f t="shared" ca="1" si="32"/>
        <v>-0.57822121800400017</v>
      </c>
      <c r="C520" s="57">
        <f t="shared" ca="1" si="33"/>
        <v>-7.0029038468085864E-3</v>
      </c>
      <c r="D520" s="58">
        <f t="shared" ca="1" si="34"/>
        <v>9929970.9615319148</v>
      </c>
      <c r="E520" s="59">
        <f t="shared" ca="1" si="35"/>
        <v>70029.038468085229</v>
      </c>
    </row>
    <row r="521" spans="1:5">
      <c r="A521" s="8">
        <v>520</v>
      </c>
      <c r="B521" s="8">
        <f t="shared" ca="1" si="32"/>
        <v>-0.44825439039994563</v>
      </c>
      <c r="C521" s="57">
        <f t="shared" ca="1" si="33"/>
        <v>-5.3911279334881938E-3</v>
      </c>
      <c r="D521" s="58">
        <f t="shared" ca="1" si="34"/>
        <v>9946088.7206651177</v>
      </c>
      <c r="E521" s="59">
        <f t="shared" ca="1" si="35"/>
        <v>53911.279334882274</v>
      </c>
    </row>
    <row r="522" spans="1:5">
      <c r="A522" s="8">
        <v>521</v>
      </c>
      <c r="B522" s="8">
        <f t="shared" ca="1" si="32"/>
        <v>0.10481632875524424</v>
      </c>
      <c r="C522" s="57">
        <f t="shared" ca="1" si="33"/>
        <v>1.4677458263058234E-3</v>
      </c>
      <c r="D522" s="58">
        <f t="shared" ca="1" si="34"/>
        <v>10014677.45826306</v>
      </c>
      <c r="E522" s="59">
        <f t="shared" ca="1" si="35"/>
        <v>-14677.458263060078</v>
      </c>
    </row>
    <row r="523" spans="1:5">
      <c r="A523" s="8">
        <v>522</v>
      </c>
      <c r="B523" s="8">
        <f t="shared" ca="1" si="32"/>
        <v>-1.3653168407487504</v>
      </c>
      <c r="C523" s="57">
        <f t="shared" ca="1" si="33"/>
        <v>-1.6764023584875703E-2</v>
      </c>
      <c r="D523" s="58">
        <f t="shared" ca="1" si="34"/>
        <v>9832359.7641512435</v>
      </c>
      <c r="E523" s="59">
        <f t="shared" ca="1" si="35"/>
        <v>167640.23584875651</v>
      </c>
    </row>
    <row r="524" spans="1:5">
      <c r="A524" s="8">
        <v>523</v>
      </c>
      <c r="B524" s="8">
        <f t="shared" ca="1" si="32"/>
        <v>0.71233271182385716</v>
      </c>
      <c r="C524" s="57">
        <f t="shared" ca="1" si="33"/>
        <v>9.0018242617709038E-3</v>
      </c>
      <c r="D524" s="58">
        <f t="shared" ca="1" si="34"/>
        <v>10090018.24261771</v>
      </c>
      <c r="E524" s="59">
        <f t="shared" ca="1" si="35"/>
        <v>-90018.242617709562</v>
      </c>
    </row>
    <row r="525" spans="1:5">
      <c r="A525" s="8">
        <v>524</v>
      </c>
      <c r="B525" s="8">
        <f t="shared" ca="1" si="32"/>
        <v>-0.1269554164848285</v>
      </c>
      <c r="C525" s="57">
        <f t="shared" ca="1" si="33"/>
        <v>-1.4065577421727964E-3</v>
      </c>
      <c r="D525" s="58">
        <f t="shared" ca="1" si="34"/>
        <v>9985934.4225782715</v>
      </c>
      <c r="E525" s="59">
        <f t="shared" ca="1" si="35"/>
        <v>14065.577421728522</v>
      </c>
    </row>
    <row r="526" spans="1:5">
      <c r="A526" s="8">
        <v>525</v>
      </c>
      <c r="B526" s="8">
        <f t="shared" ca="1" si="32"/>
        <v>-0.11107339137556015</v>
      </c>
      <c r="C526" s="57">
        <f t="shared" ca="1" si="33"/>
        <v>-1.2095977486284914E-3</v>
      </c>
      <c r="D526" s="58">
        <f t="shared" ca="1" si="34"/>
        <v>9987904.0225137156</v>
      </c>
      <c r="E526" s="59">
        <f t="shared" ca="1" si="35"/>
        <v>12095.97748628445</v>
      </c>
    </row>
    <row r="527" spans="1:5">
      <c r="A527" s="8">
        <v>526</v>
      </c>
      <c r="B527" s="8">
        <f t="shared" ca="1" si="32"/>
        <v>-0.15308887249234743</v>
      </c>
      <c r="C527" s="57">
        <f t="shared" ca="1" si="33"/>
        <v>-1.7306502487088495E-3</v>
      </c>
      <c r="D527" s="58">
        <f t="shared" ca="1" si="34"/>
        <v>9982693.4975129105</v>
      </c>
      <c r="E527" s="59">
        <f t="shared" ca="1" si="35"/>
        <v>17306.502487089485</v>
      </c>
    </row>
    <row r="528" spans="1:5">
      <c r="A528" s="8">
        <v>527</v>
      </c>
      <c r="B528" s="8">
        <f t="shared" ca="1" si="32"/>
        <v>-0.23467599968340686</v>
      </c>
      <c r="C528" s="57">
        <f t="shared" ca="1" si="33"/>
        <v>-2.742448173362159E-3</v>
      </c>
      <c r="D528" s="58">
        <f t="shared" ca="1" si="34"/>
        <v>9972575.518266378</v>
      </c>
      <c r="E528" s="59">
        <f t="shared" ca="1" si="35"/>
        <v>27424.481733622029</v>
      </c>
    </row>
    <row r="529" spans="1:5">
      <c r="A529" s="8">
        <v>528</v>
      </c>
      <c r="B529" s="8">
        <f t="shared" ca="1" si="32"/>
        <v>0.37388236993598134</v>
      </c>
      <c r="C529" s="57">
        <f t="shared" ca="1" si="33"/>
        <v>4.8045523965852665E-3</v>
      </c>
      <c r="D529" s="58">
        <f t="shared" ca="1" si="34"/>
        <v>10048045.523965852</v>
      </c>
      <c r="E529" s="59">
        <f t="shared" ca="1" si="35"/>
        <v>-48045.523965852335</v>
      </c>
    </row>
    <row r="530" spans="1:5">
      <c r="A530" s="8">
        <v>529</v>
      </c>
      <c r="B530" s="8">
        <f t="shared" ca="1" si="32"/>
        <v>-0.93398664347462146</v>
      </c>
      <c r="C530" s="57">
        <f t="shared" ca="1" si="33"/>
        <v>-1.141490769530323E-2</v>
      </c>
      <c r="D530" s="58">
        <f t="shared" ca="1" si="34"/>
        <v>9885850.9230469689</v>
      </c>
      <c r="E530" s="59">
        <f t="shared" ca="1" si="35"/>
        <v>114149.07695303112</v>
      </c>
    </row>
    <row r="531" spans="1:5">
      <c r="A531" s="8">
        <v>530</v>
      </c>
      <c r="B531" s="8">
        <f t="shared" ca="1" si="32"/>
        <v>2.0176367470283885</v>
      </c>
      <c r="C531" s="57">
        <f t="shared" ca="1" si="33"/>
        <v>2.5189474928385649E-2</v>
      </c>
      <c r="D531" s="58">
        <f t="shared" ca="1" si="34"/>
        <v>10251894.749283856</v>
      </c>
      <c r="E531" s="59">
        <f t="shared" ca="1" si="35"/>
        <v>-251894.74928385578</v>
      </c>
    </row>
    <row r="532" spans="1:5">
      <c r="A532" s="8">
        <v>531</v>
      </c>
      <c r="B532" s="8">
        <f t="shared" ca="1" si="32"/>
        <v>0.62193554480228808</v>
      </c>
      <c r="C532" s="57">
        <f t="shared" ca="1" si="33"/>
        <v>7.8807691500646909E-3</v>
      </c>
      <c r="D532" s="58">
        <f t="shared" ca="1" si="34"/>
        <v>10078807.691500647</v>
      </c>
      <c r="E532" s="59">
        <f t="shared" ca="1" si="35"/>
        <v>-78807.691500646994</v>
      </c>
    </row>
    <row r="533" spans="1:5">
      <c r="A533" s="8">
        <v>532</v>
      </c>
      <c r="B533" s="8">
        <f t="shared" ca="1" si="32"/>
        <v>1.1664601436091775</v>
      </c>
      <c r="C533" s="57">
        <f t="shared" ca="1" si="33"/>
        <v>1.463365870462988E-2</v>
      </c>
      <c r="D533" s="58">
        <f t="shared" ca="1" si="34"/>
        <v>10146336.587046299</v>
      </c>
      <c r="E533" s="59">
        <f t="shared" ca="1" si="35"/>
        <v>-146336.58704629913</v>
      </c>
    </row>
    <row r="534" spans="1:5">
      <c r="A534" s="8">
        <v>533</v>
      </c>
      <c r="B534" s="8">
        <f t="shared" ca="1" si="32"/>
        <v>5.9137636105282214E-2</v>
      </c>
      <c r="C534" s="57">
        <f t="shared" ca="1" si="33"/>
        <v>9.0126422540478526E-4</v>
      </c>
      <c r="D534" s="58">
        <f t="shared" ca="1" si="34"/>
        <v>10009012.642254047</v>
      </c>
      <c r="E534" s="59">
        <f t="shared" ca="1" si="35"/>
        <v>-9012.6422540470958</v>
      </c>
    </row>
    <row r="535" spans="1:5">
      <c r="A535" s="8">
        <v>534</v>
      </c>
      <c r="B535" s="8">
        <f t="shared" ca="1" si="32"/>
        <v>0.13532924942663097</v>
      </c>
      <c r="C535" s="57">
        <f t="shared" ca="1" si="33"/>
        <v>1.8461500044321406E-3</v>
      </c>
      <c r="D535" s="58">
        <f t="shared" ca="1" si="34"/>
        <v>10018461.500044322</v>
      </c>
      <c r="E535" s="59">
        <f t="shared" ca="1" si="35"/>
        <v>-18461.500044321641</v>
      </c>
    </row>
    <row r="536" spans="1:5">
      <c r="A536" s="8">
        <v>535</v>
      </c>
      <c r="B536" s="8">
        <f t="shared" ca="1" si="32"/>
        <v>1.5708623175188088</v>
      </c>
      <c r="C536" s="57">
        <f t="shared" ca="1" si="33"/>
        <v>1.9648828307658749E-2</v>
      </c>
      <c r="D536" s="58">
        <f t="shared" ca="1" si="34"/>
        <v>10196488.283076588</v>
      </c>
      <c r="E536" s="59">
        <f t="shared" ca="1" si="35"/>
        <v>-196488.28307658806</v>
      </c>
    </row>
    <row r="537" spans="1:5">
      <c r="A537" s="8">
        <v>536</v>
      </c>
      <c r="B537" s="8">
        <f t="shared" ca="1" si="32"/>
        <v>0.16142295147677321</v>
      </c>
      <c r="C537" s="57">
        <f t="shared" ca="1" si="33"/>
        <v>2.1697495046208038E-3</v>
      </c>
      <c r="D537" s="58">
        <f t="shared" ca="1" si="34"/>
        <v>10021697.49504621</v>
      </c>
      <c r="E537" s="59">
        <f t="shared" ca="1" si="35"/>
        <v>-21697.495046209544</v>
      </c>
    </row>
    <row r="538" spans="1:5">
      <c r="A538" s="8">
        <v>537</v>
      </c>
      <c r="B538" s="8">
        <f t="shared" ca="1" si="32"/>
        <v>1.2939396454354137</v>
      </c>
      <c r="C538" s="57">
        <f t="shared" ca="1" si="33"/>
        <v>1.6214588194665383E-2</v>
      </c>
      <c r="D538" s="58">
        <f t="shared" ca="1" si="34"/>
        <v>10162145.881946653</v>
      </c>
      <c r="E538" s="59">
        <f t="shared" ca="1" si="35"/>
        <v>-162145.88194665313</v>
      </c>
    </row>
    <row r="539" spans="1:5">
      <c r="A539" s="8">
        <v>538</v>
      </c>
      <c r="B539" s="8">
        <f t="shared" ca="1" si="32"/>
        <v>-0.15475540275419347</v>
      </c>
      <c r="C539" s="57">
        <f t="shared" ca="1" si="33"/>
        <v>-1.7513176250261828E-3</v>
      </c>
      <c r="D539" s="58">
        <f t="shared" ca="1" si="34"/>
        <v>9982486.8237497378</v>
      </c>
      <c r="E539" s="59">
        <f t="shared" ca="1" si="35"/>
        <v>17513.176250262186</v>
      </c>
    </row>
    <row r="540" spans="1:5">
      <c r="A540" s="8">
        <v>539</v>
      </c>
      <c r="B540" s="8">
        <f t="shared" ca="1" si="32"/>
        <v>0.47237225590055065</v>
      </c>
      <c r="C540" s="57">
        <f t="shared" ca="1" si="33"/>
        <v>6.0259688828518954E-3</v>
      </c>
      <c r="D540" s="58">
        <f t="shared" ca="1" si="34"/>
        <v>10060259.688828519</v>
      </c>
      <c r="E540" s="59">
        <f t="shared" ca="1" si="35"/>
        <v>-60259.688828518614</v>
      </c>
    </row>
    <row r="541" spans="1:5">
      <c r="A541" s="8">
        <v>540</v>
      </c>
      <c r="B541" s="8">
        <f t="shared" ca="1" si="32"/>
        <v>-0.39623426793648486</v>
      </c>
      <c r="C541" s="57">
        <f t="shared" ca="1" si="33"/>
        <v>-4.7460034664202032E-3</v>
      </c>
      <c r="D541" s="58">
        <f t="shared" ca="1" si="34"/>
        <v>9952539.9653357975</v>
      </c>
      <c r="E541" s="59">
        <f t="shared" ca="1" si="35"/>
        <v>47460.034664202482</v>
      </c>
    </row>
    <row r="542" spans="1:5">
      <c r="A542" s="8">
        <v>541</v>
      </c>
      <c r="B542" s="8">
        <f t="shared" ca="1" si="32"/>
        <v>-1.7807846499710924</v>
      </c>
      <c r="C542" s="57">
        <f t="shared" ca="1" si="33"/>
        <v>-2.191642300870893E-2</v>
      </c>
      <c r="D542" s="58">
        <f t="shared" ca="1" si="34"/>
        <v>9780835.7699129116</v>
      </c>
      <c r="E542" s="59">
        <f t="shared" ca="1" si="35"/>
        <v>219164.23008708842</v>
      </c>
    </row>
    <row r="543" spans="1:5">
      <c r="A543" s="8">
        <v>542</v>
      </c>
      <c r="B543" s="8">
        <f t="shared" ca="1" si="32"/>
        <v>0.88916778457431467</v>
      </c>
      <c r="C543" s="57">
        <f t="shared" ca="1" si="33"/>
        <v>1.1194833940808073E-2</v>
      </c>
      <c r="D543" s="58">
        <f t="shared" ca="1" si="34"/>
        <v>10111948.339408081</v>
      </c>
      <c r="E543" s="59">
        <f t="shared" ca="1" si="35"/>
        <v>-111948.33940808102</v>
      </c>
    </row>
    <row r="544" spans="1:5">
      <c r="A544" s="8">
        <v>543</v>
      </c>
      <c r="B544" s="8">
        <f t="shared" ca="1" si="32"/>
        <v>-0.68435991936007923</v>
      </c>
      <c r="C544" s="57">
        <f t="shared" ca="1" si="33"/>
        <v>-8.3191766640385856E-3</v>
      </c>
      <c r="D544" s="58">
        <f t="shared" ca="1" si="34"/>
        <v>9916808.2333596144</v>
      </c>
      <c r="E544" s="59">
        <f t="shared" ca="1" si="35"/>
        <v>83191.766640385613</v>
      </c>
    </row>
    <row r="545" spans="1:5">
      <c r="A545" s="8">
        <v>544</v>
      </c>
      <c r="B545" s="8">
        <f t="shared" ca="1" si="32"/>
        <v>2.0594722849735758</v>
      </c>
      <c r="C545" s="57">
        <f t="shared" ca="1" si="33"/>
        <v>2.5708295873883211E-2</v>
      </c>
      <c r="D545" s="58">
        <f t="shared" ca="1" si="34"/>
        <v>10257082.958738832</v>
      </c>
      <c r="E545" s="59">
        <f t="shared" ca="1" si="35"/>
        <v>-257082.9587388318</v>
      </c>
    </row>
    <row r="546" spans="1:5">
      <c r="A546" s="8">
        <v>545</v>
      </c>
      <c r="B546" s="8">
        <f t="shared" ca="1" si="32"/>
        <v>1.5958124966904055</v>
      </c>
      <c r="C546" s="57">
        <f t="shared" ca="1" si="33"/>
        <v>1.9958246476611218E-2</v>
      </c>
      <c r="D546" s="58">
        <f t="shared" ca="1" si="34"/>
        <v>10199582.464766113</v>
      </c>
      <c r="E546" s="59">
        <f t="shared" ca="1" si="35"/>
        <v>-199582.46476611309</v>
      </c>
    </row>
    <row r="547" spans="1:5">
      <c r="A547" s="8">
        <v>546</v>
      </c>
      <c r="B547" s="8">
        <f t="shared" ca="1" si="32"/>
        <v>0.86328965430712168</v>
      </c>
      <c r="C547" s="57">
        <f t="shared" ca="1" si="33"/>
        <v>1.0873907841315221E-2</v>
      </c>
      <c r="D547" s="58">
        <f t="shared" ca="1" si="34"/>
        <v>10108739.078413151</v>
      </c>
      <c r="E547" s="59">
        <f t="shared" ca="1" si="35"/>
        <v>-108739.0784131512</v>
      </c>
    </row>
    <row r="548" spans="1:5">
      <c r="A548" s="8">
        <v>547</v>
      </c>
      <c r="B548" s="8">
        <f t="shared" ca="1" si="32"/>
        <v>-0.87275373085497576</v>
      </c>
      <c r="C548" s="57">
        <f t="shared" ca="1" si="33"/>
        <v>-1.0655531356877329E-2</v>
      </c>
      <c r="D548" s="58">
        <f t="shared" ca="1" si="34"/>
        <v>9893444.6864312273</v>
      </c>
      <c r="E548" s="59">
        <f t="shared" ca="1" si="35"/>
        <v>106555.31356877275</v>
      </c>
    </row>
    <row r="549" spans="1:5">
      <c r="A549" s="8">
        <v>548</v>
      </c>
      <c r="B549" s="8">
        <f t="shared" ca="1" si="32"/>
        <v>0.79551811813273776</v>
      </c>
      <c r="C549" s="57">
        <f t="shared" ca="1" si="33"/>
        <v>1.0033443150222109E-2</v>
      </c>
      <c r="D549" s="58">
        <f t="shared" ca="1" si="34"/>
        <v>10100334.431502221</v>
      </c>
      <c r="E549" s="59">
        <f t="shared" ca="1" si="35"/>
        <v>-100334.43150222115</v>
      </c>
    </row>
    <row r="550" spans="1:5">
      <c r="A550" s="8">
        <v>549</v>
      </c>
      <c r="B550" s="8">
        <f t="shared" ca="1" si="32"/>
        <v>0.34321693295882755</v>
      </c>
      <c r="C550" s="57">
        <f t="shared" ca="1" si="33"/>
        <v>4.4242567965280168E-3</v>
      </c>
      <c r="D550" s="58">
        <f t="shared" ca="1" si="34"/>
        <v>10044242.56796528</v>
      </c>
      <c r="E550" s="59">
        <f t="shared" ca="1" si="35"/>
        <v>-44242.567965280265</v>
      </c>
    </row>
    <row r="551" spans="1:5">
      <c r="A551" s="8">
        <v>550</v>
      </c>
      <c r="B551" s="8">
        <f t="shared" ca="1" si="32"/>
        <v>-0.13865628308865705</v>
      </c>
      <c r="C551" s="57">
        <f t="shared" ca="1" si="33"/>
        <v>-1.5516653462029613E-3</v>
      </c>
      <c r="D551" s="58">
        <f t="shared" ca="1" si="34"/>
        <v>9984483.34653797</v>
      </c>
      <c r="E551" s="59">
        <f t="shared" ca="1" si="35"/>
        <v>15516.653462029994</v>
      </c>
    </row>
    <row r="552" spans="1:5">
      <c r="A552" s="8">
        <v>551</v>
      </c>
      <c r="B552" s="8">
        <f t="shared" ca="1" si="32"/>
        <v>-1.1667746314221854</v>
      </c>
      <c r="C552" s="57">
        <f t="shared" ca="1" si="33"/>
        <v>-1.4301814137516768E-2</v>
      </c>
      <c r="D552" s="58">
        <f t="shared" ca="1" si="34"/>
        <v>9856981.8586248327</v>
      </c>
      <c r="E552" s="59">
        <f t="shared" ca="1" si="35"/>
        <v>143018.1413751673</v>
      </c>
    </row>
    <row r="553" spans="1:5">
      <c r="A553" s="8">
        <v>552</v>
      </c>
      <c r="B553" s="8">
        <f t="shared" ca="1" si="32"/>
        <v>1.6866421053657576</v>
      </c>
      <c r="C553" s="57">
        <f t="shared" ca="1" si="33"/>
        <v>2.1084664487869057E-2</v>
      </c>
      <c r="D553" s="58">
        <f t="shared" ca="1" si="34"/>
        <v>10210846.644878691</v>
      </c>
      <c r="E553" s="59">
        <f t="shared" ca="1" si="35"/>
        <v>-210846.64487869106</v>
      </c>
    </row>
    <row r="554" spans="1:5">
      <c r="A554" s="8">
        <v>553</v>
      </c>
      <c r="B554" s="8">
        <f t="shared" ca="1" si="32"/>
        <v>0.38046470082802947</v>
      </c>
      <c r="C554" s="57">
        <f t="shared" ca="1" si="33"/>
        <v>4.8861827832069136E-3</v>
      </c>
      <c r="D554" s="58">
        <f t="shared" ca="1" si="34"/>
        <v>10048861.827832069</v>
      </c>
      <c r="E554" s="59">
        <f t="shared" ca="1" si="35"/>
        <v>-48861.827832069248</v>
      </c>
    </row>
    <row r="555" spans="1:5">
      <c r="A555" s="8">
        <v>554</v>
      </c>
      <c r="B555" s="8">
        <f t="shared" ca="1" si="32"/>
        <v>-1.1018815588135393</v>
      </c>
      <c r="C555" s="57">
        <f t="shared" ca="1" si="33"/>
        <v>-1.3497046541814493E-2</v>
      </c>
      <c r="D555" s="58">
        <f t="shared" ca="1" si="34"/>
        <v>9865029.5345818549</v>
      </c>
      <c r="E555" s="59">
        <f t="shared" ca="1" si="35"/>
        <v>134970.46541814506</v>
      </c>
    </row>
    <row r="556" spans="1:5">
      <c r="A556" s="8">
        <v>555</v>
      </c>
      <c r="B556" s="8">
        <f t="shared" ca="1" si="32"/>
        <v>-1.8189428220497721</v>
      </c>
      <c r="C556" s="57">
        <f t="shared" ca="1" si="33"/>
        <v>-2.2389639319259483E-2</v>
      </c>
      <c r="D556" s="58">
        <f t="shared" ca="1" si="34"/>
        <v>9776103.6068074051</v>
      </c>
      <c r="E556" s="59">
        <f t="shared" ca="1" si="35"/>
        <v>223896.39319259487</v>
      </c>
    </row>
    <row r="557" spans="1:5">
      <c r="A557" s="8">
        <v>556</v>
      </c>
      <c r="B557" s="8">
        <f t="shared" ca="1" si="32"/>
        <v>0.75336842872356802</v>
      </c>
      <c r="C557" s="57">
        <f t="shared" ca="1" si="33"/>
        <v>9.5107262739542436E-3</v>
      </c>
      <c r="D557" s="58">
        <f t="shared" ca="1" si="34"/>
        <v>10095107.262739543</v>
      </c>
      <c r="E557" s="59">
        <f t="shared" ca="1" si="35"/>
        <v>-95107.262739542872</v>
      </c>
    </row>
    <row r="558" spans="1:5">
      <c r="A558" s="8">
        <v>557</v>
      </c>
      <c r="B558" s="8">
        <f t="shared" ca="1" si="32"/>
        <v>-1.2586861774145361</v>
      </c>
      <c r="C558" s="57">
        <f t="shared" ca="1" si="33"/>
        <v>-1.5441649730317596E-2</v>
      </c>
      <c r="D558" s="58">
        <f t="shared" ca="1" si="34"/>
        <v>9845583.5026968233</v>
      </c>
      <c r="E558" s="59">
        <f t="shared" ca="1" si="35"/>
        <v>154416.49730317667</v>
      </c>
    </row>
    <row r="559" spans="1:5">
      <c r="A559" s="8">
        <v>558</v>
      </c>
      <c r="B559" s="8">
        <f t="shared" ca="1" si="32"/>
        <v>-1.7825397701370549</v>
      </c>
      <c r="C559" s="57">
        <f t="shared" ca="1" si="33"/>
        <v>-2.1938189027474114E-2</v>
      </c>
      <c r="D559" s="58">
        <f t="shared" ca="1" si="34"/>
        <v>9780618.1097252592</v>
      </c>
      <c r="E559" s="59">
        <f t="shared" ca="1" si="35"/>
        <v>219381.89027474076</v>
      </c>
    </row>
    <row r="560" spans="1:5">
      <c r="A560" s="8">
        <v>559</v>
      </c>
      <c r="B560" s="8">
        <f t="shared" ca="1" si="32"/>
        <v>0.29275182450821635</v>
      </c>
      <c r="C560" s="57">
        <f t="shared" ca="1" si="33"/>
        <v>3.7984167436216319E-3</v>
      </c>
      <c r="D560" s="58">
        <f t="shared" ca="1" si="34"/>
        <v>10037984.167436216</v>
      </c>
      <c r="E560" s="59">
        <f t="shared" ca="1" si="35"/>
        <v>-37984.167436216027</v>
      </c>
    </row>
    <row r="561" spans="1:5">
      <c r="A561" s="8">
        <v>560</v>
      </c>
      <c r="B561" s="8">
        <f t="shared" ca="1" si="32"/>
        <v>-0.46337584155428091</v>
      </c>
      <c r="C561" s="57">
        <f t="shared" ca="1" si="33"/>
        <v>-5.5786557141866595E-3</v>
      </c>
      <c r="D561" s="58">
        <f t="shared" ca="1" si="34"/>
        <v>9944213.4428581335</v>
      </c>
      <c r="E561" s="59">
        <f t="shared" ca="1" si="35"/>
        <v>55786.557141866535</v>
      </c>
    </row>
    <row r="562" spans="1:5">
      <c r="A562" s="8">
        <v>561</v>
      </c>
      <c r="B562" s="8">
        <f t="shared" ca="1" si="32"/>
        <v>-1.1869491783894532</v>
      </c>
      <c r="C562" s="57">
        <f t="shared" ca="1" si="33"/>
        <v>-1.4552007586594837E-2</v>
      </c>
      <c r="D562" s="58">
        <f t="shared" ca="1" si="34"/>
        <v>9854479.9241340514</v>
      </c>
      <c r="E562" s="59">
        <f t="shared" ca="1" si="35"/>
        <v>145520.07586594857</v>
      </c>
    </row>
    <row r="563" spans="1:5">
      <c r="A563" s="8">
        <v>562</v>
      </c>
      <c r="B563" s="8">
        <f t="shared" ca="1" si="32"/>
        <v>-0.10961481222505051</v>
      </c>
      <c r="C563" s="57">
        <f t="shared" ca="1" si="33"/>
        <v>-1.1915092656994105E-3</v>
      </c>
      <c r="D563" s="58">
        <f t="shared" ca="1" si="34"/>
        <v>9988084.9073430058</v>
      </c>
      <c r="E563" s="59">
        <f t="shared" ca="1" si="35"/>
        <v>11915.092656994238</v>
      </c>
    </row>
    <row r="564" spans="1:5">
      <c r="A564" s="8">
        <v>563</v>
      </c>
      <c r="B564" s="8">
        <f t="shared" ca="1" si="32"/>
        <v>-2.3512235577149996</v>
      </c>
      <c r="C564" s="57">
        <f t="shared" ca="1" si="33"/>
        <v>-2.8990687330397582E-2</v>
      </c>
      <c r="D564" s="58">
        <f t="shared" ca="1" si="34"/>
        <v>9710093.1266960241</v>
      </c>
      <c r="E564" s="59">
        <f t="shared" ca="1" si="35"/>
        <v>289906.87330397591</v>
      </c>
    </row>
    <row r="565" spans="1:5">
      <c r="A565" s="8">
        <v>564</v>
      </c>
      <c r="B565" s="8">
        <f t="shared" ca="1" si="32"/>
        <v>1.5059845836479622</v>
      </c>
      <c r="C565" s="57">
        <f t="shared" ca="1" si="33"/>
        <v>1.884425093440463E-2</v>
      </c>
      <c r="D565" s="58">
        <f t="shared" ca="1" si="34"/>
        <v>10188442.509344047</v>
      </c>
      <c r="E565" s="59">
        <f t="shared" ca="1" si="35"/>
        <v>-188442.50934404694</v>
      </c>
    </row>
    <row r="566" spans="1:5">
      <c r="A566" s="8">
        <v>565</v>
      </c>
      <c r="B566" s="8">
        <f t="shared" ca="1" si="32"/>
        <v>-8.0048279662905619E-2</v>
      </c>
      <c r="C566" s="57">
        <f t="shared" ca="1" si="33"/>
        <v>-8.2484166364599578E-4</v>
      </c>
      <c r="D566" s="58">
        <f t="shared" ca="1" si="34"/>
        <v>9991751.5833635386</v>
      </c>
      <c r="E566" s="59">
        <f t="shared" ca="1" si="35"/>
        <v>8248.416636461392</v>
      </c>
    </row>
    <row r="567" spans="1:5">
      <c r="A567" s="8">
        <v>566</v>
      </c>
      <c r="B567" s="8">
        <f t="shared" ca="1" si="32"/>
        <v>0.20703255111595109</v>
      </c>
      <c r="C567" s="57">
        <f t="shared" ca="1" si="33"/>
        <v>2.7353742526416598E-3</v>
      </c>
      <c r="D567" s="58">
        <f t="shared" ca="1" si="34"/>
        <v>10027353.742526418</v>
      </c>
      <c r="E567" s="59">
        <f t="shared" ca="1" si="35"/>
        <v>-27353.742526417598</v>
      </c>
    </row>
    <row r="568" spans="1:5">
      <c r="A568" s="8">
        <v>567</v>
      </c>
      <c r="B568" s="8">
        <f t="shared" ca="1" si="32"/>
        <v>-3.3271362660973813</v>
      </c>
      <c r="C568" s="57">
        <f t="shared" ca="1" si="33"/>
        <v>-4.1093410970509885E-2</v>
      </c>
      <c r="D568" s="58">
        <f t="shared" ca="1" si="34"/>
        <v>9589065.8902949002</v>
      </c>
      <c r="E568" s="59">
        <f t="shared" ca="1" si="35"/>
        <v>410934.10970509984</v>
      </c>
    </row>
    <row r="569" spans="1:5">
      <c r="A569" s="8">
        <v>568</v>
      </c>
      <c r="B569" s="8">
        <f t="shared" ca="1" si="32"/>
        <v>-2.7775600420544309</v>
      </c>
      <c r="C569" s="57">
        <f t="shared" ca="1" si="33"/>
        <v>-3.4277873984837046E-2</v>
      </c>
      <c r="D569" s="58">
        <f t="shared" ca="1" si="34"/>
        <v>9657221.2601516303</v>
      </c>
      <c r="E569" s="59">
        <f t="shared" ca="1" si="35"/>
        <v>342778.73984836973</v>
      </c>
    </row>
    <row r="570" spans="1:5">
      <c r="A570" s="8">
        <v>569</v>
      </c>
      <c r="B570" s="8">
        <f t="shared" ca="1" si="32"/>
        <v>0.94005999181699618</v>
      </c>
      <c r="C570" s="57">
        <f t="shared" ca="1" si="33"/>
        <v>1.1825970634083064E-2</v>
      </c>
      <c r="D570" s="58">
        <f t="shared" ca="1" si="34"/>
        <v>10118259.706340831</v>
      </c>
      <c r="E570" s="59">
        <f t="shared" ca="1" si="35"/>
        <v>-118259.70634083077</v>
      </c>
    </row>
    <row r="571" spans="1:5">
      <c r="A571" s="8">
        <v>570</v>
      </c>
      <c r="B571" s="8">
        <f t="shared" ca="1" si="32"/>
        <v>0.33675037416745868</v>
      </c>
      <c r="C571" s="57">
        <f t="shared" ca="1" si="33"/>
        <v>4.3440621507546259E-3</v>
      </c>
      <c r="D571" s="58">
        <f t="shared" ca="1" si="34"/>
        <v>10043440.621507546</v>
      </c>
      <c r="E571" s="59">
        <f t="shared" ca="1" si="35"/>
        <v>-43440.621507545933</v>
      </c>
    </row>
    <row r="572" spans="1:5">
      <c r="A572" s="8">
        <v>571</v>
      </c>
      <c r="B572" s="8">
        <f t="shared" ca="1" si="32"/>
        <v>8.3477661148308457E-2</v>
      </c>
      <c r="C572" s="57">
        <f t="shared" ca="1" si="33"/>
        <v>1.2031156040772071E-3</v>
      </c>
      <c r="D572" s="58">
        <f t="shared" ca="1" si="34"/>
        <v>10012031.156040773</v>
      </c>
      <c r="E572" s="59">
        <f t="shared" ca="1" si="35"/>
        <v>-12031.156040772796</v>
      </c>
    </row>
    <row r="573" spans="1:5">
      <c r="A573" s="8">
        <v>572</v>
      </c>
      <c r="B573" s="8">
        <f t="shared" ca="1" si="32"/>
        <v>-4.0746462465359505E-2</v>
      </c>
      <c r="C573" s="57">
        <f t="shared" ca="1" si="33"/>
        <v>-3.3744250590314861E-4</v>
      </c>
      <c r="D573" s="58">
        <f t="shared" ca="1" si="34"/>
        <v>9996625.5749409683</v>
      </c>
      <c r="E573" s="59">
        <f t="shared" ca="1" si="35"/>
        <v>3374.4250590316951</v>
      </c>
    </row>
    <row r="574" spans="1:5">
      <c r="A574" s="8">
        <v>573</v>
      </c>
      <c r="B574" s="8">
        <f t="shared" ca="1" si="32"/>
        <v>-1.9043611120253534</v>
      </c>
      <c r="C574" s="57">
        <f t="shared" ca="1" si="33"/>
        <v>-2.3448949182227653E-2</v>
      </c>
      <c r="D574" s="58">
        <f t="shared" ca="1" si="34"/>
        <v>9765510.5081777237</v>
      </c>
      <c r="E574" s="59">
        <f t="shared" ca="1" si="35"/>
        <v>234489.49182227626</v>
      </c>
    </row>
    <row r="575" spans="1:5">
      <c r="A575" s="8">
        <v>574</v>
      </c>
      <c r="B575" s="8">
        <f t="shared" ca="1" si="32"/>
        <v>0.80670468240845039</v>
      </c>
      <c r="C575" s="57">
        <f t="shared" ca="1" si="33"/>
        <v>1.017217266439732E-2</v>
      </c>
      <c r="D575" s="58">
        <f t="shared" ca="1" si="34"/>
        <v>10101721.726643972</v>
      </c>
      <c r="E575" s="59">
        <f t="shared" ca="1" si="35"/>
        <v>-101721.7266439721</v>
      </c>
    </row>
    <row r="576" spans="1:5">
      <c r="A576" s="8">
        <v>575</v>
      </c>
      <c r="B576" s="8">
        <f t="shared" ca="1" si="32"/>
        <v>-0.81730435823227565</v>
      </c>
      <c r="C576" s="57">
        <f t="shared" ca="1" si="33"/>
        <v>-9.9678792471076891E-3</v>
      </c>
      <c r="D576" s="58">
        <f t="shared" ca="1" si="34"/>
        <v>9900321.2075289227</v>
      </c>
      <c r="E576" s="59">
        <f t="shared" ca="1" si="35"/>
        <v>99678.792471077293</v>
      </c>
    </row>
    <row r="577" spans="1:5">
      <c r="A577" s="8">
        <v>576</v>
      </c>
      <c r="B577" s="8">
        <f t="shared" ca="1" si="32"/>
        <v>1.2805919777000441</v>
      </c>
      <c r="C577" s="57">
        <f t="shared" ca="1" si="33"/>
        <v>1.6049057883958613E-2</v>
      </c>
      <c r="D577" s="58">
        <f t="shared" ca="1" si="34"/>
        <v>10160490.578839587</v>
      </c>
      <c r="E577" s="59">
        <f t="shared" ca="1" si="35"/>
        <v>-160490.57883958705</v>
      </c>
    </row>
    <row r="578" spans="1:5">
      <c r="A578" s="8">
        <v>577</v>
      </c>
      <c r="B578" s="8">
        <f t="shared" ca="1" si="32"/>
        <v>0.64449040015389503</v>
      </c>
      <c r="C578" s="57">
        <f t="shared" ca="1" si="33"/>
        <v>8.1604818525621049E-3</v>
      </c>
      <c r="D578" s="58">
        <f t="shared" ca="1" si="34"/>
        <v>10081604.81852562</v>
      </c>
      <c r="E578" s="59">
        <f t="shared" ca="1" si="35"/>
        <v>-81604.818525619805</v>
      </c>
    </row>
    <row r="579" spans="1:5">
      <c r="A579" s="8">
        <v>578</v>
      </c>
      <c r="B579" s="8">
        <f t="shared" ref="B579:B642" ca="1" si="36">_xlfn.NORM.S.INV(RAND())</f>
        <v>-0.13569458390707306</v>
      </c>
      <c r="C579" s="57">
        <f t="shared" ref="C579:C642" ca="1" si="37" xml:space="preserve"> $H$2 + $H$3 * B579</f>
        <v>-1.5149360092530698E-3</v>
      </c>
      <c r="D579" s="58">
        <f t="shared" ref="D579:D642" ca="1" si="38">$H$4 * (1 + C579)</f>
        <v>9984850.6399074681</v>
      </c>
      <c r="E579" s="59">
        <f t="shared" ref="E579:E642" ca="1" si="39">$H$4-D579</f>
        <v>15149.36009253189</v>
      </c>
    </row>
    <row r="580" spans="1:5">
      <c r="A580" s="8">
        <v>579</v>
      </c>
      <c r="B580" s="8">
        <f t="shared" ca="1" si="36"/>
        <v>2.9238699155128684E-2</v>
      </c>
      <c r="C580" s="57">
        <f t="shared" ca="1" si="37"/>
        <v>5.3047433002505727E-4</v>
      </c>
      <c r="D580" s="58">
        <f t="shared" ca="1" si="38"/>
        <v>10005304.74330025</v>
      </c>
      <c r="E580" s="59">
        <f t="shared" ca="1" si="39"/>
        <v>-5304.7433002498001</v>
      </c>
    </row>
    <row r="581" spans="1:5">
      <c r="A581" s="8">
        <v>580</v>
      </c>
      <c r="B581" s="8">
        <f t="shared" ca="1" si="36"/>
        <v>-1.6510422654231451</v>
      </c>
      <c r="C581" s="57">
        <f t="shared" ca="1" si="37"/>
        <v>-2.0307430512652887E-2</v>
      </c>
      <c r="D581" s="58">
        <f t="shared" ca="1" si="38"/>
        <v>9796925.6948734708</v>
      </c>
      <c r="E581" s="59">
        <f t="shared" ca="1" si="39"/>
        <v>203074.30512652919</v>
      </c>
    </row>
    <row r="582" spans="1:5">
      <c r="A582" s="8">
        <v>581</v>
      </c>
      <c r="B582" s="8">
        <f t="shared" ca="1" si="36"/>
        <v>-1.05146511735006</v>
      </c>
      <c r="C582" s="57">
        <f t="shared" ca="1" si="37"/>
        <v>-1.2871810029666E-2</v>
      </c>
      <c r="D582" s="58">
        <f t="shared" ca="1" si="38"/>
        <v>9871281.8997033406</v>
      </c>
      <c r="E582" s="59">
        <f t="shared" ca="1" si="39"/>
        <v>128718.1002966594</v>
      </c>
    </row>
    <row r="583" spans="1:5">
      <c r="A583" s="8">
        <v>582</v>
      </c>
      <c r="B583" s="8">
        <f t="shared" ca="1" si="36"/>
        <v>0.48111610975341385</v>
      </c>
      <c r="C583" s="57">
        <f t="shared" ca="1" si="37"/>
        <v>6.134405268423862E-3</v>
      </c>
      <c r="D583" s="58">
        <f t="shared" ca="1" si="38"/>
        <v>10061344.052684238</v>
      </c>
      <c r="E583" s="59">
        <f t="shared" ca="1" si="39"/>
        <v>-61344.052684238181</v>
      </c>
    </row>
    <row r="584" spans="1:5">
      <c r="A584" s="8">
        <v>583</v>
      </c>
      <c r="B584" s="8">
        <f t="shared" ca="1" si="36"/>
        <v>0.27192965848737038</v>
      </c>
      <c r="C584" s="57">
        <f t="shared" ca="1" si="37"/>
        <v>3.5401918852154485E-3</v>
      </c>
      <c r="D584" s="58">
        <f t="shared" ca="1" si="38"/>
        <v>10035401.918852154</v>
      </c>
      <c r="E584" s="59">
        <f t="shared" ca="1" si="39"/>
        <v>-35401.918852154166</v>
      </c>
    </row>
    <row r="585" spans="1:5">
      <c r="A585" s="8">
        <v>584</v>
      </c>
      <c r="B585" s="8">
        <f t="shared" ca="1" si="36"/>
        <v>0.76222326833957488</v>
      </c>
      <c r="C585" s="57">
        <f t="shared" ca="1" si="37"/>
        <v>9.6205390428930598E-3</v>
      </c>
      <c r="D585" s="58">
        <f t="shared" ca="1" si="38"/>
        <v>10096205.390428929</v>
      </c>
      <c r="E585" s="59">
        <f t="shared" ca="1" si="39"/>
        <v>-96205.390428928658</v>
      </c>
    </row>
    <row r="586" spans="1:5">
      <c r="A586" s="8">
        <v>585</v>
      </c>
      <c r="B586" s="8">
        <f t="shared" ca="1" si="36"/>
        <v>-0.41052003411546251</v>
      </c>
      <c r="C586" s="57">
        <f t="shared" ca="1" si="37"/>
        <v>-4.9231675494025972E-3</v>
      </c>
      <c r="D586" s="58">
        <f t="shared" ca="1" si="38"/>
        <v>9950768.3245059736</v>
      </c>
      <c r="E586" s="59">
        <f t="shared" ca="1" si="39"/>
        <v>49231.675494026393</v>
      </c>
    </row>
    <row r="587" spans="1:5">
      <c r="A587" s="8">
        <v>586</v>
      </c>
      <c r="B587" s="8">
        <f t="shared" ca="1" si="36"/>
        <v>1.0430299731820514</v>
      </c>
      <c r="C587" s="57">
        <f t="shared" ca="1" si="37"/>
        <v>1.310294675805878E-2</v>
      </c>
      <c r="D587" s="58">
        <f t="shared" ca="1" si="38"/>
        <v>10131029.467580589</v>
      </c>
      <c r="E587" s="59">
        <f t="shared" ca="1" si="39"/>
        <v>-131029.46758058853</v>
      </c>
    </row>
    <row r="588" spans="1:5">
      <c r="A588" s="8">
        <v>587</v>
      </c>
      <c r="B588" s="8">
        <f t="shared" ca="1" si="36"/>
        <v>1.6061528815987596</v>
      </c>
      <c r="C588" s="57">
        <f t="shared" ca="1" si="37"/>
        <v>2.0086482147489645E-2</v>
      </c>
      <c r="D588" s="58">
        <f t="shared" ca="1" si="38"/>
        <v>10200864.821474895</v>
      </c>
      <c r="E588" s="59">
        <f t="shared" ca="1" si="39"/>
        <v>-200864.82147489488</v>
      </c>
    </row>
    <row r="589" spans="1:5">
      <c r="A589" s="8">
        <v>588</v>
      </c>
      <c r="B589" s="8">
        <f t="shared" ca="1" si="36"/>
        <v>-1.0222771460952442</v>
      </c>
      <c r="C589" s="57">
        <f t="shared" ca="1" si="37"/>
        <v>-1.2509837133239525E-2</v>
      </c>
      <c r="D589" s="58">
        <f t="shared" ca="1" si="38"/>
        <v>9874901.6286676042</v>
      </c>
      <c r="E589" s="59">
        <f t="shared" ca="1" si="39"/>
        <v>125098.37133239582</v>
      </c>
    </row>
    <row r="590" spans="1:5">
      <c r="A590" s="8">
        <v>589</v>
      </c>
      <c r="B590" s="8">
        <f t="shared" ca="1" si="36"/>
        <v>1.4056663701675789</v>
      </c>
      <c r="C590" s="57">
        <f t="shared" ca="1" si="37"/>
        <v>1.7600160552760424E-2</v>
      </c>
      <c r="D590" s="58">
        <f t="shared" ca="1" si="38"/>
        <v>10176001.605527604</v>
      </c>
      <c r="E590" s="59">
        <f t="shared" ca="1" si="39"/>
        <v>-176001.605527604</v>
      </c>
    </row>
    <row r="591" spans="1:5">
      <c r="A591" s="8">
        <v>590</v>
      </c>
      <c r="B591" s="8">
        <f t="shared" ca="1" si="36"/>
        <v>-1.5099135027392E-2</v>
      </c>
      <c r="C591" s="57">
        <f t="shared" ca="1" si="37"/>
        <v>-1.9378694024219377E-5</v>
      </c>
      <c r="D591" s="58">
        <f t="shared" ca="1" si="38"/>
        <v>9999806.2130597569</v>
      </c>
      <c r="E591" s="59">
        <f t="shared" ca="1" si="39"/>
        <v>193.78694024309516</v>
      </c>
    </row>
    <row r="592" spans="1:5">
      <c r="A592" s="8">
        <v>591</v>
      </c>
      <c r="B592" s="8">
        <f t="shared" ca="1" si="36"/>
        <v>-0.23826956777305697</v>
      </c>
      <c r="C592" s="57">
        <f t="shared" ca="1" si="37"/>
        <v>-2.7870135951436332E-3</v>
      </c>
      <c r="D592" s="58">
        <f t="shared" ca="1" si="38"/>
        <v>9972129.8640485629</v>
      </c>
      <c r="E592" s="59">
        <f t="shared" ca="1" si="39"/>
        <v>27870.135951437056</v>
      </c>
    </row>
    <row r="593" spans="1:5">
      <c r="A593" s="8">
        <v>592</v>
      </c>
      <c r="B593" s="8">
        <f t="shared" ca="1" si="36"/>
        <v>0.26844526062488377</v>
      </c>
      <c r="C593" s="57">
        <f t="shared" ca="1" si="37"/>
        <v>3.4969803315389181E-3</v>
      </c>
      <c r="D593" s="58">
        <f t="shared" ca="1" si="38"/>
        <v>10034969.80331539</v>
      </c>
      <c r="E593" s="59">
        <f t="shared" ca="1" si="39"/>
        <v>-34969.803315389901</v>
      </c>
    </row>
    <row r="594" spans="1:5">
      <c r="A594" s="8">
        <v>593</v>
      </c>
      <c r="B594" s="8">
        <f t="shared" ca="1" si="36"/>
        <v>0.21040076974860655</v>
      </c>
      <c r="C594" s="57">
        <f t="shared" ca="1" si="37"/>
        <v>2.7771450164818757E-3</v>
      </c>
      <c r="D594" s="58">
        <f t="shared" ca="1" si="38"/>
        <v>10027771.450164819</v>
      </c>
      <c r="E594" s="59">
        <f t="shared" ca="1" si="39"/>
        <v>-27771.450164819136</v>
      </c>
    </row>
    <row r="595" spans="1:5">
      <c r="A595" s="8">
        <v>594</v>
      </c>
      <c r="B595" s="8">
        <f t="shared" ca="1" si="36"/>
        <v>-0.89830487008881299</v>
      </c>
      <c r="C595" s="57">
        <f t="shared" ca="1" si="37"/>
        <v>-1.0972402296440909E-2</v>
      </c>
      <c r="D595" s="58">
        <f t="shared" ca="1" si="38"/>
        <v>9890275.9770355914</v>
      </c>
      <c r="E595" s="59">
        <f t="shared" ca="1" si="39"/>
        <v>109724.02296440862</v>
      </c>
    </row>
    <row r="596" spans="1:5">
      <c r="A596" s="8">
        <v>595</v>
      </c>
      <c r="B596" s="8">
        <f t="shared" ca="1" si="36"/>
        <v>-1.6432601627887846</v>
      </c>
      <c r="C596" s="57">
        <f t="shared" ca="1" si="37"/>
        <v>-2.0210921227843213E-2</v>
      </c>
      <c r="D596" s="58">
        <f t="shared" ca="1" si="38"/>
        <v>9797890.7877215687</v>
      </c>
      <c r="E596" s="59">
        <f t="shared" ca="1" si="39"/>
        <v>202109.21227843128</v>
      </c>
    </row>
    <row r="597" spans="1:5">
      <c r="A597" s="8">
        <v>596</v>
      </c>
      <c r="B597" s="8">
        <f t="shared" ca="1" si="36"/>
        <v>0.27017120706979125</v>
      </c>
      <c r="C597" s="57">
        <f t="shared" ca="1" si="37"/>
        <v>3.5183845541306839E-3</v>
      </c>
      <c r="D597" s="58">
        <f t="shared" ca="1" si="38"/>
        <v>10035183.845541306</v>
      </c>
      <c r="E597" s="59">
        <f t="shared" ca="1" si="39"/>
        <v>-35183.84554130584</v>
      </c>
    </row>
    <row r="598" spans="1:5">
      <c r="A598" s="8">
        <v>597</v>
      </c>
      <c r="B598" s="8">
        <f t="shared" ca="1" si="36"/>
        <v>0.6581448480406018</v>
      </c>
      <c r="C598" s="57">
        <f t="shared" ca="1" si="37"/>
        <v>8.3298166791420832E-3</v>
      </c>
      <c r="D598" s="58">
        <f t="shared" ca="1" si="38"/>
        <v>10083298.16679142</v>
      </c>
      <c r="E598" s="59">
        <f t="shared" ca="1" si="39"/>
        <v>-83298.16679142043</v>
      </c>
    </row>
    <row r="599" spans="1:5">
      <c r="A599" s="8">
        <v>598</v>
      </c>
      <c r="B599" s="8">
        <f t="shared" ca="1" si="36"/>
        <v>-1.2161575077767834</v>
      </c>
      <c r="C599" s="57">
        <f t="shared" ca="1" si="37"/>
        <v>-1.491423295319568E-2</v>
      </c>
      <c r="D599" s="58">
        <f t="shared" ca="1" si="38"/>
        <v>9850857.6704680435</v>
      </c>
      <c r="E599" s="59">
        <f t="shared" ca="1" si="39"/>
        <v>149142.32953195646</v>
      </c>
    </row>
    <row r="600" spans="1:5">
      <c r="A600" s="8">
        <v>599</v>
      </c>
      <c r="B600" s="8">
        <f t="shared" ca="1" si="36"/>
        <v>1.1647921465184858</v>
      </c>
      <c r="C600" s="57">
        <f t="shared" ca="1" si="37"/>
        <v>1.4612973137521511E-2</v>
      </c>
      <c r="D600" s="58">
        <f t="shared" ca="1" si="38"/>
        <v>10146129.731375216</v>
      </c>
      <c r="E600" s="59">
        <f t="shared" ca="1" si="39"/>
        <v>-146129.73137521558</v>
      </c>
    </row>
    <row r="601" spans="1:5">
      <c r="A601" s="8">
        <v>600</v>
      </c>
      <c r="B601" s="8">
        <f t="shared" ca="1" si="36"/>
        <v>0.89311712853844638</v>
      </c>
      <c r="C601" s="57">
        <f t="shared" ca="1" si="37"/>
        <v>1.1243811496020833E-2</v>
      </c>
      <c r="D601" s="58">
        <f t="shared" ca="1" si="38"/>
        <v>10112438.114960209</v>
      </c>
      <c r="E601" s="59">
        <f t="shared" ca="1" si="39"/>
        <v>-112438.11496020854</v>
      </c>
    </row>
    <row r="602" spans="1:5">
      <c r="A602" s="8">
        <v>601</v>
      </c>
      <c r="B602" s="8">
        <f t="shared" ca="1" si="36"/>
        <v>0.11097515156281147</v>
      </c>
      <c r="C602" s="57">
        <f t="shared" ca="1" si="37"/>
        <v>1.5441241025063225E-3</v>
      </c>
      <c r="D602" s="58">
        <f t="shared" ca="1" si="38"/>
        <v>10015441.241025062</v>
      </c>
      <c r="E602" s="59">
        <f t="shared" ca="1" si="39"/>
        <v>-15441.241025062278</v>
      </c>
    </row>
    <row r="603" spans="1:5">
      <c r="A603" s="8">
        <v>602</v>
      </c>
      <c r="B603" s="8">
        <f t="shared" ca="1" si="36"/>
        <v>-1.1909078821648782</v>
      </c>
      <c r="C603" s="57">
        <f t="shared" ca="1" si="37"/>
        <v>-1.4601101216952878E-2</v>
      </c>
      <c r="D603" s="58">
        <f t="shared" ca="1" si="38"/>
        <v>9853988.9878304712</v>
      </c>
      <c r="E603" s="59">
        <f t="shared" ca="1" si="39"/>
        <v>146011.01216952875</v>
      </c>
    </row>
    <row r="604" spans="1:5">
      <c r="A604" s="8">
        <v>603</v>
      </c>
      <c r="B604" s="8">
        <f t="shared" ca="1" si="36"/>
        <v>-1.6651958192299259</v>
      </c>
      <c r="C604" s="57">
        <f t="shared" ca="1" si="37"/>
        <v>-2.0482954971733715E-2</v>
      </c>
      <c r="D604" s="58">
        <f t="shared" ca="1" si="38"/>
        <v>9795170.4502826631</v>
      </c>
      <c r="E604" s="59">
        <f t="shared" ca="1" si="39"/>
        <v>204829.54971733689</v>
      </c>
    </row>
    <row r="605" spans="1:5">
      <c r="A605" s="8">
        <v>604</v>
      </c>
      <c r="B605" s="8">
        <f t="shared" ca="1" si="36"/>
        <v>-0.97539212623944171</v>
      </c>
      <c r="C605" s="57">
        <f t="shared" ca="1" si="37"/>
        <v>-1.1928395336957861E-2</v>
      </c>
      <c r="D605" s="58">
        <f t="shared" ca="1" si="38"/>
        <v>9880716.0466304217</v>
      </c>
      <c r="E605" s="59">
        <f t="shared" ca="1" si="39"/>
        <v>119283.95336957835</v>
      </c>
    </row>
    <row r="606" spans="1:5">
      <c r="A606" s="8">
        <v>605</v>
      </c>
      <c r="B606" s="8">
        <f t="shared" ca="1" si="36"/>
        <v>-0.42428672017586511</v>
      </c>
      <c r="C606" s="57">
        <f t="shared" ca="1" si="37"/>
        <v>-5.0938942910446951E-3</v>
      </c>
      <c r="D606" s="58">
        <f t="shared" ca="1" si="38"/>
        <v>9949061.0570895541</v>
      </c>
      <c r="E606" s="59">
        <f t="shared" ca="1" si="39"/>
        <v>50938.942910445854</v>
      </c>
    </row>
    <row r="607" spans="1:5">
      <c r="A607" s="8">
        <v>606</v>
      </c>
      <c r="B607" s="8">
        <f t="shared" ca="1" si="36"/>
        <v>0.69476270700633336</v>
      </c>
      <c r="C607" s="57">
        <f t="shared" ca="1" si="37"/>
        <v>8.7839308878702813E-3</v>
      </c>
      <c r="D607" s="58">
        <f t="shared" ca="1" si="38"/>
        <v>10087839.308878703</v>
      </c>
      <c r="E607" s="59">
        <f t="shared" ca="1" si="39"/>
        <v>-87839.308878703043</v>
      </c>
    </row>
    <row r="608" spans="1:5">
      <c r="A608" s="8">
        <v>607</v>
      </c>
      <c r="B608" s="8">
        <f t="shared" ca="1" si="36"/>
        <v>5.631144332272181E-2</v>
      </c>
      <c r="C608" s="57">
        <f t="shared" ca="1" si="37"/>
        <v>8.662153630350103E-4</v>
      </c>
      <c r="D608" s="58">
        <f t="shared" ca="1" si="38"/>
        <v>10008662.15363035</v>
      </c>
      <c r="E608" s="59">
        <f t="shared" ca="1" si="39"/>
        <v>-8662.1536303497851</v>
      </c>
    </row>
    <row r="609" spans="1:5">
      <c r="A609" s="8">
        <v>608</v>
      </c>
      <c r="B609" s="8">
        <f t="shared" ca="1" si="36"/>
        <v>1.0596070046657844</v>
      </c>
      <c r="C609" s="57">
        <f t="shared" ca="1" si="37"/>
        <v>1.3308525831983956E-2</v>
      </c>
      <c r="D609" s="58">
        <f t="shared" ca="1" si="38"/>
        <v>10133085.25831984</v>
      </c>
      <c r="E609" s="59">
        <f t="shared" ca="1" si="39"/>
        <v>-133085.25831983984</v>
      </c>
    </row>
    <row r="610" spans="1:5">
      <c r="A610" s="8">
        <v>609</v>
      </c>
      <c r="B610" s="8">
        <f t="shared" ca="1" si="36"/>
        <v>-1.4421699401329815</v>
      </c>
      <c r="C610" s="57">
        <f t="shared" ca="1" si="37"/>
        <v>-1.7717112744125581E-2</v>
      </c>
      <c r="D610" s="58">
        <f t="shared" ca="1" si="38"/>
        <v>9822828.8725587446</v>
      </c>
      <c r="E610" s="59">
        <f t="shared" ca="1" si="39"/>
        <v>177171.12744125538</v>
      </c>
    </row>
    <row r="611" spans="1:5">
      <c r="A611" s="8">
        <v>610</v>
      </c>
      <c r="B611" s="8">
        <f t="shared" ca="1" si="36"/>
        <v>0.40505369252286905</v>
      </c>
      <c r="C611" s="57">
        <f t="shared" ca="1" si="37"/>
        <v>5.1911217070630591E-3</v>
      </c>
      <c r="D611" s="58">
        <f t="shared" ca="1" si="38"/>
        <v>10051911.21707063</v>
      </c>
      <c r="E611" s="59">
        <f t="shared" ca="1" si="39"/>
        <v>-51911.21707062982</v>
      </c>
    </row>
    <row r="612" spans="1:5">
      <c r="A612" s="8">
        <v>611</v>
      </c>
      <c r="B612" s="8">
        <f t="shared" ca="1" si="36"/>
        <v>-0.91948707589898027</v>
      </c>
      <c r="C612" s="57">
        <f t="shared" ca="1" si="37"/>
        <v>-1.1235092166965669E-2</v>
      </c>
      <c r="D612" s="58">
        <f t="shared" ca="1" si="38"/>
        <v>9887649.0783303436</v>
      </c>
      <c r="E612" s="59">
        <f t="shared" ca="1" si="39"/>
        <v>112350.92166965641</v>
      </c>
    </row>
    <row r="613" spans="1:5">
      <c r="A613" s="8">
        <v>612</v>
      </c>
      <c r="B613" s="8">
        <f t="shared" ca="1" si="36"/>
        <v>1.2668652409961729</v>
      </c>
      <c r="C613" s="57">
        <f t="shared" ca="1" si="37"/>
        <v>1.5878826571894947E-2</v>
      </c>
      <c r="D613" s="58">
        <f t="shared" ca="1" si="38"/>
        <v>10158788.26571895</v>
      </c>
      <c r="E613" s="59">
        <f t="shared" ca="1" si="39"/>
        <v>-158788.26571894996</v>
      </c>
    </row>
    <row r="614" spans="1:5">
      <c r="A614" s="8">
        <v>613</v>
      </c>
      <c r="B614" s="8">
        <f t="shared" ca="1" si="36"/>
        <v>-0.90914778858867729</v>
      </c>
      <c r="C614" s="57">
        <f t="shared" ca="1" si="37"/>
        <v>-1.1106870107884451E-2</v>
      </c>
      <c r="D614" s="58">
        <f t="shared" ca="1" si="38"/>
        <v>9888931.2989211548</v>
      </c>
      <c r="E614" s="59">
        <f t="shared" ca="1" si="39"/>
        <v>111068.70107884519</v>
      </c>
    </row>
    <row r="615" spans="1:5">
      <c r="A615" s="8">
        <v>614</v>
      </c>
      <c r="B615" s="8">
        <f t="shared" ca="1" si="36"/>
        <v>-1.4082695300287693</v>
      </c>
      <c r="C615" s="57">
        <f t="shared" ca="1" si="37"/>
        <v>-1.7296698816472337E-2</v>
      </c>
      <c r="D615" s="58">
        <f t="shared" ca="1" si="38"/>
        <v>9827033.0118352771</v>
      </c>
      <c r="E615" s="59">
        <f t="shared" ca="1" si="39"/>
        <v>172966.98816472292</v>
      </c>
    </row>
    <row r="616" spans="1:5">
      <c r="A616" s="8">
        <v>615</v>
      </c>
      <c r="B616" s="8">
        <f t="shared" ca="1" si="36"/>
        <v>0.28353102718541051</v>
      </c>
      <c r="C616" s="57">
        <f t="shared" ca="1" si="37"/>
        <v>3.6840655718612162E-3</v>
      </c>
      <c r="D616" s="58">
        <f t="shared" ca="1" si="38"/>
        <v>10036840.655718613</v>
      </c>
      <c r="E616" s="59">
        <f t="shared" ca="1" si="39"/>
        <v>-36840.655718613416</v>
      </c>
    </row>
    <row r="617" spans="1:5">
      <c r="A617" s="8">
        <v>616</v>
      </c>
      <c r="B617" s="8">
        <f t="shared" ca="1" si="36"/>
        <v>-0.36781402635553018</v>
      </c>
      <c r="C617" s="57">
        <f t="shared" ca="1" si="37"/>
        <v>-4.3935515240639492E-3</v>
      </c>
      <c r="D617" s="58">
        <f t="shared" ca="1" si="38"/>
        <v>9956064.4847593606</v>
      </c>
      <c r="E617" s="59">
        <f t="shared" ca="1" si="39"/>
        <v>43935.515240639448</v>
      </c>
    </row>
    <row r="618" spans="1:5">
      <c r="A618" s="8">
        <v>617</v>
      </c>
      <c r="B618" s="8">
        <f t="shared" ca="1" si="36"/>
        <v>-2.0221509999078586</v>
      </c>
      <c r="C618" s="57">
        <f t="shared" ca="1" si="37"/>
        <v>-2.4909713498950953E-2</v>
      </c>
      <c r="D618" s="58">
        <f t="shared" ca="1" si="38"/>
        <v>9750902.8650104906</v>
      </c>
      <c r="E618" s="59">
        <f t="shared" ca="1" si="39"/>
        <v>249097.13498950936</v>
      </c>
    </row>
    <row r="619" spans="1:5">
      <c r="A619" s="8">
        <v>618</v>
      </c>
      <c r="B619" s="8">
        <f t="shared" ca="1" si="36"/>
        <v>0.37136418248226688</v>
      </c>
      <c r="C619" s="57">
        <f t="shared" ca="1" si="37"/>
        <v>4.7733232440549944E-3</v>
      </c>
      <c r="D619" s="58">
        <f t="shared" ca="1" si="38"/>
        <v>10047733.23244055</v>
      </c>
      <c r="E619" s="59">
        <f t="shared" ca="1" si="39"/>
        <v>-47733.23244054988</v>
      </c>
    </row>
    <row r="620" spans="1:5">
      <c r="A620" s="8">
        <v>619</v>
      </c>
      <c r="B620" s="8">
        <f t="shared" ca="1" si="36"/>
        <v>-0.86535140245521047</v>
      </c>
      <c r="C620" s="57">
        <f t="shared" ca="1" si="37"/>
        <v>-1.0563731819740232E-2</v>
      </c>
      <c r="D620" s="58">
        <f t="shared" ca="1" si="38"/>
        <v>9894362.6818025969</v>
      </c>
      <c r="E620" s="59">
        <f t="shared" ca="1" si="39"/>
        <v>105637.3181974031</v>
      </c>
    </row>
    <row r="621" spans="1:5">
      <c r="A621" s="8">
        <v>620</v>
      </c>
      <c r="B621" s="8">
        <f t="shared" ca="1" si="36"/>
        <v>1.1848212918290226</v>
      </c>
      <c r="C621" s="57">
        <f t="shared" ca="1" si="37"/>
        <v>1.4861363396567198E-2</v>
      </c>
      <c r="D621" s="58">
        <f t="shared" ca="1" si="38"/>
        <v>10148613.633965673</v>
      </c>
      <c r="E621" s="59">
        <f t="shared" ca="1" si="39"/>
        <v>-148613.63396567293</v>
      </c>
    </row>
    <row r="622" spans="1:5">
      <c r="A622" s="8">
        <v>621</v>
      </c>
      <c r="B622" s="8">
        <f t="shared" ca="1" si="36"/>
        <v>-3.3594613881559758E-2</v>
      </c>
      <c r="C622" s="57">
        <f t="shared" ca="1" si="37"/>
        <v>-2.4874927936536877E-4</v>
      </c>
      <c r="D622" s="58">
        <f t="shared" ca="1" si="38"/>
        <v>9997512.5072063468</v>
      </c>
      <c r="E622" s="59">
        <f t="shared" ca="1" si="39"/>
        <v>2487.4927936531603</v>
      </c>
    </row>
    <row r="623" spans="1:5">
      <c r="A623" s="8">
        <v>622</v>
      </c>
      <c r="B623" s="8">
        <f t="shared" ca="1" si="36"/>
        <v>-0.51763116879952686</v>
      </c>
      <c r="C623" s="57">
        <f t="shared" ca="1" si="37"/>
        <v>-6.2514999409428338E-3</v>
      </c>
      <c r="D623" s="58">
        <f t="shared" ca="1" si="38"/>
        <v>9937485.0005905721</v>
      </c>
      <c r="E623" s="59">
        <f t="shared" ca="1" si="39"/>
        <v>62514.999409427866</v>
      </c>
    </row>
    <row r="624" spans="1:5">
      <c r="A624" s="8">
        <v>623</v>
      </c>
      <c r="B624" s="8">
        <f t="shared" ca="1" si="36"/>
        <v>0.63685799789563802</v>
      </c>
      <c r="C624" s="57">
        <f t="shared" ca="1" si="37"/>
        <v>8.0658290680984557E-3</v>
      </c>
      <c r="D624" s="58">
        <f t="shared" ca="1" si="38"/>
        <v>10080658.290680984</v>
      </c>
      <c r="E624" s="59">
        <f t="shared" ca="1" si="39"/>
        <v>-80658.290680984035</v>
      </c>
    </row>
    <row r="625" spans="1:5">
      <c r="A625" s="8">
        <v>624</v>
      </c>
      <c r="B625" s="8">
        <f t="shared" ca="1" si="36"/>
        <v>0.48421494931327602</v>
      </c>
      <c r="C625" s="57">
        <f t="shared" ca="1" si="37"/>
        <v>6.1728353436507994E-3</v>
      </c>
      <c r="D625" s="58">
        <f t="shared" ca="1" si="38"/>
        <v>10061728.353436507</v>
      </c>
      <c r="E625" s="59">
        <f t="shared" ca="1" si="39"/>
        <v>-61728.353436507285</v>
      </c>
    </row>
    <row r="626" spans="1:5">
      <c r="A626" s="8">
        <v>625</v>
      </c>
      <c r="B626" s="8">
        <f t="shared" ca="1" si="36"/>
        <v>-0.67939299250379614</v>
      </c>
      <c r="C626" s="57">
        <f t="shared" ca="1" si="37"/>
        <v>-8.2575796148702373E-3</v>
      </c>
      <c r="D626" s="58">
        <f t="shared" ca="1" si="38"/>
        <v>9917424.2038512975</v>
      </c>
      <c r="E626" s="59">
        <f t="shared" ca="1" si="39"/>
        <v>82575.796148702502</v>
      </c>
    </row>
    <row r="627" spans="1:5">
      <c r="A627" s="8">
        <v>626</v>
      </c>
      <c r="B627" s="8">
        <f t="shared" ca="1" si="36"/>
        <v>-0.31223747157291964</v>
      </c>
      <c r="C627" s="57">
        <f t="shared" ca="1" si="37"/>
        <v>-3.7043221722724276E-3</v>
      </c>
      <c r="D627" s="58">
        <f t="shared" ca="1" si="38"/>
        <v>9962956.7782772761</v>
      </c>
      <c r="E627" s="59">
        <f t="shared" ca="1" si="39"/>
        <v>37043.221722723916</v>
      </c>
    </row>
    <row r="628" spans="1:5">
      <c r="A628" s="8">
        <v>627</v>
      </c>
      <c r="B628" s="8">
        <f t="shared" ca="1" si="36"/>
        <v>-1.2833064847035245</v>
      </c>
      <c r="C628" s="57">
        <f t="shared" ca="1" si="37"/>
        <v>-1.5746977012659449E-2</v>
      </c>
      <c r="D628" s="58">
        <f t="shared" ca="1" si="38"/>
        <v>9842530.2298734058</v>
      </c>
      <c r="E628" s="59">
        <f t="shared" ca="1" si="39"/>
        <v>157469.77012659423</v>
      </c>
    </row>
    <row r="629" spans="1:5">
      <c r="A629" s="8">
        <v>628</v>
      </c>
      <c r="B629" s="8">
        <f t="shared" ca="1" si="36"/>
        <v>2.6579139150461714E-2</v>
      </c>
      <c r="C629" s="57">
        <f t="shared" ca="1" si="37"/>
        <v>4.9749195417903209E-4</v>
      </c>
      <c r="D629" s="58">
        <f t="shared" ca="1" si="38"/>
        <v>10004974.919541791</v>
      </c>
      <c r="E629" s="59">
        <f t="shared" ca="1" si="39"/>
        <v>-4974.9195417910814</v>
      </c>
    </row>
    <row r="630" spans="1:5">
      <c r="A630" s="8">
        <v>629</v>
      </c>
      <c r="B630" s="8">
        <f t="shared" ca="1" si="36"/>
        <v>2.5628850360379492E-2</v>
      </c>
      <c r="C630" s="57">
        <f t="shared" ca="1" si="37"/>
        <v>4.8570700404376287E-4</v>
      </c>
      <c r="D630" s="58">
        <f t="shared" ca="1" si="38"/>
        <v>10004857.070040438</v>
      </c>
      <c r="E630" s="59">
        <f t="shared" ca="1" si="39"/>
        <v>-4857.0700404383242</v>
      </c>
    </row>
    <row r="631" spans="1:5">
      <c r="A631" s="8">
        <v>630</v>
      </c>
      <c r="B631" s="8">
        <f t="shared" ca="1" si="36"/>
        <v>0.96356931417287783</v>
      </c>
      <c r="C631" s="57">
        <f t="shared" ca="1" si="37"/>
        <v>1.2117520102591537E-2</v>
      </c>
      <c r="D631" s="58">
        <f t="shared" ca="1" si="38"/>
        <v>10121175.201025916</v>
      </c>
      <c r="E631" s="59">
        <f t="shared" ca="1" si="39"/>
        <v>-121175.20102591626</v>
      </c>
    </row>
    <row r="632" spans="1:5">
      <c r="A632" s="8">
        <v>631</v>
      </c>
      <c r="B632" s="8">
        <f t="shared" ca="1" si="36"/>
        <v>0.5920964677747419</v>
      </c>
      <c r="C632" s="57">
        <f t="shared" ca="1" si="37"/>
        <v>7.5107216039690854E-3</v>
      </c>
      <c r="D632" s="58">
        <f t="shared" ca="1" si="38"/>
        <v>10075107.216039691</v>
      </c>
      <c r="E632" s="59">
        <f t="shared" ca="1" si="39"/>
        <v>-75107.21603969112</v>
      </c>
    </row>
    <row r="633" spans="1:5">
      <c r="A633" s="8">
        <v>632</v>
      </c>
      <c r="B633" s="8">
        <f t="shared" ca="1" si="36"/>
        <v>-0.42961153477737379</v>
      </c>
      <c r="C633" s="57">
        <f t="shared" ca="1" si="37"/>
        <v>-5.1599296638842546E-3</v>
      </c>
      <c r="D633" s="58">
        <f t="shared" ca="1" si="38"/>
        <v>9948400.7033611573</v>
      </c>
      <c r="E633" s="59">
        <f t="shared" ca="1" si="39"/>
        <v>51599.296638842672</v>
      </c>
    </row>
    <row r="634" spans="1:5">
      <c r="A634" s="8">
        <v>633</v>
      </c>
      <c r="B634" s="8">
        <f t="shared" ca="1" si="36"/>
        <v>0.12941944686608478</v>
      </c>
      <c r="C634" s="57">
        <f t="shared" ca="1" si="37"/>
        <v>1.7728599380731588E-3</v>
      </c>
      <c r="D634" s="58">
        <f t="shared" ca="1" si="38"/>
        <v>10017728.599380732</v>
      </c>
      <c r="E634" s="59">
        <f t="shared" ca="1" si="39"/>
        <v>-17728.599380731583</v>
      </c>
    </row>
    <row r="635" spans="1:5">
      <c r="A635" s="8">
        <v>634</v>
      </c>
      <c r="B635" s="8">
        <f t="shared" ca="1" si="36"/>
        <v>0.17264041032072502</v>
      </c>
      <c r="C635" s="57">
        <f t="shared" ca="1" si="37"/>
        <v>2.3088621559538454E-3</v>
      </c>
      <c r="D635" s="58">
        <f t="shared" ca="1" si="38"/>
        <v>10023088.62155954</v>
      </c>
      <c r="E635" s="59">
        <f t="shared" ca="1" si="39"/>
        <v>-23088.62155953981</v>
      </c>
    </row>
    <row r="636" spans="1:5">
      <c r="A636" s="8">
        <v>635</v>
      </c>
      <c r="B636" s="8">
        <f t="shared" ca="1" si="36"/>
        <v>-1.0929149065683188</v>
      </c>
      <c r="C636" s="57">
        <f t="shared" ca="1" si="37"/>
        <v>-1.3385847135178243E-2</v>
      </c>
      <c r="D636" s="58">
        <f t="shared" ca="1" si="38"/>
        <v>9866141.5286482181</v>
      </c>
      <c r="E636" s="59">
        <f t="shared" ca="1" si="39"/>
        <v>133858.47135178186</v>
      </c>
    </row>
    <row r="637" spans="1:5">
      <c r="A637" s="8">
        <v>636</v>
      </c>
      <c r="B637" s="8">
        <f t="shared" ca="1" si="36"/>
        <v>-0.94890270175227109</v>
      </c>
      <c r="C637" s="57">
        <f t="shared" ca="1" si="37"/>
        <v>-1.1599888308408916E-2</v>
      </c>
      <c r="D637" s="58">
        <f t="shared" ca="1" si="38"/>
        <v>9884001.1169159096</v>
      </c>
      <c r="E637" s="59">
        <f t="shared" ca="1" si="39"/>
        <v>115998.88308409043</v>
      </c>
    </row>
    <row r="638" spans="1:5">
      <c r="A638" s="8">
        <v>637</v>
      </c>
      <c r="B638" s="8">
        <f t="shared" ca="1" si="36"/>
        <v>0.16501232040484198</v>
      </c>
      <c r="C638" s="57">
        <f t="shared" ca="1" si="37"/>
        <v>2.2142628507486844E-3</v>
      </c>
      <c r="D638" s="58">
        <f t="shared" ca="1" si="38"/>
        <v>10022142.628507487</v>
      </c>
      <c r="E638" s="59">
        <f t="shared" ca="1" si="39"/>
        <v>-22142.628507487476</v>
      </c>
    </row>
    <row r="639" spans="1:5">
      <c r="A639" s="8">
        <v>638</v>
      </c>
      <c r="B639" s="8">
        <f t="shared" ca="1" si="36"/>
        <v>-1.0353238377294187</v>
      </c>
      <c r="C639" s="57">
        <f t="shared" ca="1" si="37"/>
        <v>-1.2671634906657094E-2</v>
      </c>
      <c r="D639" s="58">
        <f t="shared" ca="1" si="38"/>
        <v>9873283.6509334296</v>
      </c>
      <c r="E639" s="59">
        <f t="shared" ca="1" si="39"/>
        <v>126716.3490665704</v>
      </c>
    </row>
    <row r="640" spans="1:5">
      <c r="A640" s="8">
        <v>639</v>
      </c>
      <c r="B640" s="8">
        <f t="shared" ca="1" si="36"/>
        <v>-0.15698531632922424</v>
      </c>
      <c r="C640" s="57">
        <f t="shared" ca="1" si="37"/>
        <v>-1.7789717661272513E-3</v>
      </c>
      <c r="D640" s="58">
        <f t="shared" ca="1" si="38"/>
        <v>9982210.2823387273</v>
      </c>
      <c r="E640" s="59">
        <f t="shared" ca="1" si="39"/>
        <v>17789.717661272734</v>
      </c>
    </row>
    <row r="641" spans="1:5">
      <c r="A641" s="8">
        <v>640</v>
      </c>
      <c r="B641" s="8">
        <f t="shared" ca="1" si="36"/>
        <v>0.71156480988405135</v>
      </c>
      <c r="C641" s="57">
        <f t="shared" ca="1" si="37"/>
        <v>8.9923011713547735E-3</v>
      </c>
      <c r="D641" s="58">
        <f t="shared" ca="1" si="38"/>
        <v>10089923.011713548</v>
      </c>
      <c r="E641" s="59">
        <f t="shared" ca="1" si="39"/>
        <v>-89923.011713547632</v>
      </c>
    </row>
    <row r="642" spans="1:5">
      <c r="A642" s="8">
        <v>641</v>
      </c>
      <c r="B642" s="8">
        <f t="shared" ca="1" si="36"/>
        <v>0.50881355626322633</v>
      </c>
      <c r="C642" s="57">
        <f t="shared" ca="1" si="37"/>
        <v>6.4778935105235949E-3</v>
      </c>
      <c r="D642" s="58">
        <f t="shared" ca="1" si="38"/>
        <v>10064778.935105236</v>
      </c>
      <c r="E642" s="59">
        <f t="shared" ca="1" si="39"/>
        <v>-64778.935105236247</v>
      </c>
    </row>
    <row r="643" spans="1:5">
      <c r="A643" s="8">
        <v>642</v>
      </c>
      <c r="B643" s="8">
        <f t="shared" ref="B643:B706" ca="1" si="40">_xlfn.NORM.S.INV(RAND())</f>
        <v>-0.60604418622418066</v>
      </c>
      <c r="C643" s="57">
        <f t="shared" ref="C643:C706" ca="1" si="41" xml:space="preserve"> $H$2 + $H$3 * B643</f>
        <v>-7.3479487389635648E-3</v>
      </c>
      <c r="D643" s="58">
        <f t="shared" ref="D643:D706" ca="1" si="42">$H$4 * (1 + C643)</f>
        <v>9926520.5126103647</v>
      </c>
      <c r="E643" s="59">
        <f t="shared" ref="E643:E706" ca="1" si="43">$H$4-D643</f>
        <v>73479.487389635295</v>
      </c>
    </row>
    <row r="644" spans="1:5">
      <c r="A644" s="8">
        <v>643</v>
      </c>
      <c r="B644" s="8">
        <f t="shared" ca="1" si="40"/>
        <v>0.97477806818509039</v>
      </c>
      <c r="C644" s="57">
        <f t="shared" ca="1" si="41"/>
        <v>1.2256524801469437E-2</v>
      </c>
      <c r="D644" s="58">
        <f t="shared" ca="1" si="42"/>
        <v>10122565.248014694</v>
      </c>
      <c r="E644" s="59">
        <f t="shared" ca="1" si="43"/>
        <v>-122565.24801469408</v>
      </c>
    </row>
    <row r="645" spans="1:5">
      <c r="A645" s="8">
        <v>644</v>
      </c>
      <c r="B645" s="8">
        <f t="shared" ca="1" si="40"/>
        <v>1.1057757103916261</v>
      </c>
      <c r="C645" s="57">
        <f t="shared" ca="1" si="41"/>
        <v>1.388108430101723E-2</v>
      </c>
      <c r="D645" s="58">
        <f t="shared" ca="1" si="42"/>
        <v>10138810.843010172</v>
      </c>
      <c r="E645" s="59">
        <f t="shared" ca="1" si="43"/>
        <v>-138810.84301017225</v>
      </c>
    </row>
    <row r="646" spans="1:5">
      <c r="A646" s="8">
        <v>645</v>
      </c>
      <c r="B646" s="8">
        <f t="shared" ca="1" si="40"/>
        <v>-6.0528256712777491E-3</v>
      </c>
      <c r="C646" s="57">
        <f t="shared" ca="1" si="41"/>
        <v>9.2808575553906357E-5</v>
      </c>
      <c r="D646" s="58">
        <f t="shared" ca="1" si="42"/>
        <v>10000928.085755538</v>
      </c>
      <c r="E646" s="59">
        <f t="shared" ca="1" si="43"/>
        <v>-928.08575553819537</v>
      </c>
    </row>
    <row r="647" spans="1:5">
      <c r="A647" s="8">
        <v>646</v>
      </c>
      <c r="B647" s="8">
        <f t="shared" ca="1" si="40"/>
        <v>0.19984593473866571</v>
      </c>
      <c r="C647" s="57">
        <f t="shared" ca="1" si="41"/>
        <v>2.6462498553726059E-3</v>
      </c>
      <c r="D647" s="58">
        <f t="shared" ca="1" si="42"/>
        <v>10026462.498553725</v>
      </c>
      <c r="E647" s="59">
        <f t="shared" ca="1" si="43"/>
        <v>-26462.498553724959</v>
      </c>
    </row>
    <row r="648" spans="1:5">
      <c r="A648" s="8">
        <v>647</v>
      </c>
      <c r="B648" s="8">
        <f t="shared" ca="1" si="40"/>
        <v>1.5469836009891396</v>
      </c>
      <c r="C648" s="57">
        <f t="shared" ca="1" si="41"/>
        <v>1.9352697819186894E-2</v>
      </c>
      <c r="D648" s="58">
        <f t="shared" ca="1" si="42"/>
        <v>10193526.978191869</v>
      </c>
      <c r="E648" s="59">
        <f t="shared" ca="1" si="43"/>
        <v>-193526.97819186933</v>
      </c>
    </row>
    <row r="649" spans="1:5">
      <c r="A649" s="8">
        <v>648</v>
      </c>
      <c r="B649" s="8">
        <f t="shared" ca="1" si="40"/>
        <v>0.86214691202835469</v>
      </c>
      <c r="C649" s="57">
        <f t="shared" ca="1" si="41"/>
        <v>1.0859736190640939E-2</v>
      </c>
      <c r="D649" s="58">
        <f t="shared" ca="1" si="42"/>
        <v>10108597.361906409</v>
      </c>
      <c r="E649" s="59">
        <f t="shared" ca="1" si="43"/>
        <v>-108597.36190640926</v>
      </c>
    </row>
    <row r="650" spans="1:5">
      <c r="A650" s="8">
        <v>649</v>
      </c>
      <c r="B650" s="8">
        <f t="shared" ca="1" si="40"/>
        <v>-0.96379858286188014</v>
      </c>
      <c r="C650" s="57">
        <f t="shared" ca="1" si="41"/>
        <v>-1.1784618695560438E-2</v>
      </c>
      <c r="D650" s="58">
        <f t="shared" ca="1" si="42"/>
        <v>9882153.8130443953</v>
      </c>
      <c r="E650" s="59">
        <f t="shared" ca="1" si="43"/>
        <v>117846.1869556047</v>
      </c>
    </row>
    <row r="651" spans="1:5">
      <c r="A651" s="8">
        <v>650</v>
      </c>
      <c r="B651" s="8">
        <f t="shared" ca="1" si="40"/>
        <v>-1.9420959864995424</v>
      </c>
      <c r="C651" s="57">
        <f t="shared" ca="1" si="41"/>
        <v>-2.3916915992612191E-2</v>
      </c>
      <c r="D651" s="58">
        <f t="shared" ca="1" si="42"/>
        <v>9760830.8400738779</v>
      </c>
      <c r="E651" s="59">
        <f t="shared" ca="1" si="43"/>
        <v>239169.15992612205</v>
      </c>
    </row>
    <row r="652" spans="1:5">
      <c r="A652" s="8">
        <v>651</v>
      </c>
      <c r="B652" s="8">
        <f t="shared" ca="1" si="40"/>
        <v>-0.11851247545500244</v>
      </c>
      <c r="C652" s="57">
        <f t="shared" ca="1" si="41"/>
        <v>-1.3018531091497038E-3</v>
      </c>
      <c r="D652" s="58">
        <f t="shared" ca="1" si="42"/>
        <v>9986981.4689085037</v>
      </c>
      <c r="E652" s="59">
        <f t="shared" ca="1" si="43"/>
        <v>13018.531091496348</v>
      </c>
    </row>
    <row r="653" spans="1:5">
      <c r="A653" s="8">
        <v>652</v>
      </c>
      <c r="B653" s="8">
        <f t="shared" ca="1" si="40"/>
        <v>2.3372935855907069</v>
      </c>
      <c r="C653" s="57">
        <f t="shared" ca="1" si="41"/>
        <v>2.9153680275403111E-2</v>
      </c>
      <c r="D653" s="58">
        <f t="shared" ca="1" si="42"/>
        <v>10291536.802754031</v>
      </c>
      <c r="E653" s="59">
        <f t="shared" ca="1" si="43"/>
        <v>-291536.80275403149</v>
      </c>
    </row>
    <row r="654" spans="1:5">
      <c r="A654" s="8">
        <v>653</v>
      </c>
      <c r="B654" s="8">
        <f t="shared" ca="1" si="40"/>
        <v>-0.81470663495151485</v>
      </c>
      <c r="C654" s="57">
        <f t="shared" ca="1" si="41"/>
        <v>-9.9356637357299899E-3</v>
      </c>
      <c r="D654" s="58">
        <f t="shared" ca="1" si="42"/>
        <v>9900643.3626426999</v>
      </c>
      <c r="E654" s="59">
        <f t="shared" ca="1" si="43"/>
        <v>99356.637357300147</v>
      </c>
    </row>
    <row r="655" spans="1:5">
      <c r="A655" s="8">
        <v>654</v>
      </c>
      <c r="B655" s="8">
        <f t="shared" ca="1" si="40"/>
        <v>0.38956900930443528</v>
      </c>
      <c r="C655" s="57">
        <f t="shared" ca="1" si="41"/>
        <v>4.9990893254394774E-3</v>
      </c>
      <c r="D655" s="58">
        <f t="shared" ca="1" si="42"/>
        <v>10049990.893254396</v>
      </c>
      <c r="E655" s="59">
        <f t="shared" ca="1" si="43"/>
        <v>-49990.893254395574</v>
      </c>
    </row>
    <row r="656" spans="1:5">
      <c r="A656" s="8">
        <v>655</v>
      </c>
      <c r="B656" s="8">
        <f t="shared" ca="1" si="40"/>
        <v>0.36099718155888949</v>
      </c>
      <c r="C656" s="57">
        <f t="shared" ca="1" si="41"/>
        <v>4.6447574962429836E-3</v>
      </c>
      <c r="D656" s="58">
        <f t="shared" ca="1" si="42"/>
        <v>10046447.57496243</v>
      </c>
      <c r="E656" s="59">
        <f t="shared" ca="1" si="43"/>
        <v>-46447.574962429702</v>
      </c>
    </row>
    <row r="657" spans="1:5">
      <c r="A657" s="8">
        <v>656</v>
      </c>
      <c r="B657" s="8">
        <f t="shared" ca="1" si="40"/>
        <v>-0.61462487133131771</v>
      </c>
      <c r="C657" s="57">
        <f t="shared" ca="1" si="41"/>
        <v>-7.4543615970014956E-3</v>
      </c>
      <c r="D657" s="58">
        <f t="shared" ca="1" si="42"/>
        <v>9925456.3840299845</v>
      </c>
      <c r="E657" s="59">
        <f t="shared" ca="1" si="43"/>
        <v>74543.615970015526</v>
      </c>
    </row>
    <row r="658" spans="1:5">
      <c r="A658" s="8">
        <v>657</v>
      </c>
      <c r="B658" s="8">
        <f t="shared" ca="1" si="40"/>
        <v>-1.3468169346604109</v>
      </c>
      <c r="C658" s="57">
        <f t="shared" ca="1" si="41"/>
        <v>-1.6534598095452241E-2</v>
      </c>
      <c r="D658" s="58">
        <f t="shared" ca="1" si="42"/>
        <v>9834654.0190454777</v>
      </c>
      <c r="E658" s="59">
        <f t="shared" ca="1" si="43"/>
        <v>165345.98095452227</v>
      </c>
    </row>
    <row r="659" spans="1:5">
      <c r="A659" s="8">
        <v>658</v>
      </c>
      <c r="B659" s="8">
        <f t="shared" ca="1" si="40"/>
        <v>0.33873606283669555</v>
      </c>
      <c r="C659" s="57">
        <f t="shared" ca="1" si="41"/>
        <v>4.3686875511543301E-3</v>
      </c>
      <c r="D659" s="58">
        <f t="shared" ca="1" si="42"/>
        <v>10043686.875511544</v>
      </c>
      <c r="E659" s="59">
        <f t="shared" ca="1" si="43"/>
        <v>-43686.875511543825</v>
      </c>
    </row>
    <row r="660" spans="1:5">
      <c r="A660" s="8">
        <v>659</v>
      </c>
      <c r="B660" s="8">
        <f t="shared" ca="1" si="40"/>
        <v>-1.3173128716422502</v>
      </c>
      <c r="C660" s="57">
        <f t="shared" ca="1" si="41"/>
        <v>-1.6168705205747862E-2</v>
      </c>
      <c r="D660" s="58">
        <f t="shared" ca="1" si="42"/>
        <v>9838312.9479425214</v>
      </c>
      <c r="E660" s="59">
        <f t="shared" ca="1" si="43"/>
        <v>161687.05205747858</v>
      </c>
    </row>
    <row r="661" spans="1:5">
      <c r="A661" s="8">
        <v>660</v>
      </c>
      <c r="B661" s="8">
        <f t="shared" ca="1" si="40"/>
        <v>0.40209561888471845</v>
      </c>
      <c r="C661" s="57">
        <f t="shared" ca="1" si="41"/>
        <v>5.15443733207528E-3</v>
      </c>
      <c r="D661" s="58">
        <f t="shared" ca="1" si="42"/>
        <v>10051544.373320753</v>
      </c>
      <c r="E661" s="59">
        <f t="shared" ca="1" si="43"/>
        <v>-51544.373320752755</v>
      </c>
    </row>
    <row r="662" spans="1:5">
      <c r="A662" s="8">
        <v>661</v>
      </c>
      <c r="B662" s="8">
        <f t="shared" ca="1" si="40"/>
        <v>-1.165251489786522</v>
      </c>
      <c r="C662" s="57">
        <f t="shared" ca="1" si="41"/>
        <v>-1.4282924986752724E-2</v>
      </c>
      <c r="D662" s="58">
        <f t="shared" ca="1" si="42"/>
        <v>9857170.7501324732</v>
      </c>
      <c r="E662" s="59">
        <f t="shared" ca="1" si="43"/>
        <v>142829.24986752681</v>
      </c>
    </row>
    <row r="663" spans="1:5">
      <c r="A663" s="8">
        <v>662</v>
      </c>
      <c r="B663" s="8">
        <f t="shared" ca="1" si="40"/>
        <v>-0.40702126766964503</v>
      </c>
      <c r="C663" s="57">
        <f t="shared" ca="1" si="41"/>
        <v>-4.8797778045910813E-3</v>
      </c>
      <c r="D663" s="58">
        <f t="shared" ca="1" si="42"/>
        <v>9951202.2219540905</v>
      </c>
      <c r="E663" s="59">
        <f t="shared" ca="1" si="43"/>
        <v>48797.778045909479</v>
      </c>
    </row>
    <row r="664" spans="1:5">
      <c r="A664" s="8">
        <v>663</v>
      </c>
      <c r="B664" s="8">
        <f t="shared" ca="1" si="40"/>
        <v>-0.68906476971579456</v>
      </c>
      <c r="C664" s="57">
        <f t="shared" ca="1" si="41"/>
        <v>-8.3775235870105092E-3</v>
      </c>
      <c r="D664" s="58">
        <f t="shared" ca="1" si="42"/>
        <v>9916224.7641298957</v>
      </c>
      <c r="E664" s="59">
        <f t="shared" ca="1" si="43"/>
        <v>83775.235870104283</v>
      </c>
    </row>
    <row r="665" spans="1:5">
      <c r="A665" s="8">
        <v>664</v>
      </c>
      <c r="B665" s="8">
        <f t="shared" ca="1" si="40"/>
        <v>0.6980538383385978</v>
      </c>
      <c r="C665" s="57">
        <f t="shared" ca="1" si="41"/>
        <v>8.8247456581213354E-3</v>
      </c>
      <c r="D665" s="58">
        <f t="shared" ca="1" si="42"/>
        <v>10088247.456581214</v>
      </c>
      <c r="E665" s="59">
        <f t="shared" ca="1" si="43"/>
        <v>-88247.456581214443</v>
      </c>
    </row>
    <row r="666" spans="1:5">
      <c r="A666" s="8">
        <v>665</v>
      </c>
      <c r="B666" s="8">
        <f t="shared" ca="1" si="40"/>
        <v>0.63628121308672014</v>
      </c>
      <c r="C666" s="57">
        <f t="shared" ca="1" si="41"/>
        <v>8.0586761054592879E-3</v>
      </c>
      <c r="D666" s="58">
        <f t="shared" ca="1" si="42"/>
        <v>10080586.761054592</v>
      </c>
      <c r="E666" s="59">
        <f t="shared" ca="1" si="43"/>
        <v>-80586.761054592207</v>
      </c>
    </row>
    <row r="667" spans="1:5">
      <c r="A667" s="8">
        <v>666</v>
      </c>
      <c r="B667" s="8">
        <f t="shared" ca="1" si="40"/>
        <v>-2.4720833664648714</v>
      </c>
      <c r="C667" s="57">
        <f t="shared" ca="1" si="41"/>
        <v>-3.0489523088895975E-2</v>
      </c>
      <c r="D667" s="58">
        <f t="shared" ca="1" si="42"/>
        <v>9695104.769111041</v>
      </c>
      <c r="E667" s="59">
        <f t="shared" ca="1" si="43"/>
        <v>304895.23088895902</v>
      </c>
    </row>
    <row r="668" spans="1:5">
      <c r="A668" s="8">
        <v>667</v>
      </c>
      <c r="B668" s="8">
        <f t="shared" ca="1" si="40"/>
        <v>1.5600906454578958</v>
      </c>
      <c r="C668" s="57">
        <f t="shared" ca="1" si="41"/>
        <v>1.9515244054707236E-2</v>
      </c>
      <c r="D668" s="58">
        <f t="shared" ca="1" si="42"/>
        <v>10195152.440547073</v>
      </c>
      <c r="E668" s="59">
        <f t="shared" ca="1" si="43"/>
        <v>-195152.44054707326</v>
      </c>
    </row>
    <row r="669" spans="1:5">
      <c r="A669" s="8">
        <v>668</v>
      </c>
      <c r="B669" s="8">
        <f t="shared" ca="1" si="40"/>
        <v>0.43359050371573232</v>
      </c>
      <c r="C669" s="57">
        <f t="shared" ca="1" si="41"/>
        <v>5.5450192805558346E-3</v>
      </c>
      <c r="D669" s="58">
        <f t="shared" ca="1" si="42"/>
        <v>10055450.192805557</v>
      </c>
      <c r="E669" s="59">
        <f t="shared" ca="1" si="43"/>
        <v>-55450.19280555658</v>
      </c>
    </row>
    <row r="670" spans="1:5">
      <c r="A670" s="8">
        <v>669</v>
      </c>
      <c r="B670" s="8">
        <f t="shared" ca="1" si="40"/>
        <v>-1.0135161961551307</v>
      </c>
      <c r="C670" s="57">
        <f t="shared" ca="1" si="41"/>
        <v>-1.2401188731554292E-2</v>
      </c>
      <c r="D670" s="58">
        <f t="shared" ca="1" si="42"/>
        <v>9875988.1126844566</v>
      </c>
      <c r="E670" s="59">
        <f t="shared" ca="1" si="43"/>
        <v>124011.88731554337</v>
      </c>
    </row>
    <row r="671" spans="1:5">
      <c r="A671" s="8">
        <v>670</v>
      </c>
      <c r="B671" s="8">
        <f t="shared" ca="1" si="40"/>
        <v>0.96738614823523217</v>
      </c>
      <c r="C671" s="57">
        <f t="shared" ca="1" si="41"/>
        <v>1.2164854344107268E-2</v>
      </c>
      <c r="D671" s="58">
        <f t="shared" ca="1" si="42"/>
        <v>10121648.543441072</v>
      </c>
      <c r="E671" s="59">
        <f t="shared" ca="1" si="43"/>
        <v>-121648.54344107211</v>
      </c>
    </row>
    <row r="672" spans="1:5">
      <c r="A672" s="8">
        <v>671</v>
      </c>
      <c r="B672" s="8">
        <f t="shared" ca="1" si="40"/>
        <v>-0.2505748807914242</v>
      </c>
      <c r="C672" s="57">
        <f t="shared" ca="1" si="41"/>
        <v>-2.9396172055764034E-3</v>
      </c>
      <c r="D672" s="58">
        <f t="shared" ca="1" si="42"/>
        <v>9970603.8279442359</v>
      </c>
      <c r="E672" s="59">
        <f t="shared" ca="1" si="43"/>
        <v>29396.172055764124</v>
      </c>
    </row>
    <row r="673" spans="1:5">
      <c r="A673" s="8">
        <v>672</v>
      </c>
      <c r="B673" s="8">
        <f t="shared" ca="1" si="40"/>
        <v>-0.14084955768766616</v>
      </c>
      <c r="C673" s="57">
        <f t="shared" ca="1" si="41"/>
        <v>-1.5788651112133834E-3</v>
      </c>
      <c r="D673" s="58">
        <f t="shared" ca="1" si="42"/>
        <v>9984211.3488878664</v>
      </c>
      <c r="E673" s="59">
        <f t="shared" ca="1" si="43"/>
        <v>15788.651112133637</v>
      </c>
    </row>
    <row r="674" spans="1:5">
      <c r="A674" s="8">
        <v>673</v>
      </c>
      <c r="B674" s="8">
        <f t="shared" ca="1" si="40"/>
        <v>3.6421160615874436E-2</v>
      </c>
      <c r="C674" s="57">
        <f t="shared" ca="1" si="41"/>
        <v>6.1954720034278178E-4</v>
      </c>
      <c r="D674" s="58">
        <f t="shared" ca="1" si="42"/>
        <v>10006195.472003428</v>
      </c>
      <c r="E674" s="59">
        <f t="shared" ca="1" si="43"/>
        <v>-6195.4720034282655</v>
      </c>
    </row>
    <row r="675" spans="1:5">
      <c r="A675" s="8">
        <v>674</v>
      </c>
      <c r="B675" s="8">
        <f t="shared" ca="1" si="40"/>
        <v>0.46015159296181751</v>
      </c>
      <c r="C675" s="57">
        <f t="shared" ca="1" si="41"/>
        <v>5.8744150553670521E-3</v>
      </c>
      <c r="D675" s="58">
        <f t="shared" ca="1" si="42"/>
        <v>10058744.150553672</v>
      </c>
      <c r="E675" s="59">
        <f t="shared" ca="1" si="43"/>
        <v>-58744.150553671643</v>
      </c>
    </row>
    <row r="676" spans="1:5">
      <c r="A676" s="8">
        <v>675</v>
      </c>
      <c r="B676" s="8">
        <f t="shared" ca="1" si="40"/>
        <v>-0.75439490851081559</v>
      </c>
      <c r="C676" s="57">
        <f t="shared" ca="1" si="41"/>
        <v>-9.1877114331313913E-3</v>
      </c>
      <c r="D676" s="58">
        <f t="shared" ca="1" si="42"/>
        <v>9908122.8856686857</v>
      </c>
      <c r="E676" s="59">
        <f t="shared" ca="1" si="43"/>
        <v>91877.11433131434</v>
      </c>
    </row>
    <row r="677" spans="1:5">
      <c r="A677" s="8">
        <v>676</v>
      </c>
      <c r="B677" s="8">
        <f t="shared" ca="1" si="40"/>
        <v>0.65248136898240072</v>
      </c>
      <c r="C677" s="57">
        <f t="shared" ca="1" si="41"/>
        <v>8.2595813791052752E-3</v>
      </c>
      <c r="D677" s="58">
        <f t="shared" ca="1" si="42"/>
        <v>10082595.813791053</v>
      </c>
      <c r="E677" s="59">
        <f t="shared" ca="1" si="43"/>
        <v>-82595.81379105337</v>
      </c>
    </row>
    <row r="678" spans="1:5">
      <c r="A678" s="8">
        <v>677</v>
      </c>
      <c r="B678" s="8">
        <f t="shared" ca="1" si="40"/>
        <v>-0.58373181804507956</v>
      </c>
      <c r="C678" s="57">
        <f t="shared" ca="1" si="41"/>
        <v>-7.0712432267710859E-3</v>
      </c>
      <c r="D678" s="58">
        <f t="shared" ca="1" si="42"/>
        <v>9929287.5677322894</v>
      </c>
      <c r="E678" s="59">
        <f t="shared" ca="1" si="43"/>
        <v>70712.432267710567</v>
      </c>
    </row>
    <row r="679" spans="1:5">
      <c r="A679" s="8">
        <v>678</v>
      </c>
      <c r="B679" s="8">
        <f t="shared" ca="1" si="40"/>
        <v>0.19753167140474259</v>
      </c>
      <c r="C679" s="57">
        <f t="shared" ca="1" si="41"/>
        <v>2.6175496557334981E-3</v>
      </c>
      <c r="D679" s="58">
        <f t="shared" ca="1" si="42"/>
        <v>10026175.496557334</v>
      </c>
      <c r="E679" s="59">
        <f t="shared" ca="1" si="43"/>
        <v>-26175.496557334438</v>
      </c>
    </row>
    <row r="680" spans="1:5">
      <c r="A680" s="8">
        <v>679</v>
      </c>
      <c r="B680" s="8">
        <f t="shared" ca="1" si="40"/>
        <v>-0.981614330773247</v>
      </c>
      <c r="C680" s="57">
        <f t="shared" ca="1" si="41"/>
        <v>-1.200555963788158E-2</v>
      </c>
      <c r="D680" s="58">
        <f t="shared" ca="1" si="42"/>
        <v>9879944.4036211837</v>
      </c>
      <c r="E680" s="59">
        <f t="shared" ca="1" si="43"/>
        <v>120055.59637881629</v>
      </c>
    </row>
    <row r="681" spans="1:5">
      <c r="A681" s="8">
        <v>680</v>
      </c>
      <c r="B681" s="8">
        <f t="shared" ca="1" si="40"/>
        <v>-2.7009144972733361E-2</v>
      </c>
      <c r="C681" s="57">
        <f t="shared" ca="1" si="41"/>
        <v>-1.6707997681454168E-4</v>
      </c>
      <c r="D681" s="58">
        <f t="shared" ca="1" si="42"/>
        <v>9998329.2002318539</v>
      </c>
      <c r="E681" s="59">
        <f t="shared" ca="1" si="43"/>
        <v>1670.7997681461275</v>
      </c>
    </row>
    <row r="682" spans="1:5">
      <c r="A682" s="8">
        <v>681</v>
      </c>
      <c r="B682" s="8">
        <f t="shared" ca="1" si="40"/>
        <v>-1.2845160777216742</v>
      </c>
      <c r="C682" s="57">
        <f t="shared" ca="1" si="41"/>
        <v>-1.5761977708817963E-2</v>
      </c>
      <c r="D682" s="58">
        <f t="shared" ca="1" si="42"/>
        <v>9842380.2229118198</v>
      </c>
      <c r="E682" s="59">
        <f t="shared" ca="1" si="43"/>
        <v>157619.77708818018</v>
      </c>
    </row>
    <row r="683" spans="1:5">
      <c r="A683" s="8">
        <v>682</v>
      </c>
      <c r="B683" s="8">
        <f t="shared" ca="1" si="40"/>
        <v>2.051677906201073</v>
      </c>
      <c r="C683" s="57">
        <f t="shared" ca="1" si="41"/>
        <v>2.5611634347273603E-2</v>
      </c>
      <c r="D683" s="58">
        <f t="shared" ca="1" si="42"/>
        <v>10256116.343472736</v>
      </c>
      <c r="E683" s="59">
        <f t="shared" ca="1" si="43"/>
        <v>-256116.34347273596</v>
      </c>
    </row>
    <row r="684" spans="1:5">
      <c r="A684" s="8">
        <v>683</v>
      </c>
      <c r="B684" s="8">
        <f t="shared" ca="1" si="40"/>
        <v>-0.53367280386158844</v>
      </c>
      <c r="C684" s="57">
        <f t="shared" ca="1" si="41"/>
        <v>-6.4504393278614399E-3</v>
      </c>
      <c r="D684" s="58">
        <f t="shared" ca="1" si="42"/>
        <v>9935495.6067213845</v>
      </c>
      <c r="E684" s="59">
        <f t="shared" ca="1" si="43"/>
        <v>64504.393278615549</v>
      </c>
    </row>
    <row r="685" spans="1:5">
      <c r="A685" s="8">
        <v>684</v>
      </c>
      <c r="B685" s="8">
        <f t="shared" ca="1" si="40"/>
        <v>0.21650796483289078</v>
      </c>
      <c r="C685" s="57">
        <f t="shared" ca="1" si="41"/>
        <v>2.8528830345304979E-3</v>
      </c>
      <c r="D685" s="58">
        <f t="shared" ca="1" si="42"/>
        <v>10028528.830345305</v>
      </c>
      <c r="E685" s="59">
        <f t="shared" ca="1" si="43"/>
        <v>-28528.830345304683</v>
      </c>
    </row>
    <row r="686" spans="1:5">
      <c r="A686" s="8">
        <v>685</v>
      </c>
      <c r="B686" s="8">
        <f t="shared" ca="1" si="40"/>
        <v>1.7622006774330207E-2</v>
      </c>
      <c r="C686" s="57">
        <f t="shared" ca="1" si="41"/>
        <v>3.864106076353342E-4</v>
      </c>
      <c r="D686" s="58">
        <f t="shared" ca="1" si="42"/>
        <v>10003864.106076352</v>
      </c>
      <c r="E686" s="59">
        <f t="shared" ca="1" si="43"/>
        <v>-3864.1060763522983</v>
      </c>
    </row>
    <row r="687" spans="1:5">
      <c r="A687" s="8">
        <v>686</v>
      </c>
      <c r="B687" s="8">
        <f t="shared" ca="1" si="40"/>
        <v>-0.93517098943508103</v>
      </c>
      <c r="C687" s="57">
        <f t="shared" ca="1" si="41"/>
        <v>-1.1429595291571429E-2</v>
      </c>
      <c r="D687" s="58">
        <f t="shared" ca="1" si="42"/>
        <v>9885704.0470842868</v>
      </c>
      <c r="E687" s="59">
        <f t="shared" ca="1" si="43"/>
        <v>114295.95291571319</v>
      </c>
    </row>
    <row r="688" spans="1:5">
      <c r="A688" s="8">
        <v>687</v>
      </c>
      <c r="B688" s="8">
        <f t="shared" ca="1" si="40"/>
        <v>-1.7291737452710672</v>
      </c>
      <c r="C688" s="57">
        <f t="shared" ca="1" si="41"/>
        <v>-2.1276373431492197E-2</v>
      </c>
      <c r="D688" s="58">
        <f t="shared" ca="1" si="42"/>
        <v>9787236.2656850778</v>
      </c>
      <c r="E688" s="59">
        <f t="shared" ca="1" si="43"/>
        <v>212763.73431492224</v>
      </c>
    </row>
    <row r="689" spans="1:5">
      <c r="A689" s="8">
        <v>688</v>
      </c>
      <c r="B689" s="8">
        <f t="shared" ca="1" si="40"/>
        <v>0.66318487543467097</v>
      </c>
      <c r="C689" s="57">
        <f t="shared" ca="1" si="41"/>
        <v>8.3923202802993237E-3</v>
      </c>
      <c r="D689" s="58">
        <f t="shared" ca="1" si="42"/>
        <v>10083923.202802993</v>
      </c>
      <c r="E689" s="59">
        <f t="shared" ca="1" si="43"/>
        <v>-83923.202802993357</v>
      </c>
    </row>
    <row r="690" spans="1:5">
      <c r="A690" s="8">
        <v>689</v>
      </c>
      <c r="B690" s="8">
        <f t="shared" ca="1" si="40"/>
        <v>0.93416300560336152</v>
      </c>
      <c r="C690" s="57">
        <f t="shared" ca="1" si="41"/>
        <v>1.1752839508891066E-2</v>
      </c>
      <c r="D690" s="58">
        <f t="shared" ca="1" si="42"/>
        <v>10117528.395088911</v>
      </c>
      <c r="E690" s="59">
        <f t="shared" ca="1" si="43"/>
        <v>-117528.39508891106</v>
      </c>
    </row>
    <row r="691" spans="1:5">
      <c r="A691" s="8">
        <v>690</v>
      </c>
      <c r="B691" s="8">
        <f t="shared" ca="1" si="40"/>
        <v>0.53626798104338347</v>
      </c>
      <c r="C691" s="57">
        <f t="shared" ca="1" si="41"/>
        <v>6.8183679330395706E-3</v>
      </c>
      <c r="D691" s="58">
        <f t="shared" ca="1" si="42"/>
        <v>10068183.679330396</v>
      </c>
      <c r="E691" s="59">
        <f t="shared" ca="1" si="43"/>
        <v>-68183.679330395535</v>
      </c>
    </row>
    <row r="692" spans="1:5">
      <c r="A692" s="8">
        <v>691</v>
      </c>
      <c r="B692" s="8">
        <f t="shared" ca="1" si="40"/>
        <v>-0.17347723063152212</v>
      </c>
      <c r="C692" s="57">
        <f t="shared" ca="1" si="41"/>
        <v>-1.9834952643691872E-3</v>
      </c>
      <c r="D692" s="58">
        <f t="shared" ca="1" si="42"/>
        <v>9980165.0473563094</v>
      </c>
      <c r="E692" s="59">
        <f t="shared" ca="1" si="43"/>
        <v>19834.952643690631</v>
      </c>
    </row>
    <row r="693" spans="1:5">
      <c r="A693" s="8">
        <v>692</v>
      </c>
      <c r="B693" s="8">
        <f t="shared" ca="1" si="40"/>
        <v>1.1544236865384563</v>
      </c>
      <c r="C693" s="57">
        <f t="shared" ca="1" si="41"/>
        <v>1.4484389295304862E-2</v>
      </c>
      <c r="D693" s="58">
        <f t="shared" ca="1" si="42"/>
        <v>10144843.892953048</v>
      </c>
      <c r="E693" s="59">
        <f t="shared" ca="1" si="43"/>
        <v>-144843.89295304753</v>
      </c>
    </row>
    <row r="694" spans="1:5">
      <c r="A694" s="8">
        <v>693</v>
      </c>
      <c r="B694" s="8">
        <f t="shared" ca="1" si="40"/>
        <v>-4.6288034228364382E-2</v>
      </c>
      <c r="C694" s="57">
        <f t="shared" ca="1" si="41"/>
        <v>-4.0616597984034769E-4</v>
      </c>
      <c r="D694" s="58">
        <f t="shared" ca="1" si="42"/>
        <v>9995938.3402015958</v>
      </c>
      <c r="E694" s="59">
        <f t="shared" ca="1" si="43"/>
        <v>4061.6597984042019</v>
      </c>
    </row>
    <row r="695" spans="1:5">
      <c r="A695" s="8">
        <v>694</v>
      </c>
      <c r="B695" s="8">
        <f t="shared" ca="1" si="40"/>
        <v>0.36009381552472797</v>
      </c>
      <c r="C695" s="57">
        <f t="shared" ca="1" si="41"/>
        <v>4.6335544558855695E-3</v>
      </c>
      <c r="D695" s="58">
        <f t="shared" ca="1" si="42"/>
        <v>10046335.544558855</v>
      </c>
      <c r="E695" s="59">
        <f t="shared" ca="1" si="43"/>
        <v>-46335.544558854774</v>
      </c>
    </row>
    <row r="696" spans="1:5">
      <c r="A696" s="8">
        <v>695</v>
      </c>
      <c r="B696" s="8">
        <f t="shared" ca="1" si="40"/>
        <v>2.0476618953975905</v>
      </c>
      <c r="C696" s="57">
        <f t="shared" ca="1" si="41"/>
        <v>2.5561830027201964E-2</v>
      </c>
      <c r="D696" s="58">
        <f t="shared" ca="1" si="42"/>
        <v>10255618.30027202</v>
      </c>
      <c r="E696" s="59">
        <f t="shared" ca="1" si="43"/>
        <v>-255618.30027201958</v>
      </c>
    </row>
    <row r="697" spans="1:5">
      <c r="A697" s="8">
        <v>696</v>
      </c>
      <c r="B697" s="8">
        <f t="shared" ca="1" si="40"/>
        <v>1.9071060191583996E-2</v>
      </c>
      <c r="C697" s="57">
        <f t="shared" ca="1" si="41"/>
        <v>4.0438095774774551E-4</v>
      </c>
      <c r="D697" s="58">
        <f t="shared" ca="1" si="42"/>
        <v>10004043.809577476</v>
      </c>
      <c r="E697" s="59">
        <f t="shared" ca="1" si="43"/>
        <v>-4043.8095774762332</v>
      </c>
    </row>
    <row r="698" spans="1:5">
      <c r="A698" s="8">
        <v>697</v>
      </c>
      <c r="B698" s="8">
        <f t="shared" ca="1" si="40"/>
        <v>-1.6837252868348009</v>
      </c>
      <c r="C698" s="57">
        <f t="shared" ca="1" si="41"/>
        <v>-2.0712747066553277E-2</v>
      </c>
      <c r="D698" s="58">
        <f t="shared" ca="1" si="42"/>
        <v>9792872.5293344669</v>
      </c>
      <c r="E698" s="59">
        <f t="shared" ca="1" si="43"/>
        <v>207127.4706655331</v>
      </c>
    </row>
    <row r="699" spans="1:5">
      <c r="A699" s="8">
        <v>698</v>
      </c>
      <c r="B699" s="8">
        <f t="shared" ca="1" si="40"/>
        <v>0.3416217205816624</v>
      </c>
      <c r="C699" s="57">
        <f t="shared" ca="1" si="41"/>
        <v>4.4044738647326951E-3</v>
      </c>
      <c r="D699" s="58">
        <f t="shared" ca="1" si="42"/>
        <v>10044044.738647327</v>
      </c>
      <c r="E699" s="59">
        <f t="shared" ca="1" si="43"/>
        <v>-44044.738647326827</v>
      </c>
    </row>
    <row r="700" spans="1:5">
      <c r="A700" s="8">
        <v>699</v>
      </c>
      <c r="B700" s="8">
        <f t="shared" ca="1" si="40"/>
        <v>0.90885537218163748</v>
      </c>
      <c r="C700" s="57">
        <f t="shared" ca="1" si="41"/>
        <v>1.1438988392231168E-2</v>
      </c>
      <c r="D700" s="58">
        <f t="shared" ca="1" si="42"/>
        <v>10114389.883922312</v>
      </c>
      <c r="E700" s="59">
        <f t="shared" ca="1" si="43"/>
        <v>-114389.88392231241</v>
      </c>
    </row>
    <row r="701" spans="1:5">
      <c r="A701" s="8">
        <v>700</v>
      </c>
      <c r="B701" s="8">
        <f t="shared" ca="1" si="40"/>
        <v>0.76563906584377328</v>
      </c>
      <c r="C701" s="57">
        <f t="shared" ca="1" si="41"/>
        <v>9.6628998532901529E-3</v>
      </c>
      <c r="D701" s="58">
        <f t="shared" ca="1" si="42"/>
        <v>10096628.998532902</v>
      </c>
      <c r="E701" s="59">
        <f t="shared" ca="1" si="43"/>
        <v>-96628.998532902449</v>
      </c>
    </row>
    <row r="702" spans="1:5">
      <c r="A702" s="8">
        <v>701</v>
      </c>
      <c r="B702" s="8">
        <f t="shared" ca="1" si="40"/>
        <v>1.3613731458015319</v>
      </c>
      <c r="C702" s="57">
        <f t="shared" ca="1" si="41"/>
        <v>1.7050860754707471E-2</v>
      </c>
      <c r="D702" s="58">
        <f t="shared" ca="1" si="42"/>
        <v>10170508.607547075</v>
      </c>
      <c r="E702" s="59">
        <f t="shared" ca="1" si="43"/>
        <v>-170508.60754707456</v>
      </c>
    </row>
    <row r="703" spans="1:5">
      <c r="A703" s="8">
        <v>702</v>
      </c>
      <c r="B703" s="8">
        <f t="shared" ca="1" si="40"/>
        <v>-0.93844828044359463</v>
      </c>
      <c r="C703" s="57">
        <f t="shared" ca="1" si="41"/>
        <v>-1.1470238421867385E-2</v>
      </c>
      <c r="D703" s="58">
        <f t="shared" ca="1" si="42"/>
        <v>9885297.6157813258</v>
      </c>
      <c r="E703" s="59">
        <f t="shared" ca="1" si="43"/>
        <v>114702.38421867415</v>
      </c>
    </row>
    <row r="704" spans="1:5">
      <c r="A704" s="8">
        <v>703</v>
      </c>
      <c r="B704" s="8">
        <f t="shared" ca="1" si="40"/>
        <v>0.45185891216295632</v>
      </c>
      <c r="C704" s="57">
        <f t="shared" ca="1" si="41"/>
        <v>5.7715738656968808E-3</v>
      </c>
      <c r="D704" s="58">
        <f t="shared" ca="1" si="42"/>
        <v>10057715.73865697</v>
      </c>
      <c r="E704" s="59">
        <f t="shared" ca="1" si="43"/>
        <v>-57715.738656969741</v>
      </c>
    </row>
    <row r="705" spans="1:5">
      <c r="A705" s="8">
        <v>704</v>
      </c>
      <c r="B705" s="8">
        <f t="shared" ca="1" si="40"/>
        <v>-0.39000978363615563</v>
      </c>
      <c r="C705" s="57">
        <f t="shared" ca="1" si="41"/>
        <v>-4.6688108931069909E-3</v>
      </c>
      <c r="D705" s="58">
        <f t="shared" ca="1" si="42"/>
        <v>9953311.8910689298</v>
      </c>
      <c r="E705" s="59">
        <f t="shared" ca="1" si="43"/>
        <v>46688.108931070194</v>
      </c>
    </row>
    <row r="706" spans="1:5">
      <c r="A706" s="8">
        <v>705</v>
      </c>
      <c r="B706" s="8">
        <f t="shared" ca="1" si="40"/>
        <v>1.6297863753783286</v>
      </c>
      <c r="C706" s="57">
        <f t="shared" ca="1" si="41"/>
        <v>2.0379571520553086E-2</v>
      </c>
      <c r="D706" s="58">
        <f t="shared" ca="1" si="42"/>
        <v>10203795.71520553</v>
      </c>
      <c r="E706" s="59">
        <f t="shared" ca="1" si="43"/>
        <v>-203795.7152055297</v>
      </c>
    </row>
    <row r="707" spans="1:5">
      <c r="A707" s="8">
        <v>706</v>
      </c>
      <c r="B707" s="8">
        <f t="shared" ref="B707:B770" ca="1" si="44">_xlfn.NORM.S.INV(RAND())</f>
        <v>0.90385705623465806</v>
      </c>
      <c r="C707" s="57">
        <f t="shared" ref="C707:C770" ca="1" si="45" xml:space="preserve"> $H$2 + $H$3 * B707</f>
        <v>1.1377002073114033E-2</v>
      </c>
      <c r="D707" s="58">
        <f t="shared" ref="D707:D770" ca="1" si="46">$H$4 * (1 + C707)</f>
        <v>10113770.020731142</v>
      </c>
      <c r="E707" s="59">
        <f t="shared" ref="E707:E770" ca="1" si="47">$H$4-D707</f>
        <v>-113770.02073114179</v>
      </c>
    </row>
    <row r="708" spans="1:5">
      <c r="A708" s="8">
        <v>707</v>
      </c>
      <c r="B708" s="8">
        <f t="shared" ca="1" si="44"/>
        <v>0.52334048889704399</v>
      </c>
      <c r="C708" s="57">
        <f t="shared" ca="1" si="45"/>
        <v>6.6580484050090304E-3</v>
      </c>
      <c r="D708" s="58">
        <f t="shared" ca="1" si="46"/>
        <v>10066580.484050089</v>
      </c>
      <c r="E708" s="59">
        <f t="shared" ca="1" si="47"/>
        <v>-66580.484050089493</v>
      </c>
    </row>
    <row r="709" spans="1:5">
      <c r="A709" s="8">
        <v>708</v>
      </c>
      <c r="B709" s="8">
        <f t="shared" ca="1" si="44"/>
        <v>-0.73914280816541433</v>
      </c>
      <c r="C709" s="57">
        <f t="shared" ca="1" si="45"/>
        <v>-8.9985634142295545E-3</v>
      </c>
      <c r="D709" s="58">
        <f t="shared" ca="1" si="46"/>
        <v>9910014.3658577036</v>
      </c>
      <c r="E709" s="59">
        <f t="shared" ca="1" si="47"/>
        <v>89985.634142296389</v>
      </c>
    </row>
    <row r="710" spans="1:5">
      <c r="A710" s="8">
        <v>709</v>
      </c>
      <c r="B710" s="8">
        <f t="shared" ca="1" si="44"/>
        <v>-0.73961679145009129</v>
      </c>
      <c r="C710" s="57">
        <f t="shared" ca="1" si="45"/>
        <v>-9.0044414898557933E-3</v>
      </c>
      <c r="D710" s="58">
        <f t="shared" ca="1" si="46"/>
        <v>9909955.5851014424</v>
      </c>
      <c r="E710" s="59">
        <f t="shared" ca="1" si="47"/>
        <v>90044.414898557588</v>
      </c>
    </row>
    <row r="711" spans="1:5">
      <c r="A711" s="8">
        <v>710</v>
      </c>
      <c r="B711" s="8">
        <f t="shared" ca="1" si="44"/>
        <v>0.70045793355986463</v>
      </c>
      <c r="C711" s="57">
        <f t="shared" ca="1" si="45"/>
        <v>8.854559902589711E-3</v>
      </c>
      <c r="D711" s="58">
        <f t="shared" ca="1" si="46"/>
        <v>10088545.599025898</v>
      </c>
      <c r="E711" s="59">
        <f t="shared" ca="1" si="47"/>
        <v>-88545.599025897682</v>
      </c>
    </row>
    <row r="712" spans="1:5">
      <c r="A712" s="8">
        <v>711</v>
      </c>
      <c r="B712" s="8">
        <f t="shared" ca="1" si="44"/>
        <v>0.15080531120100441</v>
      </c>
      <c r="C712" s="57">
        <f t="shared" ca="1" si="45"/>
        <v>2.0380754677279409E-3</v>
      </c>
      <c r="D712" s="58">
        <f t="shared" ca="1" si="46"/>
        <v>10020380.754677281</v>
      </c>
      <c r="E712" s="59">
        <f t="shared" ca="1" si="47"/>
        <v>-20380.754677280784</v>
      </c>
    </row>
    <row r="713" spans="1:5">
      <c r="A713" s="8">
        <v>712</v>
      </c>
      <c r="B713" s="8">
        <f t="shared" ca="1" si="44"/>
        <v>-0.59436576215684656</v>
      </c>
      <c r="C713" s="57">
        <f t="shared" ca="1" si="45"/>
        <v>-7.2031194547202441E-3</v>
      </c>
      <c r="D713" s="58">
        <f t="shared" ca="1" si="46"/>
        <v>9927968.8054527976</v>
      </c>
      <c r="E713" s="59">
        <f t="shared" ca="1" si="47"/>
        <v>72031.194547202438</v>
      </c>
    </row>
    <row r="714" spans="1:5">
      <c r="A714" s="8">
        <v>713</v>
      </c>
      <c r="B714" s="8">
        <f t="shared" ca="1" si="44"/>
        <v>0.95133983716759918</v>
      </c>
      <c r="C714" s="57">
        <f t="shared" ca="1" si="45"/>
        <v>1.1965856967982575E-2</v>
      </c>
      <c r="D714" s="58">
        <f t="shared" ca="1" si="46"/>
        <v>10119658.569679826</v>
      </c>
      <c r="E714" s="59">
        <f t="shared" ca="1" si="47"/>
        <v>-119658.5696798265</v>
      </c>
    </row>
    <row r="715" spans="1:5">
      <c r="A715" s="8">
        <v>714</v>
      </c>
      <c r="B715" s="8">
        <f t="shared" ca="1" si="44"/>
        <v>-0.72876347627409832</v>
      </c>
      <c r="C715" s="57">
        <f t="shared" ca="1" si="45"/>
        <v>-8.8698447446491375E-3</v>
      </c>
      <c r="D715" s="58">
        <f t="shared" ca="1" si="46"/>
        <v>9911301.5525535084</v>
      </c>
      <c r="E715" s="59">
        <f t="shared" ca="1" si="47"/>
        <v>88698.447446491569</v>
      </c>
    </row>
    <row r="716" spans="1:5">
      <c r="A716" s="8">
        <v>715</v>
      </c>
      <c r="B716" s="8">
        <f t="shared" ca="1" si="44"/>
        <v>9.0064758406312229E-2</v>
      </c>
      <c r="C716" s="57">
        <f t="shared" ca="1" si="45"/>
        <v>1.2848051005038945E-3</v>
      </c>
      <c r="D716" s="58">
        <f t="shared" ca="1" si="46"/>
        <v>10012848.051005039</v>
      </c>
      <c r="E716" s="59">
        <f t="shared" ca="1" si="47"/>
        <v>-12848.051005039364</v>
      </c>
    </row>
    <row r="717" spans="1:5">
      <c r="A717" s="8">
        <v>716</v>
      </c>
      <c r="B717" s="8">
        <f t="shared" ca="1" si="44"/>
        <v>-0.49139088605010761</v>
      </c>
      <c r="C717" s="57">
        <f t="shared" ca="1" si="45"/>
        <v>-5.9260826288955008E-3</v>
      </c>
      <c r="D717" s="58">
        <f t="shared" ca="1" si="46"/>
        <v>9940739.1737110447</v>
      </c>
      <c r="E717" s="59">
        <f t="shared" ca="1" si="47"/>
        <v>59260.826288955286</v>
      </c>
    </row>
    <row r="718" spans="1:5">
      <c r="A718" s="8">
        <v>717</v>
      </c>
      <c r="B718" s="8">
        <f t="shared" ca="1" si="44"/>
        <v>0.88536003480232706</v>
      </c>
      <c r="C718" s="57">
        <f t="shared" ca="1" si="45"/>
        <v>1.1147612357581174E-2</v>
      </c>
      <c r="D718" s="58">
        <f t="shared" ca="1" si="46"/>
        <v>10111476.12357581</v>
      </c>
      <c r="E718" s="59">
        <f t="shared" ca="1" si="47"/>
        <v>-111476.12357581034</v>
      </c>
    </row>
    <row r="719" spans="1:5">
      <c r="A719" s="8">
        <v>718</v>
      </c>
      <c r="B719" s="8">
        <f t="shared" ca="1" si="44"/>
        <v>1.8509076912109208</v>
      </c>
      <c r="C719" s="57">
        <f t="shared" ca="1" si="45"/>
        <v>2.3121794419664343E-2</v>
      </c>
      <c r="D719" s="58">
        <f t="shared" ca="1" si="46"/>
        <v>10231217.944196645</v>
      </c>
      <c r="E719" s="59">
        <f t="shared" ca="1" si="47"/>
        <v>-231217.94419664517</v>
      </c>
    </row>
    <row r="720" spans="1:5">
      <c r="A720" s="8">
        <v>719</v>
      </c>
      <c r="B720" s="8">
        <f t="shared" ca="1" si="44"/>
        <v>0.49932044838058187</v>
      </c>
      <c r="C720" s="57">
        <f t="shared" ca="1" si="45"/>
        <v>6.3601652954869683E-3</v>
      </c>
      <c r="D720" s="58">
        <f t="shared" ca="1" si="46"/>
        <v>10063601.652954871</v>
      </c>
      <c r="E720" s="59">
        <f t="shared" ca="1" si="47"/>
        <v>-63601.652954870835</v>
      </c>
    </row>
    <row r="721" spans="1:5">
      <c r="A721" s="8">
        <v>720</v>
      </c>
      <c r="B721" s="8">
        <f t="shared" ca="1" si="44"/>
        <v>0.49493674994362191</v>
      </c>
      <c r="C721" s="57">
        <f t="shared" ca="1" si="45"/>
        <v>6.3058011190105095E-3</v>
      </c>
      <c r="D721" s="58">
        <f t="shared" ca="1" si="46"/>
        <v>10063058.011190105</v>
      </c>
      <c r="E721" s="59">
        <f t="shared" ca="1" si="47"/>
        <v>-63058.01119010523</v>
      </c>
    </row>
    <row r="722" spans="1:5">
      <c r="A722" s="8">
        <v>721</v>
      </c>
      <c r="B722" s="8">
        <f t="shared" ca="1" si="44"/>
        <v>1.4772524800225102</v>
      </c>
      <c r="C722" s="57">
        <f t="shared" ca="1" si="45"/>
        <v>1.8487931453378195E-2</v>
      </c>
      <c r="D722" s="58">
        <f t="shared" ca="1" si="46"/>
        <v>10184879.314533781</v>
      </c>
      <c r="E722" s="59">
        <f t="shared" ca="1" si="47"/>
        <v>-184879.31453378126</v>
      </c>
    </row>
    <row r="723" spans="1:5">
      <c r="A723" s="8">
        <v>722</v>
      </c>
      <c r="B723" s="8">
        <f t="shared" ca="1" si="44"/>
        <v>1.4589741150825304</v>
      </c>
      <c r="C723" s="57">
        <f t="shared" ca="1" si="45"/>
        <v>1.8261253393382058E-2</v>
      </c>
      <c r="D723" s="58">
        <f t="shared" ca="1" si="46"/>
        <v>10182612.533933822</v>
      </c>
      <c r="E723" s="59">
        <f t="shared" ca="1" si="47"/>
        <v>-182612.53393382207</v>
      </c>
    </row>
    <row r="724" spans="1:5">
      <c r="A724" s="8">
        <v>723</v>
      </c>
      <c r="B724" s="8">
        <f t="shared" ca="1" si="44"/>
        <v>0.79872684520016568</v>
      </c>
      <c r="C724" s="57">
        <f t="shared" ca="1" si="45"/>
        <v>1.0073235988864405E-2</v>
      </c>
      <c r="D724" s="58">
        <f t="shared" ca="1" si="46"/>
        <v>10100732.359888645</v>
      </c>
      <c r="E724" s="59">
        <f t="shared" ca="1" si="47"/>
        <v>-100732.35988864489</v>
      </c>
    </row>
    <row r="725" spans="1:5">
      <c r="A725" s="8">
        <v>724</v>
      </c>
      <c r="B725" s="8">
        <f t="shared" ca="1" si="44"/>
        <v>0.92364596800365217</v>
      </c>
      <c r="C725" s="57">
        <f t="shared" ca="1" si="45"/>
        <v>1.1622413090125671E-2</v>
      </c>
      <c r="D725" s="58">
        <f t="shared" ca="1" si="46"/>
        <v>10116224.130901257</v>
      </c>
      <c r="E725" s="59">
        <f t="shared" ca="1" si="47"/>
        <v>-116224.13090125658</v>
      </c>
    </row>
    <row r="726" spans="1:5">
      <c r="A726" s="8">
        <v>725</v>
      </c>
      <c r="B726" s="8">
        <f t="shared" ca="1" si="44"/>
        <v>0.64079333395505156</v>
      </c>
      <c r="C726" s="57">
        <f t="shared" ca="1" si="45"/>
        <v>8.1146329051106792E-3</v>
      </c>
      <c r="D726" s="58">
        <f t="shared" ca="1" si="46"/>
        <v>10081146.329051107</v>
      </c>
      <c r="E726" s="59">
        <f t="shared" ca="1" si="47"/>
        <v>-81146.329051107168</v>
      </c>
    </row>
    <row r="727" spans="1:5">
      <c r="A727" s="8">
        <v>726</v>
      </c>
      <c r="B727" s="8">
        <f t="shared" ca="1" si="44"/>
        <v>-1.5432021133514393</v>
      </c>
      <c r="C727" s="57">
        <f t="shared" ca="1" si="45"/>
        <v>-1.8970057255166671E-2</v>
      </c>
      <c r="D727" s="58">
        <f t="shared" ca="1" si="46"/>
        <v>9810299.4274483342</v>
      </c>
      <c r="E727" s="59">
        <f t="shared" ca="1" si="47"/>
        <v>189700.57255166583</v>
      </c>
    </row>
    <row r="728" spans="1:5">
      <c r="A728" s="8">
        <v>727</v>
      </c>
      <c r="B728" s="8">
        <f t="shared" ca="1" si="44"/>
        <v>-1.0202687428133861</v>
      </c>
      <c r="C728" s="57">
        <f t="shared" ca="1" si="45"/>
        <v>-1.2484930038917007E-2</v>
      </c>
      <c r="D728" s="58">
        <f t="shared" ca="1" si="46"/>
        <v>9875150.6996108294</v>
      </c>
      <c r="E728" s="59">
        <f t="shared" ca="1" si="47"/>
        <v>124849.30038917065</v>
      </c>
    </row>
    <row r="729" spans="1:5">
      <c r="A729" s="8">
        <v>728</v>
      </c>
      <c r="B729" s="8">
        <f t="shared" ca="1" si="44"/>
        <v>-0.23863744172155951</v>
      </c>
      <c r="C729" s="57">
        <f t="shared" ca="1" si="45"/>
        <v>-2.7915757621232015E-3</v>
      </c>
      <c r="D729" s="58">
        <f t="shared" ca="1" si="46"/>
        <v>9972084.2423787676</v>
      </c>
      <c r="E729" s="59">
        <f t="shared" ca="1" si="47"/>
        <v>27915.75762123242</v>
      </c>
    </row>
    <row r="730" spans="1:5">
      <c r="A730" s="8">
        <v>729</v>
      </c>
      <c r="B730" s="8">
        <f t="shared" ca="1" si="44"/>
        <v>-0.68826658327119428</v>
      </c>
      <c r="C730" s="57">
        <f t="shared" ca="1" si="45"/>
        <v>-8.3676249251022176E-3</v>
      </c>
      <c r="D730" s="58">
        <f t="shared" ca="1" si="46"/>
        <v>9916323.7507489771</v>
      </c>
      <c r="E730" s="59">
        <f t="shared" ca="1" si="47"/>
        <v>83676.249251022935</v>
      </c>
    </row>
    <row r="731" spans="1:5">
      <c r="A731" s="8">
        <v>730</v>
      </c>
      <c r="B731" s="8">
        <f t="shared" ca="1" si="44"/>
        <v>-1.0366295078046812</v>
      </c>
      <c r="C731" s="57">
        <f t="shared" ca="1" si="45"/>
        <v>-1.2687827096747805E-2</v>
      </c>
      <c r="D731" s="58">
        <f t="shared" ca="1" si="46"/>
        <v>9873121.7290325221</v>
      </c>
      <c r="E731" s="59">
        <f t="shared" ca="1" si="47"/>
        <v>126878.27096747793</v>
      </c>
    </row>
    <row r="732" spans="1:5">
      <c r="A732" s="8">
        <v>731</v>
      </c>
      <c r="B732" s="8">
        <f t="shared" ca="1" si="44"/>
        <v>0.60472328519827823</v>
      </c>
      <c r="C732" s="57">
        <f t="shared" ca="1" si="45"/>
        <v>7.6673123322366981E-3</v>
      </c>
      <c r="D732" s="58">
        <f t="shared" ca="1" si="46"/>
        <v>10076673.123322366</v>
      </c>
      <c r="E732" s="59">
        <f t="shared" ca="1" si="47"/>
        <v>-76673.123322365806</v>
      </c>
    </row>
    <row r="733" spans="1:5">
      <c r="A733" s="8">
        <v>732</v>
      </c>
      <c r="B733" s="8">
        <f t="shared" ca="1" si="44"/>
        <v>0.14925242988072088</v>
      </c>
      <c r="C733" s="57">
        <f t="shared" ca="1" si="45"/>
        <v>2.0188175020268524E-3</v>
      </c>
      <c r="D733" s="58">
        <f t="shared" ca="1" si="46"/>
        <v>10020188.175020268</v>
      </c>
      <c r="E733" s="59">
        <f t="shared" ca="1" si="47"/>
        <v>-20188.175020268187</v>
      </c>
    </row>
    <row r="734" spans="1:5">
      <c r="A734" s="8">
        <v>733</v>
      </c>
      <c r="B734" s="8">
        <f t="shared" ca="1" si="44"/>
        <v>0.10949278233706362</v>
      </c>
      <c r="C734" s="57">
        <f t="shared" ca="1" si="45"/>
        <v>1.5257405883684946E-3</v>
      </c>
      <c r="D734" s="58">
        <f t="shared" ca="1" si="46"/>
        <v>10015257.405883685</v>
      </c>
      <c r="E734" s="59">
        <f t="shared" ca="1" si="47"/>
        <v>-15257.405883684754</v>
      </c>
    </row>
    <row r="735" spans="1:5">
      <c r="A735" s="8">
        <v>734</v>
      </c>
      <c r="B735" s="8">
        <f t="shared" ca="1" si="44"/>
        <v>0.6217492099720674</v>
      </c>
      <c r="C735" s="57">
        <f t="shared" ca="1" si="45"/>
        <v>7.8784583297061492E-3</v>
      </c>
      <c r="D735" s="58">
        <f t="shared" ca="1" si="46"/>
        <v>10078784.583297063</v>
      </c>
      <c r="E735" s="59">
        <f t="shared" ca="1" si="47"/>
        <v>-78784.583297062665</v>
      </c>
    </row>
    <row r="736" spans="1:5">
      <c r="A736" s="8">
        <v>735</v>
      </c>
      <c r="B736" s="8">
        <f t="shared" ca="1" si="44"/>
        <v>-0.92714205017394358</v>
      </c>
      <c r="C736" s="57">
        <f t="shared" ca="1" si="45"/>
        <v>-1.1330024876957339E-2</v>
      </c>
      <c r="D736" s="58">
        <f t="shared" ca="1" si="46"/>
        <v>9886699.7512304261</v>
      </c>
      <c r="E736" s="59">
        <f t="shared" ca="1" si="47"/>
        <v>113300.24876957387</v>
      </c>
    </row>
    <row r="737" spans="1:5">
      <c r="A737" s="8">
        <v>736</v>
      </c>
      <c r="B737" s="8">
        <f t="shared" ca="1" si="44"/>
        <v>1.3662843222049297</v>
      </c>
      <c r="C737" s="57">
        <f t="shared" ca="1" si="45"/>
        <v>1.7111766417937008E-2</v>
      </c>
      <c r="D737" s="58">
        <f t="shared" ca="1" si="46"/>
        <v>10171117.66417937</v>
      </c>
      <c r="E737" s="59">
        <f t="shared" ca="1" si="47"/>
        <v>-171117.66417936981</v>
      </c>
    </row>
    <row r="738" spans="1:5">
      <c r="A738" s="8">
        <v>737</v>
      </c>
      <c r="B738" s="8">
        <f t="shared" ca="1" si="44"/>
        <v>0.77045557833779876</v>
      </c>
      <c r="C738" s="57">
        <f t="shared" ca="1" si="45"/>
        <v>9.7226315476554824E-3</v>
      </c>
      <c r="D738" s="58">
        <f t="shared" ca="1" si="46"/>
        <v>10097226.315476555</v>
      </c>
      <c r="E738" s="59">
        <f t="shared" ca="1" si="47"/>
        <v>-97226.315476555377</v>
      </c>
    </row>
    <row r="739" spans="1:5">
      <c r="A739" s="8">
        <v>738</v>
      </c>
      <c r="B739" s="8">
        <f t="shared" ca="1" si="44"/>
        <v>-0.51353619562478325</v>
      </c>
      <c r="C739" s="57">
        <f t="shared" ca="1" si="45"/>
        <v>-6.2007163737017191E-3</v>
      </c>
      <c r="D739" s="58">
        <f t="shared" ca="1" si="46"/>
        <v>9937992.8362629823</v>
      </c>
      <c r="E739" s="59">
        <f t="shared" ca="1" si="47"/>
        <v>62007.163737017661</v>
      </c>
    </row>
    <row r="740" spans="1:5">
      <c r="A740" s="8">
        <v>739</v>
      </c>
      <c r="B740" s="8">
        <f t="shared" ca="1" si="44"/>
        <v>-2.4225244921271512</v>
      </c>
      <c r="C740" s="57">
        <f t="shared" ca="1" si="45"/>
        <v>-2.987492164465546E-2</v>
      </c>
      <c r="D740" s="58">
        <f t="shared" ca="1" si="46"/>
        <v>9701250.7835534457</v>
      </c>
      <c r="E740" s="59">
        <f t="shared" ca="1" si="47"/>
        <v>298749.21644655429</v>
      </c>
    </row>
    <row r="741" spans="1:5">
      <c r="A741" s="8">
        <v>740</v>
      </c>
      <c r="B741" s="8">
        <f t="shared" ca="1" si="44"/>
        <v>-7.4097959535801367E-2</v>
      </c>
      <c r="C741" s="57">
        <f t="shared" ca="1" si="45"/>
        <v>-7.5104912108559722E-4</v>
      </c>
      <c r="D741" s="58">
        <f t="shared" ca="1" si="46"/>
        <v>9992489.5087891445</v>
      </c>
      <c r="E741" s="59">
        <f t="shared" ca="1" si="47"/>
        <v>7510.4912108555436</v>
      </c>
    </row>
    <row r="742" spans="1:5">
      <c r="A742" s="8">
        <v>741</v>
      </c>
      <c r="B742" s="8">
        <f t="shared" ca="1" si="44"/>
        <v>0.52289213203876561</v>
      </c>
      <c r="C742" s="57">
        <f t="shared" ca="1" si="45"/>
        <v>6.6524881339916709E-3</v>
      </c>
      <c r="D742" s="58">
        <f t="shared" ca="1" si="46"/>
        <v>10066524.881339917</v>
      </c>
      <c r="E742" s="59">
        <f t="shared" ca="1" si="47"/>
        <v>-66524.881339916959</v>
      </c>
    </row>
    <row r="743" spans="1:5">
      <c r="A743" s="8">
        <v>742</v>
      </c>
      <c r="B743" s="8">
        <f t="shared" ca="1" si="44"/>
        <v>-0.33549137076033309</v>
      </c>
      <c r="C743" s="57">
        <f t="shared" ca="1" si="45"/>
        <v>-3.9927040254883663E-3</v>
      </c>
      <c r="D743" s="58">
        <f t="shared" ca="1" si="46"/>
        <v>9960072.9597451165</v>
      </c>
      <c r="E743" s="59">
        <f t="shared" ca="1" si="47"/>
        <v>39927.040254883468</v>
      </c>
    </row>
    <row r="744" spans="1:5">
      <c r="A744" s="8">
        <v>743</v>
      </c>
      <c r="B744" s="8">
        <f t="shared" ca="1" si="44"/>
        <v>0.67105572945293523</v>
      </c>
      <c r="C744" s="57">
        <f t="shared" ca="1" si="45"/>
        <v>8.4899302101388643E-3</v>
      </c>
      <c r="D744" s="58">
        <f t="shared" ca="1" si="46"/>
        <v>10084899.302101389</v>
      </c>
      <c r="E744" s="59">
        <f t="shared" ca="1" si="47"/>
        <v>-84899.302101388574</v>
      </c>
    </row>
    <row r="745" spans="1:5">
      <c r="A745" s="8">
        <v>744</v>
      </c>
      <c r="B745" s="8">
        <f t="shared" ca="1" si="44"/>
        <v>0.10682072603722197</v>
      </c>
      <c r="C745" s="57">
        <f t="shared" ca="1" si="45"/>
        <v>1.4926032404581388E-3</v>
      </c>
      <c r="D745" s="58">
        <f t="shared" ca="1" si="46"/>
        <v>10014926.032404581</v>
      </c>
      <c r="E745" s="59">
        <f t="shared" ca="1" si="47"/>
        <v>-14926.032404581085</v>
      </c>
    </row>
    <row r="746" spans="1:5">
      <c r="A746" s="8">
        <v>745</v>
      </c>
      <c r="B746" s="8">
        <f t="shared" ca="1" si="44"/>
        <v>1.592611128084501</v>
      </c>
      <c r="C746" s="57">
        <f t="shared" ca="1" si="45"/>
        <v>1.9918544893493588E-2</v>
      </c>
      <c r="D746" s="58">
        <f t="shared" ca="1" si="46"/>
        <v>10199185.448934935</v>
      </c>
      <c r="E746" s="59">
        <f t="shared" ca="1" si="47"/>
        <v>-199185.44893493503</v>
      </c>
    </row>
    <row r="747" spans="1:5">
      <c r="A747" s="8">
        <v>746</v>
      </c>
      <c r="B747" s="8">
        <f t="shared" ca="1" si="44"/>
        <v>-0.76974298904309302</v>
      </c>
      <c r="C747" s="57">
        <f t="shared" ca="1" si="45"/>
        <v>-9.3780497446349226E-3</v>
      </c>
      <c r="D747" s="58">
        <f t="shared" ca="1" si="46"/>
        <v>9906219.5025536511</v>
      </c>
      <c r="E747" s="59">
        <f t="shared" ca="1" si="47"/>
        <v>93780.497446348891</v>
      </c>
    </row>
    <row r="748" spans="1:5">
      <c r="A748" s="8">
        <v>747</v>
      </c>
      <c r="B748" s="8">
        <f t="shared" ca="1" si="44"/>
        <v>0.78041661891809011</v>
      </c>
      <c r="C748" s="57">
        <f t="shared" ca="1" si="45"/>
        <v>9.8461628023217285E-3</v>
      </c>
      <c r="D748" s="58">
        <f t="shared" ca="1" si="46"/>
        <v>10098461.628023217</v>
      </c>
      <c r="E748" s="59">
        <f t="shared" ca="1" si="47"/>
        <v>-98461.628023216501</v>
      </c>
    </row>
    <row r="749" spans="1:5">
      <c r="A749" s="8">
        <v>748</v>
      </c>
      <c r="B749" s="8">
        <f t="shared" ca="1" si="44"/>
        <v>-0.89724180946604482</v>
      </c>
      <c r="C749" s="57">
        <f t="shared" ca="1" si="45"/>
        <v>-1.0959218813103168E-2</v>
      </c>
      <c r="D749" s="58">
        <f t="shared" ca="1" si="46"/>
        <v>9890407.8118689694</v>
      </c>
      <c r="E749" s="59">
        <f t="shared" ca="1" si="47"/>
        <v>109592.18813103065</v>
      </c>
    </row>
    <row r="750" spans="1:5">
      <c r="A750" s="8">
        <v>749</v>
      </c>
      <c r="B750" s="8">
        <f t="shared" ca="1" si="44"/>
        <v>1.2081941935786609</v>
      </c>
      <c r="C750" s="57">
        <f t="shared" ca="1" si="45"/>
        <v>1.5151221053008878E-2</v>
      </c>
      <c r="D750" s="58">
        <f t="shared" ca="1" si="46"/>
        <v>10151512.210530089</v>
      </c>
      <c r="E750" s="59">
        <f t="shared" ca="1" si="47"/>
        <v>-151512.21053008921</v>
      </c>
    </row>
    <row r="751" spans="1:5">
      <c r="A751" s="8">
        <v>750</v>
      </c>
      <c r="B751" s="8">
        <f t="shared" ca="1" si="44"/>
        <v>0.37967471853546558</v>
      </c>
      <c r="C751" s="57">
        <f t="shared" ca="1" si="45"/>
        <v>4.8763858646040902E-3</v>
      </c>
      <c r="D751" s="58">
        <f t="shared" ca="1" si="46"/>
        <v>10048763.858646041</v>
      </c>
      <c r="E751" s="59">
        <f t="shared" ca="1" si="47"/>
        <v>-48763.858646040782</v>
      </c>
    </row>
    <row r="752" spans="1:5">
      <c r="A752" s="8">
        <v>751</v>
      </c>
      <c r="B752" s="8">
        <f t="shared" ca="1" si="44"/>
        <v>-0.44347069489208918</v>
      </c>
      <c r="C752" s="57">
        <f t="shared" ca="1" si="45"/>
        <v>-5.3318032170327663E-3</v>
      </c>
      <c r="D752" s="58">
        <f t="shared" ca="1" si="46"/>
        <v>9946681.9678296726</v>
      </c>
      <c r="E752" s="59">
        <f t="shared" ca="1" si="47"/>
        <v>53318.03217032738</v>
      </c>
    </row>
    <row r="753" spans="1:5">
      <c r="A753" s="8">
        <v>752</v>
      </c>
      <c r="B753" s="8">
        <f t="shared" ca="1" si="44"/>
        <v>0.39320683736291473</v>
      </c>
      <c r="C753" s="57">
        <f t="shared" ca="1" si="45"/>
        <v>5.0442036346024363E-3</v>
      </c>
      <c r="D753" s="58">
        <f t="shared" ca="1" si="46"/>
        <v>10050442.036346024</v>
      </c>
      <c r="E753" s="59">
        <f t="shared" ca="1" si="47"/>
        <v>-50442.036346023902</v>
      </c>
    </row>
    <row r="754" spans="1:5">
      <c r="A754" s="8">
        <v>753</v>
      </c>
      <c r="B754" s="8">
        <f t="shared" ca="1" si="44"/>
        <v>0.95600508088720171</v>
      </c>
      <c r="C754" s="57">
        <f t="shared" ca="1" si="45"/>
        <v>1.2023712711603032E-2</v>
      </c>
      <c r="D754" s="58">
        <f t="shared" ca="1" si="46"/>
        <v>10120237.12711603</v>
      </c>
      <c r="E754" s="59">
        <f t="shared" ca="1" si="47"/>
        <v>-120237.12711603008</v>
      </c>
    </row>
    <row r="755" spans="1:5">
      <c r="A755" s="8">
        <v>754</v>
      </c>
      <c r="B755" s="8">
        <f t="shared" ca="1" si="44"/>
        <v>-1.2633856931114125</v>
      </c>
      <c r="C755" s="57">
        <f t="shared" ca="1" si="45"/>
        <v>-1.5499930495833951E-2</v>
      </c>
      <c r="D755" s="58">
        <f t="shared" ca="1" si="46"/>
        <v>9845000.6950416602</v>
      </c>
      <c r="E755" s="59">
        <f t="shared" ca="1" si="47"/>
        <v>154999.30495833978</v>
      </c>
    </row>
    <row r="756" spans="1:5">
      <c r="A756" s="8">
        <v>755</v>
      </c>
      <c r="B756" s="8">
        <f t="shared" ca="1" si="44"/>
        <v>0.17818795271822596</v>
      </c>
      <c r="C756" s="57">
        <f t="shared" ca="1" si="45"/>
        <v>2.3776596743610482E-3</v>
      </c>
      <c r="D756" s="58">
        <f t="shared" ca="1" si="46"/>
        <v>10023776.59674361</v>
      </c>
      <c r="E756" s="59">
        <f t="shared" ca="1" si="47"/>
        <v>-23776.596743609756</v>
      </c>
    </row>
    <row r="757" spans="1:5">
      <c r="A757" s="8">
        <v>756</v>
      </c>
      <c r="B757" s="8">
        <f t="shared" ca="1" si="44"/>
        <v>0.95876327135414108</v>
      </c>
      <c r="C757" s="57">
        <f t="shared" ca="1" si="45"/>
        <v>1.2057918247284079E-2</v>
      </c>
      <c r="D757" s="58">
        <f t="shared" ca="1" si="46"/>
        <v>10120579.18247284</v>
      </c>
      <c r="E757" s="59">
        <f t="shared" ca="1" si="47"/>
        <v>-120579.18247283995</v>
      </c>
    </row>
    <row r="758" spans="1:5">
      <c r="A758" s="8">
        <v>757</v>
      </c>
      <c r="B758" s="8">
        <f t="shared" ca="1" si="44"/>
        <v>-0.27409399040227245</v>
      </c>
      <c r="C758" s="57">
        <f t="shared" ca="1" si="45"/>
        <v>-3.2312880501475512E-3</v>
      </c>
      <c r="D758" s="58">
        <f t="shared" ca="1" si="46"/>
        <v>9967687.1194985248</v>
      </c>
      <c r="E758" s="59">
        <f t="shared" ca="1" si="47"/>
        <v>32312.880501475185</v>
      </c>
    </row>
    <row r="759" spans="1:5">
      <c r="A759" s="8">
        <v>758</v>
      </c>
      <c r="B759" s="8">
        <f t="shared" ca="1" si="44"/>
        <v>-0.59781966617218363</v>
      </c>
      <c r="C759" s="57">
        <f t="shared" ca="1" si="45"/>
        <v>-7.2459528407577993E-3</v>
      </c>
      <c r="D759" s="58">
        <f t="shared" ca="1" si="46"/>
        <v>9927540.4715924226</v>
      </c>
      <c r="E759" s="59">
        <f t="shared" ca="1" si="47"/>
        <v>72459.528407577425</v>
      </c>
    </row>
    <row r="760" spans="1:5">
      <c r="A760" s="8">
        <v>759</v>
      </c>
      <c r="B760" s="8">
        <f t="shared" ca="1" si="44"/>
        <v>0.7977957184208444</v>
      </c>
      <c r="C760" s="57">
        <f t="shared" ca="1" si="45"/>
        <v>1.0061688675270434E-2</v>
      </c>
      <c r="D760" s="58">
        <f t="shared" ca="1" si="46"/>
        <v>10100616.886752704</v>
      </c>
      <c r="E760" s="59">
        <f t="shared" ca="1" si="47"/>
        <v>-100616.88675270416</v>
      </c>
    </row>
    <row r="761" spans="1:5">
      <c r="A761" s="8">
        <v>760</v>
      </c>
      <c r="B761" s="8">
        <f t="shared" ca="1" si="44"/>
        <v>0.9364811879529088</v>
      </c>
      <c r="C761" s="57">
        <f t="shared" ca="1" si="45"/>
        <v>1.1781588309970276E-2</v>
      </c>
      <c r="D761" s="58">
        <f t="shared" ca="1" si="46"/>
        <v>10117815.883099703</v>
      </c>
      <c r="E761" s="59">
        <f t="shared" ca="1" si="47"/>
        <v>-117815.88309970312</v>
      </c>
    </row>
    <row r="762" spans="1:5">
      <c r="A762" s="8">
        <v>761</v>
      </c>
      <c r="B762" s="8">
        <f t="shared" ca="1" si="44"/>
        <v>-1.2068254423294682</v>
      </c>
      <c r="C762" s="57">
        <f t="shared" ca="1" si="45"/>
        <v>-1.4798501896380665E-2</v>
      </c>
      <c r="D762" s="58">
        <f t="shared" ca="1" si="46"/>
        <v>9852014.9810361937</v>
      </c>
      <c r="E762" s="59">
        <f t="shared" ca="1" si="47"/>
        <v>147985.01896380633</v>
      </c>
    </row>
    <row r="763" spans="1:5">
      <c r="A763" s="8">
        <v>762</v>
      </c>
      <c r="B763" s="8">
        <f t="shared" ca="1" si="44"/>
        <v>-1.2253718684652073</v>
      </c>
      <c r="C763" s="57">
        <f t="shared" ca="1" si="45"/>
        <v>-1.5028504301416112E-2</v>
      </c>
      <c r="D763" s="58">
        <f t="shared" ca="1" si="46"/>
        <v>9849714.9569858387</v>
      </c>
      <c r="E763" s="59">
        <f t="shared" ca="1" si="47"/>
        <v>150285.04301416129</v>
      </c>
    </row>
    <row r="764" spans="1:5">
      <c r="A764" s="8">
        <v>763</v>
      </c>
      <c r="B764" s="8">
        <f t="shared" ca="1" si="44"/>
        <v>-0.54470031288059262</v>
      </c>
      <c r="C764" s="57">
        <f t="shared" ca="1" si="45"/>
        <v>-6.5871963276929865E-3</v>
      </c>
      <c r="D764" s="58">
        <f t="shared" ca="1" si="46"/>
        <v>9934128.0367230698</v>
      </c>
      <c r="E764" s="59">
        <f t="shared" ca="1" si="47"/>
        <v>65871.963276930153</v>
      </c>
    </row>
    <row r="765" spans="1:5">
      <c r="A765" s="8">
        <v>764</v>
      </c>
      <c r="B765" s="8">
        <f t="shared" ca="1" si="44"/>
        <v>1.381824870619178</v>
      </c>
      <c r="C765" s="57">
        <f t="shared" ca="1" si="45"/>
        <v>1.7304491608477041E-2</v>
      </c>
      <c r="D765" s="58">
        <f t="shared" ca="1" si="46"/>
        <v>10173044.91608477</v>
      </c>
      <c r="E765" s="59">
        <f t="shared" ca="1" si="47"/>
        <v>-173044.91608477011</v>
      </c>
    </row>
    <row r="766" spans="1:5">
      <c r="A766" s="8">
        <v>765</v>
      </c>
      <c r="B766" s="8">
        <f t="shared" ca="1" si="44"/>
        <v>-0.14176653973982595</v>
      </c>
      <c r="C766" s="57">
        <f t="shared" ca="1" si="45"/>
        <v>-1.5902370098113926E-3</v>
      </c>
      <c r="D766" s="58">
        <f t="shared" ca="1" si="46"/>
        <v>9984097.629901886</v>
      </c>
      <c r="E766" s="59">
        <f t="shared" ca="1" si="47"/>
        <v>15902.370098114014</v>
      </c>
    </row>
    <row r="767" spans="1:5">
      <c r="A767" s="8">
        <v>766</v>
      </c>
      <c r="B767" s="8">
        <f t="shared" ca="1" si="44"/>
        <v>1.6175629058733285</v>
      </c>
      <c r="C767" s="57">
        <f t="shared" ca="1" si="45"/>
        <v>2.0227982887602945E-2</v>
      </c>
      <c r="D767" s="58">
        <f t="shared" ca="1" si="46"/>
        <v>10202279.828876028</v>
      </c>
      <c r="E767" s="59">
        <f t="shared" ca="1" si="47"/>
        <v>-202279.82887602784</v>
      </c>
    </row>
    <row r="768" spans="1:5">
      <c r="A768" s="8">
        <v>767</v>
      </c>
      <c r="B768" s="8">
        <f t="shared" ca="1" si="44"/>
        <v>0.62668197653014746</v>
      </c>
      <c r="C768" s="57">
        <f t="shared" ca="1" si="45"/>
        <v>7.9396317419599838E-3</v>
      </c>
      <c r="D768" s="58">
        <f t="shared" ca="1" si="46"/>
        <v>10079396.3174196</v>
      </c>
      <c r="E768" s="59">
        <f t="shared" ca="1" si="47"/>
        <v>-79396.317419599742</v>
      </c>
    </row>
    <row r="769" spans="1:5">
      <c r="A769" s="8">
        <v>768</v>
      </c>
      <c r="B769" s="8">
        <f t="shared" ca="1" si="44"/>
        <v>-2.055729802948512</v>
      </c>
      <c r="C769" s="57">
        <f t="shared" ca="1" si="45"/>
        <v>-2.5326139035657416E-2</v>
      </c>
      <c r="D769" s="58">
        <f t="shared" ca="1" si="46"/>
        <v>9746738.6096434258</v>
      </c>
      <c r="E769" s="59">
        <f t="shared" ca="1" si="47"/>
        <v>253261.39035657421</v>
      </c>
    </row>
    <row r="770" spans="1:5">
      <c r="A770" s="8">
        <v>769</v>
      </c>
      <c r="B770" s="8">
        <f t="shared" ca="1" si="44"/>
        <v>-0.41072712874076628</v>
      </c>
      <c r="C770" s="57">
        <f t="shared" ca="1" si="45"/>
        <v>-4.9257358211300542E-3</v>
      </c>
      <c r="D770" s="58">
        <f t="shared" ca="1" si="46"/>
        <v>9950742.6417886987</v>
      </c>
      <c r="E770" s="59">
        <f t="shared" ca="1" si="47"/>
        <v>49257.358211301267</v>
      </c>
    </row>
    <row r="771" spans="1:5">
      <c r="A771" s="8">
        <v>770</v>
      </c>
      <c r="B771" s="8">
        <f t="shared" ref="B771:B834" ca="1" si="48">_xlfn.NORM.S.INV(RAND())</f>
        <v>0.82465643016426338</v>
      </c>
      <c r="C771" s="57">
        <f t="shared" ref="C771:C834" ca="1" si="49" xml:space="preserve"> $H$2 + $H$3 * B771</f>
        <v>1.0394800200732754E-2</v>
      </c>
      <c r="D771" s="58">
        <f t="shared" ref="D771:D834" ca="1" si="50">$H$4 * (1 + C771)</f>
        <v>10103948.002007328</v>
      </c>
      <c r="E771" s="59">
        <f t="shared" ref="E771:E834" ca="1" si="51">$H$4-D771</f>
        <v>-103948.00200732797</v>
      </c>
    </row>
    <row r="772" spans="1:5">
      <c r="A772" s="8">
        <v>771</v>
      </c>
      <c r="B772" s="8">
        <f t="shared" ca="1" si="48"/>
        <v>1.6515159772176993</v>
      </c>
      <c r="C772" s="57">
        <f t="shared" ca="1" si="49"/>
        <v>2.0649049890506373E-2</v>
      </c>
      <c r="D772" s="58">
        <f t="shared" ca="1" si="50"/>
        <v>10206490.498905063</v>
      </c>
      <c r="E772" s="59">
        <f t="shared" ca="1" si="51"/>
        <v>-206490.49890506268</v>
      </c>
    </row>
    <row r="773" spans="1:5">
      <c r="A773" s="8">
        <v>772</v>
      </c>
      <c r="B773" s="8">
        <f t="shared" ca="1" si="48"/>
        <v>-1.0917270988904064</v>
      </c>
      <c r="C773" s="57">
        <f t="shared" ca="1" si="49"/>
        <v>-1.3371116608626124E-2</v>
      </c>
      <c r="D773" s="58">
        <f t="shared" ca="1" si="50"/>
        <v>9866288.8339137398</v>
      </c>
      <c r="E773" s="59">
        <f t="shared" ca="1" si="51"/>
        <v>133711.16608626023</v>
      </c>
    </row>
    <row r="774" spans="1:5">
      <c r="A774" s="8">
        <v>773</v>
      </c>
      <c r="B774" s="8">
        <f t="shared" ca="1" si="48"/>
        <v>6.9876111491568832E-2</v>
      </c>
      <c r="C774" s="57">
        <f t="shared" ca="1" si="49"/>
        <v>1.0344367917624849E-3</v>
      </c>
      <c r="D774" s="58">
        <f t="shared" ca="1" si="50"/>
        <v>10010344.367917625</v>
      </c>
      <c r="E774" s="59">
        <f t="shared" ca="1" si="51"/>
        <v>-10344.367917625234</v>
      </c>
    </row>
    <row r="775" spans="1:5">
      <c r="A775" s="8">
        <v>774</v>
      </c>
      <c r="B775" s="8">
        <f t="shared" ca="1" si="48"/>
        <v>-1.0925640537494978</v>
      </c>
      <c r="C775" s="57">
        <f t="shared" ca="1" si="49"/>
        <v>-1.3381496054730092E-2</v>
      </c>
      <c r="D775" s="58">
        <f t="shared" ca="1" si="50"/>
        <v>9866185.0394526999</v>
      </c>
      <c r="E775" s="59">
        <f t="shared" ca="1" si="51"/>
        <v>133814.96054730006</v>
      </c>
    </row>
    <row r="776" spans="1:5">
      <c r="A776" s="8">
        <v>775</v>
      </c>
      <c r="B776" s="8">
        <f t="shared" ca="1" si="48"/>
        <v>-0.33063217737333517</v>
      </c>
      <c r="C776" s="57">
        <f t="shared" ca="1" si="49"/>
        <v>-3.9324430265572459E-3</v>
      </c>
      <c r="D776" s="58">
        <f t="shared" ca="1" si="50"/>
        <v>9960675.5697344281</v>
      </c>
      <c r="E776" s="59">
        <f t="shared" ca="1" si="51"/>
        <v>39324.430265571922</v>
      </c>
    </row>
    <row r="777" spans="1:5">
      <c r="A777" s="8">
        <v>776</v>
      </c>
      <c r="B777" s="8">
        <f t="shared" ca="1" si="48"/>
        <v>1.199201293698777</v>
      </c>
      <c r="C777" s="57">
        <f t="shared" ca="1" si="49"/>
        <v>1.5039696137886256E-2</v>
      </c>
      <c r="D777" s="58">
        <f t="shared" ca="1" si="50"/>
        <v>10150396.961378863</v>
      </c>
      <c r="E777" s="59">
        <f t="shared" ca="1" si="51"/>
        <v>-150396.96137886308</v>
      </c>
    </row>
    <row r="778" spans="1:5">
      <c r="A778" s="8">
        <v>777</v>
      </c>
      <c r="B778" s="8">
        <f t="shared" ca="1" si="48"/>
        <v>1.4429005332798917</v>
      </c>
      <c r="C778" s="57">
        <f t="shared" ca="1" si="49"/>
        <v>1.8061917820852706E-2</v>
      </c>
      <c r="D778" s="58">
        <f t="shared" ca="1" si="50"/>
        <v>10180619.178208528</v>
      </c>
      <c r="E778" s="59">
        <f t="shared" ca="1" si="51"/>
        <v>-180619.17820852809</v>
      </c>
    </row>
    <row r="779" spans="1:5">
      <c r="A779" s="8">
        <v>778</v>
      </c>
      <c r="B779" s="8">
        <f t="shared" ca="1" si="48"/>
        <v>5.4908514260488518E-2</v>
      </c>
      <c r="C779" s="57">
        <f t="shared" ca="1" si="49"/>
        <v>8.488170213789871E-4</v>
      </c>
      <c r="D779" s="58">
        <f t="shared" ca="1" si="50"/>
        <v>10008488.170213789</v>
      </c>
      <c r="E779" s="59">
        <f t="shared" ca="1" si="51"/>
        <v>-8488.1702137887478</v>
      </c>
    </row>
    <row r="780" spans="1:5">
      <c r="A780" s="8">
        <v>779</v>
      </c>
      <c r="B780" s="8">
        <f t="shared" ca="1" si="48"/>
        <v>-1.7088347991707582</v>
      </c>
      <c r="C780" s="57">
        <f t="shared" ca="1" si="49"/>
        <v>-2.1024141196304694E-2</v>
      </c>
      <c r="D780" s="58">
        <f t="shared" ca="1" si="50"/>
        <v>9789758.5880369525</v>
      </c>
      <c r="E780" s="59">
        <f t="shared" ca="1" si="51"/>
        <v>210241.41196304746</v>
      </c>
    </row>
    <row r="781" spans="1:5">
      <c r="A781" s="8">
        <v>780</v>
      </c>
      <c r="B781" s="8">
        <f t="shared" ca="1" si="48"/>
        <v>0.11841975026166504</v>
      </c>
      <c r="C781" s="57">
        <f t="shared" ca="1" si="49"/>
        <v>1.6364478522534786E-3</v>
      </c>
      <c r="D781" s="58">
        <f t="shared" ca="1" si="50"/>
        <v>10016364.478522535</v>
      </c>
      <c r="E781" s="59">
        <f t="shared" ca="1" si="51"/>
        <v>-16364.478522535414</v>
      </c>
    </row>
    <row r="782" spans="1:5">
      <c r="A782" s="8">
        <v>781</v>
      </c>
      <c r="B782" s="8">
        <f t="shared" ca="1" si="48"/>
        <v>-1.7188243786014312</v>
      </c>
      <c r="C782" s="57">
        <f t="shared" ca="1" si="49"/>
        <v>-2.1148026373833312E-2</v>
      </c>
      <c r="D782" s="58">
        <f t="shared" ca="1" si="50"/>
        <v>9788519.7362616677</v>
      </c>
      <c r="E782" s="59">
        <f t="shared" ca="1" si="51"/>
        <v>211480.26373833232</v>
      </c>
    </row>
    <row r="783" spans="1:5">
      <c r="A783" s="8">
        <v>782</v>
      </c>
      <c r="B783" s="8">
        <f t="shared" ca="1" si="48"/>
        <v>-2.0674804337776096</v>
      </c>
      <c r="C783" s="57">
        <f t="shared" ca="1" si="49"/>
        <v>-2.5471863787779228E-2</v>
      </c>
      <c r="D783" s="58">
        <f t="shared" ca="1" si="50"/>
        <v>9745281.3621222079</v>
      </c>
      <c r="E783" s="59">
        <f t="shared" ca="1" si="51"/>
        <v>254718.63787779212</v>
      </c>
    </row>
    <row r="784" spans="1:5">
      <c r="A784" s="8">
        <v>783</v>
      </c>
      <c r="B784" s="8">
        <f t="shared" ca="1" si="48"/>
        <v>0.23041653489543582</v>
      </c>
      <c r="C784" s="57">
        <f t="shared" ca="1" si="49"/>
        <v>3.0253693422199828E-3</v>
      </c>
      <c r="D784" s="58">
        <f t="shared" ca="1" si="50"/>
        <v>10030253.6934222</v>
      </c>
      <c r="E784" s="59">
        <f t="shared" ca="1" si="51"/>
        <v>-30253.693422200158</v>
      </c>
    </row>
    <row r="785" spans="1:5">
      <c r="A785" s="8">
        <v>784</v>
      </c>
      <c r="B785" s="8">
        <f t="shared" ca="1" si="48"/>
        <v>0.72940875615441658</v>
      </c>
      <c r="C785" s="57">
        <f t="shared" ca="1" si="49"/>
        <v>9.2135918139545688E-3</v>
      </c>
      <c r="D785" s="58">
        <f t="shared" ca="1" si="50"/>
        <v>10092135.918139547</v>
      </c>
      <c r="E785" s="59">
        <f t="shared" ca="1" si="51"/>
        <v>-92135.91813954711</v>
      </c>
    </row>
    <row r="786" spans="1:5">
      <c r="A786" s="8">
        <v>785</v>
      </c>
      <c r="B786" s="8">
        <f t="shared" ca="1" si="48"/>
        <v>1.5271666972061981</v>
      </c>
      <c r="C786" s="57">
        <f t="shared" ca="1" si="49"/>
        <v>1.910693966087253E-2</v>
      </c>
      <c r="D786" s="58">
        <f t="shared" ca="1" si="50"/>
        <v>10191069.396608725</v>
      </c>
      <c r="E786" s="59">
        <f t="shared" ca="1" si="51"/>
        <v>-191069.39660872519</v>
      </c>
    </row>
    <row r="787" spans="1:5">
      <c r="A787" s="8">
        <v>786</v>
      </c>
      <c r="B787" s="8">
        <f t="shared" ca="1" si="48"/>
        <v>1.0091352104024351</v>
      </c>
      <c r="C787" s="57">
        <f t="shared" ca="1" si="49"/>
        <v>1.2682602865366967E-2</v>
      </c>
      <c r="D787" s="58">
        <f t="shared" ca="1" si="50"/>
        <v>10126826.02865367</v>
      </c>
      <c r="E787" s="59">
        <f t="shared" ca="1" si="51"/>
        <v>-126826.0286536701</v>
      </c>
    </row>
    <row r="788" spans="1:5">
      <c r="A788" s="8">
        <v>787</v>
      </c>
      <c r="B788" s="8">
        <f t="shared" ca="1" si="48"/>
        <v>0.42154873935632053</v>
      </c>
      <c r="C788" s="57">
        <f t="shared" ca="1" si="49"/>
        <v>5.3956840532045254E-3</v>
      </c>
      <c r="D788" s="58">
        <f t="shared" ca="1" si="50"/>
        <v>10053956.840532046</v>
      </c>
      <c r="E788" s="59">
        <f t="shared" ca="1" si="51"/>
        <v>-53956.840532045811</v>
      </c>
    </row>
    <row r="789" spans="1:5">
      <c r="A789" s="8">
        <v>788</v>
      </c>
      <c r="B789" s="8">
        <f t="shared" ca="1" si="48"/>
        <v>0.2907957876249459</v>
      </c>
      <c r="C789" s="57">
        <f t="shared" ca="1" si="49"/>
        <v>3.7741590680890236E-3</v>
      </c>
      <c r="D789" s="58">
        <f t="shared" ca="1" si="50"/>
        <v>10037741.590680892</v>
      </c>
      <c r="E789" s="59">
        <f t="shared" ca="1" si="51"/>
        <v>-37741.590680891648</v>
      </c>
    </row>
    <row r="790" spans="1:5">
      <c r="A790" s="8">
        <v>789</v>
      </c>
      <c r="B790" s="8">
        <f t="shared" ca="1" si="48"/>
        <v>-0.59695833932078768</v>
      </c>
      <c r="C790" s="57">
        <f t="shared" ca="1" si="49"/>
        <v>-7.2352711468350586E-3</v>
      </c>
      <c r="D790" s="58">
        <f t="shared" ca="1" si="50"/>
        <v>9927647.2885316499</v>
      </c>
      <c r="E790" s="59">
        <f t="shared" ca="1" si="51"/>
        <v>72352.711468350142</v>
      </c>
    </row>
    <row r="791" spans="1:5">
      <c r="A791" s="8">
        <v>790</v>
      </c>
      <c r="B791" s="8">
        <f t="shared" ca="1" si="48"/>
        <v>-1.0791675772571512</v>
      </c>
      <c r="C791" s="57">
        <f t="shared" ca="1" si="49"/>
        <v>-1.3215360445115093E-2</v>
      </c>
      <c r="D791" s="58">
        <f t="shared" ca="1" si="50"/>
        <v>9867846.3955488484</v>
      </c>
      <c r="E791" s="59">
        <f t="shared" ca="1" si="51"/>
        <v>132153.60445115156</v>
      </c>
    </row>
    <row r="792" spans="1:5">
      <c r="A792" s="8">
        <v>791</v>
      </c>
      <c r="B792" s="8">
        <f t="shared" ca="1" si="48"/>
        <v>-1.1381603275592111</v>
      </c>
      <c r="C792" s="57">
        <f t="shared" ca="1" si="49"/>
        <v>-1.3946955543266264E-2</v>
      </c>
      <c r="D792" s="58">
        <f t="shared" ca="1" si="50"/>
        <v>9860530.4445673376</v>
      </c>
      <c r="E792" s="59">
        <f t="shared" ca="1" si="51"/>
        <v>139469.55543266237</v>
      </c>
    </row>
    <row r="793" spans="1:5">
      <c r="A793" s="8">
        <v>792</v>
      </c>
      <c r="B793" s="8">
        <f t="shared" ca="1" si="48"/>
        <v>-0.45577828313242535</v>
      </c>
      <c r="C793" s="57">
        <f t="shared" ca="1" si="49"/>
        <v>-5.4844350434960004E-3</v>
      </c>
      <c r="D793" s="58">
        <f t="shared" ca="1" si="50"/>
        <v>9945155.6495650392</v>
      </c>
      <c r="E793" s="59">
        <f t="shared" ca="1" si="51"/>
        <v>54844.350434960797</v>
      </c>
    </row>
    <row r="794" spans="1:5">
      <c r="A794" s="8">
        <v>793</v>
      </c>
      <c r="B794" s="8">
        <f t="shared" ca="1" si="48"/>
        <v>0.44855911691282258</v>
      </c>
      <c r="C794" s="57">
        <f t="shared" ca="1" si="49"/>
        <v>5.730651650381619E-3</v>
      </c>
      <c r="D794" s="58">
        <f t="shared" ca="1" si="50"/>
        <v>10057306.516503816</v>
      </c>
      <c r="E794" s="59">
        <f t="shared" ca="1" si="51"/>
        <v>-57306.516503816471</v>
      </c>
    </row>
    <row r="795" spans="1:5">
      <c r="A795" s="8">
        <v>794</v>
      </c>
      <c r="B795" s="8">
        <f t="shared" ca="1" si="48"/>
        <v>-0.19295927552728229</v>
      </c>
      <c r="C795" s="57">
        <f t="shared" ca="1" si="49"/>
        <v>-2.2251006900311514E-3</v>
      </c>
      <c r="D795" s="58">
        <f t="shared" ca="1" si="50"/>
        <v>9977748.9930996895</v>
      </c>
      <c r="E795" s="59">
        <f t="shared" ca="1" si="51"/>
        <v>22251.006900310516</v>
      </c>
    </row>
    <row r="796" spans="1:5">
      <c r="A796" s="8">
        <v>795</v>
      </c>
      <c r="B796" s="8">
        <f t="shared" ca="1" si="48"/>
        <v>1.6720069875527552</v>
      </c>
      <c r="C796" s="57">
        <f t="shared" ca="1" si="49"/>
        <v>2.0903167941292832E-2</v>
      </c>
      <c r="D796" s="58">
        <f t="shared" ca="1" si="50"/>
        <v>10209031.679412927</v>
      </c>
      <c r="E796" s="59">
        <f t="shared" ca="1" si="51"/>
        <v>-209031.67941292748</v>
      </c>
    </row>
    <row r="797" spans="1:5">
      <c r="A797" s="8">
        <v>796</v>
      </c>
      <c r="B797" s="8">
        <f t="shared" ca="1" si="48"/>
        <v>0.32398816993833224</v>
      </c>
      <c r="C797" s="57">
        <f t="shared" ca="1" si="49"/>
        <v>4.1857924310377773E-3</v>
      </c>
      <c r="D797" s="58">
        <f t="shared" ca="1" si="50"/>
        <v>10041857.924310379</v>
      </c>
      <c r="E797" s="59">
        <f t="shared" ca="1" si="51"/>
        <v>-41857.92431037873</v>
      </c>
    </row>
    <row r="798" spans="1:5">
      <c r="A798" s="8">
        <v>797</v>
      </c>
      <c r="B798" s="8">
        <f t="shared" ca="1" si="48"/>
        <v>-0.13621741804654425</v>
      </c>
      <c r="C798" s="57">
        <f t="shared" ca="1" si="49"/>
        <v>-1.5214199058611222E-3</v>
      </c>
      <c r="D798" s="58">
        <f t="shared" ca="1" si="50"/>
        <v>9984785.8009413891</v>
      </c>
      <c r="E798" s="59">
        <f t="shared" ca="1" si="51"/>
        <v>15214.199058610946</v>
      </c>
    </row>
    <row r="799" spans="1:5">
      <c r="A799" s="8">
        <v>798</v>
      </c>
      <c r="B799" s="8">
        <f t="shared" ca="1" si="48"/>
        <v>0.36709674964749389</v>
      </c>
      <c r="C799" s="57">
        <f t="shared" ca="1" si="49"/>
        <v>4.7204009285565039E-3</v>
      </c>
      <c r="D799" s="58">
        <f t="shared" ca="1" si="50"/>
        <v>10047204.009285564</v>
      </c>
      <c r="E799" s="59">
        <f t="shared" ca="1" si="51"/>
        <v>-47204.009285563603</v>
      </c>
    </row>
    <row r="800" spans="1:5">
      <c r="A800" s="8">
        <v>799</v>
      </c>
      <c r="B800" s="8">
        <f t="shared" ca="1" si="48"/>
        <v>-0.96967862540455518</v>
      </c>
      <c r="C800" s="57">
        <f t="shared" ca="1" si="49"/>
        <v>-1.1857539694820769E-2</v>
      </c>
      <c r="D800" s="58">
        <f t="shared" ca="1" si="50"/>
        <v>9881424.6030517928</v>
      </c>
      <c r="E800" s="59">
        <f t="shared" ca="1" si="51"/>
        <v>118575.39694820717</v>
      </c>
    </row>
    <row r="801" spans="1:5">
      <c r="A801" s="8">
        <v>800</v>
      </c>
      <c r="B801" s="8">
        <f t="shared" ca="1" si="48"/>
        <v>5.5873538465513017E-2</v>
      </c>
      <c r="C801" s="57">
        <f t="shared" ca="1" si="49"/>
        <v>8.6078471188973972E-4</v>
      </c>
      <c r="D801" s="58">
        <f t="shared" ca="1" si="50"/>
        <v>10008607.847118897</v>
      </c>
      <c r="E801" s="59">
        <f t="shared" ca="1" si="51"/>
        <v>-8607.8471188973635</v>
      </c>
    </row>
    <row r="802" spans="1:5">
      <c r="A802" s="8">
        <v>801</v>
      </c>
      <c r="B802" s="8">
        <f t="shared" ca="1" si="48"/>
        <v>3.0634766175110122</v>
      </c>
      <c r="C802" s="57">
        <f t="shared" ca="1" si="49"/>
        <v>3.8159396126811705E-2</v>
      </c>
      <c r="D802" s="58">
        <f t="shared" ca="1" si="50"/>
        <v>10381593.961268116</v>
      </c>
      <c r="E802" s="59">
        <f t="shared" ca="1" si="51"/>
        <v>-381593.96126811579</v>
      </c>
    </row>
    <row r="803" spans="1:5">
      <c r="A803" s="8">
        <v>802</v>
      </c>
      <c r="B803" s="8">
        <f t="shared" ca="1" si="48"/>
        <v>-0.99253196337527572</v>
      </c>
      <c r="C803" s="57">
        <f t="shared" ca="1" si="49"/>
        <v>-1.2140954011837063E-2</v>
      </c>
      <c r="D803" s="58">
        <f t="shared" ca="1" si="50"/>
        <v>9878590.4598816298</v>
      </c>
      <c r="E803" s="59">
        <f t="shared" ca="1" si="51"/>
        <v>121409.54011837021</v>
      </c>
    </row>
    <row r="804" spans="1:5">
      <c r="A804" s="8">
        <v>803</v>
      </c>
      <c r="B804" s="8">
        <f t="shared" ca="1" si="48"/>
        <v>-0.59603038173824263</v>
      </c>
      <c r="C804" s="57">
        <f t="shared" ca="1" si="49"/>
        <v>-7.2237631358471653E-3</v>
      </c>
      <c r="D804" s="58">
        <f t="shared" ca="1" si="50"/>
        <v>9927762.3686415292</v>
      </c>
      <c r="E804" s="59">
        <f t="shared" ca="1" si="51"/>
        <v>72237.631358470768</v>
      </c>
    </row>
    <row r="805" spans="1:5">
      <c r="A805" s="8">
        <v>804</v>
      </c>
      <c r="B805" s="8">
        <f t="shared" ca="1" si="48"/>
        <v>0.47266750487373299</v>
      </c>
      <c r="C805" s="57">
        <f t="shared" ca="1" si="49"/>
        <v>6.0296303955023204E-3</v>
      </c>
      <c r="D805" s="58">
        <f t="shared" ca="1" si="50"/>
        <v>10060296.303955022</v>
      </c>
      <c r="E805" s="59">
        <f t="shared" ca="1" si="51"/>
        <v>-60296.303955022246</v>
      </c>
    </row>
    <row r="806" spans="1:5">
      <c r="A806" s="8">
        <v>805</v>
      </c>
      <c r="B806" s="8">
        <f t="shared" ca="1" si="48"/>
        <v>-0.18684531775500532</v>
      </c>
      <c r="C806" s="57">
        <f t="shared" ca="1" si="49"/>
        <v>-2.149278804908008E-3</v>
      </c>
      <c r="D806" s="58">
        <f t="shared" ca="1" si="50"/>
        <v>9978507.2119509205</v>
      </c>
      <c r="E806" s="59">
        <f t="shared" ca="1" si="51"/>
        <v>21492.788049079478</v>
      </c>
    </row>
    <row r="807" spans="1:5">
      <c r="A807" s="8">
        <v>806</v>
      </c>
      <c r="B807" s="8">
        <f t="shared" ca="1" si="48"/>
        <v>1.2819710040776688</v>
      </c>
      <c r="C807" s="57">
        <f t="shared" ca="1" si="49"/>
        <v>1.6066159797887454E-2</v>
      </c>
      <c r="D807" s="58">
        <f t="shared" ca="1" si="50"/>
        <v>10160661.597978875</v>
      </c>
      <c r="E807" s="59">
        <f t="shared" ca="1" si="51"/>
        <v>-160661.59797887504</v>
      </c>
    </row>
    <row r="808" spans="1:5">
      <c r="A808" s="8">
        <v>807</v>
      </c>
      <c r="B808" s="8">
        <f t="shared" ca="1" si="48"/>
        <v>-0.34223045918625472</v>
      </c>
      <c r="C808" s="57">
        <f t="shared" ca="1" si="49"/>
        <v>-4.0762784313800576E-3</v>
      </c>
      <c r="D808" s="58">
        <f t="shared" ca="1" si="50"/>
        <v>9959237.2156862002</v>
      </c>
      <c r="E808" s="59">
        <f t="shared" ca="1" si="51"/>
        <v>40762.784313799813</v>
      </c>
    </row>
    <row r="809" spans="1:5">
      <c r="A809" s="8">
        <v>808</v>
      </c>
      <c r="B809" s="8">
        <f t="shared" ca="1" si="48"/>
        <v>1.0285671821850388</v>
      </c>
      <c r="C809" s="57">
        <f t="shared" ca="1" si="49"/>
        <v>1.2923587312282443E-2</v>
      </c>
      <c r="D809" s="58">
        <f t="shared" ca="1" si="50"/>
        <v>10129235.873122824</v>
      </c>
      <c r="E809" s="59">
        <f t="shared" ca="1" si="51"/>
        <v>-129235.87312282436</v>
      </c>
    </row>
    <row r="810" spans="1:5">
      <c r="A810" s="8">
        <v>809</v>
      </c>
      <c r="B810" s="8">
        <f t="shared" ca="1" si="48"/>
        <v>0.72835305465473532</v>
      </c>
      <c r="C810" s="57">
        <f t="shared" ca="1" si="49"/>
        <v>9.2004995943458373E-3</v>
      </c>
      <c r="D810" s="58">
        <f t="shared" ca="1" si="50"/>
        <v>10092004.995943457</v>
      </c>
      <c r="E810" s="59">
        <f t="shared" ca="1" si="51"/>
        <v>-92004.995943456888</v>
      </c>
    </row>
    <row r="811" spans="1:5">
      <c r="A811" s="8">
        <v>810</v>
      </c>
      <c r="B811" s="8">
        <f t="shared" ca="1" si="48"/>
        <v>0.17766296506436266</v>
      </c>
      <c r="C811" s="57">
        <f t="shared" ca="1" si="49"/>
        <v>2.3711490710718358E-3</v>
      </c>
      <c r="D811" s="58">
        <f t="shared" ca="1" si="50"/>
        <v>10023711.490710719</v>
      </c>
      <c r="E811" s="59">
        <f t="shared" ca="1" si="51"/>
        <v>-23711.490710718557</v>
      </c>
    </row>
    <row r="812" spans="1:5">
      <c r="A812" s="8">
        <v>811</v>
      </c>
      <c r="B812" s="8">
        <f t="shared" ca="1" si="48"/>
        <v>-0.42877399373276448</v>
      </c>
      <c r="C812" s="57">
        <f t="shared" ca="1" si="49"/>
        <v>-5.1495429482353115E-3</v>
      </c>
      <c r="D812" s="58">
        <f t="shared" ca="1" si="50"/>
        <v>9948504.5705176461</v>
      </c>
      <c r="E812" s="59">
        <f t="shared" ca="1" si="51"/>
        <v>51495.429482353851</v>
      </c>
    </row>
    <row r="813" spans="1:5">
      <c r="A813" s="8">
        <v>812</v>
      </c>
      <c r="B813" s="8">
        <f t="shared" ca="1" si="48"/>
        <v>-0.8876655243537046</v>
      </c>
      <c r="C813" s="57">
        <f t="shared" ca="1" si="49"/>
        <v>-1.0840459080579873E-2</v>
      </c>
      <c r="D813" s="58">
        <f t="shared" ca="1" si="50"/>
        <v>9891595.4091942012</v>
      </c>
      <c r="E813" s="59">
        <f t="shared" ca="1" si="51"/>
        <v>108404.59080579877</v>
      </c>
    </row>
    <row r="814" spans="1:5">
      <c r="A814" s="8">
        <v>813</v>
      </c>
      <c r="B814" s="8">
        <f t="shared" ca="1" si="48"/>
        <v>-1.1309272687953895</v>
      </c>
      <c r="C814" s="57">
        <f t="shared" ca="1" si="49"/>
        <v>-1.3857255193491819E-2</v>
      </c>
      <c r="D814" s="58">
        <f t="shared" ca="1" si="50"/>
        <v>9861427.4480650816</v>
      </c>
      <c r="E814" s="59">
        <f t="shared" ca="1" si="51"/>
        <v>138572.55193491839</v>
      </c>
    </row>
    <row r="815" spans="1:5">
      <c r="A815" s="8">
        <v>814</v>
      </c>
      <c r="B815" s="8">
        <f t="shared" ca="1" si="48"/>
        <v>1.3258666586482752</v>
      </c>
      <c r="C815" s="57">
        <f t="shared" ca="1" si="49"/>
        <v>1.6610529157674216E-2</v>
      </c>
      <c r="D815" s="58">
        <f t="shared" ca="1" si="50"/>
        <v>10166105.291576741</v>
      </c>
      <c r="E815" s="59">
        <f t="shared" ca="1" si="51"/>
        <v>-166105.29157674126</v>
      </c>
    </row>
    <row r="816" spans="1:5">
      <c r="A816" s="8">
        <v>815</v>
      </c>
      <c r="B816" s="8">
        <f t="shared" ca="1" si="48"/>
        <v>-1.3848617335706086</v>
      </c>
      <c r="C816" s="57">
        <f t="shared" ca="1" si="49"/>
        <v>-1.7006408415370072E-2</v>
      </c>
      <c r="D816" s="58">
        <f t="shared" ca="1" si="50"/>
        <v>9829935.9158462994</v>
      </c>
      <c r="E816" s="59">
        <f t="shared" ca="1" si="51"/>
        <v>170064.08415370062</v>
      </c>
    </row>
    <row r="817" spans="1:5">
      <c r="A817" s="8">
        <v>816</v>
      </c>
      <c r="B817" s="8">
        <f t="shared" ca="1" si="48"/>
        <v>1.1497260293290421</v>
      </c>
      <c r="C817" s="57">
        <f t="shared" ca="1" si="49"/>
        <v>1.4426131577710674E-2</v>
      </c>
      <c r="D817" s="58">
        <f t="shared" ca="1" si="50"/>
        <v>10144261.315777108</v>
      </c>
      <c r="E817" s="59">
        <f t="shared" ca="1" si="51"/>
        <v>-144261.31577710807</v>
      </c>
    </row>
    <row r="818" spans="1:5">
      <c r="A818" s="8">
        <v>817</v>
      </c>
      <c r="B818" s="8">
        <f t="shared" ca="1" si="48"/>
        <v>-0.96153599850816196</v>
      </c>
      <c r="C818" s="57">
        <f t="shared" ca="1" si="49"/>
        <v>-1.1756559389732888E-2</v>
      </c>
      <c r="D818" s="58">
        <f t="shared" ca="1" si="50"/>
        <v>9882434.4061026722</v>
      </c>
      <c r="E818" s="59">
        <f t="shared" ca="1" si="51"/>
        <v>117565.59389732778</v>
      </c>
    </row>
    <row r="819" spans="1:5">
      <c r="A819" s="8">
        <v>818</v>
      </c>
      <c r="B819" s="8">
        <f t="shared" ca="1" si="48"/>
        <v>-1.7208088620669399</v>
      </c>
      <c r="C819" s="57">
        <f t="shared" ca="1" si="49"/>
        <v>-2.1172636827970378E-2</v>
      </c>
      <c r="D819" s="58">
        <f t="shared" ca="1" si="50"/>
        <v>9788273.631720297</v>
      </c>
      <c r="E819" s="59">
        <f t="shared" ca="1" si="51"/>
        <v>211726.36827970296</v>
      </c>
    </row>
    <row r="820" spans="1:5">
      <c r="A820" s="8">
        <v>819</v>
      </c>
      <c r="B820" s="8">
        <f t="shared" ca="1" si="48"/>
        <v>-0.28272501261622546</v>
      </c>
      <c r="C820" s="57">
        <f t="shared" ca="1" si="49"/>
        <v>-3.3383251608336993E-3</v>
      </c>
      <c r="D820" s="58">
        <f t="shared" ca="1" si="50"/>
        <v>9966616.7483916637</v>
      </c>
      <c r="E820" s="59">
        <f t="shared" ca="1" si="51"/>
        <v>33383.251608336344</v>
      </c>
    </row>
    <row r="821" spans="1:5">
      <c r="A821" s="8">
        <v>820</v>
      </c>
      <c r="B821" s="8">
        <f t="shared" ca="1" si="48"/>
        <v>-1.301955164397838</v>
      </c>
      <c r="C821" s="57">
        <f t="shared" ca="1" si="49"/>
        <v>-1.5978247509144075E-2</v>
      </c>
      <c r="D821" s="58">
        <f t="shared" ca="1" si="50"/>
        <v>9840217.5249085594</v>
      </c>
      <c r="E821" s="59">
        <f t="shared" ca="1" si="51"/>
        <v>159782.4750914406</v>
      </c>
    </row>
    <row r="822" spans="1:5">
      <c r="A822" s="8">
        <v>821</v>
      </c>
      <c r="B822" s="8">
        <f t="shared" ca="1" si="48"/>
        <v>0.6609389122293764</v>
      </c>
      <c r="C822" s="57">
        <f t="shared" ca="1" si="49"/>
        <v>8.3644671006593164E-3</v>
      </c>
      <c r="D822" s="58">
        <f t="shared" ca="1" si="50"/>
        <v>10083644.671006594</v>
      </c>
      <c r="E822" s="59">
        <f t="shared" ca="1" si="51"/>
        <v>-83644.671006593853</v>
      </c>
    </row>
    <row r="823" spans="1:5">
      <c r="A823" s="8">
        <v>822</v>
      </c>
      <c r="B823" s="8">
        <f t="shared" ca="1" si="48"/>
        <v>-0.3401353890341422</v>
      </c>
      <c r="C823" s="57">
        <f t="shared" ca="1" si="49"/>
        <v>-4.05029654300021E-3</v>
      </c>
      <c r="D823" s="58">
        <f t="shared" ca="1" si="50"/>
        <v>9959497.0345699973</v>
      </c>
      <c r="E823" s="59">
        <f t="shared" ca="1" si="51"/>
        <v>40502.96543000266</v>
      </c>
    </row>
    <row r="824" spans="1:5">
      <c r="A824" s="8">
        <v>823</v>
      </c>
      <c r="B824" s="8">
        <f t="shared" ca="1" si="48"/>
        <v>-0.94589874422149278</v>
      </c>
      <c r="C824" s="57">
        <f t="shared" ca="1" si="49"/>
        <v>-1.1562634907044868E-2</v>
      </c>
      <c r="D824" s="58">
        <f t="shared" ca="1" si="50"/>
        <v>9884373.6509295516</v>
      </c>
      <c r="E824" s="59">
        <f t="shared" ca="1" si="51"/>
        <v>115626.34907044843</v>
      </c>
    </row>
    <row r="825" spans="1:5">
      <c r="A825" s="8">
        <v>824</v>
      </c>
      <c r="B825" s="8">
        <f t="shared" ca="1" si="48"/>
        <v>1.093240482705141</v>
      </c>
      <c r="C825" s="57">
        <f t="shared" ca="1" si="49"/>
        <v>1.3725629417447899E-2</v>
      </c>
      <c r="D825" s="58">
        <f t="shared" ca="1" si="50"/>
        <v>10137256.294174479</v>
      </c>
      <c r="E825" s="59">
        <f t="shared" ca="1" si="51"/>
        <v>-137256.29417447932</v>
      </c>
    </row>
    <row r="826" spans="1:5">
      <c r="A826" s="8">
        <v>825</v>
      </c>
      <c r="B826" s="8">
        <f t="shared" ca="1" si="48"/>
        <v>-0.38430922708649512</v>
      </c>
      <c r="C826" s="57">
        <f t="shared" ca="1" si="49"/>
        <v>-4.5981157787563119E-3</v>
      </c>
      <c r="D826" s="58">
        <f t="shared" ca="1" si="50"/>
        <v>9954018.8422124367</v>
      </c>
      <c r="E826" s="59">
        <f t="shared" ca="1" si="51"/>
        <v>45981.157787563279</v>
      </c>
    </row>
    <row r="827" spans="1:5">
      <c r="A827" s="8">
        <v>826</v>
      </c>
      <c r="B827" s="8">
        <f t="shared" ca="1" si="48"/>
        <v>-1.1987449709548215</v>
      </c>
      <c r="C827" s="57">
        <f t="shared" ca="1" si="49"/>
        <v>-1.469829240931364E-2</v>
      </c>
      <c r="D827" s="58">
        <f t="shared" ca="1" si="50"/>
        <v>9853017.0759068634</v>
      </c>
      <c r="E827" s="59">
        <f t="shared" ca="1" si="51"/>
        <v>146982.92409313656</v>
      </c>
    </row>
    <row r="828" spans="1:5">
      <c r="A828" s="8">
        <v>827</v>
      </c>
      <c r="B828" s="8">
        <f t="shared" ca="1" si="48"/>
        <v>0.1579328559443326</v>
      </c>
      <c r="C828" s="57">
        <f t="shared" ca="1" si="49"/>
        <v>2.1264672916278676E-3</v>
      </c>
      <c r="D828" s="58">
        <f t="shared" ca="1" si="50"/>
        <v>10021264.672916278</v>
      </c>
      <c r="E828" s="59">
        <f t="shared" ca="1" si="51"/>
        <v>-21264.672916278243</v>
      </c>
    </row>
    <row r="829" spans="1:5">
      <c r="A829" s="8">
        <v>828</v>
      </c>
      <c r="B829" s="8">
        <f t="shared" ca="1" si="48"/>
        <v>-0.60213812786802945</v>
      </c>
      <c r="C829" s="57">
        <f t="shared" ca="1" si="49"/>
        <v>-7.2995079876539441E-3</v>
      </c>
      <c r="D829" s="58">
        <f t="shared" ca="1" si="50"/>
        <v>9927004.9201234598</v>
      </c>
      <c r="E829" s="59">
        <f t="shared" ca="1" si="51"/>
        <v>72995.079876540229</v>
      </c>
    </row>
    <row r="830" spans="1:5">
      <c r="A830" s="8">
        <v>829</v>
      </c>
      <c r="B830" s="8">
        <f t="shared" ca="1" si="48"/>
        <v>-1.3540226531811763</v>
      </c>
      <c r="C830" s="57">
        <f t="shared" ca="1" si="49"/>
        <v>-1.6623959386822054E-2</v>
      </c>
      <c r="D830" s="58">
        <f t="shared" ca="1" si="50"/>
        <v>9833760.4061317798</v>
      </c>
      <c r="E830" s="59">
        <f t="shared" ca="1" si="51"/>
        <v>166239.59386822022</v>
      </c>
    </row>
    <row r="831" spans="1:5">
      <c r="A831" s="8">
        <v>830</v>
      </c>
      <c r="B831" s="8">
        <f t="shared" ca="1" si="48"/>
        <v>0.24727663757774823</v>
      </c>
      <c r="C831" s="57">
        <f t="shared" ca="1" si="49"/>
        <v>3.234458906845256E-3</v>
      </c>
      <c r="D831" s="58">
        <f t="shared" ca="1" si="50"/>
        <v>10032344.589068452</v>
      </c>
      <c r="E831" s="59">
        <f t="shared" ca="1" si="51"/>
        <v>-32344.589068451896</v>
      </c>
    </row>
    <row r="832" spans="1:5">
      <c r="A832" s="8">
        <v>831</v>
      </c>
      <c r="B832" s="8">
        <f t="shared" ca="1" si="48"/>
        <v>0.88925787328391559</v>
      </c>
      <c r="C832" s="57">
        <f t="shared" ca="1" si="49"/>
        <v>1.119595117060335E-2</v>
      </c>
      <c r="D832" s="58">
        <f t="shared" ca="1" si="50"/>
        <v>10111959.511706034</v>
      </c>
      <c r="E832" s="59">
        <f t="shared" ca="1" si="51"/>
        <v>-111959.51170603372</v>
      </c>
    </row>
    <row r="833" spans="1:5">
      <c r="A833" s="8">
        <v>832</v>
      </c>
      <c r="B833" s="8">
        <f t="shared" ca="1" si="48"/>
        <v>0.71165753670131837</v>
      </c>
      <c r="C833" s="57">
        <f t="shared" ca="1" si="49"/>
        <v>8.993451117485991E-3</v>
      </c>
      <c r="D833" s="58">
        <f t="shared" ca="1" si="50"/>
        <v>10089934.511174861</v>
      </c>
      <c r="E833" s="59">
        <f t="shared" ca="1" si="51"/>
        <v>-89934.511174861342</v>
      </c>
    </row>
    <row r="834" spans="1:5">
      <c r="A834" s="8">
        <v>833</v>
      </c>
      <c r="B834" s="8">
        <f t="shared" ca="1" si="48"/>
        <v>1.2112227084289056</v>
      </c>
      <c r="C834" s="57">
        <f t="shared" ca="1" si="49"/>
        <v>1.5188779000515518E-2</v>
      </c>
      <c r="D834" s="58">
        <f t="shared" ca="1" si="50"/>
        <v>10151887.790005155</v>
      </c>
      <c r="E834" s="59">
        <f t="shared" ca="1" si="51"/>
        <v>-151887.79000515491</v>
      </c>
    </row>
    <row r="835" spans="1:5">
      <c r="A835" s="8">
        <v>834</v>
      </c>
      <c r="B835" s="8">
        <f t="shared" ref="B835:B898" ca="1" si="52">_xlfn.NORM.S.INV(RAND())</f>
        <v>0.82434577775587636</v>
      </c>
      <c r="C835" s="57">
        <f t="shared" ref="C835:C898" ca="1" si="53" xml:space="preserve"> $H$2 + $H$3 * B835</f>
        <v>1.0390947663293135E-2</v>
      </c>
      <c r="D835" s="58">
        <f t="shared" ref="D835:D898" ca="1" si="54">$H$4 * (1 + C835)</f>
        <v>10103909.47663293</v>
      </c>
      <c r="E835" s="59">
        <f t="shared" ref="E835:E898" ca="1" si="55">$H$4-D835</f>
        <v>-103909.47663293034</v>
      </c>
    </row>
    <row r="836" spans="1:5">
      <c r="A836" s="8">
        <v>835</v>
      </c>
      <c r="B836" s="8">
        <f t="shared" ca="1" si="52"/>
        <v>-2.2450033145145536</v>
      </c>
      <c r="C836" s="57">
        <f t="shared" ca="1" si="53"/>
        <v>-2.7673403276815191E-2</v>
      </c>
      <c r="D836" s="58">
        <f t="shared" ca="1" si="54"/>
        <v>9723265.9672318473</v>
      </c>
      <c r="E836" s="59">
        <f t="shared" ca="1" si="55"/>
        <v>276734.03276815265</v>
      </c>
    </row>
    <row r="837" spans="1:5">
      <c r="A837" s="8">
        <v>836</v>
      </c>
      <c r="B837" s="8">
        <f t="shared" ca="1" si="52"/>
        <v>-0.42720353455485521</v>
      </c>
      <c r="C837" s="57">
        <f t="shared" ca="1" si="53"/>
        <v>-5.1300669917741862E-3</v>
      </c>
      <c r="D837" s="58">
        <f t="shared" ca="1" si="54"/>
        <v>9948699.3300822582</v>
      </c>
      <c r="E837" s="59">
        <f t="shared" ca="1" si="55"/>
        <v>51300.66991774179</v>
      </c>
    </row>
    <row r="838" spans="1:5">
      <c r="A838" s="8">
        <v>837</v>
      </c>
      <c r="B838" s="8">
        <f t="shared" ca="1" si="52"/>
        <v>-0.53015679216634237</v>
      </c>
      <c r="C838" s="57">
        <f t="shared" ca="1" si="53"/>
        <v>-6.4068357171107402E-3</v>
      </c>
      <c r="D838" s="58">
        <f t="shared" ca="1" si="54"/>
        <v>9935931.6428288929</v>
      </c>
      <c r="E838" s="59">
        <f t="shared" ca="1" si="55"/>
        <v>64068.357171107084</v>
      </c>
    </row>
    <row r="839" spans="1:5">
      <c r="A839" s="8">
        <v>838</v>
      </c>
      <c r="B839" s="8">
        <f t="shared" ca="1" si="52"/>
        <v>0.30902122547788458</v>
      </c>
      <c r="C839" s="57">
        <f t="shared" ca="1" si="53"/>
        <v>4.000180755950611E-3</v>
      </c>
      <c r="D839" s="58">
        <f t="shared" ca="1" si="54"/>
        <v>10040001.807559507</v>
      </c>
      <c r="E839" s="59">
        <f t="shared" ca="1" si="55"/>
        <v>-40001.807559506968</v>
      </c>
    </row>
    <row r="840" spans="1:5">
      <c r="A840" s="8">
        <v>839</v>
      </c>
      <c r="B840" s="8">
        <f t="shared" ca="1" si="52"/>
        <v>-0.19997949214880084</v>
      </c>
      <c r="C840" s="57">
        <f t="shared" ca="1" si="53"/>
        <v>-2.3121614905865545E-3</v>
      </c>
      <c r="D840" s="58">
        <f t="shared" ca="1" si="54"/>
        <v>9976878.3850941341</v>
      </c>
      <c r="E840" s="59">
        <f t="shared" ca="1" si="55"/>
        <v>23121.614905865863</v>
      </c>
    </row>
    <row r="841" spans="1:5">
      <c r="A841" s="8">
        <v>840</v>
      </c>
      <c r="B841" s="8">
        <f t="shared" ca="1" si="52"/>
        <v>0.53385302078503849</v>
      </c>
      <c r="C841" s="57">
        <f t="shared" ca="1" si="53"/>
        <v>6.7884189464575131E-3</v>
      </c>
      <c r="D841" s="58">
        <f t="shared" ca="1" si="54"/>
        <v>10067884.189464575</v>
      </c>
      <c r="E841" s="59">
        <f t="shared" ca="1" si="55"/>
        <v>-67884.18946457468</v>
      </c>
    </row>
    <row r="842" spans="1:5">
      <c r="A842" s="8">
        <v>841</v>
      </c>
      <c r="B842" s="8">
        <f t="shared" ca="1" si="52"/>
        <v>-0.1310294625054628</v>
      </c>
      <c r="C842" s="57">
        <f t="shared" ca="1" si="53"/>
        <v>-1.4570817825519456E-3</v>
      </c>
      <c r="D842" s="58">
        <f t="shared" ca="1" si="54"/>
        <v>9985429.1821744796</v>
      </c>
      <c r="E842" s="59">
        <f t="shared" ca="1" si="55"/>
        <v>14570.817825520411</v>
      </c>
    </row>
    <row r="843" spans="1:5">
      <c r="A843" s="8">
        <v>842</v>
      </c>
      <c r="B843" s="8">
        <f t="shared" ca="1" si="52"/>
        <v>-1.2643820266119379</v>
      </c>
      <c r="C843" s="57">
        <f t="shared" ca="1" si="53"/>
        <v>-1.55122864667181E-2</v>
      </c>
      <c r="D843" s="58">
        <f t="shared" ca="1" si="54"/>
        <v>9844877.1353328191</v>
      </c>
      <c r="E843" s="59">
        <f t="shared" ca="1" si="55"/>
        <v>155122.86466718093</v>
      </c>
    </row>
    <row r="844" spans="1:5">
      <c r="A844" s="8">
        <v>843</v>
      </c>
      <c r="B844" s="8">
        <f t="shared" ca="1" si="52"/>
        <v>-0.35281337524761935</v>
      </c>
      <c r="C844" s="57">
        <f t="shared" ca="1" si="53"/>
        <v>-4.207521837985043E-3</v>
      </c>
      <c r="D844" s="58">
        <f t="shared" ca="1" si="54"/>
        <v>9957924.7816201504</v>
      </c>
      <c r="E844" s="59">
        <f t="shared" ca="1" si="55"/>
        <v>42075.218379849568</v>
      </c>
    </row>
    <row r="845" spans="1:5">
      <c r="A845" s="8">
        <v>844</v>
      </c>
      <c r="B845" s="8">
        <f t="shared" ca="1" si="52"/>
        <v>0.82226033700924972</v>
      </c>
      <c r="C845" s="57">
        <f t="shared" ca="1" si="53"/>
        <v>1.0365085193414976E-2</v>
      </c>
      <c r="D845" s="58">
        <f t="shared" ca="1" si="54"/>
        <v>10103650.85193415</v>
      </c>
      <c r="E845" s="59">
        <f t="shared" ca="1" si="55"/>
        <v>-103650.85193414986</v>
      </c>
    </row>
    <row r="846" spans="1:5">
      <c r="A846" s="8">
        <v>845</v>
      </c>
      <c r="B846" s="8">
        <f t="shared" ca="1" si="52"/>
        <v>-0.84689473083642874</v>
      </c>
      <c r="C846" s="57">
        <f t="shared" ca="1" si="53"/>
        <v>-1.0334842500029789E-2</v>
      </c>
      <c r="D846" s="58">
        <f t="shared" ca="1" si="54"/>
        <v>9896651.5749997012</v>
      </c>
      <c r="E846" s="59">
        <f t="shared" ca="1" si="55"/>
        <v>103348.42500029877</v>
      </c>
    </row>
    <row r="847" spans="1:5">
      <c r="A847" s="8">
        <v>846</v>
      </c>
      <c r="B847" s="8">
        <f t="shared" ca="1" si="52"/>
        <v>-0.4074537390617764</v>
      </c>
      <c r="C847" s="57">
        <f t="shared" ca="1" si="53"/>
        <v>-4.8851410729410715E-3</v>
      </c>
      <c r="D847" s="58">
        <f t="shared" ca="1" si="54"/>
        <v>9951148.5892705899</v>
      </c>
      <c r="E847" s="59">
        <f t="shared" ca="1" si="55"/>
        <v>48851.410729410127</v>
      </c>
    </row>
    <row r="848" spans="1:5">
      <c r="A848" s="8">
        <v>847</v>
      </c>
      <c r="B848" s="8">
        <f t="shared" ca="1" si="52"/>
        <v>-1.5568404654069183</v>
      </c>
      <c r="C848" s="57">
        <f t="shared" ca="1" si="53"/>
        <v>-1.9139192470249193E-2</v>
      </c>
      <c r="D848" s="58">
        <f t="shared" ca="1" si="54"/>
        <v>9808608.0752975084</v>
      </c>
      <c r="E848" s="59">
        <f t="shared" ca="1" si="55"/>
        <v>191391.92470249161</v>
      </c>
    </row>
    <row r="849" spans="1:5">
      <c r="A849" s="8">
        <v>848</v>
      </c>
      <c r="B849" s="8">
        <f t="shared" ca="1" si="52"/>
        <v>0.68136919530665818</v>
      </c>
      <c r="C849" s="57">
        <f t="shared" ca="1" si="53"/>
        <v>8.6178320459559619E-3</v>
      </c>
      <c r="D849" s="58">
        <f t="shared" ca="1" si="54"/>
        <v>10086178.32045956</v>
      </c>
      <c r="E849" s="59">
        <f t="shared" ca="1" si="55"/>
        <v>-86178.32045955956</v>
      </c>
    </row>
    <row r="850" spans="1:5">
      <c r="A850" s="8">
        <v>849</v>
      </c>
      <c r="B850" s="8">
        <f t="shared" ca="1" si="52"/>
        <v>-0.13621901426259014</v>
      </c>
      <c r="C850" s="57">
        <f t="shared" ca="1" si="53"/>
        <v>-1.5214397012398558E-3</v>
      </c>
      <c r="D850" s="58">
        <f t="shared" ca="1" si="54"/>
        <v>9984785.6029876024</v>
      </c>
      <c r="E850" s="59">
        <f t="shared" ca="1" si="55"/>
        <v>15214.397012397647</v>
      </c>
    </row>
    <row r="851" spans="1:5">
      <c r="A851" s="8">
        <v>850</v>
      </c>
      <c r="B851" s="8">
        <f t="shared" ca="1" si="52"/>
        <v>-0.30780248478202127</v>
      </c>
      <c r="C851" s="57">
        <f t="shared" ca="1" si="53"/>
        <v>-3.6493219463129144E-3</v>
      </c>
      <c r="D851" s="58">
        <f t="shared" ca="1" si="54"/>
        <v>9963506.7805368695</v>
      </c>
      <c r="E851" s="59">
        <f t="shared" ca="1" si="55"/>
        <v>36493.219463130459</v>
      </c>
    </row>
    <row r="852" spans="1:5">
      <c r="A852" s="8">
        <v>851</v>
      </c>
      <c r="B852" s="8">
        <f t="shared" ca="1" si="52"/>
        <v>-1.2929422162522253</v>
      </c>
      <c r="C852" s="57">
        <f t="shared" ca="1" si="53"/>
        <v>-1.5866473966641672E-2</v>
      </c>
      <c r="D852" s="58">
        <f t="shared" ca="1" si="54"/>
        <v>9841335.2603335828</v>
      </c>
      <c r="E852" s="59">
        <f t="shared" ca="1" si="55"/>
        <v>158664.73966641724</v>
      </c>
    </row>
    <row r="853" spans="1:5">
      <c r="A853" s="8">
        <v>852</v>
      </c>
      <c r="B853" s="8">
        <f t="shared" ca="1" si="52"/>
        <v>1.8462905143729405</v>
      </c>
      <c r="C853" s="57">
        <f t="shared" ca="1" si="53"/>
        <v>2.3064534774628848E-2</v>
      </c>
      <c r="D853" s="58">
        <f t="shared" ca="1" si="54"/>
        <v>10230645.347746288</v>
      </c>
      <c r="E853" s="59">
        <f t="shared" ca="1" si="55"/>
        <v>-230645.3477462884</v>
      </c>
    </row>
    <row r="854" spans="1:5">
      <c r="A854" s="8">
        <v>853</v>
      </c>
      <c r="B854" s="8">
        <f t="shared" ca="1" si="52"/>
        <v>0.48859979899420619</v>
      </c>
      <c r="C854" s="57">
        <f t="shared" ca="1" si="53"/>
        <v>6.2272137972111553E-3</v>
      </c>
      <c r="D854" s="58">
        <f t="shared" ca="1" si="54"/>
        <v>10062272.137972113</v>
      </c>
      <c r="E854" s="59">
        <f t="shared" ca="1" si="55"/>
        <v>-62272.137972112745</v>
      </c>
    </row>
    <row r="855" spans="1:5">
      <c r="A855" s="8">
        <v>854</v>
      </c>
      <c r="B855" s="8">
        <f t="shared" ca="1" si="52"/>
        <v>1.7201079073863645</v>
      </c>
      <c r="C855" s="57">
        <f t="shared" ca="1" si="53"/>
        <v>2.1499688649119574E-2</v>
      </c>
      <c r="D855" s="58">
        <f t="shared" ca="1" si="54"/>
        <v>10214996.886491196</v>
      </c>
      <c r="E855" s="59">
        <f t="shared" ca="1" si="55"/>
        <v>-214996.88649119623</v>
      </c>
    </row>
    <row r="856" spans="1:5">
      <c r="A856" s="8">
        <v>855</v>
      </c>
      <c r="B856" s="8">
        <f t="shared" ca="1" si="52"/>
        <v>-0.46722580505685002</v>
      </c>
      <c r="C856" s="57">
        <f t="shared" ca="1" si="53"/>
        <v>-5.6264008084926306E-3</v>
      </c>
      <c r="D856" s="58">
        <f t="shared" ca="1" si="54"/>
        <v>9943735.9919150732</v>
      </c>
      <c r="E856" s="59">
        <f t="shared" ca="1" si="55"/>
        <v>56264.008084926754</v>
      </c>
    </row>
    <row r="857" spans="1:5">
      <c r="A857" s="8">
        <v>856</v>
      </c>
      <c r="B857" s="8">
        <f t="shared" ca="1" si="52"/>
        <v>1.9098720112129144</v>
      </c>
      <c r="C857" s="57">
        <f t="shared" ca="1" si="53"/>
        <v>2.3853036941133447E-2</v>
      </c>
      <c r="D857" s="58">
        <f t="shared" ca="1" si="54"/>
        <v>10238530.369411334</v>
      </c>
      <c r="E857" s="59">
        <f t="shared" ca="1" si="55"/>
        <v>-238530.3694113344</v>
      </c>
    </row>
    <row r="858" spans="1:5">
      <c r="A858" s="8">
        <v>857</v>
      </c>
      <c r="B858" s="8">
        <f t="shared" ca="1" si="52"/>
        <v>0.17982094930880954</v>
      </c>
      <c r="C858" s="57">
        <f t="shared" ca="1" si="53"/>
        <v>2.3979111848407486E-3</v>
      </c>
      <c r="D858" s="58">
        <f t="shared" ca="1" si="54"/>
        <v>10023979.111848406</v>
      </c>
      <c r="E858" s="59">
        <f t="shared" ca="1" si="55"/>
        <v>-23979.111848406494</v>
      </c>
    </row>
    <row r="859" spans="1:5">
      <c r="A859" s="8">
        <v>858</v>
      </c>
      <c r="B859" s="8">
        <f t="shared" ca="1" si="52"/>
        <v>1.2003447886158576</v>
      </c>
      <c r="C859" s="57">
        <f t="shared" ca="1" si="53"/>
        <v>1.5053877122359999E-2</v>
      </c>
      <c r="D859" s="58">
        <f t="shared" ca="1" si="54"/>
        <v>10150538.771223601</v>
      </c>
      <c r="E859" s="59">
        <f t="shared" ca="1" si="55"/>
        <v>-150538.77122360095</v>
      </c>
    </row>
    <row r="860" spans="1:5">
      <c r="A860" s="8">
        <v>859</v>
      </c>
      <c r="B860" s="8">
        <f t="shared" ca="1" si="52"/>
        <v>-1.0600020598945048</v>
      </c>
      <c r="C860" s="57">
        <f t="shared" ca="1" si="53"/>
        <v>-1.2977680416904004E-2</v>
      </c>
      <c r="D860" s="58">
        <f t="shared" ca="1" si="54"/>
        <v>9870223.1958309598</v>
      </c>
      <c r="E860" s="59">
        <f t="shared" ca="1" si="55"/>
        <v>129776.80416904017</v>
      </c>
    </row>
    <row r="861" spans="1:5">
      <c r="A861" s="8">
        <v>860</v>
      </c>
      <c r="B861" s="8">
        <f t="shared" ca="1" si="52"/>
        <v>-1.2947347469015624</v>
      </c>
      <c r="C861" s="57">
        <f t="shared" ca="1" si="53"/>
        <v>-1.5888703929300238E-2</v>
      </c>
      <c r="D861" s="58">
        <f t="shared" ca="1" si="54"/>
        <v>9841112.9607069977</v>
      </c>
      <c r="E861" s="59">
        <f t="shared" ca="1" si="55"/>
        <v>158887.03929300234</v>
      </c>
    </row>
    <row r="862" spans="1:5">
      <c r="A862" s="8">
        <v>861</v>
      </c>
      <c r="B862" s="8">
        <f t="shared" ca="1" si="52"/>
        <v>1.3615711550172731</v>
      </c>
      <c r="C862" s="57">
        <f t="shared" ca="1" si="53"/>
        <v>1.7053316354266455E-2</v>
      </c>
      <c r="D862" s="58">
        <f t="shared" ca="1" si="54"/>
        <v>10170533.163542666</v>
      </c>
      <c r="E862" s="59">
        <f t="shared" ca="1" si="55"/>
        <v>-170533.16354266554</v>
      </c>
    </row>
    <row r="863" spans="1:5">
      <c r="A863" s="8">
        <v>862</v>
      </c>
      <c r="B863" s="8">
        <f t="shared" ca="1" si="52"/>
        <v>1.5600309971534048</v>
      </c>
      <c r="C863" s="57">
        <f t="shared" ca="1" si="53"/>
        <v>1.9514504329792647E-2</v>
      </c>
      <c r="D863" s="58">
        <f t="shared" ca="1" si="54"/>
        <v>10195145.043297926</v>
      </c>
      <c r="E863" s="59">
        <f t="shared" ca="1" si="55"/>
        <v>-195145.04329792596</v>
      </c>
    </row>
    <row r="864" spans="1:5">
      <c r="A864" s="8">
        <v>863</v>
      </c>
      <c r="B864" s="8">
        <f t="shared" ca="1" si="52"/>
        <v>-1.3668215712171778</v>
      </c>
      <c r="C864" s="57">
        <f t="shared" ca="1" si="53"/>
        <v>-1.6782684410639945E-2</v>
      </c>
      <c r="D864" s="58">
        <f t="shared" ca="1" si="54"/>
        <v>9832173.1558936015</v>
      </c>
      <c r="E864" s="59">
        <f t="shared" ca="1" si="55"/>
        <v>167826.84410639852</v>
      </c>
    </row>
    <row r="865" spans="1:5">
      <c r="A865" s="8">
        <v>864</v>
      </c>
      <c r="B865" s="8">
        <f t="shared" ca="1" si="52"/>
        <v>0.63966334300769834</v>
      </c>
      <c r="C865" s="57">
        <f t="shared" ca="1" si="53"/>
        <v>8.1006193893175364E-3</v>
      </c>
      <c r="D865" s="58">
        <f t="shared" ca="1" si="54"/>
        <v>10081006.193893176</v>
      </c>
      <c r="E865" s="59">
        <f t="shared" ca="1" si="55"/>
        <v>-81006.193893175572</v>
      </c>
    </row>
    <row r="866" spans="1:5">
      <c r="A866" s="8">
        <v>865</v>
      </c>
      <c r="B866" s="8">
        <f t="shared" ca="1" si="52"/>
        <v>-6.0312035925042537E-3</v>
      </c>
      <c r="C866" s="57">
        <f t="shared" ca="1" si="53"/>
        <v>9.3076720482927836E-5</v>
      </c>
      <c r="D866" s="58">
        <f t="shared" ca="1" si="54"/>
        <v>10000930.76720483</v>
      </c>
      <c r="E866" s="59">
        <f t="shared" ca="1" si="55"/>
        <v>-930.767204830423</v>
      </c>
    </row>
    <row r="867" spans="1:5">
      <c r="A867" s="8">
        <v>866</v>
      </c>
      <c r="B867" s="8">
        <f t="shared" ca="1" si="52"/>
        <v>-1.169686176134727</v>
      </c>
      <c r="C867" s="57">
        <f t="shared" ca="1" si="53"/>
        <v>-1.4337921486789973E-2</v>
      </c>
      <c r="D867" s="58">
        <f t="shared" ca="1" si="54"/>
        <v>9856620.7851320989</v>
      </c>
      <c r="E867" s="59">
        <f t="shared" ca="1" si="55"/>
        <v>143379.21486790106</v>
      </c>
    </row>
    <row r="868" spans="1:5">
      <c r="A868" s="8">
        <v>867</v>
      </c>
      <c r="B868" s="8">
        <f t="shared" ca="1" si="52"/>
        <v>-1.0222597221210676</v>
      </c>
      <c r="C868" s="57">
        <f t="shared" ca="1" si="53"/>
        <v>-1.2509621050855967E-2</v>
      </c>
      <c r="D868" s="58">
        <f t="shared" ca="1" si="54"/>
        <v>9874903.7894914411</v>
      </c>
      <c r="E868" s="59">
        <f t="shared" ca="1" si="55"/>
        <v>125096.2105085589</v>
      </c>
    </row>
    <row r="869" spans="1:5">
      <c r="A869" s="8">
        <v>868</v>
      </c>
      <c r="B869" s="8">
        <f t="shared" ca="1" si="52"/>
        <v>0.55447775821300904</v>
      </c>
      <c r="C869" s="57">
        <f t="shared" ca="1" si="53"/>
        <v>7.0441954058647858E-3</v>
      </c>
      <c r="D869" s="58">
        <f t="shared" ca="1" si="54"/>
        <v>10070441.954058649</v>
      </c>
      <c r="E869" s="59">
        <f t="shared" ca="1" si="55"/>
        <v>-70441.954058649018</v>
      </c>
    </row>
    <row r="870" spans="1:5">
      <c r="A870" s="8">
        <v>869</v>
      </c>
      <c r="B870" s="8">
        <f t="shared" ca="1" si="52"/>
        <v>-1.2931518135635336</v>
      </c>
      <c r="C870" s="57">
        <f t="shared" ca="1" si="53"/>
        <v>-1.5869073275281358E-2</v>
      </c>
      <c r="D870" s="58">
        <f t="shared" ca="1" si="54"/>
        <v>9841309.267247187</v>
      </c>
      <c r="E870" s="59">
        <f t="shared" ca="1" si="55"/>
        <v>158690.73275281303</v>
      </c>
    </row>
    <row r="871" spans="1:5">
      <c r="A871" s="8">
        <v>870</v>
      </c>
      <c r="B871" s="8">
        <f t="shared" ca="1" si="52"/>
        <v>-3.1594837772649128E-3</v>
      </c>
      <c r="C871" s="57">
        <f t="shared" ca="1" si="53"/>
        <v>1.2869018365145764E-4</v>
      </c>
      <c r="D871" s="58">
        <f t="shared" ca="1" si="54"/>
        <v>10001286.901836514</v>
      </c>
      <c r="E871" s="59">
        <f t="shared" ca="1" si="55"/>
        <v>-1286.901836514473</v>
      </c>
    </row>
    <row r="872" spans="1:5">
      <c r="A872" s="8">
        <v>871</v>
      </c>
      <c r="B872" s="8">
        <f t="shared" ca="1" si="52"/>
        <v>1.2632524091117334</v>
      </c>
      <c r="C872" s="57">
        <f t="shared" ca="1" si="53"/>
        <v>1.5834022251303575E-2</v>
      </c>
      <c r="D872" s="58">
        <f t="shared" ca="1" si="54"/>
        <v>10158340.222513037</v>
      </c>
      <c r="E872" s="59">
        <f t="shared" ca="1" si="55"/>
        <v>-158340.2225130368</v>
      </c>
    </row>
    <row r="873" spans="1:5">
      <c r="A873" s="8">
        <v>872</v>
      </c>
      <c r="B873" s="8">
        <f t="shared" ca="1" si="52"/>
        <v>-1.4339366351554583</v>
      </c>
      <c r="C873" s="57">
        <f t="shared" ca="1" si="53"/>
        <v>-1.761500790018632E-2</v>
      </c>
      <c r="D873" s="58">
        <f t="shared" ca="1" si="54"/>
        <v>9823849.9209981374</v>
      </c>
      <c r="E873" s="59">
        <f t="shared" ca="1" si="55"/>
        <v>176150.07900186256</v>
      </c>
    </row>
    <row r="874" spans="1:5">
      <c r="A874" s="8">
        <v>873</v>
      </c>
      <c r="B874" s="8">
        <f t="shared" ca="1" si="52"/>
        <v>-0.42509451715299401</v>
      </c>
      <c r="C874" s="57">
        <f t="shared" ca="1" si="53"/>
        <v>-5.1039121374028135E-3</v>
      </c>
      <c r="D874" s="58">
        <f t="shared" ca="1" si="54"/>
        <v>9948960.8786259722</v>
      </c>
      <c r="E874" s="59">
        <f t="shared" ca="1" si="55"/>
        <v>51039.121374027804</v>
      </c>
    </row>
    <row r="875" spans="1:5">
      <c r="A875" s="8">
        <v>874</v>
      </c>
      <c r="B875" s="8">
        <f t="shared" ca="1" si="52"/>
        <v>-0.60557883202947216</v>
      </c>
      <c r="C875" s="57">
        <f t="shared" ca="1" si="53"/>
        <v>-7.3421776764853851E-3</v>
      </c>
      <c r="D875" s="58">
        <f t="shared" ca="1" si="54"/>
        <v>9926578.2232351471</v>
      </c>
      <c r="E875" s="59">
        <f t="shared" ca="1" si="55"/>
        <v>73421.776764852926</v>
      </c>
    </row>
    <row r="876" spans="1:5">
      <c r="A876" s="8">
        <v>875</v>
      </c>
      <c r="B876" s="8">
        <f t="shared" ca="1" si="52"/>
        <v>0.6261264427134059</v>
      </c>
      <c r="C876" s="57">
        <f t="shared" ca="1" si="53"/>
        <v>7.9327423222413859E-3</v>
      </c>
      <c r="D876" s="58">
        <f t="shared" ca="1" si="54"/>
        <v>10079327.423222413</v>
      </c>
      <c r="E876" s="59">
        <f t="shared" ca="1" si="55"/>
        <v>-79327.423222413287</v>
      </c>
    </row>
    <row r="877" spans="1:5">
      <c r="A877" s="8">
        <v>876</v>
      </c>
      <c r="B877" s="8">
        <f t="shared" ca="1" si="52"/>
        <v>-1.1171096930138773</v>
      </c>
      <c r="C877" s="57">
        <f t="shared" ca="1" si="53"/>
        <v>-1.3685897345988077E-2</v>
      </c>
      <c r="D877" s="58">
        <f t="shared" ca="1" si="54"/>
        <v>9863141.0265401192</v>
      </c>
      <c r="E877" s="59">
        <f t="shared" ca="1" si="55"/>
        <v>136858.9734598808</v>
      </c>
    </row>
    <row r="878" spans="1:5">
      <c r="A878" s="8">
        <v>877</v>
      </c>
      <c r="B878" s="8">
        <f t="shared" ca="1" si="52"/>
        <v>-2.9842263505407223</v>
      </c>
      <c r="C878" s="57">
        <f t="shared" ca="1" si="53"/>
        <v>-3.6840833966655169E-2</v>
      </c>
      <c r="D878" s="58">
        <f t="shared" ca="1" si="54"/>
        <v>9631591.660333449</v>
      </c>
      <c r="E878" s="59">
        <f t="shared" ca="1" si="55"/>
        <v>368408.33966655098</v>
      </c>
    </row>
    <row r="879" spans="1:5">
      <c r="A879" s="8">
        <v>878</v>
      </c>
      <c r="B879" s="8">
        <f t="shared" ca="1" si="52"/>
        <v>-0.63682481253125789</v>
      </c>
      <c r="C879" s="57">
        <f t="shared" ca="1" si="53"/>
        <v>-7.729672852672064E-3</v>
      </c>
      <c r="D879" s="58">
        <f t="shared" ca="1" si="54"/>
        <v>9922703.2714732792</v>
      </c>
      <c r="E879" s="59">
        <f t="shared" ca="1" si="55"/>
        <v>77296.728526720777</v>
      </c>
    </row>
    <row r="880" spans="1:5">
      <c r="A880" s="8">
        <v>879</v>
      </c>
      <c r="B880" s="8">
        <f t="shared" ca="1" si="52"/>
        <v>-0.87015592216956283</v>
      </c>
      <c r="C880" s="57">
        <f t="shared" ca="1" si="53"/>
        <v>-1.0623314786358896E-2</v>
      </c>
      <c r="D880" s="58">
        <f t="shared" ca="1" si="54"/>
        <v>9893766.8521364108</v>
      </c>
      <c r="E880" s="59">
        <f t="shared" ca="1" si="55"/>
        <v>106233.14786358923</v>
      </c>
    </row>
    <row r="881" spans="1:5">
      <c r="A881" s="8">
        <v>880</v>
      </c>
      <c r="B881" s="8">
        <f t="shared" ca="1" si="52"/>
        <v>0.93213420620069354</v>
      </c>
      <c r="C881" s="57">
        <f t="shared" ca="1" si="53"/>
        <v>1.1727679473284588E-2</v>
      </c>
      <c r="D881" s="58">
        <f t="shared" ca="1" si="54"/>
        <v>10117276.794732846</v>
      </c>
      <c r="E881" s="59">
        <f t="shared" ca="1" si="55"/>
        <v>-117276.79473284632</v>
      </c>
    </row>
    <row r="882" spans="1:5">
      <c r="A882" s="8">
        <v>881</v>
      </c>
      <c r="B882" s="8">
        <f t="shared" ca="1" si="52"/>
        <v>-0.53813655488092926</v>
      </c>
      <c r="C882" s="57">
        <f t="shared" ca="1" si="53"/>
        <v>-6.5057962716959941E-3</v>
      </c>
      <c r="D882" s="58">
        <f t="shared" ca="1" si="54"/>
        <v>9934942.0372830406</v>
      </c>
      <c r="E882" s="59">
        <f t="shared" ca="1" si="55"/>
        <v>65057.962716959417</v>
      </c>
    </row>
    <row r="883" spans="1:5">
      <c r="A883" s="8">
        <v>882</v>
      </c>
      <c r="B883" s="8">
        <f t="shared" ca="1" si="52"/>
        <v>0.17887568471366103</v>
      </c>
      <c r="C883" s="57">
        <f t="shared" ca="1" si="53"/>
        <v>2.3861885419613174E-3</v>
      </c>
      <c r="D883" s="58">
        <f t="shared" ca="1" si="54"/>
        <v>10023861.885419615</v>
      </c>
      <c r="E883" s="59">
        <f t="shared" ca="1" si="55"/>
        <v>-23861.885419614613</v>
      </c>
    </row>
    <row r="884" spans="1:5">
      <c r="A884" s="8">
        <v>883</v>
      </c>
      <c r="B884" s="8">
        <f t="shared" ca="1" si="52"/>
        <v>-1.2912574460317208</v>
      </c>
      <c r="C884" s="57">
        <f t="shared" ca="1" si="53"/>
        <v>-1.584558038855757E-2</v>
      </c>
      <c r="D884" s="58">
        <f t="shared" ca="1" si="54"/>
        <v>9841544.1961144246</v>
      </c>
      <c r="E884" s="59">
        <f t="shared" ca="1" si="55"/>
        <v>158455.80388557538</v>
      </c>
    </row>
    <row r="885" spans="1:5">
      <c r="A885" s="8">
        <v>884</v>
      </c>
      <c r="B885" s="8">
        <f t="shared" ca="1" si="52"/>
        <v>0.61112668417560767</v>
      </c>
      <c r="C885" s="57">
        <f t="shared" ca="1" si="53"/>
        <v>7.746723705317855E-3</v>
      </c>
      <c r="D885" s="58">
        <f t="shared" ca="1" si="54"/>
        <v>10077467.23705318</v>
      </c>
      <c r="E885" s="59">
        <f t="shared" ca="1" si="55"/>
        <v>-77467.237053180113</v>
      </c>
    </row>
    <row r="886" spans="1:5">
      <c r="A886" s="8">
        <v>885</v>
      </c>
      <c r="B886" s="8">
        <f t="shared" ca="1" si="52"/>
        <v>0.15135378239836705</v>
      </c>
      <c r="C886" s="57">
        <f t="shared" ca="1" si="53"/>
        <v>2.0448773007906997E-3</v>
      </c>
      <c r="D886" s="58">
        <f t="shared" ca="1" si="54"/>
        <v>10020448.773007907</v>
      </c>
      <c r="E886" s="59">
        <f t="shared" ca="1" si="55"/>
        <v>-20448.773007906973</v>
      </c>
    </row>
    <row r="887" spans="1:5">
      <c r="A887" s="8">
        <v>886</v>
      </c>
      <c r="B887" s="8">
        <f t="shared" ca="1" si="52"/>
        <v>1.0900776365592386</v>
      </c>
      <c r="C887" s="57">
        <f t="shared" ca="1" si="53"/>
        <v>1.3686405568335922E-2</v>
      </c>
      <c r="D887" s="58">
        <f t="shared" ca="1" si="54"/>
        <v>10136864.05568336</v>
      </c>
      <c r="E887" s="59">
        <f t="shared" ca="1" si="55"/>
        <v>-136864.0556833595</v>
      </c>
    </row>
    <row r="888" spans="1:5">
      <c r="A888" s="8">
        <v>887</v>
      </c>
      <c r="B888" s="8">
        <f t="shared" ca="1" si="52"/>
        <v>-0.52952714683834412</v>
      </c>
      <c r="C888" s="57">
        <f t="shared" ca="1" si="53"/>
        <v>-6.3990272078756454E-3</v>
      </c>
      <c r="D888" s="58">
        <f t="shared" ca="1" si="54"/>
        <v>9936009.7279212438</v>
      </c>
      <c r="E888" s="59">
        <f t="shared" ca="1" si="55"/>
        <v>63990.272078756243</v>
      </c>
    </row>
    <row r="889" spans="1:5">
      <c r="A889" s="8">
        <v>888</v>
      </c>
      <c r="B889" s="8">
        <f t="shared" ca="1" si="52"/>
        <v>-0.47836067256614517</v>
      </c>
      <c r="C889" s="57">
        <f t="shared" ca="1" si="53"/>
        <v>-5.764489208281624E-3</v>
      </c>
      <c r="D889" s="58">
        <f t="shared" ca="1" si="54"/>
        <v>9942355.107917184</v>
      </c>
      <c r="E889" s="59">
        <f t="shared" ca="1" si="55"/>
        <v>57644.89208281599</v>
      </c>
    </row>
    <row r="890" spans="1:5">
      <c r="A890" s="8">
        <v>889</v>
      </c>
      <c r="B890" s="8">
        <f t="shared" ca="1" si="52"/>
        <v>1.7815676573947796</v>
      </c>
      <c r="C890" s="57">
        <f t="shared" ca="1" si="53"/>
        <v>2.2261878097984491E-2</v>
      </c>
      <c r="D890" s="58">
        <f t="shared" ca="1" si="54"/>
        <v>10222618.780979844</v>
      </c>
      <c r="E890" s="59">
        <f t="shared" ca="1" si="55"/>
        <v>-222618.78097984381</v>
      </c>
    </row>
    <row r="891" spans="1:5">
      <c r="A891" s="8">
        <v>890</v>
      </c>
      <c r="B891" s="8">
        <f t="shared" ca="1" si="52"/>
        <v>2.6455514096168716E-3</v>
      </c>
      <c r="C891" s="57">
        <f t="shared" ca="1" si="53"/>
        <v>2.0068098363234068E-4</v>
      </c>
      <c r="D891" s="58">
        <f t="shared" ca="1" si="54"/>
        <v>10002006.809836324</v>
      </c>
      <c r="E891" s="59">
        <f t="shared" ca="1" si="55"/>
        <v>-2006.8098363243043</v>
      </c>
    </row>
    <row r="892" spans="1:5">
      <c r="A892" s="8">
        <v>891</v>
      </c>
      <c r="B892" s="8">
        <f t="shared" ca="1" si="52"/>
        <v>0.17573279568407529</v>
      </c>
      <c r="C892" s="57">
        <f t="shared" ca="1" si="53"/>
        <v>2.3472121898450858E-3</v>
      </c>
      <c r="D892" s="58">
        <f t="shared" ca="1" si="54"/>
        <v>10023472.121898452</v>
      </c>
      <c r="E892" s="59">
        <f t="shared" ca="1" si="55"/>
        <v>-23472.12189845182</v>
      </c>
    </row>
    <row r="893" spans="1:5">
      <c r="A893" s="8">
        <v>892</v>
      </c>
      <c r="B893" s="8">
        <f t="shared" ca="1" si="52"/>
        <v>0.11788711070817749</v>
      </c>
      <c r="C893" s="57">
        <f t="shared" ca="1" si="53"/>
        <v>1.6298423543843735E-3</v>
      </c>
      <c r="D893" s="58">
        <f t="shared" ca="1" si="54"/>
        <v>10016298.423543844</v>
      </c>
      <c r="E893" s="59">
        <f t="shared" ca="1" si="55"/>
        <v>-16298.423543844372</v>
      </c>
    </row>
    <row r="894" spans="1:5">
      <c r="A894" s="8">
        <v>893</v>
      </c>
      <c r="B894" s="8">
        <f t="shared" ca="1" si="52"/>
        <v>-1.365005601393001</v>
      </c>
      <c r="C894" s="57">
        <f t="shared" ca="1" si="53"/>
        <v>-1.6760163768443141E-2</v>
      </c>
      <c r="D894" s="58">
        <f t="shared" ca="1" si="54"/>
        <v>9832398.3623155691</v>
      </c>
      <c r="E894" s="59">
        <f t="shared" ca="1" si="55"/>
        <v>167601.63768443093</v>
      </c>
    </row>
    <row r="895" spans="1:5">
      <c r="A895" s="8">
        <v>894</v>
      </c>
      <c r="B895" s="8">
        <f t="shared" ca="1" si="52"/>
        <v>-0.35836973765977365</v>
      </c>
      <c r="C895" s="57">
        <f t="shared" ca="1" si="53"/>
        <v>-4.2764287372814734E-3</v>
      </c>
      <c r="D895" s="58">
        <f t="shared" ca="1" si="54"/>
        <v>9957235.7126271855</v>
      </c>
      <c r="E895" s="59">
        <f t="shared" ca="1" si="55"/>
        <v>42764.287372814491</v>
      </c>
    </row>
    <row r="896" spans="1:5">
      <c r="A896" s="8">
        <v>895</v>
      </c>
      <c r="B896" s="8">
        <f t="shared" ca="1" si="52"/>
        <v>-0.6808569222557489</v>
      </c>
      <c r="C896" s="57">
        <f t="shared" ca="1" si="53"/>
        <v>-8.2757344529661471E-3</v>
      </c>
      <c r="D896" s="58">
        <f t="shared" ca="1" si="54"/>
        <v>9917242.6554703377</v>
      </c>
      <c r="E896" s="59">
        <f t="shared" ca="1" si="55"/>
        <v>82757.344529662281</v>
      </c>
    </row>
    <row r="897" spans="1:5">
      <c r="A897" s="8">
        <v>896</v>
      </c>
      <c r="B897" s="8">
        <f t="shared" ca="1" si="52"/>
        <v>-0.23572537693015311</v>
      </c>
      <c r="C897" s="57">
        <f t="shared" ca="1" si="53"/>
        <v>-2.755461963122765E-3</v>
      </c>
      <c r="D897" s="58">
        <f t="shared" ca="1" si="54"/>
        <v>9972445.380368771</v>
      </c>
      <c r="E897" s="59">
        <f t="shared" ca="1" si="55"/>
        <v>27554.619631228969</v>
      </c>
    </row>
    <row r="898" spans="1:5">
      <c r="A898" s="8">
        <v>897</v>
      </c>
      <c r="B898" s="8">
        <f t="shared" ca="1" si="52"/>
        <v>-1.1856381817867332</v>
      </c>
      <c r="C898" s="57">
        <f t="shared" ca="1" si="53"/>
        <v>-1.4535749339889407E-2</v>
      </c>
      <c r="D898" s="58">
        <f t="shared" ca="1" si="54"/>
        <v>9854642.5066011064</v>
      </c>
      <c r="E898" s="59">
        <f t="shared" ca="1" si="55"/>
        <v>145357.49339889362</v>
      </c>
    </row>
    <row r="899" spans="1:5">
      <c r="A899" s="8">
        <v>898</v>
      </c>
      <c r="B899" s="8">
        <f t="shared" ref="B899:B962" ca="1" si="56">_xlfn.NORM.S.INV(RAND())</f>
        <v>1.4357189009439832</v>
      </c>
      <c r="C899" s="57">
        <f t="shared" ref="C899:C962" ca="1" si="57" xml:space="preserve"> $H$2 + $H$3 * B899</f>
        <v>1.7972855232877533E-2</v>
      </c>
      <c r="D899" s="58">
        <f t="shared" ref="D899:D962" ca="1" si="58">$H$4 * (1 + C899)</f>
        <v>10179728.552328775</v>
      </c>
      <c r="E899" s="59">
        <f t="shared" ref="E899:E962" ca="1" si="59">$H$4-D899</f>
        <v>-179728.55232877471</v>
      </c>
    </row>
    <row r="900" spans="1:5">
      <c r="A900" s="8">
        <v>899</v>
      </c>
      <c r="B900" s="8">
        <f t="shared" ca="1" si="56"/>
        <v>1.6057415610215136</v>
      </c>
      <c r="C900" s="57">
        <f t="shared" ca="1" si="57"/>
        <v>2.0081381179717486E-2</v>
      </c>
      <c r="D900" s="58">
        <f t="shared" ca="1" si="58"/>
        <v>10200813.811797176</v>
      </c>
      <c r="E900" s="59">
        <f t="shared" ca="1" si="59"/>
        <v>-200813.81179717556</v>
      </c>
    </row>
    <row r="901" spans="1:5">
      <c r="A901" s="8">
        <v>900</v>
      </c>
      <c r="B901" s="8">
        <f t="shared" ca="1" si="56"/>
        <v>0.17898563970847634</v>
      </c>
      <c r="C901" s="57">
        <f t="shared" ca="1" si="57"/>
        <v>2.3875521423158052E-3</v>
      </c>
      <c r="D901" s="58">
        <f t="shared" ca="1" si="58"/>
        <v>10023875.521423157</v>
      </c>
      <c r="E901" s="59">
        <f t="shared" ca="1" si="59"/>
        <v>-23875.521423157305</v>
      </c>
    </row>
    <row r="902" spans="1:5">
      <c r="A902" s="8">
        <v>901</v>
      </c>
      <c r="B902" s="8">
        <f t="shared" ca="1" si="56"/>
        <v>0.23890582210202357</v>
      </c>
      <c r="C902" s="57">
        <f t="shared" ca="1" si="57"/>
        <v>3.1306487346086467E-3</v>
      </c>
      <c r="D902" s="58">
        <f t="shared" ca="1" si="58"/>
        <v>10031306.487346085</v>
      </c>
      <c r="E902" s="59">
        <f t="shared" ca="1" si="59"/>
        <v>-31306.487346084788</v>
      </c>
    </row>
    <row r="903" spans="1:5">
      <c r="A903" s="8">
        <v>902</v>
      </c>
      <c r="B903" s="8">
        <f t="shared" ca="1" si="56"/>
        <v>0.97299780510361655</v>
      </c>
      <c r="C903" s="57">
        <f t="shared" ca="1" si="57"/>
        <v>1.2234446974327002E-2</v>
      </c>
      <c r="D903" s="58">
        <f t="shared" ca="1" si="58"/>
        <v>10122344.46974327</v>
      </c>
      <c r="E903" s="59">
        <f t="shared" ca="1" si="59"/>
        <v>-122344.46974327043</v>
      </c>
    </row>
    <row r="904" spans="1:5">
      <c r="A904" s="8">
        <v>903</v>
      </c>
      <c r="B904" s="8">
        <f t="shared" ca="1" si="56"/>
        <v>-0.52890675612397953</v>
      </c>
      <c r="C904" s="57">
        <f t="shared" ca="1" si="57"/>
        <v>-6.3913334691832859E-3</v>
      </c>
      <c r="D904" s="58">
        <f t="shared" ca="1" si="58"/>
        <v>9936086.6653081663</v>
      </c>
      <c r="E904" s="59">
        <f t="shared" ca="1" si="59"/>
        <v>63913.334691833705</v>
      </c>
    </row>
    <row r="905" spans="1:5">
      <c r="A905" s="8">
        <v>904</v>
      </c>
      <c r="B905" s="8">
        <f t="shared" ca="1" si="56"/>
        <v>-0.49213740855291738</v>
      </c>
      <c r="C905" s="57">
        <f t="shared" ca="1" si="57"/>
        <v>-5.9353405834902387E-3</v>
      </c>
      <c r="D905" s="58">
        <f t="shared" ca="1" si="58"/>
        <v>9940646.5941650979</v>
      </c>
      <c r="E905" s="59">
        <f t="shared" ca="1" si="59"/>
        <v>59353.405834902078</v>
      </c>
    </row>
    <row r="906" spans="1:5">
      <c r="A906" s="8">
        <v>905</v>
      </c>
      <c r="B906" s="8">
        <f t="shared" ca="1" si="56"/>
        <v>-0.40758979378458449</v>
      </c>
      <c r="C906" s="57">
        <f t="shared" ca="1" si="57"/>
        <v>-4.8868283475261192E-3</v>
      </c>
      <c r="D906" s="58">
        <f t="shared" ca="1" si="58"/>
        <v>9951131.7165247388</v>
      </c>
      <c r="E906" s="59">
        <f t="shared" ca="1" si="59"/>
        <v>48868.283475261182</v>
      </c>
    </row>
    <row r="907" spans="1:5">
      <c r="A907" s="8">
        <v>906</v>
      </c>
      <c r="B907" s="8">
        <f t="shared" ca="1" si="56"/>
        <v>-4.4532785865364494E-2</v>
      </c>
      <c r="C907" s="57">
        <f t="shared" ca="1" si="57"/>
        <v>-3.8439837124719915E-4</v>
      </c>
      <c r="D907" s="58">
        <f t="shared" ca="1" si="58"/>
        <v>9996156.016287528</v>
      </c>
      <c r="E907" s="59">
        <f t="shared" ca="1" si="59"/>
        <v>3843.9837124720216</v>
      </c>
    </row>
    <row r="908" spans="1:5">
      <c r="A908" s="8">
        <v>907</v>
      </c>
      <c r="B908" s="8">
        <f t="shared" ca="1" si="56"/>
        <v>0.40036129854858199</v>
      </c>
      <c r="C908" s="57">
        <f t="shared" ca="1" si="57"/>
        <v>5.1329292611675056E-3</v>
      </c>
      <c r="D908" s="58">
        <f t="shared" ca="1" si="58"/>
        <v>10051329.292611675</v>
      </c>
      <c r="E908" s="59">
        <f t="shared" ca="1" si="59"/>
        <v>-51329.292611675337</v>
      </c>
    </row>
    <row r="909" spans="1:5">
      <c r="A909" s="8">
        <v>908</v>
      </c>
      <c r="B909" s="8">
        <f t="shared" ca="1" si="56"/>
        <v>-0.88737769398222921</v>
      </c>
      <c r="C909" s="57">
        <f t="shared" ca="1" si="57"/>
        <v>-1.0836889569279039E-2</v>
      </c>
      <c r="D909" s="58">
        <f t="shared" ca="1" si="58"/>
        <v>9891631.1043072101</v>
      </c>
      <c r="E909" s="59">
        <f t="shared" ca="1" si="59"/>
        <v>108368.89569278993</v>
      </c>
    </row>
    <row r="910" spans="1:5">
      <c r="A910" s="8">
        <v>909</v>
      </c>
      <c r="B910" s="8">
        <f t="shared" ca="1" si="56"/>
        <v>-0.88599200057869243</v>
      </c>
      <c r="C910" s="57">
        <f t="shared" ca="1" si="57"/>
        <v>-1.0819704974623305E-2</v>
      </c>
      <c r="D910" s="58">
        <f t="shared" ca="1" si="58"/>
        <v>9891802.9502537679</v>
      </c>
      <c r="E910" s="59">
        <f t="shared" ca="1" si="59"/>
        <v>108197.04974623211</v>
      </c>
    </row>
    <row r="911" spans="1:5">
      <c r="A911" s="8">
        <v>910</v>
      </c>
      <c r="B911" s="8">
        <f t="shared" ca="1" si="56"/>
        <v>-1.0697964894942871</v>
      </c>
      <c r="C911" s="57">
        <f t="shared" ca="1" si="57"/>
        <v>-1.3099145455365472E-2</v>
      </c>
      <c r="D911" s="58">
        <f t="shared" ca="1" si="58"/>
        <v>9869008.5454463456</v>
      </c>
      <c r="E911" s="59">
        <f t="shared" ca="1" si="59"/>
        <v>130991.45455365442</v>
      </c>
    </row>
    <row r="912" spans="1:5">
      <c r="A912" s="8">
        <v>911</v>
      </c>
      <c r="B912" s="8">
        <f t="shared" ca="1" si="56"/>
        <v>0.15863357457459021</v>
      </c>
      <c r="C912" s="57">
        <f t="shared" ca="1" si="57"/>
        <v>2.1351572122105629E-3</v>
      </c>
      <c r="D912" s="58">
        <f t="shared" ca="1" si="58"/>
        <v>10021351.572122106</v>
      </c>
      <c r="E912" s="59">
        <f t="shared" ca="1" si="59"/>
        <v>-21351.572122106329</v>
      </c>
    </row>
    <row r="913" spans="1:5">
      <c r="A913" s="8">
        <v>912</v>
      </c>
      <c r="B913" s="8">
        <f t="shared" ca="1" si="56"/>
        <v>0.78998920874250145</v>
      </c>
      <c r="C913" s="57">
        <f t="shared" ca="1" si="57"/>
        <v>9.9648767079506817E-3</v>
      </c>
      <c r="D913" s="58">
        <f t="shared" ca="1" si="58"/>
        <v>10099648.767079508</v>
      </c>
      <c r="E913" s="59">
        <f t="shared" ca="1" si="59"/>
        <v>-99648.767079507932</v>
      </c>
    </row>
    <row r="914" spans="1:5">
      <c r="A914" s="8">
        <v>913</v>
      </c>
      <c r="B914" s="8">
        <f t="shared" ca="1" si="56"/>
        <v>0.94422725760474524</v>
      </c>
      <c r="C914" s="57">
        <f t="shared" ca="1" si="57"/>
        <v>1.1877650733881764E-2</v>
      </c>
      <c r="D914" s="58">
        <f t="shared" ca="1" si="58"/>
        <v>10118776.507338818</v>
      </c>
      <c r="E914" s="59">
        <f t="shared" ca="1" si="59"/>
        <v>-118776.50733881816</v>
      </c>
    </row>
    <row r="915" spans="1:5">
      <c r="A915" s="8">
        <v>914</v>
      </c>
      <c r="B915" s="8">
        <f t="shared" ca="1" si="56"/>
        <v>-0.84437078793803633</v>
      </c>
      <c r="C915" s="57">
        <f t="shared" ca="1" si="57"/>
        <v>-1.0303541971693295E-2</v>
      </c>
      <c r="D915" s="58">
        <f t="shared" ca="1" si="58"/>
        <v>9896964.5802830681</v>
      </c>
      <c r="E915" s="59">
        <f t="shared" ca="1" si="59"/>
        <v>103035.41971693188</v>
      </c>
    </row>
    <row r="916" spans="1:5">
      <c r="A916" s="8">
        <v>915</v>
      </c>
      <c r="B916" s="8">
        <f t="shared" ca="1" si="56"/>
        <v>0.76926329165494955</v>
      </c>
      <c r="C916" s="57">
        <f t="shared" ca="1" si="57"/>
        <v>9.7078454749889749E-3</v>
      </c>
      <c r="D916" s="58">
        <f t="shared" ca="1" si="58"/>
        <v>10097078.45474989</v>
      </c>
      <c r="E916" s="59">
        <f t="shared" ca="1" si="59"/>
        <v>-97078.454749889672</v>
      </c>
    </row>
    <row r="917" spans="1:5">
      <c r="A917" s="8">
        <v>916</v>
      </c>
      <c r="B917" s="8">
        <f t="shared" ca="1" si="56"/>
        <v>-0.50590106818208258</v>
      </c>
      <c r="C917" s="57">
        <f t="shared" ca="1" si="57"/>
        <v>-6.106029793024631E-3</v>
      </c>
      <c r="D917" s="58">
        <f t="shared" ca="1" si="58"/>
        <v>9938939.7020697538</v>
      </c>
      <c r="E917" s="59">
        <f t="shared" ca="1" si="59"/>
        <v>61060.297930246219</v>
      </c>
    </row>
    <row r="918" spans="1:5">
      <c r="A918" s="8">
        <v>917</v>
      </c>
      <c r="B918" s="8">
        <f t="shared" ca="1" si="56"/>
        <v>-0.79416152704616683</v>
      </c>
      <c r="C918" s="57">
        <f t="shared" ca="1" si="57"/>
        <v>-9.680874797130281E-3</v>
      </c>
      <c r="D918" s="58">
        <f t="shared" ca="1" si="58"/>
        <v>9903191.2520286962</v>
      </c>
      <c r="E918" s="59">
        <f t="shared" ca="1" si="59"/>
        <v>96808.747971303761</v>
      </c>
    </row>
    <row r="919" spans="1:5">
      <c r="A919" s="8">
        <v>918</v>
      </c>
      <c r="B919" s="8">
        <f t="shared" ca="1" si="56"/>
        <v>-0.21195522012380322</v>
      </c>
      <c r="C919" s="57">
        <f t="shared" ca="1" si="57"/>
        <v>-2.460677771628594E-3</v>
      </c>
      <c r="D919" s="58">
        <f t="shared" ca="1" si="58"/>
        <v>9975393.2222837135</v>
      </c>
      <c r="E919" s="59">
        <f t="shared" ca="1" si="59"/>
        <v>24606.77771628648</v>
      </c>
    </row>
    <row r="920" spans="1:5">
      <c r="A920" s="8">
        <v>919</v>
      </c>
      <c r="B920" s="8">
        <f t="shared" ca="1" si="56"/>
        <v>-1.0342444874902126</v>
      </c>
      <c r="C920" s="57">
        <f t="shared" ca="1" si="57"/>
        <v>-1.2658249408606092E-2</v>
      </c>
      <c r="D920" s="58">
        <f t="shared" ca="1" si="58"/>
        <v>9873417.5059139393</v>
      </c>
      <c r="E920" s="59">
        <f t="shared" ca="1" si="59"/>
        <v>126582.49408606067</v>
      </c>
    </row>
    <row r="921" spans="1:5">
      <c r="A921" s="8">
        <v>920</v>
      </c>
      <c r="B921" s="8">
        <f t="shared" ca="1" si="56"/>
        <v>-1.5406540657464882</v>
      </c>
      <c r="C921" s="57">
        <f t="shared" ca="1" si="57"/>
        <v>-1.8938457793739746E-2</v>
      </c>
      <c r="D921" s="58">
        <f t="shared" ca="1" si="58"/>
        <v>9810615.4220626038</v>
      </c>
      <c r="E921" s="59">
        <f t="shared" ca="1" si="59"/>
        <v>189384.57793739624</v>
      </c>
    </row>
    <row r="922" spans="1:5">
      <c r="A922" s="8">
        <v>921</v>
      </c>
      <c r="B922" s="8">
        <f t="shared" ca="1" si="56"/>
        <v>-1.4536422027776621</v>
      </c>
      <c r="C922" s="57">
        <f t="shared" ca="1" si="57"/>
        <v>-1.7859385329698829E-2</v>
      </c>
      <c r="D922" s="58">
        <f t="shared" ca="1" si="58"/>
        <v>9821406.1467030104</v>
      </c>
      <c r="E922" s="59">
        <f t="shared" ca="1" si="59"/>
        <v>178593.85329698958</v>
      </c>
    </row>
    <row r="923" spans="1:5">
      <c r="A923" s="8">
        <v>922</v>
      </c>
      <c r="B923" s="8">
        <f t="shared" ca="1" si="56"/>
        <v>0.15413681398750012</v>
      </c>
      <c r="C923" s="57">
        <f t="shared" ca="1" si="57"/>
        <v>2.079390902177047E-3</v>
      </c>
      <c r="D923" s="58">
        <f t="shared" ca="1" si="58"/>
        <v>10020793.909021771</v>
      </c>
      <c r="E923" s="59">
        <f t="shared" ca="1" si="59"/>
        <v>-20793.909021770582</v>
      </c>
    </row>
    <row r="924" spans="1:5">
      <c r="A924" s="8">
        <v>923</v>
      </c>
      <c r="B924" s="8">
        <f t="shared" ca="1" si="56"/>
        <v>0.76256370767203951</v>
      </c>
      <c r="C924" s="57">
        <f t="shared" ca="1" si="57"/>
        <v>9.6247609811070563E-3</v>
      </c>
      <c r="D924" s="58">
        <f t="shared" ca="1" si="58"/>
        <v>10096247.609811071</v>
      </c>
      <c r="E924" s="59">
        <f t="shared" ca="1" si="59"/>
        <v>-96247.609811071306</v>
      </c>
    </row>
    <row r="925" spans="1:5">
      <c r="A925" s="8">
        <v>924</v>
      </c>
      <c r="B925" s="8">
        <f t="shared" ca="1" si="56"/>
        <v>-1.2120848331092895</v>
      </c>
      <c r="C925" s="57">
        <f t="shared" ca="1" si="57"/>
        <v>-1.4863725919571262E-2</v>
      </c>
      <c r="D925" s="58">
        <f t="shared" ca="1" si="58"/>
        <v>9851362.7408042867</v>
      </c>
      <c r="E925" s="59">
        <f t="shared" ca="1" si="59"/>
        <v>148637.25919571333</v>
      </c>
    </row>
    <row r="926" spans="1:5">
      <c r="A926" s="8">
        <v>925</v>
      </c>
      <c r="B926" s="8">
        <f t="shared" ca="1" si="56"/>
        <v>-0.22498784082972015</v>
      </c>
      <c r="C926" s="57">
        <f t="shared" ca="1" si="57"/>
        <v>-2.6223010452629363E-3</v>
      </c>
      <c r="D926" s="58">
        <f t="shared" ca="1" si="58"/>
        <v>9973776.98954737</v>
      </c>
      <c r="E926" s="59">
        <f t="shared" ca="1" si="59"/>
        <v>26223.010452629998</v>
      </c>
    </row>
    <row r="927" spans="1:5">
      <c r="A927" s="8">
        <v>926</v>
      </c>
      <c r="B927" s="8">
        <f t="shared" ca="1" si="56"/>
        <v>-1.7936369394155272</v>
      </c>
      <c r="C927" s="57">
        <f t="shared" ca="1" si="57"/>
        <v>-2.2075809914886793E-2</v>
      </c>
      <c r="D927" s="58">
        <f t="shared" ca="1" si="58"/>
        <v>9779241.9008511323</v>
      </c>
      <c r="E927" s="59">
        <f t="shared" ca="1" si="59"/>
        <v>220758.09914886765</v>
      </c>
    </row>
    <row r="928" spans="1:5">
      <c r="A928" s="8">
        <v>927</v>
      </c>
      <c r="B928" s="8">
        <f t="shared" ca="1" si="56"/>
        <v>-0.53296357610442846</v>
      </c>
      <c r="C928" s="57">
        <f t="shared" ca="1" si="57"/>
        <v>-6.441643881845544E-3</v>
      </c>
      <c r="D928" s="58">
        <f t="shared" ca="1" si="58"/>
        <v>9935583.5611815453</v>
      </c>
      <c r="E928" s="59">
        <f t="shared" ca="1" si="59"/>
        <v>64416.438818454742</v>
      </c>
    </row>
    <row r="929" spans="1:5">
      <c r="A929" s="8">
        <v>928</v>
      </c>
      <c r="B929" s="8">
        <f t="shared" ca="1" si="56"/>
        <v>1.9432664464738201</v>
      </c>
      <c r="C929" s="57">
        <f t="shared" ca="1" si="57"/>
        <v>2.4267176051741283E-2</v>
      </c>
      <c r="D929" s="58">
        <f t="shared" ca="1" si="58"/>
        <v>10242671.760517413</v>
      </c>
      <c r="E929" s="59">
        <f t="shared" ca="1" si="59"/>
        <v>-242671.7605174128</v>
      </c>
    </row>
    <row r="930" spans="1:5">
      <c r="A930" s="8">
        <v>929</v>
      </c>
      <c r="B930" s="8">
        <f t="shared" ca="1" si="56"/>
        <v>-0.73492663522054369</v>
      </c>
      <c r="C930" s="57">
        <f t="shared" ca="1" si="57"/>
        <v>-8.946276795219062E-3</v>
      </c>
      <c r="D930" s="58">
        <f t="shared" ca="1" si="58"/>
        <v>9910537.2320478093</v>
      </c>
      <c r="E930" s="59">
        <f t="shared" ca="1" si="59"/>
        <v>89462.767952190712</v>
      </c>
    </row>
    <row r="931" spans="1:5">
      <c r="A931" s="8">
        <v>930</v>
      </c>
      <c r="B931" s="8">
        <f t="shared" ca="1" si="56"/>
        <v>0.88239573175842489</v>
      </c>
      <c r="C931" s="57">
        <f t="shared" ca="1" si="57"/>
        <v>1.1110850728986996E-2</v>
      </c>
      <c r="D931" s="58">
        <f t="shared" ca="1" si="58"/>
        <v>10111108.50728987</v>
      </c>
      <c r="E931" s="59">
        <f t="shared" ca="1" si="59"/>
        <v>-111108.50728986971</v>
      </c>
    </row>
    <row r="932" spans="1:5">
      <c r="A932" s="8">
        <v>931</v>
      </c>
      <c r="B932" s="8">
        <f t="shared" ca="1" si="56"/>
        <v>1.9402381120600911</v>
      </c>
      <c r="C932" s="57">
        <f t="shared" ca="1" si="57"/>
        <v>2.4229620341907402E-2</v>
      </c>
      <c r="D932" s="58">
        <f t="shared" ca="1" si="58"/>
        <v>10242296.203419074</v>
      </c>
      <c r="E932" s="59">
        <f t="shared" ca="1" si="59"/>
        <v>-242296.20341907442</v>
      </c>
    </row>
    <row r="933" spans="1:5">
      <c r="A933" s="8">
        <v>932</v>
      </c>
      <c r="B933" s="8">
        <f t="shared" ca="1" si="56"/>
        <v>-1.4476907193817541</v>
      </c>
      <c r="C933" s="57">
        <f t="shared" ca="1" si="57"/>
        <v>-1.7785578360929272E-2</v>
      </c>
      <c r="D933" s="58">
        <f t="shared" ca="1" si="58"/>
        <v>9822144.2163907066</v>
      </c>
      <c r="E933" s="59">
        <f t="shared" ca="1" si="59"/>
        <v>177855.7836092934</v>
      </c>
    </row>
    <row r="934" spans="1:5">
      <c r="A934" s="8">
        <v>933</v>
      </c>
      <c r="B934" s="8">
        <f t="shared" ca="1" si="56"/>
        <v>1.0646390448108074</v>
      </c>
      <c r="C934" s="57">
        <f t="shared" ca="1" si="57"/>
        <v>1.3370930379745313E-2</v>
      </c>
      <c r="D934" s="58">
        <f t="shared" ca="1" si="58"/>
        <v>10133709.303797454</v>
      </c>
      <c r="E934" s="59">
        <f t="shared" ca="1" si="59"/>
        <v>-133709.30379745364</v>
      </c>
    </row>
    <row r="935" spans="1:5">
      <c r="A935" s="8">
        <v>934</v>
      </c>
      <c r="B935" s="8">
        <f t="shared" ca="1" si="56"/>
        <v>0.27261022751911301</v>
      </c>
      <c r="C935" s="57">
        <f t="shared" ca="1" si="57"/>
        <v>3.5486319217458186E-3</v>
      </c>
      <c r="D935" s="58">
        <f t="shared" ca="1" si="58"/>
        <v>10035486.319217458</v>
      </c>
      <c r="E935" s="59">
        <f t="shared" ca="1" si="59"/>
        <v>-35486.319217458367</v>
      </c>
    </row>
    <row r="936" spans="1:5">
      <c r="A936" s="8">
        <v>935</v>
      </c>
      <c r="B936" s="8">
        <f t="shared" ca="1" si="56"/>
        <v>1.2364246047627565</v>
      </c>
      <c r="C936" s="57">
        <f t="shared" ca="1" si="57"/>
        <v>1.5501318824944002E-2</v>
      </c>
      <c r="D936" s="58">
        <f t="shared" ca="1" si="58"/>
        <v>10155013.188249439</v>
      </c>
      <c r="E936" s="59">
        <f t="shared" ca="1" si="59"/>
        <v>-155013.188249439</v>
      </c>
    </row>
    <row r="937" spans="1:5">
      <c r="A937" s="8">
        <v>936</v>
      </c>
      <c r="B937" s="8">
        <f t="shared" ca="1" si="56"/>
        <v>1.0824957403532023</v>
      </c>
      <c r="C937" s="57">
        <f t="shared" ca="1" si="57"/>
        <v>1.359237913168692E-2</v>
      </c>
      <c r="D937" s="58">
        <f t="shared" ca="1" si="58"/>
        <v>10135923.791316871</v>
      </c>
      <c r="E937" s="59">
        <f t="shared" ca="1" si="59"/>
        <v>-135923.7913168706</v>
      </c>
    </row>
    <row r="938" spans="1:5">
      <c r="A938" s="8">
        <v>937</v>
      </c>
      <c r="B938" s="8">
        <f t="shared" ca="1" si="56"/>
        <v>0.7962195525036897</v>
      </c>
      <c r="C938" s="57">
        <f t="shared" ca="1" si="57"/>
        <v>1.0042141947020624E-2</v>
      </c>
      <c r="D938" s="58">
        <f t="shared" ca="1" si="58"/>
        <v>10100421.419470208</v>
      </c>
      <c r="E938" s="59">
        <f t="shared" ca="1" si="59"/>
        <v>-100421.41947020777</v>
      </c>
    </row>
    <row r="939" spans="1:5">
      <c r="A939" s="8">
        <v>938</v>
      </c>
      <c r="B939" s="8">
        <f t="shared" ca="1" si="56"/>
        <v>0.65009771724717158</v>
      </c>
      <c r="C939" s="57">
        <f t="shared" ca="1" si="57"/>
        <v>8.230020663317926E-3</v>
      </c>
      <c r="D939" s="58">
        <f t="shared" ca="1" si="58"/>
        <v>10082300.206633179</v>
      </c>
      <c r="E939" s="59">
        <f t="shared" ca="1" si="59"/>
        <v>-82300.206633178517</v>
      </c>
    </row>
    <row r="940" spans="1:5">
      <c r="A940" s="8">
        <v>939</v>
      </c>
      <c r="B940" s="8">
        <f t="shared" ca="1" si="56"/>
        <v>2.8914694031233121E-2</v>
      </c>
      <c r="C940" s="57">
        <f t="shared" ca="1" si="57"/>
        <v>5.264561996750712E-4</v>
      </c>
      <c r="D940" s="58">
        <f t="shared" ca="1" si="58"/>
        <v>10005264.561996752</v>
      </c>
      <c r="E940" s="59">
        <f t="shared" ca="1" si="59"/>
        <v>-5264.5619967523962</v>
      </c>
    </row>
    <row r="941" spans="1:5">
      <c r="A941" s="8">
        <v>940</v>
      </c>
      <c r="B941" s="8">
        <f t="shared" ca="1" si="56"/>
        <v>-1.9474769477862182</v>
      </c>
      <c r="C941" s="57">
        <f t="shared" ca="1" si="57"/>
        <v>-2.398364766524173E-2</v>
      </c>
      <c r="D941" s="58">
        <f t="shared" ca="1" si="58"/>
        <v>9760163.5233475827</v>
      </c>
      <c r="E941" s="59">
        <f t="shared" ca="1" si="59"/>
        <v>239836.47665241733</v>
      </c>
    </row>
    <row r="942" spans="1:5">
      <c r="A942" s="8">
        <v>941</v>
      </c>
      <c r="B942" s="8">
        <f t="shared" ca="1" si="56"/>
        <v>-1.1927069708412157</v>
      </c>
      <c r="C942" s="57">
        <f t="shared" ca="1" si="57"/>
        <v>-1.462341250859479E-2</v>
      </c>
      <c r="D942" s="58">
        <f t="shared" ca="1" si="58"/>
        <v>9853765.874914052</v>
      </c>
      <c r="E942" s="59">
        <f t="shared" ca="1" si="59"/>
        <v>146234.12508594804</v>
      </c>
    </row>
    <row r="943" spans="1:5">
      <c r="A943" s="8">
        <v>942</v>
      </c>
      <c r="B943" s="8">
        <f t="shared" ca="1" si="56"/>
        <v>0.71604560457050714</v>
      </c>
      <c r="C943" s="57">
        <f t="shared" ca="1" si="57"/>
        <v>9.0478694812173906E-3</v>
      </c>
      <c r="D943" s="58">
        <f t="shared" ca="1" si="58"/>
        <v>10090478.694812175</v>
      </c>
      <c r="E943" s="59">
        <f t="shared" ca="1" si="59"/>
        <v>-90478.694812174886</v>
      </c>
    </row>
    <row r="944" spans="1:5">
      <c r="A944" s="8">
        <v>943</v>
      </c>
      <c r="B944" s="8">
        <f t="shared" ca="1" si="56"/>
        <v>-1.3845905272064576</v>
      </c>
      <c r="C944" s="57">
        <f t="shared" ca="1" si="57"/>
        <v>-1.7003045065711271E-2</v>
      </c>
      <c r="D944" s="58">
        <f t="shared" ca="1" si="58"/>
        <v>9829969.5493428875</v>
      </c>
      <c r="E944" s="59">
        <f t="shared" ca="1" si="59"/>
        <v>170030.45065711252</v>
      </c>
    </row>
    <row r="945" spans="1:5">
      <c r="A945" s="8">
        <v>944</v>
      </c>
      <c r="B945" s="8">
        <f t="shared" ca="1" si="56"/>
        <v>-0.38379045780215937</v>
      </c>
      <c r="C945" s="57">
        <f t="shared" ca="1" si="57"/>
        <v>-4.5916822922084204E-3</v>
      </c>
      <c r="D945" s="58">
        <f t="shared" ca="1" si="58"/>
        <v>9954083.1770779155</v>
      </c>
      <c r="E945" s="59">
        <f t="shared" ca="1" si="59"/>
        <v>45916.822922084481</v>
      </c>
    </row>
    <row r="946" spans="1:5">
      <c r="A946" s="8">
        <v>945</v>
      </c>
      <c r="B946" s="8">
        <f t="shared" ca="1" si="56"/>
        <v>-0.33073678502248205</v>
      </c>
      <c r="C946" s="57">
        <f t="shared" ca="1" si="57"/>
        <v>-3.9337403121212028E-3</v>
      </c>
      <c r="D946" s="58">
        <f t="shared" ca="1" si="58"/>
        <v>9960662.5968787875</v>
      </c>
      <c r="E946" s="59">
        <f t="shared" ca="1" si="59"/>
        <v>39337.403121212497</v>
      </c>
    </row>
    <row r="947" spans="1:5">
      <c r="A947" s="8">
        <v>946</v>
      </c>
      <c r="B947" s="8">
        <f t="shared" ca="1" si="56"/>
        <v>-0.48499525129406484</v>
      </c>
      <c r="C947" s="57">
        <f t="shared" ca="1" si="57"/>
        <v>-5.8467675433446793E-3</v>
      </c>
      <c r="D947" s="58">
        <f t="shared" ca="1" si="58"/>
        <v>9941532.3245665524</v>
      </c>
      <c r="E947" s="59">
        <f t="shared" ca="1" si="59"/>
        <v>58467.675433447585</v>
      </c>
    </row>
    <row r="948" spans="1:5">
      <c r="A948" s="8">
        <v>947</v>
      </c>
      <c r="B948" s="8">
        <f t="shared" ca="1" si="56"/>
        <v>-0.65732067403661332</v>
      </c>
      <c r="C948" s="57">
        <f t="shared" ca="1" si="57"/>
        <v>-7.9838510649596107E-3</v>
      </c>
      <c r="D948" s="58">
        <f t="shared" ca="1" si="58"/>
        <v>9920161.4893504046</v>
      </c>
      <c r="E948" s="59">
        <f t="shared" ca="1" si="59"/>
        <v>79838.51064959541</v>
      </c>
    </row>
    <row r="949" spans="1:5">
      <c r="A949" s="8">
        <v>948</v>
      </c>
      <c r="B949" s="8">
        <f t="shared" ca="1" si="56"/>
        <v>0.41724152517168323</v>
      </c>
      <c r="C949" s="57">
        <f t="shared" ca="1" si="57"/>
        <v>5.3422683916523328E-3</v>
      </c>
      <c r="D949" s="58">
        <f t="shared" ca="1" si="58"/>
        <v>10053422.683916524</v>
      </c>
      <c r="E949" s="59">
        <f t="shared" ca="1" si="59"/>
        <v>-53422.683916524053</v>
      </c>
    </row>
    <row r="950" spans="1:5">
      <c r="A950" s="8">
        <v>949</v>
      </c>
      <c r="B950" s="8">
        <f t="shared" ca="1" si="56"/>
        <v>0.36048178779810003</v>
      </c>
      <c r="C950" s="57">
        <f t="shared" ca="1" si="57"/>
        <v>4.6383658710503865E-3</v>
      </c>
      <c r="D950" s="58">
        <f t="shared" ca="1" si="58"/>
        <v>10046383.658710504</v>
      </c>
      <c r="E950" s="59">
        <f t="shared" ca="1" si="59"/>
        <v>-46383.658710503951</v>
      </c>
    </row>
    <row r="951" spans="1:5">
      <c r="A951" s="8">
        <v>950</v>
      </c>
      <c r="B951" s="8">
        <f t="shared" ca="1" si="56"/>
        <v>-7.2822863681040115E-2</v>
      </c>
      <c r="C951" s="57">
        <f t="shared" ca="1" si="57"/>
        <v>-7.3523609537922275E-4</v>
      </c>
      <c r="D951" s="58">
        <f t="shared" ca="1" si="58"/>
        <v>9992647.6390462089</v>
      </c>
      <c r="E951" s="59">
        <f t="shared" ca="1" si="59"/>
        <v>7352.360953791067</v>
      </c>
    </row>
    <row r="952" spans="1:5">
      <c r="A952" s="8">
        <v>951</v>
      </c>
      <c r="B952" s="8">
        <f t="shared" ca="1" si="56"/>
        <v>6.9071762034362008E-2</v>
      </c>
      <c r="C952" s="57">
        <f t="shared" ca="1" si="57"/>
        <v>1.0244616996184506E-3</v>
      </c>
      <c r="D952" s="58">
        <f t="shared" ca="1" si="58"/>
        <v>10010244.616996184</v>
      </c>
      <c r="E952" s="59">
        <f t="shared" ca="1" si="59"/>
        <v>-10244.616996183991</v>
      </c>
    </row>
    <row r="953" spans="1:5">
      <c r="A953" s="8">
        <v>952</v>
      </c>
      <c r="B953" s="8">
        <f t="shared" ca="1" si="56"/>
        <v>0.37646882628317813</v>
      </c>
      <c r="C953" s="57">
        <f t="shared" ca="1" si="57"/>
        <v>4.8366281817538229E-3</v>
      </c>
      <c r="D953" s="58">
        <f t="shared" ca="1" si="58"/>
        <v>10048366.281817539</v>
      </c>
      <c r="E953" s="59">
        <f t="shared" ca="1" si="59"/>
        <v>-48366.281817538664</v>
      </c>
    </row>
    <row r="954" spans="1:5">
      <c r="A954" s="8">
        <v>953</v>
      </c>
      <c r="B954" s="8">
        <f t="shared" ca="1" si="56"/>
        <v>0.25035424700057834</v>
      </c>
      <c r="C954" s="57">
        <f t="shared" ca="1" si="57"/>
        <v>3.2726256977854595E-3</v>
      </c>
      <c r="D954" s="58">
        <f t="shared" ca="1" si="58"/>
        <v>10032726.256977856</v>
      </c>
      <c r="E954" s="59">
        <f t="shared" ca="1" si="59"/>
        <v>-32726.256977856159</v>
      </c>
    </row>
    <row r="955" spans="1:5">
      <c r="A955" s="8">
        <v>954</v>
      </c>
      <c r="B955" s="8">
        <f t="shared" ca="1" si="56"/>
        <v>0.40544163687046536</v>
      </c>
      <c r="C955" s="57">
        <f t="shared" ca="1" si="57"/>
        <v>5.1959327759080222E-3</v>
      </c>
      <c r="D955" s="58">
        <f t="shared" ca="1" si="58"/>
        <v>10051959.327759081</v>
      </c>
      <c r="E955" s="59">
        <f t="shared" ca="1" si="59"/>
        <v>-51959.327759081498</v>
      </c>
    </row>
    <row r="956" spans="1:5">
      <c r="A956" s="8">
        <v>955</v>
      </c>
      <c r="B956" s="8">
        <f t="shared" ca="1" si="56"/>
        <v>-5.0481956372175799E-2</v>
      </c>
      <c r="C956" s="57">
        <f t="shared" ca="1" si="57"/>
        <v>-4.5817665685963805E-4</v>
      </c>
      <c r="D956" s="58">
        <f t="shared" ca="1" si="58"/>
        <v>9995418.2334314026</v>
      </c>
      <c r="E956" s="59">
        <f t="shared" ca="1" si="59"/>
        <v>4581.7665685974061</v>
      </c>
    </row>
    <row r="957" spans="1:5">
      <c r="A957" s="8">
        <v>956</v>
      </c>
      <c r="B957" s="8">
        <f t="shared" ca="1" si="56"/>
        <v>-2.9137442570087471</v>
      </c>
      <c r="C957" s="57">
        <f t="shared" ca="1" si="57"/>
        <v>-3.5966754459064811E-2</v>
      </c>
      <c r="D957" s="58">
        <f t="shared" ca="1" si="58"/>
        <v>9640332.4554093517</v>
      </c>
      <c r="E957" s="59">
        <f t="shared" ca="1" si="59"/>
        <v>359667.54459064826</v>
      </c>
    </row>
    <row r="958" spans="1:5">
      <c r="A958" s="8">
        <v>957</v>
      </c>
      <c r="B958" s="8">
        <f t="shared" ca="1" si="56"/>
        <v>-0.269712040355918</v>
      </c>
      <c r="C958" s="57">
        <f t="shared" ca="1" si="57"/>
        <v>-3.1769455562336126E-3</v>
      </c>
      <c r="D958" s="58">
        <f t="shared" ca="1" si="58"/>
        <v>9968230.5444376636</v>
      </c>
      <c r="E958" s="59">
        <f t="shared" ca="1" si="59"/>
        <v>31769.45556233637</v>
      </c>
    </row>
    <row r="959" spans="1:5">
      <c r="A959" s="8">
        <v>958</v>
      </c>
      <c r="B959" s="8">
        <f t="shared" ca="1" si="56"/>
        <v>0.38003832263056964</v>
      </c>
      <c r="C959" s="57">
        <f t="shared" ca="1" si="57"/>
        <v>4.880895079249682E-3</v>
      </c>
      <c r="D959" s="58">
        <f t="shared" ca="1" si="58"/>
        <v>10048808.950792495</v>
      </c>
      <c r="E959" s="59">
        <f t="shared" ca="1" si="59"/>
        <v>-48808.950792495161</v>
      </c>
    </row>
    <row r="960" spans="1:5">
      <c r="A960" s="8">
        <v>959</v>
      </c>
      <c r="B960" s="8">
        <f t="shared" ca="1" si="56"/>
        <v>-0.7365854625340964</v>
      </c>
      <c r="C960" s="57">
        <f t="shared" ca="1" si="57"/>
        <v>-8.9668486438794562E-3</v>
      </c>
      <c r="D960" s="58">
        <f t="shared" ca="1" si="58"/>
        <v>9910331.5135612059</v>
      </c>
      <c r="E960" s="59">
        <f t="shared" ca="1" si="59"/>
        <v>89668.486438794062</v>
      </c>
    </row>
    <row r="961" spans="1:5">
      <c r="A961" s="8">
        <v>960</v>
      </c>
      <c r="B961" s="8">
        <f t="shared" ca="1" si="56"/>
        <v>0.23680510818101211</v>
      </c>
      <c r="C961" s="57">
        <f t="shared" ca="1" si="57"/>
        <v>3.1045968553631348E-3</v>
      </c>
      <c r="D961" s="58">
        <f t="shared" ca="1" si="58"/>
        <v>10031045.968553631</v>
      </c>
      <c r="E961" s="59">
        <f t="shared" ca="1" si="59"/>
        <v>-31045.968553630635</v>
      </c>
    </row>
    <row r="962" spans="1:5">
      <c r="A962" s="8">
        <v>961</v>
      </c>
      <c r="B962" s="8">
        <f t="shared" ca="1" si="56"/>
        <v>-1.2631902647799966</v>
      </c>
      <c r="C962" s="57">
        <f t="shared" ca="1" si="57"/>
        <v>-1.5497506902959037E-2</v>
      </c>
      <c r="D962" s="58">
        <f t="shared" ca="1" si="58"/>
        <v>9845024.9309704099</v>
      </c>
      <c r="E962" s="59">
        <f t="shared" ca="1" si="59"/>
        <v>154975.06902959011</v>
      </c>
    </row>
    <row r="963" spans="1:5">
      <c r="A963" s="8">
        <v>962</v>
      </c>
      <c r="B963" s="8">
        <f t="shared" ref="B963:B1001" ca="1" si="60">_xlfn.NORM.S.INV(RAND())</f>
        <v>-0.7830773323946959</v>
      </c>
      <c r="C963" s="57">
        <f t="shared" ref="C963:C1001" ca="1" si="61" xml:space="preserve"> $H$2 + $H$3 * B963</f>
        <v>-9.5434148137857455E-3</v>
      </c>
      <c r="D963" s="58">
        <f t="shared" ref="D963:D1001" ca="1" si="62">$H$4 * (1 + C963)</f>
        <v>9904565.8518621419</v>
      </c>
      <c r="E963" s="59">
        <f t="shared" ref="E963:E1001" ca="1" si="63">$H$4-D963</f>
        <v>95434.148137858137</v>
      </c>
    </row>
    <row r="964" spans="1:5">
      <c r="A964" s="8">
        <v>963</v>
      </c>
      <c r="B964" s="8">
        <f t="shared" ca="1" si="60"/>
        <v>-0.73927503085783786</v>
      </c>
      <c r="C964" s="57">
        <f t="shared" ca="1" si="61"/>
        <v>-9.0002031661167974E-3</v>
      </c>
      <c r="D964" s="58">
        <f t="shared" ca="1" si="62"/>
        <v>9909997.9683388323</v>
      </c>
      <c r="E964" s="59">
        <f t="shared" ca="1" si="63"/>
        <v>90002.031661167741</v>
      </c>
    </row>
    <row r="965" spans="1:5">
      <c r="A965" s="8">
        <v>964</v>
      </c>
      <c r="B965" s="8">
        <f t="shared" ca="1" si="60"/>
        <v>-0.20107624942002092</v>
      </c>
      <c r="C965" s="57">
        <f t="shared" ca="1" si="61"/>
        <v>-2.3257628609138887E-3</v>
      </c>
      <c r="D965" s="58">
        <f t="shared" ca="1" si="62"/>
        <v>9976742.3713908605</v>
      </c>
      <c r="E965" s="59">
        <f t="shared" ca="1" si="63"/>
        <v>23257.628609139472</v>
      </c>
    </row>
    <row r="966" spans="1:5">
      <c r="A966" s="8">
        <v>965</v>
      </c>
      <c r="B966" s="8">
        <f t="shared" ca="1" si="60"/>
        <v>-0.61804444633625555</v>
      </c>
      <c r="C966" s="57">
        <f t="shared" ca="1" si="61"/>
        <v>-7.4967692538502294E-3</v>
      </c>
      <c r="D966" s="58">
        <f t="shared" ca="1" si="62"/>
        <v>9925032.3074614983</v>
      </c>
      <c r="E966" s="59">
        <f t="shared" ca="1" si="63"/>
        <v>74967.692538501695</v>
      </c>
    </row>
    <row r="967" spans="1:5">
      <c r="A967" s="8">
        <v>966</v>
      </c>
      <c r="B967" s="8">
        <f t="shared" ca="1" si="60"/>
        <v>0.15308023706984944</v>
      </c>
      <c r="C967" s="57">
        <f t="shared" ca="1" si="61"/>
        <v>2.0662878261242267E-3</v>
      </c>
      <c r="D967" s="58">
        <f t="shared" ca="1" si="62"/>
        <v>10020662.878261242</v>
      </c>
      <c r="E967" s="59">
        <f t="shared" ca="1" si="63"/>
        <v>-20662.878261242062</v>
      </c>
    </row>
    <row r="968" spans="1:5">
      <c r="A968" s="8">
        <v>967</v>
      </c>
      <c r="B968" s="8">
        <f t="shared" ca="1" si="60"/>
        <v>-0.79691169988473143</v>
      </c>
      <c r="C968" s="57">
        <f t="shared" ca="1" si="61"/>
        <v>-9.7149809026680009E-3</v>
      </c>
      <c r="D968" s="58">
        <f t="shared" ca="1" si="62"/>
        <v>9902850.190973321</v>
      </c>
      <c r="E968" s="59">
        <f t="shared" ca="1" si="63"/>
        <v>97149.809026679024</v>
      </c>
    </row>
    <row r="969" spans="1:5">
      <c r="A969" s="8">
        <v>968</v>
      </c>
      <c r="B969" s="8">
        <f t="shared" ca="1" si="60"/>
        <v>0.5542878852376032</v>
      </c>
      <c r="C969" s="57">
        <f t="shared" ca="1" si="61"/>
        <v>7.0418407074083304E-3</v>
      </c>
      <c r="D969" s="58">
        <f t="shared" ca="1" si="62"/>
        <v>10070418.407074085</v>
      </c>
      <c r="E969" s="59">
        <f t="shared" ca="1" si="63"/>
        <v>-70418.407074084505</v>
      </c>
    </row>
    <row r="970" spans="1:5">
      <c r="A970" s="8">
        <v>969</v>
      </c>
      <c r="B970" s="8">
        <f t="shared" ca="1" si="60"/>
        <v>-0.54523851468435858</v>
      </c>
      <c r="C970" s="57">
        <f t="shared" ca="1" si="61"/>
        <v>-6.5938708054794123E-3</v>
      </c>
      <c r="D970" s="58">
        <f t="shared" ca="1" si="62"/>
        <v>9934061.291945206</v>
      </c>
      <c r="E970" s="59">
        <f t="shared" ca="1" si="63"/>
        <v>65938.708054793999</v>
      </c>
    </row>
    <row r="971" spans="1:5">
      <c r="A971" s="8">
        <v>970</v>
      </c>
      <c r="B971" s="8">
        <f t="shared" ca="1" si="60"/>
        <v>-0.97544501976046805</v>
      </c>
      <c r="C971" s="57">
        <f t="shared" ca="1" si="61"/>
        <v>-1.1929051292825467E-2</v>
      </c>
      <c r="D971" s="58">
        <f t="shared" ca="1" si="62"/>
        <v>9880709.4870717451</v>
      </c>
      <c r="E971" s="59">
        <f t="shared" ca="1" si="63"/>
        <v>119290.5129282549</v>
      </c>
    </row>
    <row r="972" spans="1:5">
      <c r="A972" s="8">
        <v>971</v>
      </c>
      <c r="B972" s="8">
        <f t="shared" ca="1" si="60"/>
        <v>-0.99835391932845874</v>
      </c>
      <c r="C972" s="57">
        <f t="shared" ca="1" si="61"/>
        <v>-1.2213154653698849E-2</v>
      </c>
      <c r="D972" s="58">
        <f t="shared" ca="1" si="62"/>
        <v>9877868.4534630105</v>
      </c>
      <c r="E972" s="59">
        <f t="shared" ca="1" si="63"/>
        <v>122131.54653698951</v>
      </c>
    </row>
    <row r="973" spans="1:5">
      <c r="A973" s="8">
        <v>972</v>
      </c>
      <c r="B973" s="8">
        <f t="shared" ca="1" si="60"/>
        <v>-0.13060608486041428</v>
      </c>
      <c r="C973" s="57">
        <f t="shared" ca="1" si="61"/>
        <v>-1.4518312897676914E-3</v>
      </c>
      <c r="D973" s="58">
        <f t="shared" ca="1" si="62"/>
        <v>9985481.6871023234</v>
      </c>
      <c r="E973" s="59">
        <f t="shared" ca="1" si="63"/>
        <v>14518.312897676602</v>
      </c>
    </row>
    <row r="974" spans="1:5">
      <c r="A974" s="8">
        <v>973</v>
      </c>
      <c r="B974" s="8">
        <f t="shared" ca="1" si="60"/>
        <v>-0.19056688757291773</v>
      </c>
      <c r="C974" s="57">
        <f t="shared" ca="1" si="61"/>
        <v>-2.1954316325397275E-3</v>
      </c>
      <c r="D974" s="58">
        <f t="shared" ca="1" si="62"/>
        <v>9978045.6836746018</v>
      </c>
      <c r="E974" s="59">
        <f t="shared" ca="1" si="63"/>
        <v>21954.316325398162</v>
      </c>
    </row>
    <row r="975" spans="1:5">
      <c r="A975" s="8">
        <v>974</v>
      </c>
      <c r="B975" s="8">
        <f t="shared" ca="1" si="60"/>
        <v>-1.5741970122931457</v>
      </c>
      <c r="C975" s="57">
        <f t="shared" ca="1" si="61"/>
        <v>-1.9354438658260052E-2</v>
      </c>
      <c r="D975" s="58">
        <f t="shared" ca="1" si="62"/>
        <v>9806455.6134174</v>
      </c>
      <c r="E975" s="59">
        <f t="shared" ca="1" si="63"/>
        <v>193544.38658259995</v>
      </c>
    </row>
    <row r="976" spans="1:5">
      <c r="A976" s="8">
        <v>975</v>
      </c>
      <c r="B976" s="8">
        <f t="shared" ca="1" si="60"/>
        <v>-0.1472839281239654</v>
      </c>
      <c r="C976" s="57">
        <f t="shared" ca="1" si="61"/>
        <v>-1.6586605750082111E-3</v>
      </c>
      <c r="D976" s="58">
        <f t="shared" ca="1" si="62"/>
        <v>9983413.3942499179</v>
      </c>
      <c r="E976" s="59">
        <f t="shared" ca="1" si="63"/>
        <v>16586.605750082061</v>
      </c>
    </row>
    <row r="977" spans="1:5">
      <c r="A977" s="8">
        <v>976</v>
      </c>
      <c r="B977" s="8">
        <f t="shared" ca="1" si="60"/>
        <v>-1.3075394148577257</v>
      </c>
      <c r="C977" s="57">
        <f t="shared" ca="1" si="61"/>
        <v>-1.6047500260412389E-2</v>
      </c>
      <c r="D977" s="58">
        <f t="shared" ca="1" si="62"/>
        <v>9839524.9973958768</v>
      </c>
      <c r="E977" s="59">
        <f t="shared" ca="1" si="63"/>
        <v>160475.0026041232</v>
      </c>
    </row>
    <row r="978" spans="1:5">
      <c r="A978" s="8">
        <v>977</v>
      </c>
      <c r="B978" s="8">
        <f t="shared" ca="1" si="60"/>
        <v>-0.30623917960875457</v>
      </c>
      <c r="C978" s="57">
        <f t="shared" ca="1" si="61"/>
        <v>-3.6299347098165623E-3</v>
      </c>
      <c r="D978" s="58">
        <f t="shared" ca="1" si="62"/>
        <v>9963700.6529018339</v>
      </c>
      <c r="E978" s="59">
        <f t="shared" ca="1" si="63"/>
        <v>36299.347098166123</v>
      </c>
    </row>
    <row r="979" spans="1:5">
      <c r="A979" s="8">
        <v>978</v>
      </c>
      <c r="B979" s="8">
        <f t="shared" ca="1" si="60"/>
        <v>1.2361742170076921</v>
      </c>
      <c r="C979" s="57">
        <f t="shared" ca="1" si="61"/>
        <v>1.5498213656032498E-2</v>
      </c>
      <c r="D979" s="58">
        <f t="shared" ca="1" si="62"/>
        <v>10154982.136560325</v>
      </c>
      <c r="E979" s="59">
        <f t="shared" ca="1" si="63"/>
        <v>-154982.13656032458</v>
      </c>
    </row>
    <row r="980" spans="1:5">
      <c r="A980" s="8">
        <v>979</v>
      </c>
      <c r="B980" s="8">
        <f t="shared" ca="1" si="60"/>
        <v>0.37478317954873652</v>
      </c>
      <c r="C980" s="57">
        <f t="shared" ca="1" si="61"/>
        <v>4.815723733634052E-3</v>
      </c>
      <c r="D980" s="58">
        <f t="shared" ca="1" si="62"/>
        <v>10048157.237336341</v>
      </c>
      <c r="E980" s="59">
        <f t="shared" ca="1" si="63"/>
        <v>-48157.237336341292</v>
      </c>
    </row>
    <row r="981" spans="1:5">
      <c r="A981" s="8">
        <v>980</v>
      </c>
      <c r="B981" s="8">
        <f t="shared" ca="1" si="60"/>
        <v>-0.54422523327303596</v>
      </c>
      <c r="C981" s="57">
        <f t="shared" ca="1" si="61"/>
        <v>-6.5813046560835023E-3</v>
      </c>
      <c r="D981" s="58">
        <f t="shared" ca="1" si="62"/>
        <v>9934186.9534391649</v>
      </c>
      <c r="E981" s="59">
        <f t="shared" ca="1" si="63"/>
        <v>65813.046560835093</v>
      </c>
    </row>
    <row r="982" spans="1:5">
      <c r="A982" s="8">
        <v>981</v>
      </c>
      <c r="B982" s="8">
        <f t="shared" ca="1" si="60"/>
        <v>-0.2069194444644992</v>
      </c>
      <c r="C982" s="57">
        <f t="shared" ca="1" si="61"/>
        <v>-2.3982268981081714E-3</v>
      </c>
      <c r="D982" s="58">
        <f t="shared" ca="1" si="62"/>
        <v>9976017.7310189176</v>
      </c>
      <c r="E982" s="59">
        <f t="shared" ca="1" si="63"/>
        <v>23982.268981082365</v>
      </c>
    </row>
    <row r="983" spans="1:5">
      <c r="A983" s="8">
        <v>982</v>
      </c>
      <c r="B983" s="8">
        <f t="shared" ca="1" si="60"/>
        <v>-0.8821978266218673</v>
      </c>
      <c r="C983" s="57">
        <f t="shared" ca="1" si="61"/>
        <v>-1.0772651751063915E-2</v>
      </c>
      <c r="D983" s="58">
        <f t="shared" ca="1" si="62"/>
        <v>9892273.4824893605</v>
      </c>
      <c r="E983" s="59">
        <f t="shared" ca="1" si="63"/>
        <v>107726.5175106395</v>
      </c>
    </row>
    <row r="984" spans="1:5">
      <c r="A984" s="8">
        <v>983</v>
      </c>
      <c r="B984" s="8">
        <f t="shared" ca="1" si="60"/>
        <v>1.4720019126568582</v>
      </c>
      <c r="C984" s="57">
        <f t="shared" ca="1" si="61"/>
        <v>1.842281685323572E-2</v>
      </c>
      <c r="D984" s="58">
        <f t="shared" ca="1" si="62"/>
        <v>10184228.168532357</v>
      </c>
      <c r="E984" s="59">
        <f t="shared" ca="1" si="63"/>
        <v>-184228.16853235662</v>
      </c>
    </row>
    <row r="985" spans="1:5">
      <c r="A985" s="8">
        <v>984</v>
      </c>
      <c r="B985" s="8">
        <f t="shared" ca="1" si="60"/>
        <v>0.51686324395115513</v>
      </c>
      <c r="C985" s="57">
        <f t="shared" ca="1" si="61"/>
        <v>6.5777212355234054E-3</v>
      </c>
      <c r="D985" s="58">
        <f t="shared" ca="1" si="62"/>
        <v>10065777.212355234</v>
      </c>
      <c r="E985" s="59">
        <f t="shared" ca="1" si="63"/>
        <v>-65777.212355233729</v>
      </c>
    </row>
    <row r="986" spans="1:5">
      <c r="A986" s="8">
        <v>985</v>
      </c>
      <c r="B986" s="8">
        <f t="shared" ca="1" si="60"/>
        <v>0.33626125775043564</v>
      </c>
      <c r="C986" s="57">
        <f t="shared" ca="1" si="61"/>
        <v>4.3379964024840827E-3</v>
      </c>
      <c r="D986" s="58">
        <f t="shared" ca="1" si="62"/>
        <v>10043379.964024842</v>
      </c>
      <c r="E986" s="59">
        <f t="shared" ca="1" si="63"/>
        <v>-43379.964024841785</v>
      </c>
    </row>
    <row r="987" spans="1:5">
      <c r="A987" s="8">
        <v>986</v>
      </c>
      <c r="B987" s="8">
        <f t="shared" ca="1" si="60"/>
        <v>1.2409913351109614</v>
      </c>
      <c r="C987" s="57">
        <f t="shared" ca="1" si="61"/>
        <v>1.5557952860824988E-2</v>
      </c>
      <c r="D987" s="58">
        <f t="shared" ca="1" si="62"/>
        <v>10155579.52860825</v>
      </c>
      <c r="E987" s="59">
        <f t="shared" ca="1" si="63"/>
        <v>-155579.5286082495</v>
      </c>
    </row>
    <row r="988" spans="1:5">
      <c r="A988" s="8">
        <v>987</v>
      </c>
      <c r="B988" s="8">
        <f t="shared" ca="1" si="60"/>
        <v>1.2362489251733104</v>
      </c>
      <c r="C988" s="57">
        <f t="shared" ca="1" si="61"/>
        <v>1.5499140144922714E-2</v>
      </c>
      <c r="D988" s="58">
        <f t="shared" ca="1" si="62"/>
        <v>10154991.401449228</v>
      </c>
      <c r="E988" s="59">
        <f t="shared" ca="1" si="63"/>
        <v>-154991.40144922771</v>
      </c>
    </row>
    <row r="989" spans="1:5">
      <c r="A989" s="8">
        <v>988</v>
      </c>
      <c r="B989" s="8">
        <f t="shared" ca="1" si="60"/>
        <v>0.31208834030893473</v>
      </c>
      <c r="C989" s="57">
        <f t="shared" ca="1" si="61"/>
        <v>4.0382173988325531E-3</v>
      </c>
      <c r="D989" s="58">
        <f t="shared" ca="1" si="62"/>
        <v>10040382.173988326</v>
      </c>
      <c r="E989" s="59">
        <f t="shared" ca="1" si="63"/>
        <v>-40382.173988325521</v>
      </c>
    </row>
    <row r="990" spans="1:5">
      <c r="A990" s="8">
        <v>989</v>
      </c>
      <c r="B990" s="8">
        <f t="shared" ca="1" si="60"/>
        <v>-1.0744413950466605</v>
      </c>
      <c r="C990" s="57">
        <f t="shared" ca="1" si="61"/>
        <v>-1.3156748976409869E-2</v>
      </c>
      <c r="D990" s="58">
        <f t="shared" ca="1" si="62"/>
        <v>9868432.5102359019</v>
      </c>
      <c r="E990" s="59">
        <f t="shared" ca="1" si="63"/>
        <v>131567.48976409808</v>
      </c>
    </row>
    <row r="991" spans="1:5">
      <c r="A991" s="8">
        <v>990</v>
      </c>
      <c r="B991" s="8">
        <f t="shared" ca="1" si="60"/>
        <v>-0.67521864613922133</v>
      </c>
      <c r="C991" s="57">
        <f t="shared" ca="1" si="61"/>
        <v>-8.2058117057174848E-3</v>
      </c>
      <c r="D991" s="58">
        <f t="shared" ca="1" si="62"/>
        <v>9917941.8829428256</v>
      </c>
      <c r="E991" s="59">
        <f t="shared" ca="1" si="63"/>
        <v>82058.117057174444</v>
      </c>
    </row>
    <row r="992" spans="1:5">
      <c r="A992" s="8">
        <v>991</v>
      </c>
      <c r="B992" s="8">
        <f t="shared" ca="1" si="60"/>
        <v>-0.66970087240339504</v>
      </c>
      <c r="C992" s="57">
        <f t="shared" ca="1" si="61"/>
        <v>-8.1373833616045499E-3</v>
      </c>
      <c r="D992" s="58">
        <f t="shared" ca="1" si="62"/>
        <v>9918626.1663839556</v>
      </c>
      <c r="E992" s="59">
        <f t="shared" ca="1" si="63"/>
        <v>81373.833616044372</v>
      </c>
    </row>
    <row r="993" spans="1:5">
      <c r="A993" s="8">
        <v>992</v>
      </c>
      <c r="B993" s="8">
        <f t="shared" ca="1" si="60"/>
        <v>0.25825516897585715</v>
      </c>
      <c r="C993" s="57">
        <f t="shared" ca="1" si="61"/>
        <v>3.3706085136126951E-3</v>
      </c>
      <c r="D993" s="58">
        <f t="shared" ca="1" si="62"/>
        <v>10033706.085136127</v>
      </c>
      <c r="E993" s="59">
        <f t="shared" ca="1" si="63"/>
        <v>-33706.085136126727</v>
      </c>
    </row>
    <row r="994" spans="1:5">
      <c r="A994" s="8">
        <v>993</v>
      </c>
      <c r="B994" s="8">
        <f t="shared" ca="1" si="60"/>
        <v>0.96330681537107921</v>
      </c>
      <c r="C994" s="57">
        <f t="shared" ca="1" si="61"/>
        <v>1.2114264739251413E-2</v>
      </c>
      <c r="D994" s="58">
        <f t="shared" ca="1" si="62"/>
        <v>10121142.647392513</v>
      </c>
      <c r="E994" s="59">
        <f t="shared" ca="1" si="63"/>
        <v>-121142.64739251323</v>
      </c>
    </row>
    <row r="995" spans="1:5">
      <c r="A995" s="8">
        <v>994</v>
      </c>
      <c r="B995" s="8">
        <f t="shared" ca="1" si="60"/>
        <v>-3.0774941667520664E-2</v>
      </c>
      <c r="C995" s="57">
        <f t="shared" ca="1" si="61"/>
        <v>-2.1378128143983337E-4</v>
      </c>
      <c r="D995" s="58">
        <f t="shared" ca="1" si="62"/>
        <v>9997862.1871856023</v>
      </c>
      <c r="E995" s="59">
        <f t="shared" ca="1" si="63"/>
        <v>2137.8128143977374</v>
      </c>
    </row>
    <row r="996" spans="1:5">
      <c r="A996" s="8">
        <v>995</v>
      </c>
      <c r="B996" s="8">
        <f t="shared" ca="1" si="60"/>
        <v>0.23042877780971197</v>
      </c>
      <c r="C996" s="57">
        <f t="shared" ca="1" si="61"/>
        <v>3.0255211719961103E-3</v>
      </c>
      <c r="D996" s="58">
        <f t="shared" ca="1" si="62"/>
        <v>10030255.21171996</v>
      </c>
      <c r="E996" s="59">
        <f t="shared" ca="1" si="63"/>
        <v>-30255.211719959974</v>
      </c>
    </row>
    <row r="997" spans="1:5">
      <c r="A997" s="8">
        <v>996</v>
      </c>
      <c r="B997" s="8">
        <f t="shared" ca="1" si="60"/>
        <v>0.39291827889942726</v>
      </c>
      <c r="C997" s="57">
        <f t="shared" ca="1" si="61"/>
        <v>5.0406250939116475E-3</v>
      </c>
      <c r="D997" s="58">
        <f t="shared" ca="1" si="62"/>
        <v>10050406.250939116</v>
      </c>
      <c r="E997" s="59">
        <f t="shared" ca="1" si="63"/>
        <v>-50406.250939115882</v>
      </c>
    </row>
    <row r="998" spans="1:5">
      <c r="A998" s="8">
        <v>997</v>
      </c>
      <c r="B998" s="8">
        <f t="shared" ca="1" si="60"/>
        <v>1.205121272508511</v>
      </c>
      <c r="C998" s="57">
        <f t="shared" ca="1" si="61"/>
        <v>1.51131124043967E-2</v>
      </c>
      <c r="D998" s="58">
        <f t="shared" ca="1" si="62"/>
        <v>10151131.124043966</v>
      </c>
      <c r="E998" s="59">
        <f t="shared" ca="1" si="63"/>
        <v>-151131.12404396571</v>
      </c>
    </row>
    <row r="999" spans="1:5">
      <c r="A999" s="8">
        <v>998</v>
      </c>
      <c r="B999" s="8">
        <f t="shared" ca="1" si="60"/>
        <v>0.29936980010321068</v>
      </c>
      <c r="C999" s="57">
        <f t="shared" ca="1" si="61"/>
        <v>3.8804891759152806E-3</v>
      </c>
      <c r="D999" s="58">
        <f t="shared" ca="1" si="62"/>
        <v>10038804.891759152</v>
      </c>
      <c r="E999" s="59">
        <f t="shared" ca="1" si="63"/>
        <v>-38804.891759151593</v>
      </c>
    </row>
    <row r="1000" spans="1:5">
      <c r="A1000" s="8">
        <v>999</v>
      </c>
      <c r="B1000" s="8">
        <f t="shared" ca="1" si="60"/>
        <v>7.7805706068661787E-2</v>
      </c>
      <c r="C1000" s="57">
        <f t="shared" ca="1" si="61"/>
        <v>1.132775189162559E-3</v>
      </c>
      <c r="D1000" s="58">
        <f t="shared" ca="1" si="62"/>
        <v>10011327.751891626</v>
      </c>
      <c r="E1000" s="59">
        <f t="shared" ca="1" si="63"/>
        <v>-11327.751891626045</v>
      </c>
    </row>
    <row r="1001" spans="1:5">
      <c r="A1001" s="8">
        <v>1000</v>
      </c>
      <c r="B1001" s="8">
        <f t="shared" ca="1" si="60"/>
        <v>0.27398481554496557</v>
      </c>
      <c r="C1001" s="57">
        <f t="shared" ca="1" si="61"/>
        <v>3.565678793718084E-3</v>
      </c>
      <c r="D1001" s="58">
        <f t="shared" ca="1" si="62"/>
        <v>10035656.787937181</v>
      </c>
      <c r="E1001" s="59">
        <f t="shared" ca="1" si="63"/>
        <v>-35656.78793718107</v>
      </c>
    </row>
  </sheetData>
  <mergeCells count="1">
    <mergeCell ref="J7:R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68BB-B998-4868-9CD9-D58FDFBB4511}">
  <dimension ref="B3:D9"/>
  <sheetViews>
    <sheetView topLeftCell="A4" workbookViewId="0">
      <selection activeCell="D9" sqref="D9"/>
    </sheetView>
  </sheetViews>
  <sheetFormatPr defaultRowHeight="14.4"/>
  <cols>
    <col min="2" max="2" width="37.33203125" customWidth="1"/>
    <col min="3" max="3" width="16.44140625" customWidth="1"/>
    <col min="4" max="4" width="16.33203125" customWidth="1"/>
  </cols>
  <sheetData>
    <row r="3" spans="2:4">
      <c r="B3" s="61" t="s">
        <v>3601</v>
      </c>
      <c r="C3" s="61" t="s">
        <v>3602</v>
      </c>
      <c r="D3" s="61" t="s">
        <v>3603</v>
      </c>
    </row>
    <row r="4" spans="2:4">
      <c r="B4" s="1" t="s">
        <v>3604</v>
      </c>
      <c r="C4" s="62">
        <f>'Parametric VAR'!G12</f>
        <v>202306.82479260259</v>
      </c>
      <c r="D4" s="62">
        <f>'Parametric VAR'!G13</f>
        <v>286821.93012943491</v>
      </c>
    </row>
    <row r="5" spans="2:4">
      <c r="B5" s="1" t="s">
        <v>3605</v>
      </c>
      <c r="C5" s="21">
        <f>'Historical VAR'!H6</f>
        <v>198397.29167757108</v>
      </c>
      <c r="D5" s="21">
        <f>'Historical VAR'!H7</f>
        <v>314289.16759065853</v>
      </c>
    </row>
    <row r="6" spans="2:4">
      <c r="B6" s="1" t="s">
        <v>3606</v>
      </c>
      <c r="C6" s="21">
        <f ca="1">'Monte Carlo Stimulation'!H8</f>
        <v>215592.7071070938</v>
      </c>
      <c r="D6" s="21">
        <f ca="1">'Monte Carlo Stimulation'!H9</f>
        <v>291931.44057172054</v>
      </c>
    </row>
    <row r="9" spans="2:4" ht="100.8">
      <c r="B9" s="63" t="s">
        <v>3607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1913-C84D-4DE3-9030-8570A194A0B6}">
  <dimension ref="A1:W1241"/>
  <sheetViews>
    <sheetView topLeftCell="G1" workbookViewId="0">
      <selection activeCell="P19" sqref="P19"/>
    </sheetView>
  </sheetViews>
  <sheetFormatPr defaultRowHeight="14.4"/>
  <cols>
    <col min="1" max="1" width="12.33203125" customWidth="1"/>
    <col min="2" max="2" width="15.88671875" customWidth="1"/>
    <col min="16" max="16" width="18.5546875" customWidth="1"/>
    <col min="23" max="23" width="73.44140625" customWidth="1"/>
    <col min="31" max="31" width="8.88671875" customWidth="1"/>
  </cols>
  <sheetData>
    <row r="1" spans="1:23">
      <c r="C1" s="88" t="s">
        <v>3604</v>
      </c>
      <c r="D1" s="88"/>
      <c r="E1" s="88"/>
      <c r="F1" s="88"/>
      <c r="G1" s="89" t="s">
        <v>3608</v>
      </c>
      <c r="H1" s="89"/>
      <c r="I1" s="89"/>
      <c r="J1" s="89"/>
      <c r="K1" s="89" t="s">
        <v>3609</v>
      </c>
      <c r="L1" s="89"/>
      <c r="M1" s="89"/>
      <c r="N1" s="89"/>
    </row>
    <row r="2" spans="1:23">
      <c r="A2" s="9" t="s">
        <v>0</v>
      </c>
      <c r="B2" s="9" t="s">
        <v>3577</v>
      </c>
      <c r="C2" s="65">
        <v>0.95</v>
      </c>
      <c r="D2" s="65" t="s">
        <v>3610</v>
      </c>
      <c r="E2" s="65">
        <v>0.99</v>
      </c>
      <c r="F2" s="65" t="s">
        <v>3610</v>
      </c>
      <c r="G2" s="65">
        <v>0.95</v>
      </c>
      <c r="H2" s="65" t="s">
        <v>3610</v>
      </c>
      <c r="I2" s="65">
        <v>0.99</v>
      </c>
      <c r="J2" s="65" t="s">
        <v>3610</v>
      </c>
      <c r="K2" s="65">
        <v>0.95</v>
      </c>
      <c r="L2" s="65" t="s">
        <v>3610</v>
      </c>
      <c r="M2" s="65">
        <v>0.99</v>
      </c>
      <c r="N2" s="65" t="s">
        <v>3610</v>
      </c>
      <c r="P2" s="1"/>
      <c r="Q2" s="86" t="s">
        <v>3611</v>
      </c>
      <c r="R2" s="86"/>
      <c r="S2" s="86" t="s">
        <v>3612</v>
      </c>
      <c r="T2" s="86"/>
      <c r="U2" s="87" t="s">
        <v>3613</v>
      </c>
      <c r="V2" s="87"/>
      <c r="W2" s="69"/>
    </row>
    <row r="3" spans="1:23">
      <c r="A3" s="12">
        <v>46111</v>
      </c>
      <c r="B3" s="66">
        <v>-2.6953658776786262E-2</v>
      </c>
      <c r="C3" s="67">
        <f>'Parametric VAR'!$F$12</f>
        <v>-2.023068247926026E-2</v>
      </c>
      <c r="D3">
        <f>IF(B3&lt;C3,1,0)</f>
        <v>1</v>
      </c>
      <c r="E3" s="67">
        <f>'Parametric VAR'!$F$13</f>
        <v>-2.8682193012943492E-2</v>
      </c>
      <c r="F3">
        <f>IF(B3&lt;E3,1,0)</f>
        <v>0</v>
      </c>
      <c r="G3" s="67">
        <f>'Historical VAR'!$G$6</f>
        <v>-1.9839729167757107E-2</v>
      </c>
      <c r="H3">
        <f>IF(B3&lt;G3,1,0)</f>
        <v>1</v>
      </c>
      <c r="I3" s="67">
        <f>'Historical VAR'!$G$7</f>
        <v>-3.1428916759065853E-2</v>
      </c>
      <c r="J3">
        <f>IF(B3&lt;I3,1,0)</f>
        <v>0</v>
      </c>
      <c r="K3" s="67">
        <f ca="1">'Monte Carlo Stimulation'!$I$8</f>
        <v>-2.1559270710709389E-2</v>
      </c>
      <c r="L3">
        <f ca="1">IF(B3&lt;K3,1,0)</f>
        <v>1</v>
      </c>
      <c r="M3" s="67">
        <f ca="1">'Monte Carlo Stimulation'!$I$9</f>
        <v>-2.919314405717207E-2</v>
      </c>
      <c r="N3">
        <f ca="1">IF(B3&lt;M3,1,0)</f>
        <v>0</v>
      </c>
      <c r="P3" s="68" t="s">
        <v>3614</v>
      </c>
      <c r="Q3" s="65">
        <v>0.95</v>
      </c>
      <c r="R3" s="65">
        <v>0.99</v>
      </c>
      <c r="S3" s="65">
        <v>0.95</v>
      </c>
      <c r="T3" s="65">
        <v>0.99</v>
      </c>
      <c r="U3" s="65">
        <v>0.95</v>
      </c>
      <c r="V3" s="65">
        <v>0.99</v>
      </c>
      <c r="W3" s="1" t="s">
        <v>3598</v>
      </c>
    </row>
    <row r="4" spans="1:23">
      <c r="A4" s="12">
        <v>46108</v>
      </c>
      <c r="B4" s="14">
        <v>1.9101032450748984E-2</v>
      </c>
      <c r="C4" s="67">
        <f>'Parametric VAR'!$F$12</f>
        <v>-2.023068247926026E-2</v>
      </c>
      <c r="D4">
        <f t="shared" ref="D4:D67" si="0">IF(B4&lt;C4,1,0)</f>
        <v>0</v>
      </c>
      <c r="E4" s="67">
        <f>'Parametric VAR'!$F$13</f>
        <v>-2.8682193012943492E-2</v>
      </c>
      <c r="F4">
        <f t="shared" ref="F4:F67" si="1">IF(B4&lt;E4,1,0)</f>
        <v>0</v>
      </c>
      <c r="G4" s="67">
        <f>'Historical VAR'!$G$6</f>
        <v>-1.9839729167757107E-2</v>
      </c>
      <c r="H4">
        <f t="shared" ref="H4:H67" si="2">IF(B4&lt;G4,1,0)</f>
        <v>0</v>
      </c>
      <c r="I4" s="67">
        <f>'Historical VAR'!$G$7</f>
        <v>-3.1428916759065853E-2</v>
      </c>
      <c r="J4">
        <f t="shared" ref="J4:J67" si="3">IF(B4&lt;I4,1,0)</f>
        <v>0</v>
      </c>
      <c r="K4" s="67">
        <f ca="1">'Monte Carlo Stimulation'!$I$8</f>
        <v>-2.1559270710709389E-2</v>
      </c>
      <c r="L4">
        <f t="shared" ref="L4:L67" ca="1" si="4">IF(B4&lt;K4,1,0)</f>
        <v>0</v>
      </c>
      <c r="M4" s="67">
        <f ca="1">'Monte Carlo Stimulation'!$I$9</f>
        <v>-2.919314405717207E-2</v>
      </c>
      <c r="N4">
        <f t="shared" ref="N4:N67" ca="1" si="5">IF(B4&lt;M4,1,0)</f>
        <v>0</v>
      </c>
      <c r="P4" s="68" t="s">
        <v>3604</v>
      </c>
      <c r="Q4" s="1">
        <f>0.05*1239</f>
        <v>61.95</v>
      </c>
      <c r="R4" s="1">
        <f>0.01*1239</f>
        <v>12.39</v>
      </c>
      <c r="S4" s="1">
        <f>SUM(D3:D1241)</f>
        <v>59</v>
      </c>
      <c r="T4" s="1">
        <f>SUM(F3:F1241)</f>
        <v>20</v>
      </c>
      <c r="U4" s="1">
        <f>S4-Q4</f>
        <v>-2.9500000000000028</v>
      </c>
      <c r="V4" s="1">
        <f>T4-R4</f>
        <v>7.6099999999999994</v>
      </c>
      <c r="W4" s="70" t="s">
        <v>3615</v>
      </c>
    </row>
    <row r="5" spans="1:23">
      <c r="A5" s="12">
        <v>46106</v>
      </c>
      <c r="B5" s="14">
        <v>2.5796888243165738E-2</v>
      </c>
      <c r="C5" s="67">
        <f>'Parametric VAR'!$F$12</f>
        <v>-2.023068247926026E-2</v>
      </c>
      <c r="D5">
        <f t="shared" si="0"/>
        <v>0</v>
      </c>
      <c r="E5" s="67">
        <f>'Parametric VAR'!$F$13</f>
        <v>-2.8682193012943492E-2</v>
      </c>
      <c r="F5">
        <f t="shared" si="1"/>
        <v>0</v>
      </c>
      <c r="G5" s="67">
        <f>'Historical VAR'!$G$6</f>
        <v>-1.9839729167757107E-2</v>
      </c>
      <c r="H5">
        <f t="shared" si="2"/>
        <v>0</v>
      </c>
      <c r="I5" s="67">
        <f>'Historical VAR'!$G$7</f>
        <v>-3.1428916759065853E-2</v>
      </c>
      <c r="J5">
        <f t="shared" si="3"/>
        <v>0</v>
      </c>
      <c r="K5" s="67">
        <f ca="1">'Monte Carlo Stimulation'!$I$8</f>
        <v>-2.1559270710709389E-2</v>
      </c>
      <c r="L5">
        <f t="shared" ca="1" si="4"/>
        <v>0</v>
      </c>
      <c r="M5" s="67">
        <f ca="1">'Monte Carlo Stimulation'!$I$9</f>
        <v>-2.919314405717207E-2</v>
      </c>
      <c r="N5">
        <f t="shared" ca="1" si="5"/>
        <v>0</v>
      </c>
      <c r="P5" s="68" t="s">
        <v>3605</v>
      </c>
      <c r="Q5" s="1">
        <f t="shared" ref="Q5:Q6" si="6">0.05*1239</f>
        <v>61.95</v>
      </c>
      <c r="R5" s="1">
        <f t="shared" ref="R5:R6" si="7">0.01*1239</f>
        <v>12.39</v>
      </c>
      <c r="S5" s="1">
        <f>SUM(H3:H1241)</f>
        <v>62</v>
      </c>
      <c r="T5" s="1">
        <f>SUM(J3:J1241)</f>
        <v>13</v>
      </c>
      <c r="U5" s="1">
        <f t="shared" ref="U5:V6" si="8">S5-Q5</f>
        <v>4.9999999999997158E-2</v>
      </c>
      <c r="V5" s="1">
        <f t="shared" si="8"/>
        <v>0.60999999999999943</v>
      </c>
      <c r="W5" s="1" t="s">
        <v>3616</v>
      </c>
    </row>
    <row r="6" spans="1:23">
      <c r="A6" s="12">
        <v>46105</v>
      </c>
      <c r="B6" s="14">
        <v>-2.7229138616509975E-2</v>
      </c>
      <c r="C6" s="67">
        <f>'Parametric VAR'!$F$12</f>
        <v>-2.023068247926026E-2</v>
      </c>
      <c r="D6">
        <f t="shared" si="0"/>
        <v>1</v>
      </c>
      <c r="E6" s="67">
        <f>'Parametric VAR'!$F$13</f>
        <v>-2.8682193012943492E-2</v>
      </c>
      <c r="F6">
        <f t="shared" si="1"/>
        <v>0</v>
      </c>
      <c r="G6" s="67">
        <f>'Historical VAR'!$G$6</f>
        <v>-1.9839729167757107E-2</v>
      </c>
      <c r="H6">
        <f t="shared" si="2"/>
        <v>1</v>
      </c>
      <c r="I6" s="67">
        <f>'Historical VAR'!$G$7</f>
        <v>-3.1428916759065853E-2</v>
      </c>
      <c r="J6">
        <f t="shared" si="3"/>
        <v>0</v>
      </c>
      <c r="K6" s="67">
        <f ca="1">'Monte Carlo Stimulation'!$I$8</f>
        <v>-2.1559270710709389E-2</v>
      </c>
      <c r="L6">
        <f t="shared" ca="1" si="4"/>
        <v>1</v>
      </c>
      <c r="M6" s="67">
        <f ca="1">'Monte Carlo Stimulation'!$I$9</f>
        <v>-2.919314405717207E-2</v>
      </c>
      <c r="N6">
        <f t="shared" ca="1" si="5"/>
        <v>0</v>
      </c>
      <c r="P6" s="68" t="s">
        <v>3606</v>
      </c>
      <c r="Q6" s="1">
        <f t="shared" si="6"/>
        <v>61.95</v>
      </c>
      <c r="R6" s="1">
        <f t="shared" si="7"/>
        <v>12.39</v>
      </c>
      <c r="S6" s="1">
        <f ca="1">SUM(L3:L1241)</f>
        <v>47</v>
      </c>
      <c r="T6" s="1">
        <f ca="1">SUM(N3:N1241)</f>
        <v>20</v>
      </c>
      <c r="U6" s="1">
        <f t="shared" ca="1" si="8"/>
        <v>-14.950000000000003</v>
      </c>
      <c r="V6" s="1">
        <f t="shared" ca="1" si="8"/>
        <v>7.6099999999999994</v>
      </c>
      <c r="W6" s="71" t="s">
        <v>3617</v>
      </c>
    </row>
    <row r="7" spans="1:23">
      <c r="A7" s="12">
        <v>46104</v>
      </c>
      <c r="B7" s="14">
        <v>-3.6461673250272851E-2</v>
      </c>
      <c r="C7" s="67">
        <f>'Parametric VAR'!$F$12</f>
        <v>-2.023068247926026E-2</v>
      </c>
      <c r="D7">
        <f t="shared" si="0"/>
        <v>1</v>
      </c>
      <c r="E7" s="67">
        <f>'Parametric VAR'!$F$13</f>
        <v>-2.8682193012943492E-2</v>
      </c>
      <c r="F7">
        <f t="shared" si="1"/>
        <v>1</v>
      </c>
      <c r="G7" s="67">
        <f>'Historical VAR'!$G$6</f>
        <v>-1.9839729167757107E-2</v>
      </c>
      <c r="H7">
        <f t="shared" si="2"/>
        <v>1</v>
      </c>
      <c r="I7" s="67">
        <f>'Historical VAR'!$G$7</f>
        <v>-3.1428916759065853E-2</v>
      </c>
      <c r="J7">
        <f t="shared" si="3"/>
        <v>1</v>
      </c>
      <c r="K7" s="67">
        <f ca="1">'Monte Carlo Stimulation'!$I$8</f>
        <v>-2.1559270710709389E-2</v>
      </c>
      <c r="L7">
        <f t="shared" ca="1" si="4"/>
        <v>1</v>
      </c>
      <c r="M7" s="67">
        <f ca="1">'Monte Carlo Stimulation'!$I$9</f>
        <v>-2.919314405717207E-2</v>
      </c>
      <c r="N7">
        <f t="shared" ca="1" si="5"/>
        <v>1</v>
      </c>
    </row>
    <row r="8" spans="1:23">
      <c r="A8" s="12">
        <v>46101</v>
      </c>
      <c r="B8" s="14">
        <v>3.330928415554664E-2</v>
      </c>
      <c r="C8" s="67">
        <f>'Parametric VAR'!$F$12</f>
        <v>-2.023068247926026E-2</v>
      </c>
      <c r="D8">
        <f t="shared" si="0"/>
        <v>0</v>
      </c>
      <c r="E8" s="67">
        <f>'Parametric VAR'!$F$13</f>
        <v>-2.8682193012943492E-2</v>
      </c>
      <c r="F8">
        <f t="shared" si="1"/>
        <v>0</v>
      </c>
      <c r="G8" s="67">
        <f>'Historical VAR'!$G$6</f>
        <v>-1.9839729167757107E-2</v>
      </c>
      <c r="H8">
        <f t="shared" si="2"/>
        <v>0</v>
      </c>
      <c r="I8" s="67">
        <f>'Historical VAR'!$G$7</f>
        <v>-3.1428916759065853E-2</v>
      </c>
      <c r="J8">
        <f t="shared" si="3"/>
        <v>0</v>
      </c>
      <c r="K8" s="67">
        <f ca="1">'Monte Carlo Stimulation'!$I$8</f>
        <v>-2.1559270710709389E-2</v>
      </c>
      <c r="L8">
        <f t="shared" ca="1" si="4"/>
        <v>0</v>
      </c>
      <c r="M8" s="67">
        <f ca="1">'Monte Carlo Stimulation'!$I$9</f>
        <v>-2.919314405717207E-2</v>
      </c>
      <c r="N8">
        <f t="shared" ca="1" si="5"/>
        <v>0</v>
      </c>
    </row>
    <row r="9" spans="1:23">
      <c r="A9" s="12">
        <v>46100</v>
      </c>
      <c r="B9" s="14">
        <v>-7.004478532581359E-3</v>
      </c>
      <c r="C9" s="67">
        <f>'Parametric VAR'!$F$12</f>
        <v>-2.023068247926026E-2</v>
      </c>
      <c r="D9">
        <f t="shared" si="0"/>
        <v>0</v>
      </c>
      <c r="E9" s="67">
        <f>'Parametric VAR'!$F$13</f>
        <v>-2.8682193012943492E-2</v>
      </c>
      <c r="F9">
        <f t="shared" si="1"/>
        <v>0</v>
      </c>
      <c r="G9" s="67">
        <f>'Historical VAR'!$G$6</f>
        <v>-1.9839729167757107E-2</v>
      </c>
      <c r="H9">
        <f t="shared" si="2"/>
        <v>0</v>
      </c>
      <c r="I9" s="67">
        <f>'Historical VAR'!$G$7</f>
        <v>-3.1428916759065853E-2</v>
      </c>
      <c r="J9">
        <f t="shared" si="3"/>
        <v>0</v>
      </c>
      <c r="K9" s="67">
        <f ca="1">'Monte Carlo Stimulation'!$I$8</f>
        <v>-2.1559270710709389E-2</v>
      </c>
      <c r="L9">
        <f t="shared" ca="1" si="4"/>
        <v>0</v>
      </c>
      <c r="M9" s="67">
        <f ca="1">'Monte Carlo Stimulation'!$I$9</f>
        <v>-2.919314405717207E-2</v>
      </c>
      <c r="N9">
        <f t="shared" ca="1" si="5"/>
        <v>0</v>
      </c>
    </row>
    <row r="10" spans="1:23">
      <c r="A10" s="12">
        <v>46099</v>
      </c>
      <c r="B10" s="14">
        <v>3.117614742191922E-2</v>
      </c>
      <c r="C10" s="67">
        <f>'Parametric VAR'!$F$12</f>
        <v>-2.023068247926026E-2</v>
      </c>
      <c r="D10">
        <f t="shared" si="0"/>
        <v>0</v>
      </c>
      <c r="E10" s="67">
        <f>'Parametric VAR'!$F$13</f>
        <v>-2.8682193012943492E-2</v>
      </c>
      <c r="F10">
        <f t="shared" si="1"/>
        <v>0</v>
      </c>
      <c r="G10" s="67">
        <f>'Historical VAR'!$G$6</f>
        <v>-1.9839729167757107E-2</v>
      </c>
      <c r="H10">
        <f t="shared" si="2"/>
        <v>0</v>
      </c>
      <c r="I10" s="67">
        <f>'Historical VAR'!$G$7</f>
        <v>-3.1428916759065853E-2</v>
      </c>
      <c r="J10">
        <f t="shared" si="3"/>
        <v>0</v>
      </c>
      <c r="K10" s="67">
        <f ca="1">'Monte Carlo Stimulation'!$I$8</f>
        <v>-2.1559270710709389E-2</v>
      </c>
      <c r="L10">
        <f t="shared" ca="1" si="4"/>
        <v>0</v>
      </c>
      <c r="M10" s="67">
        <f ca="1">'Monte Carlo Stimulation'!$I$9</f>
        <v>-2.919314405717207E-2</v>
      </c>
      <c r="N10">
        <f t="shared" ca="1" si="5"/>
        <v>0</v>
      </c>
    </row>
    <row r="11" spans="1:23">
      <c r="A11" s="12">
        <v>46098</v>
      </c>
      <c r="B11" s="14">
        <v>-8.2110611604325496E-3</v>
      </c>
      <c r="C11" s="67">
        <f>'Parametric VAR'!$F$12</f>
        <v>-2.023068247926026E-2</v>
      </c>
      <c r="D11">
        <f t="shared" si="0"/>
        <v>0</v>
      </c>
      <c r="E11" s="67">
        <f>'Parametric VAR'!$F$13</f>
        <v>-2.8682193012943492E-2</v>
      </c>
      <c r="F11">
        <f t="shared" si="1"/>
        <v>0</v>
      </c>
      <c r="G11" s="67">
        <f>'Historical VAR'!$G$6</f>
        <v>-1.9839729167757107E-2</v>
      </c>
      <c r="H11">
        <f t="shared" si="2"/>
        <v>0</v>
      </c>
      <c r="I11" s="67">
        <f>'Historical VAR'!$G$7</f>
        <v>-3.1428916759065853E-2</v>
      </c>
      <c r="J11">
        <f t="shared" si="3"/>
        <v>0</v>
      </c>
      <c r="K11" s="67">
        <f ca="1">'Monte Carlo Stimulation'!$I$8</f>
        <v>-2.1559270710709389E-2</v>
      </c>
      <c r="L11">
        <f t="shared" ca="1" si="4"/>
        <v>0</v>
      </c>
      <c r="M11" s="67">
        <f ca="1">'Monte Carlo Stimulation'!$I$9</f>
        <v>-2.919314405717207E-2</v>
      </c>
      <c r="N11">
        <f t="shared" ca="1" si="5"/>
        <v>0</v>
      </c>
    </row>
    <row r="12" spans="1:23">
      <c r="A12" s="12">
        <v>46097</v>
      </c>
      <c r="B12" s="14">
        <v>-1.0789094958345636E-2</v>
      </c>
      <c r="C12" s="67">
        <f>'Parametric VAR'!$F$12</f>
        <v>-2.023068247926026E-2</v>
      </c>
      <c r="D12">
        <f t="shared" si="0"/>
        <v>0</v>
      </c>
      <c r="E12" s="67">
        <f>'Parametric VAR'!$F$13</f>
        <v>-2.8682193012943492E-2</v>
      </c>
      <c r="F12">
        <f t="shared" si="1"/>
        <v>0</v>
      </c>
      <c r="G12" s="67">
        <f>'Historical VAR'!$G$6</f>
        <v>-1.9839729167757107E-2</v>
      </c>
      <c r="H12">
        <f t="shared" si="2"/>
        <v>0</v>
      </c>
      <c r="I12" s="67">
        <f>'Historical VAR'!$G$7</f>
        <v>-3.1428916759065853E-2</v>
      </c>
      <c r="J12">
        <f t="shared" si="3"/>
        <v>0</v>
      </c>
      <c r="K12" s="67">
        <f ca="1">'Monte Carlo Stimulation'!$I$8</f>
        <v>-2.1559270710709389E-2</v>
      </c>
      <c r="L12">
        <f t="shared" ca="1" si="4"/>
        <v>0</v>
      </c>
      <c r="M12" s="67">
        <f ca="1">'Monte Carlo Stimulation'!$I$9</f>
        <v>-2.919314405717207E-2</v>
      </c>
      <c r="N12">
        <f t="shared" ca="1" si="5"/>
        <v>0</v>
      </c>
    </row>
    <row r="13" spans="1:23">
      <c r="A13" s="12">
        <v>46094</v>
      </c>
      <c r="B13" s="14">
        <v>-3.8502505713761547E-3</v>
      </c>
      <c r="C13" s="67">
        <f>'Parametric VAR'!$F$12</f>
        <v>-2.023068247926026E-2</v>
      </c>
      <c r="D13">
        <f t="shared" si="0"/>
        <v>0</v>
      </c>
      <c r="E13" s="67">
        <f>'Parametric VAR'!$F$13</f>
        <v>-2.8682193012943492E-2</v>
      </c>
      <c r="F13">
        <f t="shared" si="1"/>
        <v>0</v>
      </c>
      <c r="G13" s="67">
        <f>'Historical VAR'!$G$6</f>
        <v>-1.9839729167757107E-2</v>
      </c>
      <c r="H13">
        <f t="shared" si="2"/>
        <v>0</v>
      </c>
      <c r="I13" s="67">
        <f>'Historical VAR'!$G$7</f>
        <v>-3.1428916759065853E-2</v>
      </c>
      <c r="J13">
        <f t="shared" si="3"/>
        <v>0</v>
      </c>
      <c r="K13" s="67">
        <f ca="1">'Monte Carlo Stimulation'!$I$8</f>
        <v>-2.1559270710709389E-2</v>
      </c>
      <c r="L13">
        <f t="shared" ca="1" si="4"/>
        <v>0</v>
      </c>
      <c r="M13" s="67">
        <f ca="1">'Monte Carlo Stimulation'!$I$9</f>
        <v>-2.919314405717207E-2</v>
      </c>
      <c r="N13">
        <f t="shared" ca="1" si="5"/>
        <v>0</v>
      </c>
    </row>
    <row r="14" spans="1:23">
      <c r="A14" s="12">
        <v>46093</v>
      </c>
      <c r="B14" s="14">
        <v>1.7158481018372255E-2</v>
      </c>
      <c r="C14" s="67">
        <f>'Parametric VAR'!$F$12</f>
        <v>-2.023068247926026E-2</v>
      </c>
      <c r="D14">
        <f t="shared" si="0"/>
        <v>0</v>
      </c>
      <c r="E14" s="67">
        <f>'Parametric VAR'!$F$13</f>
        <v>-2.8682193012943492E-2</v>
      </c>
      <c r="F14">
        <f t="shared" si="1"/>
        <v>0</v>
      </c>
      <c r="G14" s="67">
        <f>'Historical VAR'!$G$6</f>
        <v>-1.9839729167757107E-2</v>
      </c>
      <c r="H14">
        <f t="shared" si="2"/>
        <v>0</v>
      </c>
      <c r="I14" s="67">
        <f>'Historical VAR'!$G$7</f>
        <v>-3.1428916759065853E-2</v>
      </c>
      <c r="J14">
        <f t="shared" si="3"/>
        <v>0</v>
      </c>
      <c r="K14" s="67">
        <f ca="1">'Monte Carlo Stimulation'!$I$8</f>
        <v>-2.1559270710709389E-2</v>
      </c>
      <c r="L14">
        <f t="shared" ca="1" si="4"/>
        <v>0</v>
      </c>
      <c r="M14" s="67">
        <f ca="1">'Monte Carlo Stimulation'!$I$9</f>
        <v>-2.919314405717207E-2</v>
      </c>
      <c r="N14">
        <f t="shared" ca="1" si="5"/>
        <v>0</v>
      </c>
    </row>
    <row r="15" spans="1:23">
      <c r="A15" s="12">
        <v>46092</v>
      </c>
      <c r="B15" s="14">
        <v>5.9194324541426944E-3</v>
      </c>
      <c r="C15" s="67">
        <f>'Parametric VAR'!$F$12</f>
        <v>-2.023068247926026E-2</v>
      </c>
      <c r="D15">
        <f t="shared" si="0"/>
        <v>0</v>
      </c>
      <c r="E15" s="67">
        <f>'Parametric VAR'!$F$13</f>
        <v>-2.8682193012943492E-2</v>
      </c>
      <c r="F15">
        <f t="shared" si="1"/>
        <v>0</v>
      </c>
      <c r="G15" s="67">
        <f>'Historical VAR'!$G$6</f>
        <v>-1.9839729167757107E-2</v>
      </c>
      <c r="H15">
        <f t="shared" si="2"/>
        <v>0</v>
      </c>
      <c r="I15" s="67">
        <f>'Historical VAR'!$G$7</f>
        <v>-3.1428916759065853E-2</v>
      </c>
      <c r="J15">
        <f t="shared" si="3"/>
        <v>0</v>
      </c>
      <c r="K15" s="67">
        <f ca="1">'Monte Carlo Stimulation'!$I$8</f>
        <v>-2.1559270710709389E-2</v>
      </c>
      <c r="L15">
        <f t="shared" ca="1" si="4"/>
        <v>0</v>
      </c>
      <c r="M15" s="67">
        <f ca="1">'Monte Carlo Stimulation'!$I$9</f>
        <v>-2.919314405717207E-2</v>
      </c>
      <c r="N15">
        <f t="shared" ca="1" si="5"/>
        <v>0</v>
      </c>
    </row>
    <row r="16" spans="1:23">
      <c r="A16" s="12">
        <v>46091</v>
      </c>
      <c r="B16" s="14">
        <v>1.789589633980428E-2</v>
      </c>
      <c r="C16" s="67">
        <f>'Parametric VAR'!$F$12</f>
        <v>-2.023068247926026E-2</v>
      </c>
      <c r="D16">
        <f t="shared" si="0"/>
        <v>0</v>
      </c>
      <c r="E16" s="67">
        <f>'Parametric VAR'!$F$13</f>
        <v>-2.8682193012943492E-2</v>
      </c>
      <c r="F16">
        <f t="shared" si="1"/>
        <v>0</v>
      </c>
      <c r="G16" s="67">
        <f>'Historical VAR'!$G$6</f>
        <v>-1.9839729167757107E-2</v>
      </c>
      <c r="H16">
        <f t="shared" si="2"/>
        <v>0</v>
      </c>
      <c r="I16" s="67">
        <f>'Historical VAR'!$G$7</f>
        <v>-3.1428916759065853E-2</v>
      </c>
      <c r="J16">
        <f t="shared" si="3"/>
        <v>0</v>
      </c>
      <c r="K16" s="67">
        <f ca="1">'Monte Carlo Stimulation'!$I$8</f>
        <v>-2.1559270710709389E-2</v>
      </c>
      <c r="L16">
        <f t="shared" ca="1" si="4"/>
        <v>0</v>
      </c>
      <c r="M16" s="67">
        <f ca="1">'Monte Carlo Stimulation'!$I$9</f>
        <v>-2.919314405717207E-2</v>
      </c>
      <c r="N16">
        <f t="shared" ca="1" si="5"/>
        <v>0</v>
      </c>
    </row>
    <row r="17" spans="1:14">
      <c r="A17" s="12">
        <v>46090</v>
      </c>
      <c r="B17" s="14">
        <v>-2.3059006328040463E-2</v>
      </c>
      <c r="C17" s="67">
        <f>'Parametric VAR'!$F$12</f>
        <v>-2.023068247926026E-2</v>
      </c>
      <c r="D17">
        <f t="shared" si="0"/>
        <v>1</v>
      </c>
      <c r="E17" s="67">
        <f>'Parametric VAR'!$F$13</f>
        <v>-2.8682193012943492E-2</v>
      </c>
      <c r="F17">
        <f t="shared" si="1"/>
        <v>0</v>
      </c>
      <c r="G17" s="67">
        <f>'Historical VAR'!$G$6</f>
        <v>-1.9839729167757107E-2</v>
      </c>
      <c r="H17">
        <f t="shared" si="2"/>
        <v>1</v>
      </c>
      <c r="I17" s="67">
        <f>'Historical VAR'!$G$7</f>
        <v>-3.1428916759065853E-2</v>
      </c>
      <c r="J17">
        <f t="shared" si="3"/>
        <v>0</v>
      </c>
      <c r="K17" s="67">
        <f ca="1">'Monte Carlo Stimulation'!$I$8</f>
        <v>-2.1559270710709389E-2</v>
      </c>
      <c r="L17">
        <f t="shared" ca="1" si="4"/>
        <v>1</v>
      </c>
      <c r="M17" s="67">
        <f ca="1">'Monte Carlo Stimulation'!$I$9</f>
        <v>-2.919314405717207E-2</v>
      </c>
      <c r="N17">
        <f t="shared" ca="1" si="5"/>
        <v>0</v>
      </c>
    </row>
    <row r="18" spans="1:14">
      <c r="A18" s="12">
        <v>46087</v>
      </c>
      <c r="B18" s="14">
        <v>2.3917493073902524E-2</v>
      </c>
      <c r="C18" s="67">
        <f>'Parametric VAR'!$F$12</f>
        <v>-2.023068247926026E-2</v>
      </c>
      <c r="D18">
        <f t="shared" si="0"/>
        <v>0</v>
      </c>
      <c r="E18" s="67">
        <f>'Parametric VAR'!$F$13</f>
        <v>-2.8682193012943492E-2</v>
      </c>
      <c r="F18">
        <f t="shared" si="1"/>
        <v>0</v>
      </c>
      <c r="G18" s="67">
        <f>'Historical VAR'!$G$6</f>
        <v>-1.9839729167757107E-2</v>
      </c>
      <c r="H18">
        <f t="shared" si="2"/>
        <v>0</v>
      </c>
      <c r="I18" s="67">
        <f>'Historical VAR'!$G$7</f>
        <v>-3.1428916759065853E-2</v>
      </c>
      <c r="J18">
        <f t="shared" si="3"/>
        <v>0</v>
      </c>
      <c r="K18" s="67">
        <f ca="1">'Monte Carlo Stimulation'!$I$8</f>
        <v>-2.1559270710709389E-2</v>
      </c>
      <c r="L18">
        <f t="shared" ca="1" si="4"/>
        <v>0</v>
      </c>
      <c r="M18" s="67">
        <f ca="1">'Monte Carlo Stimulation'!$I$9</f>
        <v>-2.919314405717207E-2</v>
      </c>
      <c r="N18">
        <f t="shared" ca="1" si="5"/>
        <v>0</v>
      </c>
    </row>
    <row r="19" spans="1:14">
      <c r="A19" s="12">
        <v>46086</v>
      </c>
      <c r="B19" s="14">
        <v>2.9697159640361464E-3</v>
      </c>
      <c r="C19" s="67">
        <f>'Parametric VAR'!$F$12</f>
        <v>-2.023068247926026E-2</v>
      </c>
      <c r="D19">
        <f t="shared" si="0"/>
        <v>0</v>
      </c>
      <c r="E19" s="67">
        <f>'Parametric VAR'!$F$13</f>
        <v>-2.8682193012943492E-2</v>
      </c>
      <c r="F19">
        <f t="shared" si="1"/>
        <v>0</v>
      </c>
      <c r="G19" s="67">
        <f>'Historical VAR'!$G$6</f>
        <v>-1.9839729167757107E-2</v>
      </c>
      <c r="H19">
        <f t="shared" si="2"/>
        <v>0</v>
      </c>
      <c r="I19" s="67">
        <f>'Historical VAR'!$G$7</f>
        <v>-3.1428916759065853E-2</v>
      </c>
      <c r="J19">
        <f t="shared" si="3"/>
        <v>0</v>
      </c>
      <c r="K19" s="67">
        <f ca="1">'Monte Carlo Stimulation'!$I$8</f>
        <v>-2.1559270710709389E-2</v>
      </c>
      <c r="L19">
        <f t="shared" ca="1" si="4"/>
        <v>0</v>
      </c>
      <c r="M19" s="67">
        <f ca="1">'Monte Carlo Stimulation'!$I$9</f>
        <v>-2.919314405717207E-2</v>
      </c>
      <c r="N19">
        <f t="shared" ca="1" si="5"/>
        <v>0</v>
      </c>
    </row>
    <row r="20" spans="1:14">
      <c r="A20" s="12">
        <v>46085</v>
      </c>
      <c r="B20" s="14">
        <v>1.9121374938665108E-3</v>
      </c>
      <c r="C20" s="67">
        <f>'Parametric VAR'!$F$12</f>
        <v>-2.023068247926026E-2</v>
      </c>
      <c r="D20">
        <f t="shared" si="0"/>
        <v>0</v>
      </c>
      <c r="E20" s="67">
        <f>'Parametric VAR'!$F$13</f>
        <v>-2.8682193012943492E-2</v>
      </c>
      <c r="F20">
        <f t="shared" si="1"/>
        <v>0</v>
      </c>
      <c r="G20" s="67">
        <f>'Historical VAR'!$G$6</f>
        <v>-1.9839729167757107E-2</v>
      </c>
      <c r="H20">
        <f t="shared" si="2"/>
        <v>0</v>
      </c>
      <c r="I20" s="67">
        <f>'Historical VAR'!$G$7</f>
        <v>-3.1428916759065853E-2</v>
      </c>
      <c r="J20">
        <f t="shared" si="3"/>
        <v>0</v>
      </c>
      <c r="K20" s="67">
        <f ca="1">'Monte Carlo Stimulation'!$I$8</f>
        <v>-2.1559270710709389E-2</v>
      </c>
      <c r="L20">
        <f t="shared" ca="1" si="4"/>
        <v>0</v>
      </c>
      <c r="M20" s="67">
        <f ca="1">'Monte Carlo Stimulation'!$I$9</f>
        <v>-2.919314405717207E-2</v>
      </c>
      <c r="N20">
        <f t="shared" ca="1" si="5"/>
        <v>0</v>
      </c>
    </row>
    <row r="21" spans="1:14">
      <c r="A21" s="12">
        <v>46083</v>
      </c>
      <c r="B21" s="14">
        <v>1.0602621843356469E-2</v>
      </c>
      <c r="C21" s="67">
        <f>'Parametric VAR'!$F$12</f>
        <v>-2.023068247926026E-2</v>
      </c>
      <c r="D21">
        <f t="shared" si="0"/>
        <v>0</v>
      </c>
      <c r="E21" s="67">
        <f>'Parametric VAR'!$F$13</f>
        <v>-2.8682193012943492E-2</v>
      </c>
      <c r="F21">
        <f t="shared" si="1"/>
        <v>0</v>
      </c>
      <c r="G21" s="67">
        <f>'Historical VAR'!$G$6</f>
        <v>-1.9839729167757107E-2</v>
      </c>
      <c r="H21">
        <f t="shared" si="2"/>
        <v>0</v>
      </c>
      <c r="I21" s="67">
        <f>'Historical VAR'!$G$7</f>
        <v>-3.1428916759065853E-2</v>
      </c>
      <c r="J21">
        <f t="shared" si="3"/>
        <v>0</v>
      </c>
      <c r="K21" s="67">
        <f ca="1">'Monte Carlo Stimulation'!$I$8</f>
        <v>-2.1559270710709389E-2</v>
      </c>
      <c r="L21">
        <f t="shared" ca="1" si="4"/>
        <v>0</v>
      </c>
      <c r="M21" s="67">
        <f ca="1">'Monte Carlo Stimulation'!$I$9</f>
        <v>-2.919314405717207E-2</v>
      </c>
      <c r="N21">
        <f t="shared" ca="1" si="5"/>
        <v>0</v>
      </c>
    </row>
    <row r="22" spans="1:14">
      <c r="A22" s="12">
        <v>46080</v>
      </c>
      <c r="B22" s="14">
        <v>2.7373052694572415E-2</v>
      </c>
      <c r="C22" s="67">
        <f>'Parametric VAR'!$F$12</f>
        <v>-2.023068247926026E-2</v>
      </c>
      <c r="D22">
        <f t="shared" si="0"/>
        <v>0</v>
      </c>
      <c r="E22" s="67">
        <f>'Parametric VAR'!$F$13</f>
        <v>-2.8682193012943492E-2</v>
      </c>
      <c r="F22">
        <f t="shared" si="1"/>
        <v>0</v>
      </c>
      <c r="G22" s="67">
        <f>'Historical VAR'!$G$6</f>
        <v>-1.9839729167757107E-2</v>
      </c>
      <c r="H22">
        <f t="shared" si="2"/>
        <v>0</v>
      </c>
      <c r="I22" s="67">
        <f>'Historical VAR'!$G$7</f>
        <v>-3.1428916759065853E-2</v>
      </c>
      <c r="J22">
        <f t="shared" si="3"/>
        <v>0</v>
      </c>
      <c r="K22" s="67">
        <f ca="1">'Monte Carlo Stimulation'!$I$8</f>
        <v>-2.1559270710709389E-2</v>
      </c>
      <c r="L22">
        <f t="shared" ca="1" si="4"/>
        <v>0</v>
      </c>
      <c r="M22" s="67">
        <f ca="1">'Monte Carlo Stimulation'!$I$9</f>
        <v>-2.919314405717207E-2</v>
      </c>
      <c r="N22">
        <f t="shared" ca="1" si="5"/>
        <v>0</v>
      </c>
    </row>
    <row r="23" spans="1:14">
      <c r="A23" s="12">
        <v>46079</v>
      </c>
      <c r="B23" s="14">
        <v>7.6469510019204837E-3</v>
      </c>
      <c r="C23" s="67">
        <f>'Parametric VAR'!$F$12</f>
        <v>-2.023068247926026E-2</v>
      </c>
      <c r="D23">
        <f t="shared" si="0"/>
        <v>0</v>
      </c>
      <c r="E23" s="67">
        <f>'Parametric VAR'!$F$13</f>
        <v>-2.8682193012943492E-2</v>
      </c>
      <c r="F23">
        <f t="shared" si="1"/>
        <v>0</v>
      </c>
      <c r="G23" s="67">
        <f>'Historical VAR'!$G$6</f>
        <v>-1.9839729167757107E-2</v>
      </c>
      <c r="H23">
        <f t="shared" si="2"/>
        <v>0</v>
      </c>
      <c r="I23" s="67">
        <f>'Historical VAR'!$G$7</f>
        <v>-3.1428916759065853E-2</v>
      </c>
      <c r="J23">
        <f t="shared" si="3"/>
        <v>0</v>
      </c>
      <c r="K23" s="67">
        <f ca="1">'Monte Carlo Stimulation'!$I$8</f>
        <v>-2.1559270710709389E-2</v>
      </c>
      <c r="L23">
        <f t="shared" ca="1" si="4"/>
        <v>0</v>
      </c>
      <c r="M23" s="67">
        <f ca="1">'Monte Carlo Stimulation'!$I$9</f>
        <v>-2.919314405717207E-2</v>
      </c>
      <c r="N23">
        <f t="shared" ca="1" si="5"/>
        <v>0</v>
      </c>
    </row>
    <row r="24" spans="1:14">
      <c r="A24" s="12">
        <v>46078</v>
      </c>
      <c r="B24" s="14">
        <v>6.2070043547431892E-3</v>
      </c>
      <c r="C24" s="67">
        <f>'Parametric VAR'!$F$12</f>
        <v>-2.023068247926026E-2</v>
      </c>
      <c r="D24">
        <f t="shared" si="0"/>
        <v>0</v>
      </c>
      <c r="E24" s="67">
        <f>'Parametric VAR'!$F$13</f>
        <v>-2.8682193012943492E-2</v>
      </c>
      <c r="F24">
        <f t="shared" si="1"/>
        <v>0</v>
      </c>
      <c r="G24" s="67">
        <f>'Historical VAR'!$G$6</f>
        <v>-1.9839729167757107E-2</v>
      </c>
      <c r="H24">
        <f t="shared" si="2"/>
        <v>0</v>
      </c>
      <c r="I24" s="67">
        <f>'Historical VAR'!$G$7</f>
        <v>-3.1428916759065853E-2</v>
      </c>
      <c r="J24">
        <f t="shared" si="3"/>
        <v>0</v>
      </c>
      <c r="K24" s="67">
        <f ca="1">'Monte Carlo Stimulation'!$I$8</f>
        <v>-2.1559270710709389E-2</v>
      </c>
      <c r="L24">
        <f t="shared" ca="1" si="4"/>
        <v>0</v>
      </c>
      <c r="M24" s="67">
        <f ca="1">'Monte Carlo Stimulation'!$I$9</f>
        <v>-2.919314405717207E-2</v>
      </c>
      <c r="N24">
        <f t="shared" ca="1" si="5"/>
        <v>0</v>
      </c>
    </row>
    <row r="25" spans="1:14">
      <c r="A25" s="12">
        <v>46077</v>
      </c>
      <c r="B25" s="14">
        <v>1.2118161598920758E-3</v>
      </c>
      <c r="C25" s="67">
        <f>'Parametric VAR'!$F$12</f>
        <v>-2.023068247926026E-2</v>
      </c>
      <c r="D25">
        <f t="shared" si="0"/>
        <v>0</v>
      </c>
      <c r="E25" s="67">
        <f>'Parametric VAR'!$F$13</f>
        <v>-2.8682193012943492E-2</v>
      </c>
      <c r="F25">
        <f t="shared" si="1"/>
        <v>0</v>
      </c>
      <c r="G25" s="67">
        <f>'Historical VAR'!$G$6</f>
        <v>-1.9839729167757107E-2</v>
      </c>
      <c r="H25">
        <f t="shared" si="2"/>
        <v>0</v>
      </c>
      <c r="I25" s="67">
        <f>'Historical VAR'!$G$7</f>
        <v>-3.1428916759065853E-2</v>
      </c>
      <c r="J25">
        <f t="shared" si="3"/>
        <v>0</v>
      </c>
      <c r="K25" s="67">
        <f ca="1">'Monte Carlo Stimulation'!$I$8</f>
        <v>-2.1559270710709389E-2</v>
      </c>
      <c r="L25">
        <f t="shared" ca="1" si="4"/>
        <v>0</v>
      </c>
      <c r="M25" s="67">
        <f ca="1">'Monte Carlo Stimulation'!$I$9</f>
        <v>-2.919314405717207E-2</v>
      </c>
      <c r="N25">
        <f t="shared" ca="1" si="5"/>
        <v>0</v>
      </c>
    </row>
    <row r="26" spans="1:14">
      <c r="A26" s="12">
        <v>46076</v>
      </c>
      <c r="B26" s="14">
        <v>5.7962785210843356E-3</v>
      </c>
      <c r="C26" s="67">
        <f>'Parametric VAR'!$F$12</f>
        <v>-2.023068247926026E-2</v>
      </c>
      <c r="D26">
        <f t="shared" si="0"/>
        <v>0</v>
      </c>
      <c r="E26" s="67">
        <f>'Parametric VAR'!$F$13</f>
        <v>-2.8682193012943492E-2</v>
      </c>
      <c r="F26">
        <f t="shared" si="1"/>
        <v>0</v>
      </c>
      <c r="G26" s="67">
        <f>'Historical VAR'!$G$6</f>
        <v>-1.9839729167757107E-2</v>
      </c>
      <c r="H26">
        <f t="shared" si="2"/>
        <v>0</v>
      </c>
      <c r="I26" s="67">
        <f>'Historical VAR'!$G$7</f>
        <v>-3.1428916759065853E-2</v>
      </c>
      <c r="J26">
        <f t="shared" si="3"/>
        <v>0</v>
      </c>
      <c r="K26" s="67">
        <f ca="1">'Monte Carlo Stimulation'!$I$8</f>
        <v>-2.1559270710709389E-2</v>
      </c>
      <c r="L26">
        <f t="shared" ca="1" si="4"/>
        <v>0</v>
      </c>
      <c r="M26" s="67">
        <f ca="1">'Monte Carlo Stimulation'!$I$9</f>
        <v>-2.919314405717207E-2</v>
      </c>
      <c r="N26">
        <f t="shared" ca="1" si="5"/>
        <v>0</v>
      </c>
    </row>
    <row r="27" spans="1:14">
      <c r="A27" s="12">
        <v>46073</v>
      </c>
      <c r="B27" s="14">
        <v>-4.8602714092555082E-3</v>
      </c>
      <c r="C27" s="67">
        <f>'Parametric VAR'!$F$12</f>
        <v>-2.023068247926026E-2</v>
      </c>
      <c r="D27">
        <f t="shared" si="0"/>
        <v>0</v>
      </c>
      <c r="E27" s="67">
        <f>'Parametric VAR'!$F$13</f>
        <v>-2.8682193012943492E-2</v>
      </c>
      <c r="F27">
        <f t="shared" si="1"/>
        <v>0</v>
      </c>
      <c r="G27" s="67">
        <f>'Historical VAR'!$G$6</f>
        <v>-1.9839729167757107E-2</v>
      </c>
      <c r="H27">
        <f t="shared" si="2"/>
        <v>0</v>
      </c>
      <c r="I27" s="67">
        <f>'Historical VAR'!$G$7</f>
        <v>-3.1428916759065853E-2</v>
      </c>
      <c r="J27">
        <f t="shared" si="3"/>
        <v>0</v>
      </c>
      <c r="K27" s="67">
        <f ca="1">'Monte Carlo Stimulation'!$I$8</f>
        <v>-2.1559270710709389E-2</v>
      </c>
      <c r="L27">
        <f t="shared" ca="1" si="4"/>
        <v>0</v>
      </c>
      <c r="M27" s="67">
        <f ca="1">'Monte Carlo Stimulation'!$I$9</f>
        <v>-2.919314405717207E-2</v>
      </c>
      <c r="N27">
        <f t="shared" ca="1" si="5"/>
        <v>0</v>
      </c>
    </row>
    <row r="28" spans="1:14">
      <c r="A28" s="12">
        <v>46072</v>
      </c>
      <c r="B28" s="14">
        <v>-6.6761208446515915E-3</v>
      </c>
      <c r="C28" s="67">
        <f>'Parametric VAR'!$F$12</f>
        <v>-2.023068247926026E-2</v>
      </c>
      <c r="D28">
        <f t="shared" si="0"/>
        <v>0</v>
      </c>
      <c r="E28" s="67">
        <f>'Parametric VAR'!$F$13</f>
        <v>-2.8682193012943492E-2</v>
      </c>
      <c r="F28">
        <f t="shared" si="1"/>
        <v>0</v>
      </c>
      <c r="G28" s="67">
        <f>'Historical VAR'!$G$6</f>
        <v>-1.9839729167757107E-2</v>
      </c>
      <c r="H28">
        <f t="shared" si="2"/>
        <v>0</v>
      </c>
      <c r="I28" s="67">
        <f>'Historical VAR'!$G$7</f>
        <v>-3.1428916759065853E-2</v>
      </c>
      <c r="J28">
        <f t="shared" si="3"/>
        <v>0</v>
      </c>
      <c r="K28" s="67">
        <f ca="1">'Monte Carlo Stimulation'!$I$8</f>
        <v>-2.1559270710709389E-2</v>
      </c>
      <c r="L28">
        <f t="shared" ca="1" si="4"/>
        <v>0</v>
      </c>
      <c r="M28" s="67">
        <f ca="1">'Monte Carlo Stimulation'!$I$9</f>
        <v>-2.919314405717207E-2</v>
      </c>
      <c r="N28">
        <f t="shared" ca="1" si="5"/>
        <v>0</v>
      </c>
    </row>
    <row r="29" spans="1:14">
      <c r="A29" s="12">
        <v>46071</v>
      </c>
      <c r="B29" s="14">
        <v>1.1129255259504162E-2</v>
      </c>
      <c r="C29" s="67">
        <f>'Parametric VAR'!$F$12</f>
        <v>-2.023068247926026E-2</v>
      </c>
      <c r="D29">
        <f t="shared" si="0"/>
        <v>0</v>
      </c>
      <c r="E29" s="67">
        <f>'Parametric VAR'!$F$13</f>
        <v>-2.8682193012943492E-2</v>
      </c>
      <c r="F29">
        <f t="shared" si="1"/>
        <v>0</v>
      </c>
      <c r="G29" s="67">
        <f>'Historical VAR'!$G$6</f>
        <v>-1.9839729167757107E-2</v>
      </c>
      <c r="H29">
        <f t="shared" si="2"/>
        <v>0</v>
      </c>
      <c r="I29" s="67">
        <f>'Historical VAR'!$G$7</f>
        <v>-3.1428916759065853E-2</v>
      </c>
      <c r="J29">
        <f t="shared" si="3"/>
        <v>0</v>
      </c>
      <c r="K29" s="67">
        <f ca="1">'Monte Carlo Stimulation'!$I$8</f>
        <v>-2.1559270710709389E-2</v>
      </c>
      <c r="L29">
        <f t="shared" ca="1" si="4"/>
        <v>0</v>
      </c>
      <c r="M29" s="67">
        <f ca="1">'Monte Carlo Stimulation'!$I$9</f>
        <v>-2.919314405717207E-2</v>
      </c>
      <c r="N29">
        <f t="shared" ca="1" si="5"/>
        <v>0</v>
      </c>
    </row>
    <row r="30" spans="1:14">
      <c r="A30" s="12">
        <v>46070</v>
      </c>
      <c r="B30" s="14">
        <v>2.4488986318159526E-3</v>
      </c>
      <c r="C30" s="67">
        <f>'Parametric VAR'!$F$12</f>
        <v>-2.023068247926026E-2</v>
      </c>
      <c r="D30">
        <f t="shared" si="0"/>
        <v>0</v>
      </c>
      <c r="E30" s="67">
        <f>'Parametric VAR'!$F$13</f>
        <v>-2.8682193012943492E-2</v>
      </c>
      <c r="F30">
        <f t="shared" si="1"/>
        <v>0</v>
      </c>
      <c r="G30" s="67">
        <f>'Historical VAR'!$G$6</f>
        <v>-1.9839729167757107E-2</v>
      </c>
      <c r="H30">
        <f t="shared" si="2"/>
        <v>0</v>
      </c>
      <c r="I30" s="67">
        <f>'Historical VAR'!$G$7</f>
        <v>-3.1428916759065853E-2</v>
      </c>
      <c r="J30">
        <f t="shared" si="3"/>
        <v>0</v>
      </c>
      <c r="K30" s="67">
        <f ca="1">'Monte Carlo Stimulation'!$I$8</f>
        <v>-2.1559270710709389E-2</v>
      </c>
      <c r="L30">
        <f t="shared" ca="1" si="4"/>
        <v>0</v>
      </c>
      <c r="M30" s="67">
        <f ca="1">'Monte Carlo Stimulation'!$I$9</f>
        <v>-2.919314405717207E-2</v>
      </c>
      <c r="N30">
        <f t="shared" ca="1" si="5"/>
        <v>0</v>
      </c>
    </row>
    <row r="31" spans="1:14">
      <c r="A31" s="12">
        <v>46069</v>
      </c>
      <c r="B31" s="14">
        <v>-1.1959983374366115E-2</v>
      </c>
      <c r="C31" s="67">
        <f>'Parametric VAR'!$F$12</f>
        <v>-2.023068247926026E-2</v>
      </c>
      <c r="D31">
        <f t="shared" si="0"/>
        <v>0</v>
      </c>
      <c r="E31" s="67">
        <f>'Parametric VAR'!$F$13</f>
        <v>-2.8682193012943492E-2</v>
      </c>
      <c r="F31">
        <f t="shared" si="1"/>
        <v>0</v>
      </c>
      <c r="G31" s="67">
        <f>'Historical VAR'!$G$6</f>
        <v>-1.9839729167757107E-2</v>
      </c>
      <c r="H31">
        <f t="shared" si="2"/>
        <v>0</v>
      </c>
      <c r="I31" s="67">
        <f>'Historical VAR'!$G$7</f>
        <v>-3.1428916759065853E-2</v>
      </c>
      <c r="J31">
        <f t="shared" si="3"/>
        <v>0</v>
      </c>
      <c r="K31" s="67">
        <f ca="1">'Monte Carlo Stimulation'!$I$8</f>
        <v>-2.1559270710709389E-2</v>
      </c>
      <c r="L31">
        <f t="shared" ca="1" si="4"/>
        <v>0</v>
      </c>
      <c r="M31" s="67">
        <f ca="1">'Monte Carlo Stimulation'!$I$9</f>
        <v>-2.919314405717207E-2</v>
      </c>
      <c r="N31">
        <f t="shared" ca="1" si="5"/>
        <v>0</v>
      </c>
    </row>
    <row r="32" spans="1:14">
      <c r="A32" s="12">
        <v>46066</v>
      </c>
      <c r="B32" s="14">
        <v>-1.1462561397267866E-2</v>
      </c>
      <c r="C32" s="67">
        <f>'Parametric VAR'!$F$12</f>
        <v>-2.023068247926026E-2</v>
      </c>
      <c r="D32">
        <f t="shared" si="0"/>
        <v>0</v>
      </c>
      <c r="E32" s="67">
        <f>'Parametric VAR'!$F$13</f>
        <v>-2.8682193012943492E-2</v>
      </c>
      <c r="F32">
        <f t="shared" si="1"/>
        <v>0</v>
      </c>
      <c r="G32" s="67">
        <f>'Historical VAR'!$G$6</f>
        <v>-1.9839729167757107E-2</v>
      </c>
      <c r="H32">
        <f t="shared" si="2"/>
        <v>0</v>
      </c>
      <c r="I32" s="67">
        <f>'Historical VAR'!$G$7</f>
        <v>-3.1428916759065853E-2</v>
      </c>
      <c r="J32">
        <f t="shared" si="3"/>
        <v>0</v>
      </c>
      <c r="K32" s="67">
        <f ca="1">'Monte Carlo Stimulation'!$I$8</f>
        <v>-2.1559270710709389E-2</v>
      </c>
      <c r="L32">
        <f t="shared" ca="1" si="4"/>
        <v>0</v>
      </c>
      <c r="M32" s="67">
        <f ca="1">'Monte Carlo Stimulation'!$I$9</f>
        <v>-2.919314405717207E-2</v>
      </c>
      <c r="N32">
        <f t="shared" ca="1" si="5"/>
        <v>0</v>
      </c>
    </row>
    <row r="33" spans="1:14">
      <c r="A33" s="12">
        <v>46065</v>
      </c>
      <c r="B33" s="14">
        <v>1.451060895973964E-2</v>
      </c>
      <c r="C33" s="67">
        <f>'Parametric VAR'!$F$12</f>
        <v>-2.023068247926026E-2</v>
      </c>
      <c r="D33">
        <f t="shared" si="0"/>
        <v>0</v>
      </c>
      <c r="E33" s="67">
        <f>'Parametric VAR'!$F$13</f>
        <v>-2.8682193012943492E-2</v>
      </c>
      <c r="F33">
        <f t="shared" si="1"/>
        <v>0</v>
      </c>
      <c r="G33" s="67">
        <f>'Historical VAR'!$G$6</f>
        <v>-1.9839729167757107E-2</v>
      </c>
      <c r="H33">
        <f t="shared" si="2"/>
        <v>0</v>
      </c>
      <c r="I33" s="67">
        <f>'Historical VAR'!$G$7</f>
        <v>-3.1428916759065853E-2</v>
      </c>
      <c r="J33">
        <f t="shared" si="3"/>
        <v>0</v>
      </c>
      <c r="K33" s="67">
        <f ca="1">'Monte Carlo Stimulation'!$I$8</f>
        <v>-2.1559270710709389E-2</v>
      </c>
      <c r="L33">
        <f t="shared" ca="1" si="4"/>
        <v>0</v>
      </c>
      <c r="M33" s="67">
        <f ca="1">'Monte Carlo Stimulation'!$I$9</f>
        <v>-2.919314405717207E-2</v>
      </c>
      <c r="N33">
        <f t="shared" ca="1" si="5"/>
        <v>0</v>
      </c>
    </row>
    <row r="34" spans="1:14">
      <c r="A34" s="12">
        <v>46064</v>
      </c>
      <c r="B34" s="14">
        <v>-5.0061820911823911E-3</v>
      </c>
      <c r="C34" s="67">
        <f>'Parametric VAR'!$F$12</f>
        <v>-2.023068247926026E-2</v>
      </c>
      <c r="D34">
        <f t="shared" si="0"/>
        <v>0</v>
      </c>
      <c r="E34" s="67">
        <f>'Parametric VAR'!$F$13</f>
        <v>-2.8682193012943492E-2</v>
      </c>
      <c r="F34">
        <f t="shared" si="1"/>
        <v>0</v>
      </c>
      <c r="G34" s="67">
        <f>'Historical VAR'!$G$6</f>
        <v>-1.9839729167757107E-2</v>
      </c>
      <c r="H34">
        <f t="shared" si="2"/>
        <v>0</v>
      </c>
      <c r="I34" s="67">
        <f>'Historical VAR'!$G$7</f>
        <v>-3.1428916759065853E-2</v>
      </c>
      <c r="J34">
        <f t="shared" si="3"/>
        <v>0</v>
      </c>
      <c r="K34" s="67">
        <f ca="1">'Monte Carlo Stimulation'!$I$8</f>
        <v>-2.1559270710709389E-2</v>
      </c>
      <c r="L34">
        <f t="shared" ca="1" si="4"/>
        <v>0</v>
      </c>
      <c r="M34" s="67">
        <f ca="1">'Monte Carlo Stimulation'!$I$9</f>
        <v>-2.919314405717207E-2</v>
      </c>
      <c r="N34">
        <f t="shared" ca="1" si="5"/>
        <v>0</v>
      </c>
    </row>
    <row r="35" spans="1:14">
      <c r="A35" s="12">
        <v>46063</v>
      </c>
      <c r="B35" s="14">
        <v>2.3009870879498813E-3</v>
      </c>
      <c r="C35" s="67">
        <f>'Parametric VAR'!$F$12</f>
        <v>-2.023068247926026E-2</v>
      </c>
      <c r="D35">
        <f t="shared" si="0"/>
        <v>0</v>
      </c>
      <c r="E35" s="67">
        <f>'Parametric VAR'!$F$13</f>
        <v>-2.8682193012943492E-2</v>
      </c>
      <c r="F35">
        <f t="shared" si="1"/>
        <v>0</v>
      </c>
      <c r="G35" s="67">
        <f>'Historical VAR'!$G$6</f>
        <v>-1.9839729167757107E-2</v>
      </c>
      <c r="H35">
        <f t="shared" si="2"/>
        <v>0</v>
      </c>
      <c r="I35" s="67">
        <f>'Historical VAR'!$G$7</f>
        <v>-3.1428916759065853E-2</v>
      </c>
      <c r="J35">
        <f t="shared" si="3"/>
        <v>0</v>
      </c>
      <c r="K35" s="67">
        <f ca="1">'Monte Carlo Stimulation'!$I$8</f>
        <v>-2.1559270710709389E-2</v>
      </c>
      <c r="L35">
        <f t="shared" ca="1" si="4"/>
        <v>0</v>
      </c>
      <c r="M35" s="67">
        <f ca="1">'Monte Carlo Stimulation'!$I$9</f>
        <v>-2.919314405717207E-2</v>
      </c>
      <c r="N35">
        <f t="shared" ca="1" si="5"/>
        <v>0</v>
      </c>
    </row>
    <row r="36" spans="1:14">
      <c r="A36" s="12">
        <v>46062</v>
      </c>
      <c r="B36" s="14">
        <v>9.5195003483074039E-3</v>
      </c>
      <c r="C36" s="67">
        <f>'Parametric VAR'!$F$12</f>
        <v>-2.023068247926026E-2</v>
      </c>
      <c r="D36">
        <f t="shared" si="0"/>
        <v>0</v>
      </c>
      <c r="E36" s="67">
        <f>'Parametric VAR'!$F$13</f>
        <v>-2.8682193012943492E-2</v>
      </c>
      <c r="F36">
        <f t="shared" si="1"/>
        <v>0</v>
      </c>
      <c r="G36" s="67">
        <f>'Historical VAR'!$G$6</f>
        <v>-1.9839729167757107E-2</v>
      </c>
      <c r="H36">
        <f t="shared" si="2"/>
        <v>0</v>
      </c>
      <c r="I36" s="67">
        <f>'Historical VAR'!$G$7</f>
        <v>-3.1428916759065853E-2</v>
      </c>
      <c r="J36">
        <f t="shared" si="3"/>
        <v>0</v>
      </c>
      <c r="K36" s="67">
        <f ca="1">'Monte Carlo Stimulation'!$I$8</f>
        <v>-2.1559270710709389E-2</v>
      </c>
      <c r="L36">
        <f t="shared" ca="1" si="4"/>
        <v>0</v>
      </c>
      <c r="M36" s="67">
        <f ca="1">'Monte Carlo Stimulation'!$I$9</f>
        <v>-2.919314405717207E-2</v>
      </c>
      <c r="N36">
        <f t="shared" ca="1" si="5"/>
        <v>0</v>
      </c>
    </row>
    <row r="37" spans="1:14">
      <c r="A37" s="12">
        <v>46059</v>
      </c>
      <c r="B37" s="14">
        <v>-3.9215057491826339E-3</v>
      </c>
      <c r="C37" s="67">
        <f>'Parametric VAR'!$F$12</f>
        <v>-2.023068247926026E-2</v>
      </c>
      <c r="D37">
        <f t="shared" si="0"/>
        <v>0</v>
      </c>
      <c r="E37" s="67">
        <f>'Parametric VAR'!$F$13</f>
        <v>-2.8682193012943492E-2</v>
      </c>
      <c r="F37">
        <f t="shared" si="1"/>
        <v>0</v>
      </c>
      <c r="G37" s="67">
        <f>'Historical VAR'!$G$6</f>
        <v>-1.9839729167757107E-2</v>
      </c>
      <c r="H37">
        <f t="shared" si="2"/>
        <v>0</v>
      </c>
      <c r="I37" s="67">
        <f>'Historical VAR'!$G$7</f>
        <v>-3.1428916759065853E-2</v>
      </c>
      <c r="J37">
        <f t="shared" si="3"/>
        <v>0</v>
      </c>
      <c r="K37" s="67">
        <f ca="1">'Monte Carlo Stimulation'!$I$8</f>
        <v>-2.1559270710709389E-2</v>
      </c>
      <c r="L37">
        <f t="shared" ca="1" si="4"/>
        <v>0</v>
      </c>
      <c r="M37" s="67">
        <f ca="1">'Monte Carlo Stimulation'!$I$9</f>
        <v>-2.919314405717207E-2</v>
      </c>
      <c r="N37">
        <f t="shared" ca="1" si="5"/>
        <v>0</v>
      </c>
    </row>
    <row r="38" spans="1:14">
      <c r="A38" s="12">
        <v>46058</v>
      </c>
      <c r="B38" s="14">
        <v>8.7083991507843593E-3</v>
      </c>
      <c r="C38" s="67">
        <f>'Parametric VAR'!$F$12</f>
        <v>-2.023068247926026E-2</v>
      </c>
      <c r="D38">
        <f t="shared" si="0"/>
        <v>0</v>
      </c>
      <c r="E38" s="67">
        <f>'Parametric VAR'!$F$13</f>
        <v>-2.8682193012943492E-2</v>
      </c>
      <c r="F38">
        <f t="shared" si="1"/>
        <v>0</v>
      </c>
      <c r="G38" s="67">
        <f>'Historical VAR'!$G$6</f>
        <v>-1.9839729167757107E-2</v>
      </c>
      <c r="H38">
        <f t="shared" si="2"/>
        <v>0</v>
      </c>
      <c r="I38" s="67">
        <f>'Historical VAR'!$G$7</f>
        <v>-3.1428916759065853E-2</v>
      </c>
      <c r="J38">
        <f t="shared" si="3"/>
        <v>0</v>
      </c>
      <c r="K38" s="67">
        <f ca="1">'Monte Carlo Stimulation'!$I$8</f>
        <v>-2.1559270710709389E-2</v>
      </c>
      <c r="L38">
        <f t="shared" ca="1" si="4"/>
        <v>0</v>
      </c>
      <c r="M38" s="67">
        <f ca="1">'Monte Carlo Stimulation'!$I$9</f>
        <v>-2.919314405717207E-2</v>
      </c>
      <c r="N38">
        <f t="shared" ca="1" si="5"/>
        <v>0</v>
      </c>
    </row>
    <row r="39" spans="1:14">
      <c r="A39" s="12">
        <v>46057</v>
      </c>
      <c r="B39" s="14">
        <v>1.0932460001390093E-2</v>
      </c>
      <c r="C39" s="67">
        <f>'Parametric VAR'!$F$12</f>
        <v>-2.023068247926026E-2</v>
      </c>
      <c r="D39">
        <f t="shared" si="0"/>
        <v>0</v>
      </c>
      <c r="E39" s="67">
        <f>'Parametric VAR'!$F$13</f>
        <v>-2.8682193012943492E-2</v>
      </c>
      <c r="F39">
        <f t="shared" si="1"/>
        <v>0</v>
      </c>
      <c r="G39" s="67">
        <f>'Historical VAR'!$G$6</f>
        <v>-1.9839729167757107E-2</v>
      </c>
      <c r="H39">
        <f t="shared" si="2"/>
        <v>0</v>
      </c>
      <c r="I39" s="67">
        <f>'Historical VAR'!$G$7</f>
        <v>-3.1428916759065853E-2</v>
      </c>
      <c r="J39">
        <f t="shared" si="3"/>
        <v>0</v>
      </c>
      <c r="K39" s="67">
        <f ca="1">'Monte Carlo Stimulation'!$I$8</f>
        <v>-2.1559270710709389E-2</v>
      </c>
      <c r="L39">
        <f t="shared" ca="1" si="4"/>
        <v>0</v>
      </c>
      <c r="M39" s="67">
        <f ca="1">'Monte Carlo Stimulation'!$I$9</f>
        <v>-2.919314405717207E-2</v>
      </c>
      <c r="N39">
        <f t="shared" ca="1" si="5"/>
        <v>0</v>
      </c>
    </row>
    <row r="40" spans="1:14">
      <c r="A40" s="12">
        <v>46056</v>
      </c>
      <c r="B40" s="14">
        <v>-7.1366825293548881E-3</v>
      </c>
      <c r="C40" s="67">
        <f>'Parametric VAR'!$F$12</f>
        <v>-2.023068247926026E-2</v>
      </c>
      <c r="D40">
        <f t="shared" si="0"/>
        <v>0</v>
      </c>
      <c r="E40" s="67">
        <f>'Parametric VAR'!$F$13</f>
        <v>-2.8682193012943492E-2</v>
      </c>
      <c r="F40">
        <f t="shared" si="1"/>
        <v>0</v>
      </c>
      <c r="G40" s="67">
        <f>'Historical VAR'!$G$6</f>
        <v>-1.9839729167757107E-2</v>
      </c>
      <c r="H40">
        <f t="shared" si="2"/>
        <v>0</v>
      </c>
      <c r="I40" s="67">
        <f>'Historical VAR'!$G$7</f>
        <v>-3.1428916759065853E-2</v>
      </c>
      <c r="J40">
        <f t="shared" si="3"/>
        <v>0</v>
      </c>
      <c r="K40" s="67">
        <f ca="1">'Monte Carlo Stimulation'!$I$8</f>
        <v>-2.1559270710709389E-2</v>
      </c>
      <c r="L40">
        <f t="shared" ca="1" si="4"/>
        <v>0</v>
      </c>
      <c r="M40" s="67">
        <f ca="1">'Monte Carlo Stimulation'!$I$9</f>
        <v>-2.919314405717207E-2</v>
      </c>
      <c r="N40">
        <f t="shared" ca="1" si="5"/>
        <v>0</v>
      </c>
    </row>
    <row r="41" spans="1:14">
      <c r="A41" s="12">
        <v>46055</v>
      </c>
      <c r="B41" s="14">
        <v>-1.1657981711428534E-2</v>
      </c>
      <c r="C41" s="67">
        <f>'Parametric VAR'!$F$12</f>
        <v>-2.023068247926026E-2</v>
      </c>
      <c r="D41">
        <f t="shared" si="0"/>
        <v>0</v>
      </c>
      <c r="E41" s="67">
        <f>'Parametric VAR'!$F$13</f>
        <v>-2.8682193012943492E-2</v>
      </c>
      <c r="F41">
        <f t="shared" si="1"/>
        <v>0</v>
      </c>
      <c r="G41" s="67">
        <f>'Historical VAR'!$G$6</f>
        <v>-1.9839729167757107E-2</v>
      </c>
      <c r="H41">
        <f t="shared" si="2"/>
        <v>0</v>
      </c>
      <c r="I41" s="67">
        <f>'Historical VAR'!$G$7</f>
        <v>-3.1428916759065853E-2</v>
      </c>
      <c r="J41">
        <f t="shared" si="3"/>
        <v>0</v>
      </c>
      <c r="K41" s="67">
        <f ca="1">'Monte Carlo Stimulation'!$I$8</f>
        <v>-2.1559270710709389E-2</v>
      </c>
      <c r="L41">
        <f t="shared" ca="1" si="4"/>
        <v>0</v>
      </c>
      <c r="M41" s="67">
        <f ca="1">'Monte Carlo Stimulation'!$I$9</f>
        <v>-2.919314405717207E-2</v>
      </c>
      <c r="N41">
        <f t="shared" ca="1" si="5"/>
        <v>0</v>
      </c>
    </row>
    <row r="42" spans="1:14">
      <c r="A42" s="12">
        <v>46054</v>
      </c>
      <c r="B42" s="14">
        <v>-1.8129358377274644E-2</v>
      </c>
      <c r="C42" s="67">
        <f>'Parametric VAR'!$F$12</f>
        <v>-2.023068247926026E-2</v>
      </c>
      <c r="D42">
        <f t="shared" si="0"/>
        <v>0</v>
      </c>
      <c r="E42" s="67">
        <f>'Parametric VAR'!$F$13</f>
        <v>-2.8682193012943492E-2</v>
      </c>
      <c r="F42">
        <f t="shared" si="1"/>
        <v>0</v>
      </c>
      <c r="G42" s="67">
        <f>'Historical VAR'!$G$6</f>
        <v>-1.9839729167757107E-2</v>
      </c>
      <c r="H42">
        <f t="shared" si="2"/>
        <v>0</v>
      </c>
      <c r="I42" s="67">
        <f>'Historical VAR'!$G$7</f>
        <v>-3.1428916759065853E-2</v>
      </c>
      <c r="J42">
        <f t="shared" si="3"/>
        <v>0</v>
      </c>
      <c r="K42" s="67">
        <f ca="1">'Monte Carlo Stimulation'!$I$8</f>
        <v>-2.1559270710709389E-2</v>
      </c>
      <c r="L42">
        <f t="shared" ca="1" si="4"/>
        <v>0</v>
      </c>
      <c r="M42" s="67">
        <f ca="1">'Monte Carlo Stimulation'!$I$9</f>
        <v>-2.919314405717207E-2</v>
      </c>
      <c r="N42">
        <f t="shared" ca="1" si="5"/>
        <v>0</v>
      </c>
    </row>
    <row r="43" spans="1:14">
      <c r="A43" s="12">
        <v>46052</v>
      </c>
      <c r="B43" s="14">
        <v>2.3855562832833559E-2</v>
      </c>
      <c r="C43" s="67">
        <f>'Parametric VAR'!$F$12</f>
        <v>-2.023068247926026E-2</v>
      </c>
      <c r="D43">
        <f t="shared" si="0"/>
        <v>0</v>
      </c>
      <c r="E43" s="67">
        <f>'Parametric VAR'!$F$13</f>
        <v>-2.8682193012943492E-2</v>
      </c>
      <c r="F43">
        <f t="shared" si="1"/>
        <v>0</v>
      </c>
      <c r="G43" s="67">
        <f>'Historical VAR'!$G$6</f>
        <v>-1.9839729167757107E-2</v>
      </c>
      <c r="H43">
        <f t="shared" si="2"/>
        <v>0</v>
      </c>
      <c r="I43" s="67">
        <f>'Historical VAR'!$G$7</f>
        <v>-3.1428916759065853E-2</v>
      </c>
      <c r="J43">
        <f t="shared" si="3"/>
        <v>0</v>
      </c>
      <c r="K43" s="67">
        <f ca="1">'Monte Carlo Stimulation'!$I$8</f>
        <v>-2.1559270710709389E-2</v>
      </c>
      <c r="L43">
        <f t="shared" ca="1" si="4"/>
        <v>0</v>
      </c>
      <c r="M43" s="67">
        <f ca="1">'Monte Carlo Stimulation'!$I$9</f>
        <v>-2.919314405717207E-2</v>
      </c>
      <c r="N43">
        <f t="shared" ca="1" si="5"/>
        <v>0</v>
      </c>
    </row>
    <row r="44" spans="1:14">
      <c r="A44" s="12">
        <v>46051</v>
      </c>
      <c r="B44" s="14">
        <v>-4.6760036386475964E-3</v>
      </c>
      <c r="C44" s="67">
        <f>'Parametric VAR'!$F$12</f>
        <v>-2.023068247926026E-2</v>
      </c>
      <c r="D44">
        <f t="shared" si="0"/>
        <v>0</v>
      </c>
      <c r="E44" s="67">
        <f>'Parametric VAR'!$F$13</f>
        <v>-2.8682193012943492E-2</v>
      </c>
      <c r="F44">
        <f t="shared" si="1"/>
        <v>0</v>
      </c>
      <c r="G44" s="67">
        <f>'Historical VAR'!$G$6</f>
        <v>-1.9839729167757107E-2</v>
      </c>
      <c r="H44">
        <f t="shared" si="2"/>
        <v>0</v>
      </c>
      <c r="I44" s="67">
        <f>'Historical VAR'!$G$7</f>
        <v>-3.1428916759065853E-2</v>
      </c>
      <c r="J44">
        <f t="shared" si="3"/>
        <v>0</v>
      </c>
      <c r="K44" s="67">
        <f ca="1">'Monte Carlo Stimulation'!$I$8</f>
        <v>-2.1559270710709389E-2</v>
      </c>
      <c r="L44">
        <f t="shared" ca="1" si="4"/>
        <v>0</v>
      </c>
      <c r="M44" s="67">
        <f ca="1">'Monte Carlo Stimulation'!$I$9</f>
        <v>-2.919314405717207E-2</v>
      </c>
      <c r="N44">
        <f t="shared" ca="1" si="5"/>
        <v>0</v>
      </c>
    </row>
    <row r="45" spans="1:14">
      <c r="A45" s="12">
        <v>46050</v>
      </c>
      <c r="B45" s="14">
        <v>3.4633326398896713E-2</v>
      </c>
      <c r="C45" s="67">
        <f>'Parametric VAR'!$F$12</f>
        <v>-2.023068247926026E-2</v>
      </c>
      <c r="D45">
        <f t="shared" si="0"/>
        <v>0</v>
      </c>
      <c r="E45" s="67">
        <f>'Parametric VAR'!$F$13</f>
        <v>-2.8682193012943492E-2</v>
      </c>
      <c r="F45">
        <f t="shared" si="1"/>
        <v>0</v>
      </c>
      <c r="G45" s="67">
        <f>'Historical VAR'!$G$6</f>
        <v>-1.9839729167757107E-2</v>
      </c>
      <c r="H45">
        <f t="shared" si="2"/>
        <v>0</v>
      </c>
      <c r="I45" s="67">
        <f>'Historical VAR'!$G$7</f>
        <v>-3.1428916759065853E-2</v>
      </c>
      <c r="J45">
        <f t="shared" si="3"/>
        <v>0</v>
      </c>
      <c r="K45" s="67">
        <f ca="1">'Monte Carlo Stimulation'!$I$8</f>
        <v>-2.1559270710709389E-2</v>
      </c>
      <c r="L45">
        <f t="shared" ca="1" si="4"/>
        <v>0</v>
      </c>
      <c r="M45" s="67">
        <f ca="1">'Monte Carlo Stimulation'!$I$9</f>
        <v>-2.919314405717207E-2</v>
      </c>
      <c r="N45">
        <f t="shared" ca="1" si="5"/>
        <v>0</v>
      </c>
    </row>
    <row r="46" spans="1:14">
      <c r="A46" s="12">
        <v>46049</v>
      </c>
      <c r="B46" s="14">
        <v>3.7119577797701898E-2</v>
      </c>
      <c r="C46" s="67">
        <f>'Parametric VAR'!$F$12</f>
        <v>-2.023068247926026E-2</v>
      </c>
      <c r="D46">
        <f t="shared" si="0"/>
        <v>0</v>
      </c>
      <c r="E46" s="67">
        <f>'Parametric VAR'!$F$13</f>
        <v>-2.8682193012943492E-2</v>
      </c>
      <c r="F46">
        <f t="shared" si="1"/>
        <v>0</v>
      </c>
      <c r="G46" s="67">
        <f>'Historical VAR'!$G$6</f>
        <v>-1.9839729167757107E-2</v>
      </c>
      <c r="H46">
        <f t="shared" si="2"/>
        <v>0</v>
      </c>
      <c r="I46" s="67">
        <f>'Historical VAR'!$G$7</f>
        <v>-3.1428916759065853E-2</v>
      </c>
      <c r="J46">
        <f t="shared" si="3"/>
        <v>0</v>
      </c>
      <c r="K46" s="67">
        <f ca="1">'Monte Carlo Stimulation'!$I$8</f>
        <v>-2.1559270710709389E-2</v>
      </c>
      <c r="L46">
        <f t="shared" ca="1" si="4"/>
        <v>0</v>
      </c>
      <c r="M46" s="67">
        <f ca="1">'Monte Carlo Stimulation'!$I$9</f>
        <v>-2.919314405717207E-2</v>
      </c>
      <c r="N46">
        <f t="shared" ca="1" si="5"/>
        <v>0</v>
      </c>
    </row>
    <row r="47" spans="1:14">
      <c r="A47" s="12">
        <v>46045</v>
      </c>
      <c r="B47" s="14">
        <v>2.5579207666221876E-2</v>
      </c>
      <c r="C47" s="67">
        <f>'Parametric VAR'!$F$12</f>
        <v>-2.023068247926026E-2</v>
      </c>
      <c r="D47">
        <f t="shared" si="0"/>
        <v>0</v>
      </c>
      <c r="E47" s="67">
        <f>'Parametric VAR'!$F$13</f>
        <v>-2.8682193012943492E-2</v>
      </c>
      <c r="F47">
        <f t="shared" si="1"/>
        <v>0</v>
      </c>
      <c r="G47" s="67">
        <f>'Historical VAR'!$G$6</f>
        <v>-1.9839729167757107E-2</v>
      </c>
      <c r="H47">
        <f t="shared" si="2"/>
        <v>0</v>
      </c>
      <c r="I47" s="67">
        <f>'Historical VAR'!$G$7</f>
        <v>-3.1428916759065853E-2</v>
      </c>
      <c r="J47">
        <f t="shared" si="3"/>
        <v>0</v>
      </c>
      <c r="K47" s="67">
        <f ca="1">'Monte Carlo Stimulation'!$I$8</f>
        <v>-2.1559270710709389E-2</v>
      </c>
      <c r="L47">
        <f t="shared" ca="1" si="4"/>
        <v>0</v>
      </c>
      <c r="M47" s="67">
        <f ca="1">'Monte Carlo Stimulation'!$I$9</f>
        <v>-2.919314405717207E-2</v>
      </c>
      <c r="N47">
        <f t="shared" ca="1" si="5"/>
        <v>0</v>
      </c>
    </row>
    <row r="48" spans="1:14">
      <c r="A48" s="12">
        <v>46044</v>
      </c>
      <c r="B48" s="14">
        <v>1.9348636705076359E-3</v>
      </c>
      <c r="C48" s="67">
        <f>'Parametric VAR'!$F$12</f>
        <v>-2.023068247926026E-2</v>
      </c>
      <c r="D48">
        <f t="shared" si="0"/>
        <v>0</v>
      </c>
      <c r="E48" s="67">
        <f>'Parametric VAR'!$F$13</f>
        <v>-2.8682193012943492E-2</v>
      </c>
      <c r="F48">
        <f t="shared" si="1"/>
        <v>0</v>
      </c>
      <c r="G48" s="67">
        <f>'Historical VAR'!$G$6</f>
        <v>-1.9839729167757107E-2</v>
      </c>
      <c r="H48">
        <f t="shared" si="2"/>
        <v>0</v>
      </c>
      <c r="I48" s="67">
        <f>'Historical VAR'!$G$7</f>
        <v>-3.1428916759065853E-2</v>
      </c>
      <c r="J48">
        <f t="shared" si="3"/>
        <v>0</v>
      </c>
      <c r="K48" s="67">
        <f ca="1">'Monte Carlo Stimulation'!$I$8</f>
        <v>-2.1559270710709389E-2</v>
      </c>
      <c r="L48">
        <f t="shared" ca="1" si="4"/>
        <v>0</v>
      </c>
      <c r="M48" s="67">
        <f ca="1">'Monte Carlo Stimulation'!$I$9</f>
        <v>-2.919314405717207E-2</v>
      </c>
      <c r="N48">
        <f t="shared" ca="1" si="5"/>
        <v>0</v>
      </c>
    </row>
    <row r="49" spans="1:14">
      <c r="A49" s="12">
        <v>46043</v>
      </c>
      <c r="B49" s="14">
        <v>-8.0480876520095338E-3</v>
      </c>
      <c r="C49" s="67">
        <f>'Parametric VAR'!$F$12</f>
        <v>-2.023068247926026E-2</v>
      </c>
      <c r="D49">
        <f t="shared" si="0"/>
        <v>0</v>
      </c>
      <c r="E49" s="67">
        <f>'Parametric VAR'!$F$13</f>
        <v>-2.8682193012943492E-2</v>
      </c>
      <c r="F49">
        <f t="shared" si="1"/>
        <v>0</v>
      </c>
      <c r="G49" s="67">
        <f>'Historical VAR'!$G$6</f>
        <v>-1.9839729167757107E-2</v>
      </c>
      <c r="H49">
        <f t="shared" si="2"/>
        <v>0</v>
      </c>
      <c r="I49" s="67">
        <f>'Historical VAR'!$G$7</f>
        <v>-3.1428916759065853E-2</v>
      </c>
      <c r="J49">
        <f t="shared" si="3"/>
        <v>0</v>
      </c>
      <c r="K49" s="67">
        <f ca="1">'Monte Carlo Stimulation'!$I$8</f>
        <v>-2.1559270710709389E-2</v>
      </c>
      <c r="L49">
        <f t="shared" ca="1" si="4"/>
        <v>0</v>
      </c>
      <c r="M49" s="67">
        <f ca="1">'Monte Carlo Stimulation'!$I$9</f>
        <v>-2.919314405717207E-2</v>
      </c>
      <c r="N49">
        <f t="shared" ca="1" si="5"/>
        <v>0</v>
      </c>
    </row>
    <row r="50" spans="1:14">
      <c r="A50" s="12">
        <v>46042</v>
      </c>
      <c r="B50" s="14">
        <v>3.993517093825151E-3</v>
      </c>
      <c r="C50" s="67">
        <f>'Parametric VAR'!$F$12</f>
        <v>-2.023068247926026E-2</v>
      </c>
      <c r="D50">
        <f t="shared" si="0"/>
        <v>0</v>
      </c>
      <c r="E50" s="67">
        <f>'Parametric VAR'!$F$13</f>
        <v>-2.8682193012943492E-2</v>
      </c>
      <c r="F50">
        <f t="shared" si="1"/>
        <v>0</v>
      </c>
      <c r="G50" s="67">
        <f>'Historical VAR'!$G$6</f>
        <v>-1.9839729167757107E-2</v>
      </c>
      <c r="H50">
        <f t="shared" si="2"/>
        <v>0</v>
      </c>
      <c r="I50" s="67">
        <f>'Historical VAR'!$G$7</f>
        <v>-3.1428916759065853E-2</v>
      </c>
      <c r="J50">
        <f t="shared" si="3"/>
        <v>0</v>
      </c>
      <c r="K50" s="67">
        <f ca="1">'Monte Carlo Stimulation'!$I$8</f>
        <v>-2.1559270710709389E-2</v>
      </c>
      <c r="L50">
        <f t="shared" ca="1" si="4"/>
        <v>0</v>
      </c>
      <c r="M50" s="67">
        <f ca="1">'Monte Carlo Stimulation'!$I$9</f>
        <v>-2.919314405717207E-2</v>
      </c>
      <c r="N50">
        <f t="shared" ca="1" si="5"/>
        <v>0</v>
      </c>
    </row>
    <row r="51" spans="1:14">
      <c r="A51" s="12">
        <v>46041</v>
      </c>
      <c r="B51" s="14">
        <v>2.5412605215448782E-2</v>
      </c>
      <c r="C51" s="67">
        <f>'Parametric VAR'!$F$12</f>
        <v>-2.023068247926026E-2</v>
      </c>
      <c r="D51">
        <f t="shared" si="0"/>
        <v>0</v>
      </c>
      <c r="E51" s="67">
        <f>'Parametric VAR'!$F$13</f>
        <v>-2.8682193012943492E-2</v>
      </c>
      <c r="F51">
        <f t="shared" si="1"/>
        <v>0</v>
      </c>
      <c r="G51" s="67">
        <f>'Historical VAR'!$G$6</f>
        <v>-1.9839729167757107E-2</v>
      </c>
      <c r="H51">
        <f t="shared" si="2"/>
        <v>0</v>
      </c>
      <c r="I51" s="67">
        <f>'Historical VAR'!$G$7</f>
        <v>-3.1428916759065853E-2</v>
      </c>
      <c r="J51">
        <f t="shared" si="3"/>
        <v>0</v>
      </c>
      <c r="K51" s="67">
        <f ca="1">'Monte Carlo Stimulation'!$I$8</f>
        <v>-2.1559270710709389E-2</v>
      </c>
      <c r="L51">
        <f t="shared" ca="1" si="4"/>
        <v>0</v>
      </c>
      <c r="M51" s="67">
        <f ca="1">'Monte Carlo Stimulation'!$I$9</f>
        <v>-2.919314405717207E-2</v>
      </c>
      <c r="N51">
        <f t="shared" ca="1" si="5"/>
        <v>0</v>
      </c>
    </row>
    <row r="52" spans="1:14">
      <c r="A52" s="12">
        <v>46038</v>
      </c>
      <c r="B52" s="14">
        <v>1.6943040152950068E-3</v>
      </c>
      <c r="C52" s="67">
        <f>'Parametric VAR'!$F$12</f>
        <v>-2.023068247926026E-2</v>
      </c>
      <c r="D52">
        <f t="shared" si="0"/>
        <v>0</v>
      </c>
      <c r="E52" s="67">
        <f>'Parametric VAR'!$F$13</f>
        <v>-2.8682193012943492E-2</v>
      </c>
      <c r="F52">
        <f t="shared" si="1"/>
        <v>0</v>
      </c>
      <c r="G52" s="67">
        <f>'Historical VAR'!$G$6</f>
        <v>-1.9839729167757107E-2</v>
      </c>
      <c r="H52">
        <f t="shared" si="2"/>
        <v>0</v>
      </c>
      <c r="I52" s="67">
        <f>'Historical VAR'!$G$7</f>
        <v>-3.1428916759065853E-2</v>
      </c>
      <c r="J52">
        <f t="shared" si="3"/>
        <v>0</v>
      </c>
      <c r="K52" s="67">
        <f ca="1">'Monte Carlo Stimulation'!$I$8</f>
        <v>-2.1559270710709389E-2</v>
      </c>
      <c r="L52">
        <f t="shared" ca="1" si="4"/>
        <v>0</v>
      </c>
      <c r="M52" s="67">
        <f ca="1">'Monte Carlo Stimulation'!$I$9</f>
        <v>-2.919314405717207E-2</v>
      </c>
      <c r="N52">
        <f t="shared" ca="1" si="5"/>
        <v>0</v>
      </c>
    </row>
    <row r="53" spans="1:14">
      <c r="A53" s="12">
        <v>46036</v>
      </c>
      <c r="B53" s="14">
        <v>1.7280848475854899E-2</v>
      </c>
      <c r="C53" s="67">
        <f>'Parametric VAR'!$F$12</f>
        <v>-2.023068247926026E-2</v>
      </c>
      <c r="D53">
        <f t="shared" si="0"/>
        <v>0</v>
      </c>
      <c r="E53" s="67">
        <f>'Parametric VAR'!$F$13</f>
        <v>-2.8682193012943492E-2</v>
      </c>
      <c r="F53">
        <f t="shared" si="1"/>
        <v>0</v>
      </c>
      <c r="G53" s="67">
        <f>'Historical VAR'!$G$6</f>
        <v>-1.9839729167757107E-2</v>
      </c>
      <c r="H53">
        <f t="shared" si="2"/>
        <v>0</v>
      </c>
      <c r="I53" s="67">
        <f>'Historical VAR'!$G$7</f>
        <v>-3.1428916759065853E-2</v>
      </c>
      <c r="J53">
        <f t="shared" si="3"/>
        <v>0</v>
      </c>
      <c r="K53" s="67">
        <f ca="1">'Monte Carlo Stimulation'!$I$8</f>
        <v>-2.1559270710709389E-2</v>
      </c>
      <c r="L53">
        <f t="shared" ca="1" si="4"/>
        <v>0</v>
      </c>
      <c r="M53" s="67">
        <f ca="1">'Monte Carlo Stimulation'!$I$9</f>
        <v>-2.919314405717207E-2</v>
      </c>
      <c r="N53">
        <f t="shared" ca="1" si="5"/>
        <v>0</v>
      </c>
    </row>
    <row r="54" spans="1:14">
      <c r="A54" s="12">
        <v>46035</v>
      </c>
      <c r="B54" s="14">
        <v>1.5766864181550912E-2</v>
      </c>
      <c r="C54" s="67">
        <f>'Parametric VAR'!$F$12</f>
        <v>-2.023068247926026E-2</v>
      </c>
      <c r="D54">
        <f t="shared" si="0"/>
        <v>0</v>
      </c>
      <c r="E54" s="67">
        <f>'Parametric VAR'!$F$13</f>
        <v>-2.8682193012943492E-2</v>
      </c>
      <c r="F54">
        <f t="shared" si="1"/>
        <v>0</v>
      </c>
      <c r="G54" s="67">
        <f>'Historical VAR'!$G$6</f>
        <v>-1.9839729167757107E-2</v>
      </c>
      <c r="H54">
        <f t="shared" si="2"/>
        <v>0</v>
      </c>
      <c r="I54" s="67">
        <f>'Historical VAR'!$G$7</f>
        <v>-3.1428916759065853E-2</v>
      </c>
      <c r="J54">
        <f t="shared" si="3"/>
        <v>0</v>
      </c>
      <c r="K54" s="67">
        <f ca="1">'Monte Carlo Stimulation'!$I$8</f>
        <v>-2.1559270710709389E-2</v>
      </c>
      <c r="L54">
        <f t="shared" ca="1" si="4"/>
        <v>0</v>
      </c>
      <c r="M54" s="67">
        <f ca="1">'Monte Carlo Stimulation'!$I$9</f>
        <v>-2.919314405717207E-2</v>
      </c>
      <c r="N54">
        <f t="shared" ca="1" si="5"/>
        <v>0</v>
      </c>
    </row>
    <row r="55" spans="1:14">
      <c r="A55" s="12">
        <v>46034</v>
      </c>
      <c r="B55" s="14">
        <v>-1.3157332708209671E-3</v>
      </c>
      <c r="C55" s="67">
        <f>'Parametric VAR'!$F$12</f>
        <v>-2.023068247926026E-2</v>
      </c>
      <c r="D55">
        <f t="shared" si="0"/>
        <v>0</v>
      </c>
      <c r="E55" s="67">
        <f>'Parametric VAR'!$F$13</f>
        <v>-2.8682193012943492E-2</v>
      </c>
      <c r="F55">
        <f t="shared" si="1"/>
        <v>0</v>
      </c>
      <c r="G55" s="67">
        <f>'Historical VAR'!$G$6</f>
        <v>-1.9839729167757107E-2</v>
      </c>
      <c r="H55">
        <f t="shared" si="2"/>
        <v>0</v>
      </c>
      <c r="I55" s="67">
        <f>'Historical VAR'!$G$7</f>
        <v>-3.1428916759065853E-2</v>
      </c>
      <c r="J55">
        <f t="shared" si="3"/>
        <v>0</v>
      </c>
      <c r="K55" s="67">
        <f ca="1">'Monte Carlo Stimulation'!$I$8</f>
        <v>-2.1559270710709389E-2</v>
      </c>
      <c r="L55">
        <f t="shared" ca="1" si="4"/>
        <v>0</v>
      </c>
      <c r="M55" s="67">
        <f ca="1">'Monte Carlo Stimulation'!$I$9</f>
        <v>-2.919314405717207E-2</v>
      </c>
      <c r="N55">
        <f t="shared" ca="1" si="5"/>
        <v>0</v>
      </c>
    </row>
    <row r="56" spans="1:14">
      <c r="A56" s="12">
        <v>46031</v>
      </c>
      <c r="B56" s="14">
        <v>-1.5863030775305074E-2</v>
      </c>
      <c r="C56" s="67">
        <f>'Parametric VAR'!$F$12</f>
        <v>-2.023068247926026E-2</v>
      </c>
      <c r="D56">
        <f t="shared" si="0"/>
        <v>0</v>
      </c>
      <c r="E56" s="67">
        <f>'Parametric VAR'!$F$13</f>
        <v>-2.8682193012943492E-2</v>
      </c>
      <c r="F56">
        <f t="shared" si="1"/>
        <v>0</v>
      </c>
      <c r="G56" s="67">
        <f>'Historical VAR'!$G$6</f>
        <v>-1.9839729167757107E-2</v>
      </c>
      <c r="H56">
        <f t="shared" si="2"/>
        <v>0</v>
      </c>
      <c r="I56" s="67">
        <f>'Historical VAR'!$G$7</f>
        <v>-3.1428916759065853E-2</v>
      </c>
      <c r="J56">
        <f t="shared" si="3"/>
        <v>0</v>
      </c>
      <c r="K56" s="67">
        <f ca="1">'Monte Carlo Stimulation'!$I$8</f>
        <v>-2.1559270710709389E-2</v>
      </c>
      <c r="L56">
        <f t="shared" ca="1" si="4"/>
        <v>0</v>
      </c>
      <c r="M56" s="67">
        <f ca="1">'Monte Carlo Stimulation'!$I$9</f>
        <v>-2.919314405717207E-2</v>
      </c>
      <c r="N56">
        <f t="shared" ca="1" si="5"/>
        <v>0</v>
      </c>
    </row>
    <row r="57" spans="1:14">
      <c r="A57" s="12">
        <v>46030</v>
      </c>
      <c r="B57" s="14">
        <v>-6.7859298713810389E-3</v>
      </c>
      <c r="C57" s="67">
        <f>'Parametric VAR'!$F$12</f>
        <v>-2.023068247926026E-2</v>
      </c>
      <c r="D57">
        <f t="shared" si="0"/>
        <v>0</v>
      </c>
      <c r="E57" s="67">
        <f>'Parametric VAR'!$F$13</f>
        <v>-2.8682193012943492E-2</v>
      </c>
      <c r="F57">
        <f t="shared" si="1"/>
        <v>0</v>
      </c>
      <c r="G57" s="67">
        <f>'Historical VAR'!$G$6</f>
        <v>-1.9839729167757107E-2</v>
      </c>
      <c r="H57">
        <f t="shared" si="2"/>
        <v>0</v>
      </c>
      <c r="I57" s="67">
        <f>'Historical VAR'!$G$7</f>
        <v>-3.1428916759065853E-2</v>
      </c>
      <c r="J57">
        <f t="shared" si="3"/>
        <v>0</v>
      </c>
      <c r="K57" s="67">
        <f ca="1">'Monte Carlo Stimulation'!$I$8</f>
        <v>-2.1559270710709389E-2</v>
      </c>
      <c r="L57">
        <f t="shared" ca="1" si="4"/>
        <v>0</v>
      </c>
      <c r="M57" s="67">
        <f ca="1">'Monte Carlo Stimulation'!$I$9</f>
        <v>-2.919314405717207E-2</v>
      </c>
      <c r="N57">
        <f t="shared" ca="1" si="5"/>
        <v>0</v>
      </c>
    </row>
    <row r="58" spans="1:14">
      <c r="A58" s="12">
        <v>46029</v>
      </c>
      <c r="B58" s="14">
        <v>8.9035546389456387E-3</v>
      </c>
      <c r="C58" s="67">
        <f>'Parametric VAR'!$F$12</f>
        <v>-2.023068247926026E-2</v>
      </c>
      <c r="D58">
        <f t="shared" si="0"/>
        <v>0</v>
      </c>
      <c r="E58" s="67">
        <f>'Parametric VAR'!$F$13</f>
        <v>-2.8682193012943492E-2</v>
      </c>
      <c r="F58">
        <f t="shared" si="1"/>
        <v>0</v>
      </c>
      <c r="G58" s="67">
        <f>'Historical VAR'!$G$6</f>
        <v>-1.9839729167757107E-2</v>
      </c>
      <c r="H58">
        <f t="shared" si="2"/>
        <v>0</v>
      </c>
      <c r="I58" s="67">
        <f>'Historical VAR'!$G$7</f>
        <v>-3.1428916759065853E-2</v>
      </c>
      <c r="J58">
        <f t="shared" si="3"/>
        <v>0</v>
      </c>
      <c r="K58" s="67">
        <f ca="1">'Monte Carlo Stimulation'!$I$8</f>
        <v>-2.1559270710709389E-2</v>
      </c>
      <c r="L58">
        <f t="shared" ca="1" si="4"/>
        <v>0</v>
      </c>
      <c r="M58" s="67">
        <f ca="1">'Monte Carlo Stimulation'!$I$9</f>
        <v>-2.919314405717207E-2</v>
      </c>
      <c r="N58">
        <f t="shared" ca="1" si="5"/>
        <v>0</v>
      </c>
    </row>
    <row r="59" spans="1:14">
      <c r="A59" s="12">
        <v>46028</v>
      </c>
      <c r="B59" s="14">
        <v>9.6952734811688052E-3</v>
      </c>
      <c r="C59" s="67">
        <f>'Parametric VAR'!$F$12</f>
        <v>-2.023068247926026E-2</v>
      </c>
      <c r="D59">
        <f t="shared" si="0"/>
        <v>0</v>
      </c>
      <c r="E59" s="67">
        <f>'Parametric VAR'!$F$13</f>
        <v>-2.8682193012943492E-2</v>
      </c>
      <c r="F59">
        <f t="shared" si="1"/>
        <v>0</v>
      </c>
      <c r="G59" s="67">
        <f>'Historical VAR'!$G$6</f>
        <v>-1.9839729167757107E-2</v>
      </c>
      <c r="H59">
        <f t="shared" si="2"/>
        <v>0</v>
      </c>
      <c r="I59" s="67">
        <f>'Historical VAR'!$G$7</f>
        <v>-3.1428916759065853E-2</v>
      </c>
      <c r="J59">
        <f t="shared" si="3"/>
        <v>0</v>
      </c>
      <c r="K59" s="67">
        <f ca="1">'Monte Carlo Stimulation'!$I$8</f>
        <v>-2.1559270710709389E-2</v>
      </c>
      <c r="L59">
        <f t="shared" ca="1" si="4"/>
        <v>0</v>
      </c>
      <c r="M59" s="67">
        <f ca="1">'Monte Carlo Stimulation'!$I$9</f>
        <v>-2.919314405717207E-2</v>
      </c>
      <c r="N59">
        <f t="shared" ca="1" si="5"/>
        <v>0</v>
      </c>
    </row>
    <row r="60" spans="1:14">
      <c r="A60" s="12">
        <v>46027</v>
      </c>
      <c r="B60" s="14">
        <v>-7.0613586319035818E-3</v>
      </c>
      <c r="C60" s="67">
        <f>'Parametric VAR'!$F$12</f>
        <v>-2.023068247926026E-2</v>
      </c>
      <c r="D60">
        <f t="shared" si="0"/>
        <v>0</v>
      </c>
      <c r="E60" s="67">
        <f>'Parametric VAR'!$F$13</f>
        <v>-2.8682193012943492E-2</v>
      </c>
      <c r="F60">
        <f t="shared" si="1"/>
        <v>0</v>
      </c>
      <c r="G60" s="67">
        <f>'Historical VAR'!$G$6</f>
        <v>-1.9839729167757107E-2</v>
      </c>
      <c r="H60">
        <f t="shared" si="2"/>
        <v>0</v>
      </c>
      <c r="I60" s="67">
        <f>'Historical VAR'!$G$7</f>
        <v>-3.1428916759065853E-2</v>
      </c>
      <c r="J60">
        <f t="shared" si="3"/>
        <v>0</v>
      </c>
      <c r="K60" s="67">
        <f ca="1">'Monte Carlo Stimulation'!$I$8</f>
        <v>-2.1559270710709389E-2</v>
      </c>
      <c r="L60">
        <f t="shared" ca="1" si="4"/>
        <v>0</v>
      </c>
      <c r="M60" s="67">
        <f ca="1">'Monte Carlo Stimulation'!$I$9</f>
        <v>-2.919314405717207E-2</v>
      </c>
      <c r="N60">
        <f t="shared" ca="1" si="5"/>
        <v>0</v>
      </c>
    </row>
    <row r="61" spans="1:14">
      <c r="A61" s="12">
        <v>46024</v>
      </c>
      <c r="B61" s="14">
        <v>-1.1699853652379648E-2</v>
      </c>
      <c r="C61" s="67">
        <f>'Parametric VAR'!$F$12</f>
        <v>-2.023068247926026E-2</v>
      </c>
      <c r="D61">
        <f t="shared" si="0"/>
        <v>0</v>
      </c>
      <c r="E61" s="67">
        <f>'Parametric VAR'!$F$13</f>
        <v>-2.8682193012943492E-2</v>
      </c>
      <c r="F61">
        <f t="shared" si="1"/>
        <v>0</v>
      </c>
      <c r="G61" s="67">
        <f>'Historical VAR'!$G$6</f>
        <v>-1.9839729167757107E-2</v>
      </c>
      <c r="H61">
        <f t="shared" si="2"/>
        <v>0</v>
      </c>
      <c r="I61" s="67">
        <f>'Historical VAR'!$G$7</f>
        <v>-3.1428916759065853E-2</v>
      </c>
      <c r="J61">
        <f t="shared" si="3"/>
        <v>0</v>
      </c>
      <c r="K61" s="67">
        <f ca="1">'Monte Carlo Stimulation'!$I$8</f>
        <v>-2.1559270710709389E-2</v>
      </c>
      <c r="L61">
        <f t="shared" ca="1" si="4"/>
        <v>0</v>
      </c>
      <c r="M61" s="67">
        <f ca="1">'Monte Carlo Stimulation'!$I$9</f>
        <v>-2.919314405717207E-2</v>
      </c>
      <c r="N61">
        <f t="shared" ca="1" si="5"/>
        <v>0</v>
      </c>
    </row>
    <row r="62" spans="1:14">
      <c r="A62" s="12">
        <v>46023</v>
      </c>
      <c r="B62" s="14">
        <v>-3.2859299314173798E-3</v>
      </c>
      <c r="C62" s="67">
        <f>'Parametric VAR'!$F$12</f>
        <v>-2.023068247926026E-2</v>
      </c>
      <c r="D62">
        <f t="shared" si="0"/>
        <v>0</v>
      </c>
      <c r="E62" s="67">
        <f>'Parametric VAR'!$F$13</f>
        <v>-2.8682193012943492E-2</v>
      </c>
      <c r="F62">
        <f t="shared" si="1"/>
        <v>0</v>
      </c>
      <c r="G62" s="67">
        <f>'Historical VAR'!$G$6</f>
        <v>-1.9839729167757107E-2</v>
      </c>
      <c r="H62">
        <f t="shared" si="2"/>
        <v>0</v>
      </c>
      <c r="I62" s="67">
        <f>'Historical VAR'!$G$7</f>
        <v>-3.1428916759065853E-2</v>
      </c>
      <c r="J62">
        <f t="shared" si="3"/>
        <v>0</v>
      </c>
      <c r="K62" s="67">
        <f ca="1">'Monte Carlo Stimulation'!$I$8</f>
        <v>-2.1559270710709389E-2</v>
      </c>
      <c r="L62">
        <f t="shared" ca="1" si="4"/>
        <v>0</v>
      </c>
      <c r="M62" s="67">
        <f ca="1">'Monte Carlo Stimulation'!$I$9</f>
        <v>-2.919314405717207E-2</v>
      </c>
      <c r="N62">
        <f t="shared" ca="1" si="5"/>
        <v>0</v>
      </c>
    </row>
    <row r="63" spans="1:14">
      <c r="A63" s="12">
        <v>46022</v>
      </c>
      <c r="B63" s="14">
        <v>3.9584052005237442E-3</v>
      </c>
      <c r="C63" s="67">
        <f>'Parametric VAR'!$F$12</f>
        <v>-2.023068247926026E-2</v>
      </c>
      <c r="D63">
        <f t="shared" si="0"/>
        <v>0</v>
      </c>
      <c r="E63" s="67">
        <f>'Parametric VAR'!$F$13</f>
        <v>-2.8682193012943492E-2</v>
      </c>
      <c r="F63">
        <f t="shared" si="1"/>
        <v>0</v>
      </c>
      <c r="G63" s="67">
        <f>'Historical VAR'!$G$6</f>
        <v>-1.9839729167757107E-2</v>
      </c>
      <c r="H63">
        <f t="shared" si="2"/>
        <v>0</v>
      </c>
      <c r="I63" s="67">
        <f>'Historical VAR'!$G$7</f>
        <v>-3.1428916759065853E-2</v>
      </c>
      <c r="J63">
        <f t="shared" si="3"/>
        <v>0</v>
      </c>
      <c r="K63" s="67">
        <f ca="1">'Monte Carlo Stimulation'!$I$8</f>
        <v>-2.1559270710709389E-2</v>
      </c>
      <c r="L63">
        <f t="shared" ca="1" si="4"/>
        <v>0</v>
      </c>
      <c r="M63" s="67">
        <f ca="1">'Monte Carlo Stimulation'!$I$9</f>
        <v>-2.919314405717207E-2</v>
      </c>
      <c r="N63">
        <f t="shared" ca="1" si="5"/>
        <v>0</v>
      </c>
    </row>
    <row r="64" spans="1:14">
      <c r="A64" s="12">
        <v>46021</v>
      </c>
      <c r="B64" s="14">
        <v>-6.6120062135432379E-3</v>
      </c>
      <c r="C64" s="67">
        <f>'Parametric VAR'!$F$12</f>
        <v>-2.023068247926026E-2</v>
      </c>
      <c r="D64">
        <f t="shared" si="0"/>
        <v>0</v>
      </c>
      <c r="E64" s="67">
        <f>'Parametric VAR'!$F$13</f>
        <v>-2.8682193012943492E-2</v>
      </c>
      <c r="F64">
        <f t="shared" si="1"/>
        <v>0</v>
      </c>
      <c r="G64" s="67">
        <f>'Historical VAR'!$G$6</f>
        <v>-1.9839729167757107E-2</v>
      </c>
      <c r="H64">
        <f t="shared" si="2"/>
        <v>0</v>
      </c>
      <c r="I64" s="67">
        <f>'Historical VAR'!$G$7</f>
        <v>-3.1428916759065853E-2</v>
      </c>
      <c r="J64">
        <f t="shared" si="3"/>
        <v>0</v>
      </c>
      <c r="K64" s="67">
        <f ca="1">'Monte Carlo Stimulation'!$I$8</f>
        <v>-2.1559270710709389E-2</v>
      </c>
      <c r="L64">
        <f t="shared" ca="1" si="4"/>
        <v>0</v>
      </c>
      <c r="M64" s="67">
        <f ca="1">'Monte Carlo Stimulation'!$I$9</f>
        <v>-2.919314405717207E-2</v>
      </c>
      <c r="N64">
        <f t="shared" ca="1" si="5"/>
        <v>0</v>
      </c>
    </row>
    <row r="65" spans="1:14">
      <c r="A65" s="12">
        <v>46020</v>
      </c>
      <c r="B65" s="14">
        <v>9.6899842639630376E-3</v>
      </c>
      <c r="C65" s="67">
        <f>'Parametric VAR'!$F$12</f>
        <v>-2.023068247926026E-2</v>
      </c>
      <c r="D65">
        <f t="shared" si="0"/>
        <v>0</v>
      </c>
      <c r="E65" s="67">
        <f>'Parametric VAR'!$F$13</f>
        <v>-2.8682193012943492E-2</v>
      </c>
      <c r="F65">
        <f t="shared" si="1"/>
        <v>0</v>
      </c>
      <c r="G65" s="67">
        <f>'Historical VAR'!$G$6</f>
        <v>-1.9839729167757107E-2</v>
      </c>
      <c r="H65">
        <f t="shared" si="2"/>
        <v>0</v>
      </c>
      <c r="I65" s="67">
        <f>'Historical VAR'!$G$7</f>
        <v>-3.1428916759065853E-2</v>
      </c>
      <c r="J65">
        <f t="shared" si="3"/>
        <v>0</v>
      </c>
      <c r="K65" s="67">
        <f ca="1">'Monte Carlo Stimulation'!$I$8</f>
        <v>-2.1559270710709389E-2</v>
      </c>
      <c r="L65">
        <f t="shared" ca="1" si="4"/>
        <v>0</v>
      </c>
      <c r="M65" s="67">
        <f ca="1">'Monte Carlo Stimulation'!$I$9</f>
        <v>-2.919314405717207E-2</v>
      </c>
      <c r="N65">
        <f t="shared" ca="1" si="5"/>
        <v>0</v>
      </c>
    </row>
    <row r="66" spans="1:14">
      <c r="A66" s="12">
        <v>46017</v>
      </c>
      <c r="B66" s="14">
        <v>-7.9535582180469792E-3</v>
      </c>
      <c r="C66" s="67">
        <f>'Parametric VAR'!$F$12</f>
        <v>-2.023068247926026E-2</v>
      </c>
      <c r="D66">
        <f t="shared" si="0"/>
        <v>0</v>
      </c>
      <c r="E66" s="67">
        <f>'Parametric VAR'!$F$13</f>
        <v>-2.8682193012943492E-2</v>
      </c>
      <c r="F66">
        <f t="shared" si="1"/>
        <v>0</v>
      </c>
      <c r="G66" s="67">
        <f>'Historical VAR'!$G$6</f>
        <v>-1.9839729167757107E-2</v>
      </c>
      <c r="H66">
        <f t="shared" si="2"/>
        <v>0</v>
      </c>
      <c r="I66" s="67">
        <f>'Historical VAR'!$G$7</f>
        <v>-3.1428916759065853E-2</v>
      </c>
      <c r="J66">
        <f t="shared" si="3"/>
        <v>0</v>
      </c>
      <c r="K66" s="67">
        <f ca="1">'Monte Carlo Stimulation'!$I$8</f>
        <v>-2.1559270710709389E-2</v>
      </c>
      <c r="L66">
        <f t="shared" ca="1" si="4"/>
        <v>0</v>
      </c>
      <c r="M66" s="67">
        <f ca="1">'Monte Carlo Stimulation'!$I$9</f>
        <v>-2.919314405717207E-2</v>
      </c>
      <c r="N66">
        <f t="shared" ca="1" si="5"/>
        <v>0</v>
      </c>
    </row>
    <row r="67" spans="1:14">
      <c r="A67" s="12">
        <v>46015</v>
      </c>
      <c r="B67" s="14">
        <v>1.5437926284360302E-2</v>
      </c>
      <c r="C67" s="67">
        <f>'Parametric VAR'!$F$12</f>
        <v>-2.023068247926026E-2</v>
      </c>
      <c r="D67">
        <f t="shared" si="0"/>
        <v>0</v>
      </c>
      <c r="E67" s="67">
        <f>'Parametric VAR'!$F$13</f>
        <v>-2.8682193012943492E-2</v>
      </c>
      <c r="F67">
        <f t="shared" si="1"/>
        <v>0</v>
      </c>
      <c r="G67" s="67">
        <f>'Historical VAR'!$G$6</f>
        <v>-1.9839729167757107E-2</v>
      </c>
      <c r="H67">
        <f t="shared" si="2"/>
        <v>0</v>
      </c>
      <c r="I67" s="67">
        <f>'Historical VAR'!$G$7</f>
        <v>-3.1428916759065853E-2</v>
      </c>
      <c r="J67">
        <f t="shared" si="3"/>
        <v>0</v>
      </c>
      <c r="K67" s="67">
        <f ca="1">'Monte Carlo Stimulation'!$I$8</f>
        <v>-2.1559270710709389E-2</v>
      </c>
      <c r="L67">
        <f t="shared" ca="1" si="4"/>
        <v>0</v>
      </c>
      <c r="M67" s="67">
        <f ca="1">'Monte Carlo Stimulation'!$I$9</f>
        <v>-2.919314405717207E-2</v>
      </c>
      <c r="N67">
        <f t="shared" ca="1" si="5"/>
        <v>0</v>
      </c>
    </row>
    <row r="68" spans="1:14">
      <c r="A68" s="12">
        <v>46014</v>
      </c>
      <c r="B68" s="14">
        <v>-9.2266990791691438E-4</v>
      </c>
      <c r="C68" s="67">
        <f>'Parametric VAR'!$F$12</f>
        <v>-2.023068247926026E-2</v>
      </c>
      <c r="D68">
        <f t="shared" ref="D68:D131" si="9">IF(B68&lt;C68,1,0)</f>
        <v>0</v>
      </c>
      <c r="E68" s="67">
        <f>'Parametric VAR'!$F$13</f>
        <v>-2.8682193012943492E-2</v>
      </c>
      <c r="F68">
        <f t="shared" ref="F68:F131" si="10">IF(B68&lt;E68,1,0)</f>
        <v>0</v>
      </c>
      <c r="G68" s="67">
        <f>'Historical VAR'!$G$6</f>
        <v>-1.9839729167757107E-2</v>
      </c>
      <c r="H68">
        <f t="shared" ref="H68:H131" si="11">IF(B68&lt;G68,1,0)</f>
        <v>0</v>
      </c>
      <c r="I68" s="67">
        <f>'Historical VAR'!$G$7</f>
        <v>-3.1428916759065853E-2</v>
      </c>
      <c r="J68">
        <f t="shared" ref="J68:J131" si="12">IF(B68&lt;I68,1,0)</f>
        <v>0</v>
      </c>
      <c r="K68" s="67">
        <f ca="1">'Monte Carlo Stimulation'!$I$8</f>
        <v>-2.1559270710709389E-2</v>
      </c>
      <c r="L68">
        <f t="shared" ref="L68:L131" ca="1" si="13">IF(B68&lt;K68,1,0)</f>
        <v>0</v>
      </c>
      <c r="M68" s="67">
        <f ca="1">'Monte Carlo Stimulation'!$I$9</f>
        <v>-2.919314405717207E-2</v>
      </c>
      <c r="N68">
        <f t="shared" ref="N68:N131" ca="1" si="14">IF(B68&lt;M68,1,0)</f>
        <v>0</v>
      </c>
    </row>
    <row r="69" spans="1:14">
      <c r="A69" s="12">
        <v>46013</v>
      </c>
      <c r="B69" s="14">
        <v>-6.4482162693916016E-4</v>
      </c>
      <c r="C69" s="67">
        <f>'Parametric VAR'!$F$12</f>
        <v>-2.023068247926026E-2</v>
      </c>
      <c r="D69">
        <f t="shared" si="9"/>
        <v>0</v>
      </c>
      <c r="E69" s="67">
        <f>'Parametric VAR'!$F$13</f>
        <v>-2.8682193012943492E-2</v>
      </c>
      <c r="F69">
        <f t="shared" si="10"/>
        <v>0</v>
      </c>
      <c r="G69" s="67">
        <f>'Historical VAR'!$G$6</f>
        <v>-1.9839729167757107E-2</v>
      </c>
      <c r="H69">
        <f t="shared" si="11"/>
        <v>0</v>
      </c>
      <c r="I69" s="67">
        <f>'Historical VAR'!$G$7</f>
        <v>-3.1428916759065853E-2</v>
      </c>
      <c r="J69">
        <f t="shared" si="12"/>
        <v>0</v>
      </c>
      <c r="K69" s="67">
        <f ca="1">'Monte Carlo Stimulation'!$I$8</f>
        <v>-2.1559270710709389E-2</v>
      </c>
      <c r="L69">
        <f t="shared" ca="1" si="13"/>
        <v>0</v>
      </c>
      <c r="M69" s="67">
        <f ca="1">'Monte Carlo Stimulation'!$I$9</f>
        <v>-2.919314405717207E-2</v>
      </c>
      <c r="N69">
        <f t="shared" ca="1" si="14"/>
        <v>0</v>
      </c>
    </row>
    <row r="70" spans="1:14">
      <c r="A70" s="12">
        <v>46010</v>
      </c>
      <c r="B70" s="14">
        <v>-3.6060263875978414E-3</v>
      </c>
      <c r="C70" s="67">
        <f>'Parametric VAR'!$F$12</f>
        <v>-2.023068247926026E-2</v>
      </c>
      <c r="D70">
        <f t="shared" si="9"/>
        <v>0</v>
      </c>
      <c r="E70" s="67">
        <f>'Parametric VAR'!$F$13</f>
        <v>-2.8682193012943492E-2</v>
      </c>
      <c r="F70">
        <f t="shared" si="10"/>
        <v>0</v>
      </c>
      <c r="G70" s="67">
        <f>'Historical VAR'!$G$6</f>
        <v>-1.9839729167757107E-2</v>
      </c>
      <c r="H70">
        <f t="shared" si="11"/>
        <v>0</v>
      </c>
      <c r="I70" s="67">
        <f>'Historical VAR'!$G$7</f>
        <v>-3.1428916759065853E-2</v>
      </c>
      <c r="J70">
        <f t="shared" si="12"/>
        <v>0</v>
      </c>
      <c r="K70" s="67">
        <f ca="1">'Monte Carlo Stimulation'!$I$8</f>
        <v>-2.1559270710709389E-2</v>
      </c>
      <c r="L70">
        <f t="shared" ca="1" si="13"/>
        <v>0</v>
      </c>
      <c r="M70" s="67">
        <f ca="1">'Monte Carlo Stimulation'!$I$9</f>
        <v>-2.919314405717207E-2</v>
      </c>
      <c r="N70">
        <f t="shared" ca="1" si="14"/>
        <v>0</v>
      </c>
    </row>
    <row r="71" spans="1:14">
      <c r="A71" s="12">
        <v>46009</v>
      </c>
      <c r="B71" s="14">
        <v>-1.2057141521611197E-2</v>
      </c>
      <c r="C71" s="67">
        <f>'Parametric VAR'!$F$12</f>
        <v>-2.023068247926026E-2</v>
      </c>
      <c r="D71">
        <f t="shared" si="9"/>
        <v>0</v>
      </c>
      <c r="E71" s="67">
        <f>'Parametric VAR'!$F$13</f>
        <v>-2.8682193012943492E-2</v>
      </c>
      <c r="F71">
        <f t="shared" si="10"/>
        <v>0</v>
      </c>
      <c r="G71" s="67">
        <f>'Historical VAR'!$G$6</f>
        <v>-1.9839729167757107E-2</v>
      </c>
      <c r="H71">
        <f t="shared" si="11"/>
        <v>0</v>
      </c>
      <c r="I71" s="67">
        <f>'Historical VAR'!$G$7</f>
        <v>-3.1428916759065853E-2</v>
      </c>
      <c r="J71">
        <f t="shared" si="12"/>
        <v>0</v>
      </c>
      <c r="K71" s="67">
        <f ca="1">'Monte Carlo Stimulation'!$I$8</f>
        <v>-2.1559270710709389E-2</v>
      </c>
      <c r="L71">
        <f t="shared" ca="1" si="13"/>
        <v>0</v>
      </c>
      <c r="M71" s="67">
        <f ca="1">'Monte Carlo Stimulation'!$I$9</f>
        <v>-2.919314405717207E-2</v>
      </c>
      <c r="N71">
        <f t="shared" ca="1" si="14"/>
        <v>0</v>
      </c>
    </row>
    <row r="72" spans="1:14">
      <c r="A72" s="12">
        <v>46008</v>
      </c>
      <c r="B72" s="14">
        <v>8.3506472614991306E-3</v>
      </c>
      <c r="C72" s="67">
        <f>'Parametric VAR'!$F$12</f>
        <v>-2.023068247926026E-2</v>
      </c>
      <c r="D72">
        <f t="shared" si="9"/>
        <v>0</v>
      </c>
      <c r="E72" s="67">
        <f>'Parametric VAR'!$F$13</f>
        <v>-2.8682193012943492E-2</v>
      </c>
      <c r="F72">
        <f t="shared" si="10"/>
        <v>0</v>
      </c>
      <c r="G72" s="67">
        <f>'Historical VAR'!$G$6</f>
        <v>-1.9839729167757107E-2</v>
      </c>
      <c r="H72">
        <f t="shared" si="11"/>
        <v>0</v>
      </c>
      <c r="I72" s="67">
        <f>'Historical VAR'!$G$7</f>
        <v>-3.1428916759065853E-2</v>
      </c>
      <c r="J72">
        <f t="shared" si="12"/>
        <v>0</v>
      </c>
      <c r="K72" s="67">
        <f ca="1">'Monte Carlo Stimulation'!$I$8</f>
        <v>-2.1559270710709389E-2</v>
      </c>
      <c r="L72">
        <f t="shared" ca="1" si="13"/>
        <v>0</v>
      </c>
      <c r="M72" s="67">
        <f ca="1">'Monte Carlo Stimulation'!$I$9</f>
        <v>-2.919314405717207E-2</v>
      </c>
      <c r="N72">
        <f t="shared" ca="1" si="14"/>
        <v>0</v>
      </c>
    </row>
    <row r="73" spans="1:14">
      <c r="A73" s="12">
        <v>46007</v>
      </c>
      <c r="B73" s="14">
        <v>9.3187052054012308E-3</v>
      </c>
      <c r="C73" s="67">
        <f>'Parametric VAR'!$F$12</f>
        <v>-2.023068247926026E-2</v>
      </c>
      <c r="D73">
        <f t="shared" si="9"/>
        <v>0</v>
      </c>
      <c r="E73" s="67">
        <f>'Parametric VAR'!$F$13</f>
        <v>-2.8682193012943492E-2</v>
      </c>
      <c r="F73">
        <f t="shared" si="10"/>
        <v>0</v>
      </c>
      <c r="G73" s="67">
        <f>'Historical VAR'!$G$6</f>
        <v>-1.9839729167757107E-2</v>
      </c>
      <c r="H73">
        <f t="shared" si="11"/>
        <v>0</v>
      </c>
      <c r="I73" s="67">
        <f>'Historical VAR'!$G$7</f>
        <v>-3.1428916759065853E-2</v>
      </c>
      <c r="J73">
        <f t="shared" si="12"/>
        <v>0</v>
      </c>
      <c r="K73" s="67">
        <f ca="1">'Monte Carlo Stimulation'!$I$8</f>
        <v>-2.1559270710709389E-2</v>
      </c>
      <c r="L73">
        <f t="shared" ca="1" si="13"/>
        <v>0</v>
      </c>
      <c r="M73" s="67">
        <f ca="1">'Monte Carlo Stimulation'!$I$9</f>
        <v>-2.919314405717207E-2</v>
      </c>
      <c r="N73">
        <f t="shared" ca="1" si="14"/>
        <v>0</v>
      </c>
    </row>
    <row r="74" spans="1:14">
      <c r="A74" s="12">
        <v>46006</v>
      </c>
      <c r="B74" s="14">
        <v>-1.9507018838077384E-3</v>
      </c>
      <c r="C74" s="67">
        <f>'Parametric VAR'!$F$12</f>
        <v>-2.023068247926026E-2</v>
      </c>
      <c r="D74">
        <f t="shared" si="9"/>
        <v>0</v>
      </c>
      <c r="E74" s="67">
        <f>'Parametric VAR'!$F$13</f>
        <v>-2.8682193012943492E-2</v>
      </c>
      <c r="F74">
        <f t="shared" si="10"/>
        <v>0</v>
      </c>
      <c r="G74" s="67">
        <f>'Historical VAR'!$G$6</f>
        <v>-1.9839729167757107E-2</v>
      </c>
      <c r="H74">
        <f t="shared" si="11"/>
        <v>0</v>
      </c>
      <c r="I74" s="67">
        <f>'Historical VAR'!$G$7</f>
        <v>-3.1428916759065853E-2</v>
      </c>
      <c r="J74">
        <f t="shared" si="12"/>
        <v>0</v>
      </c>
      <c r="K74" s="67">
        <f ca="1">'Monte Carlo Stimulation'!$I$8</f>
        <v>-2.1559270710709389E-2</v>
      </c>
      <c r="L74">
        <f t="shared" ca="1" si="13"/>
        <v>0</v>
      </c>
      <c r="M74" s="67">
        <f ca="1">'Monte Carlo Stimulation'!$I$9</f>
        <v>-2.919314405717207E-2</v>
      </c>
      <c r="N74">
        <f t="shared" ca="1" si="14"/>
        <v>0</v>
      </c>
    </row>
    <row r="75" spans="1:14">
      <c r="A75" s="12">
        <v>46003</v>
      </c>
      <c r="B75" s="14">
        <v>-4.8118496796636786E-3</v>
      </c>
      <c r="C75" s="67">
        <f>'Parametric VAR'!$F$12</f>
        <v>-2.023068247926026E-2</v>
      </c>
      <c r="D75">
        <f t="shared" si="9"/>
        <v>0</v>
      </c>
      <c r="E75" s="67">
        <f>'Parametric VAR'!$F$13</f>
        <v>-2.8682193012943492E-2</v>
      </c>
      <c r="F75">
        <f t="shared" si="10"/>
        <v>0</v>
      </c>
      <c r="G75" s="67">
        <f>'Historical VAR'!$G$6</f>
        <v>-1.9839729167757107E-2</v>
      </c>
      <c r="H75">
        <f t="shared" si="11"/>
        <v>0</v>
      </c>
      <c r="I75" s="67">
        <f>'Historical VAR'!$G$7</f>
        <v>-3.1428916759065853E-2</v>
      </c>
      <c r="J75">
        <f t="shared" si="12"/>
        <v>0</v>
      </c>
      <c r="K75" s="67">
        <f ca="1">'Monte Carlo Stimulation'!$I$8</f>
        <v>-2.1559270710709389E-2</v>
      </c>
      <c r="L75">
        <f t="shared" ca="1" si="13"/>
        <v>0</v>
      </c>
      <c r="M75" s="67">
        <f ca="1">'Monte Carlo Stimulation'!$I$9</f>
        <v>-2.919314405717207E-2</v>
      </c>
      <c r="N75">
        <f t="shared" ca="1" si="14"/>
        <v>0</v>
      </c>
    </row>
    <row r="76" spans="1:14">
      <c r="A76" s="12">
        <v>46002</v>
      </c>
      <c r="B76" s="14">
        <v>2.4208953999249427E-3</v>
      </c>
      <c r="C76" s="67">
        <f>'Parametric VAR'!$F$12</f>
        <v>-2.023068247926026E-2</v>
      </c>
      <c r="D76">
        <f t="shared" si="9"/>
        <v>0</v>
      </c>
      <c r="E76" s="67">
        <f>'Parametric VAR'!$F$13</f>
        <v>-2.8682193012943492E-2</v>
      </c>
      <c r="F76">
        <f t="shared" si="10"/>
        <v>0</v>
      </c>
      <c r="G76" s="67">
        <f>'Historical VAR'!$G$6</f>
        <v>-1.9839729167757107E-2</v>
      </c>
      <c r="H76">
        <f t="shared" si="11"/>
        <v>0</v>
      </c>
      <c r="I76" s="67">
        <f>'Historical VAR'!$G$7</f>
        <v>-3.1428916759065853E-2</v>
      </c>
      <c r="J76">
        <f t="shared" si="12"/>
        <v>0</v>
      </c>
      <c r="K76" s="67">
        <f ca="1">'Monte Carlo Stimulation'!$I$8</f>
        <v>-2.1559270710709389E-2</v>
      </c>
      <c r="L76">
        <f t="shared" ca="1" si="13"/>
        <v>0</v>
      </c>
      <c r="M76" s="67">
        <f ca="1">'Monte Carlo Stimulation'!$I$9</f>
        <v>-2.919314405717207E-2</v>
      </c>
      <c r="N76">
        <f t="shared" ca="1" si="14"/>
        <v>0</v>
      </c>
    </row>
    <row r="77" spans="1:14">
      <c r="A77" s="12">
        <v>46001</v>
      </c>
      <c r="B77" s="14">
        <v>8.9884455680551509E-3</v>
      </c>
      <c r="C77" s="67">
        <f>'Parametric VAR'!$F$12</f>
        <v>-2.023068247926026E-2</v>
      </c>
      <c r="D77">
        <f t="shared" si="9"/>
        <v>0</v>
      </c>
      <c r="E77" s="67">
        <f>'Parametric VAR'!$F$13</f>
        <v>-2.8682193012943492E-2</v>
      </c>
      <c r="F77">
        <f t="shared" si="10"/>
        <v>0</v>
      </c>
      <c r="G77" s="67">
        <f>'Historical VAR'!$G$6</f>
        <v>-1.9839729167757107E-2</v>
      </c>
      <c r="H77">
        <f t="shared" si="11"/>
        <v>0</v>
      </c>
      <c r="I77" s="67">
        <f>'Historical VAR'!$G$7</f>
        <v>-3.1428916759065853E-2</v>
      </c>
      <c r="J77">
        <f t="shared" si="12"/>
        <v>0</v>
      </c>
      <c r="K77" s="67">
        <f ca="1">'Monte Carlo Stimulation'!$I$8</f>
        <v>-2.1559270710709389E-2</v>
      </c>
      <c r="L77">
        <f t="shared" ca="1" si="13"/>
        <v>0</v>
      </c>
      <c r="M77" s="67">
        <f ca="1">'Monte Carlo Stimulation'!$I$9</f>
        <v>-2.919314405717207E-2</v>
      </c>
      <c r="N77">
        <f t="shared" ca="1" si="14"/>
        <v>0</v>
      </c>
    </row>
    <row r="78" spans="1:14">
      <c r="A78" s="12">
        <v>46000</v>
      </c>
      <c r="B78" s="14">
        <v>-5.0428975081159531E-3</v>
      </c>
      <c r="C78" s="67">
        <f>'Parametric VAR'!$F$12</f>
        <v>-2.023068247926026E-2</v>
      </c>
      <c r="D78">
        <f t="shared" si="9"/>
        <v>0</v>
      </c>
      <c r="E78" s="67">
        <f>'Parametric VAR'!$F$13</f>
        <v>-2.8682193012943492E-2</v>
      </c>
      <c r="F78">
        <f t="shared" si="10"/>
        <v>0</v>
      </c>
      <c r="G78" s="67">
        <f>'Historical VAR'!$G$6</f>
        <v>-1.9839729167757107E-2</v>
      </c>
      <c r="H78">
        <f t="shared" si="11"/>
        <v>0</v>
      </c>
      <c r="I78" s="67">
        <f>'Historical VAR'!$G$7</f>
        <v>-3.1428916759065853E-2</v>
      </c>
      <c r="J78">
        <f t="shared" si="12"/>
        <v>0</v>
      </c>
      <c r="K78" s="67">
        <f ca="1">'Monte Carlo Stimulation'!$I$8</f>
        <v>-2.1559270710709389E-2</v>
      </c>
      <c r="L78">
        <f t="shared" ca="1" si="13"/>
        <v>0</v>
      </c>
      <c r="M78" s="67">
        <f ca="1">'Monte Carlo Stimulation'!$I$9</f>
        <v>-2.919314405717207E-2</v>
      </c>
      <c r="N78">
        <f t="shared" ca="1" si="14"/>
        <v>0</v>
      </c>
    </row>
    <row r="79" spans="1:14">
      <c r="A79" s="12">
        <v>45999</v>
      </c>
      <c r="B79" s="14">
        <v>3.1703063754339025E-2</v>
      </c>
      <c r="C79" s="67">
        <f>'Parametric VAR'!$F$12</f>
        <v>-2.023068247926026E-2</v>
      </c>
      <c r="D79">
        <f t="shared" si="9"/>
        <v>0</v>
      </c>
      <c r="E79" s="67">
        <f>'Parametric VAR'!$F$13</f>
        <v>-2.8682193012943492E-2</v>
      </c>
      <c r="F79">
        <f t="shared" si="10"/>
        <v>0</v>
      </c>
      <c r="G79" s="67">
        <f>'Historical VAR'!$G$6</f>
        <v>-1.9839729167757107E-2</v>
      </c>
      <c r="H79">
        <f t="shared" si="11"/>
        <v>0</v>
      </c>
      <c r="I79" s="67">
        <f>'Historical VAR'!$G$7</f>
        <v>-3.1428916759065853E-2</v>
      </c>
      <c r="J79">
        <f t="shared" si="12"/>
        <v>0</v>
      </c>
      <c r="K79" s="67">
        <f ca="1">'Monte Carlo Stimulation'!$I$8</f>
        <v>-2.1559270710709389E-2</v>
      </c>
      <c r="L79">
        <f t="shared" ca="1" si="13"/>
        <v>0</v>
      </c>
      <c r="M79" s="67">
        <f ca="1">'Monte Carlo Stimulation'!$I$9</f>
        <v>-2.919314405717207E-2</v>
      </c>
      <c r="N79">
        <f t="shared" ca="1" si="14"/>
        <v>0</v>
      </c>
    </row>
    <row r="80" spans="1:14">
      <c r="A80" s="12">
        <v>45996</v>
      </c>
      <c r="B80" s="14">
        <v>1.7072120857810704E-2</v>
      </c>
      <c r="C80" s="67">
        <f>'Parametric VAR'!$F$12</f>
        <v>-2.023068247926026E-2</v>
      </c>
      <c r="D80">
        <f t="shared" si="9"/>
        <v>0</v>
      </c>
      <c r="E80" s="67">
        <f>'Parametric VAR'!$F$13</f>
        <v>-2.8682193012943492E-2</v>
      </c>
      <c r="F80">
        <f t="shared" si="10"/>
        <v>0</v>
      </c>
      <c r="G80" s="67">
        <f>'Historical VAR'!$G$6</f>
        <v>-1.9839729167757107E-2</v>
      </c>
      <c r="H80">
        <f t="shared" si="11"/>
        <v>0</v>
      </c>
      <c r="I80" s="67">
        <f>'Historical VAR'!$G$7</f>
        <v>-3.1428916759065853E-2</v>
      </c>
      <c r="J80">
        <f t="shared" si="12"/>
        <v>0</v>
      </c>
      <c r="K80" s="67">
        <f ca="1">'Monte Carlo Stimulation'!$I$8</f>
        <v>-2.1559270710709389E-2</v>
      </c>
      <c r="L80">
        <f t="shared" ca="1" si="13"/>
        <v>0</v>
      </c>
      <c r="M80" s="67">
        <f ca="1">'Monte Carlo Stimulation'!$I$9</f>
        <v>-2.919314405717207E-2</v>
      </c>
      <c r="N80">
        <f t="shared" ca="1" si="14"/>
        <v>0</v>
      </c>
    </row>
    <row r="81" spans="1:14">
      <c r="A81" s="12">
        <v>45995</v>
      </c>
      <c r="B81" s="14">
        <v>-8.3024349620674381E-4</v>
      </c>
      <c r="C81" s="67">
        <f>'Parametric VAR'!$F$12</f>
        <v>-2.023068247926026E-2</v>
      </c>
      <c r="D81">
        <f t="shared" si="9"/>
        <v>0</v>
      </c>
      <c r="E81" s="67">
        <f>'Parametric VAR'!$F$13</f>
        <v>-2.8682193012943492E-2</v>
      </c>
      <c r="F81">
        <f t="shared" si="10"/>
        <v>0</v>
      </c>
      <c r="G81" s="67">
        <f>'Historical VAR'!$G$6</f>
        <v>-1.9839729167757107E-2</v>
      </c>
      <c r="H81">
        <f t="shared" si="11"/>
        <v>0</v>
      </c>
      <c r="I81" s="67">
        <f>'Historical VAR'!$G$7</f>
        <v>-3.1428916759065853E-2</v>
      </c>
      <c r="J81">
        <f t="shared" si="12"/>
        <v>0</v>
      </c>
      <c r="K81" s="67">
        <f ca="1">'Monte Carlo Stimulation'!$I$8</f>
        <v>-2.1559270710709389E-2</v>
      </c>
      <c r="L81">
        <f t="shared" ca="1" si="13"/>
        <v>0</v>
      </c>
      <c r="M81" s="67">
        <f ca="1">'Monte Carlo Stimulation'!$I$9</f>
        <v>-2.919314405717207E-2</v>
      </c>
      <c r="N81">
        <f t="shared" ca="1" si="14"/>
        <v>0</v>
      </c>
    </row>
    <row r="82" spans="1:14">
      <c r="A82" s="12">
        <v>45994</v>
      </c>
      <c r="B82" s="14">
        <v>1.7642193069845148E-4</v>
      </c>
      <c r="C82" s="67">
        <f>'Parametric VAR'!$F$12</f>
        <v>-2.023068247926026E-2</v>
      </c>
      <c r="D82">
        <f t="shared" si="9"/>
        <v>0</v>
      </c>
      <c r="E82" s="67">
        <f>'Parametric VAR'!$F$13</f>
        <v>-2.8682193012943492E-2</v>
      </c>
      <c r="F82">
        <f t="shared" si="10"/>
        <v>0</v>
      </c>
      <c r="G82" s="67">
        <f>'Historical VAR'!$G$6</f>
        <v>-1.9839729167757107E-2</v>
      </c>
      <c r="H82">
        <f t="shared" si="11"/>
        <v>0</v>
      </c>
      <c r="I82" s="67">
        <f>'Historical VAR'!$G$7</f>
        <v>-3.1428916759065853E-2</v>
      </c>
      <c r="J82">
        <f t="shared" si="12"/>
        <v>0</v>
      </c>
      <c r="K82" s="67">
        <f ca="1">'Monte Carlo Stimulation'!$I$8</f>
        <v>-2.1559270710709389E-2</v>
      </c>
      <c r="L82">
        <f t="shared" ca="1" si="13"/>
        <v>0</v>
      </c>
      <c r="M82" s="67">
        <f ca="1">'Monte Carlo Stimulation'!$I$9</f>
        <v>-2.919314405717207E-2</v>
      </c>
      <c r="N82">
        <f t="shared" ca="1" si="14"/>
        <v>0</v>
      </c>
    </row>
    <row r="83" spans="1:14">
      <c r="A83" s="12">
        <v>45993</v>
      </c>
      <c r="B83" s="14">
        <v>-7.2332508874557808E-4</v>
      </c>
      <c r="C83" s="67">
        <f>'Parametric VAR'!$F$12</f>
        <v>-2.023068247926026E-2</v>
      </c>
      <c r="D83">
        <f t="shared" si="9"/>
        <v>0</v>
      </c>
      <c r="E83" s="67">
        <f>'Parametric VAR'!$F$13</f>
        <v>-2.8682193012943492E-2</v>
      </c>
      <c r="F83">
        <f t="shared" si="10"/>
        <v>0</v>
      </c>
      <c r="G83" s="67">
        <f>'Historical VAR'!$G$6</f>
        <v>-1.9839729167757107E-2</v>
      </c>
      <c r="H83">
        <f t="shared" si="11"/>
        <v>0</v>
      </c>
      <c r="I83" s="67">
        <f>'Historical VAR'!$G$7</f>
        <v>-3.1428916759065853E-2</v>
      </c>
      <c r="J83">
        <f t="shared" si="12"/>
        <v>0</v>
      </c>
      <c r="K83" s="67">
        <f ca="1">'Monte Carlo Stimulation'!$I$8</f>
        <v>-2.1559270710709389E-2</v>
      </c>
      <c r="L83">
        <f t="shared" ca="1" si="13"/>
        <v>0</v>
      </c>
      <c r="M83" s="67">
        <f ca="1">'Monte Carlo Stimulation'!$I$9</f>
        <v>-2.919314405717207E-2</v>
      </c>
      <c r="N83">
        <f t="shared" ca="1" si="14"/>
        <v>0</v>
      </c>
    </row>
    <row r="84" spans="1:14">
      <c r="A84" s="12">
        <v>45992</v>
      </c>
      <c r="B84" s="14">
        <v>-2.4251459381428489E-2</v>
      </c>
      <c r="C84" s="67">
        <f>'Parametric VAR'!$F$12</f>
        <v>-2.023068247926026E-2</v>
      </c>
      <c r="D84">
        <f t="shared" si="9"/>
        <v>1</v>
      </c>
      <c r="E84" s="67">
        <f>'Parametric VAR'!$F$13</f>
        <v>-2.8682193012943492E-2</v>
      </c>
      <c r="F84">
        <f t="shared" si="10"/>
        <v>0</v>
      </c>
      <c r="G84" s="67">
        <f>'Historical VAR'!$G$6</f>
        <v>-1.9839729167757107E-2</v>
      </c>
      <c r="H84">
        <f t="shared" si="11"/>
        <v>1</v>
      </c>
      <c r="I84" s="67">
        <f>'Historical VAR'!$G$7</f>
        <v>-3.1428916759065853E-2</v>
      </c>
      <c r="J84">
        <f t="shared" si="12"/>
        <v>0</v>
      </c>
      <c r="K84" s="67">
        <f ca="1">'Monte Carlo Stimulation'!$I$8</f>
        <v>-2.1559270710709389E-2</v>
      </c>
      <c r="L84">
        <f t="shared" ca="1" si="13"/>
        <v>1</v>
      </c>
      <c r="M84" s="67">
        <f ca="1">'Monte Carlo Stimulation'!$I$9</f>
        <v>-2.919314405717207E-2</v>
      </c>
      <c r="N84">
        <f t="shared" ca="1" si="14"/>
        <v>0</v>
      </c>
    </row>
    <row r="85" spans="1:14">
      <c r="A85" s="12">
        <v>45989</v>
      </c>
      <c r="B85" s="14">
        <v>5.5801850817216369E-3</v>
      </c>
      <c r="C85" s="67">
        <f>'Parametric VAR'!$F$12</f>
        <v>-2.023068247926026E-2</v>
      </c>
      <c r="D85">
        <f t="shared" si="9"/>
        <v>0</v>
      </c>
      <c r="E85" s="67">
        <f>'Parametric VAR'!$F$13</f>
        <v>-2.8682193012943492E-2</v>
      </c>
      <c r="F85">
        <f t="shared" si="10"/>
        <v>0</v>
      </c>
      <c r="G85" s="67">
        <f>'Historical VAR'!$G$6</f>
        <v>-1.9839729167757107E-2</v>
      </c>
      <c r="H85">
        <f t="shared" si="11"/>
        <v>0</v>
      </c>
      <c r="I85" s="67">
        <f>'Historical VAR'!$G$7</f>
        <v>-3.1428916759065853E-2</v>
      </c>
      <c r="J85">
        <f t="shared" si="12"/>
        <v>0</v>
      </c>
      <c r="K85" s="67">
        <f ca="1">'Monte Carlo Stimulation'!$I$8</f>
        <v>-2.1559270710709389E-2</v>
      </c>
      <c r="L85">
        <f t="shared" ca="1" si="13"/>
        <v>0</v>
      </c>
      <c r="M85" s="67">
        <f ca="1">'Monte Carlo Stimulation'!$I$9</f>
        <v>-2.919314405717207E-2</v>
      </c>
      <c r="N85">
        <f t="shared" ca="1" si="14"/>
        <v>0</v>
      </c>
    </row>
    <row r="86" spans="1:14">
      <c r="A86" s="12">
        <v>45988</v>
      </c>
      <c r="B86" s="14">
        <v>4.3661642171398535E-3</v>
      </c>
      <c r="C86" s="67">
        <f>'Parametric VAR'!$F$12</f>
        <v>-2.023068247926026E-2</v>
      </c>
      <c r="D86">
        <f t="shared" si="9"/>
        <v>0</v>
      </c>
      <c r="E86" s="67">
        <f>'Parametric VAR'!$F$13</f>
        <v>-2.8682193012943492E-2</v>
      </c>
      <c r="F86">
        <f t="shared" si="10"/>
        <v>0</v>
      </c>
      <c r="G86" s="67">
        <f>'Historical VAR'!$G$6</f>
        <v>-1.9839729167757107E-2</v>
      </c>
      <c r="H86">
        <f t="shared" si="11"/>
        <v>0</v>
      </c>
      <c r="I86" s="67">
        <f>'Historical VAR'!$G$7</f>
        <v>-3.1428916759065853E-2</v>
      </c>
      <c r="J86">
        <f t="shared" si="12"/>
        <v>0</v>
      </c>
      <c r="K86" s="67">
        <f ca="1">'Monte Carlo Stimulation'!$I$8</f>
        <v>-2.1559270710709389E-2</v>
      </c>
      <c r="L86">
        <f t="shared" ca="1" si="13"/>
        <v>0</v>
      </c>
      <c r="M86" s="67">
        <f ca="1">'Monte Carlo Stimulation'!$I$9</f>
        <v>-2.919314405717207E-2</v>
      </c>
      <c r="N86">
        <f t="shared" ca="1" si="14"/>
        <v>0</v>
      </c>
    </row>
    <row r="87" spans="1:14">
      <c r="A87" s="12">
        <v>45987</v>
      </c>
      <c r="B87" s="14">
        <v>7.2794023861375571E-5</v>
      </c>
      <c r="C87" s="67">
        <f>'Parametric VAR'!$F$12</f>
        <v>-2.023068247926026E-2</v>
      </c>
      <c r="D87">
        <f t="shared" si="9"/>
        <v>0</v>
      </c>
      <c r="E87" s="67">
        <f>'Parametric VAR'!$F$13</f>
        <v>-2.8682193012943492E-2</v>
      </c>
      <c r="F87">
        <f t="shared" si="10"/>
        <v>0</v>
      </c>
      <c r="G87" s="67">
        <f>'Historical VAR'!$G$6</f>
        <v>-1.9839729167757107E-2</v>
      </c>
      <c r="H87">
        <f t="shared" si="11"/>
        <v>0</v>
      </c>
      <c r="I87" s="67">
        <f>'Historical VAR'!$G$7</f>
        <v>-3.1428916759065853E-2</v>
      </c>
      <c r="J87">
        <f t="shared" si="12"/>
        <v>0</v>
      </c>
      <c r="K87" s="67">
        <f ca="1">'Monte Carlo Stimulation'!$I$8</f>
        <v>-2.1559270710709389E-2</v>
      </c>
      <c r="L87">
        <f t="shared" ca="1" si="13"/>
        <v>0</v>
      </c>
      <c r="M87" s="67">
        <f ca="1">'Monte Carlo Stimulation'!$I$9</f>
        <v>-2.919314405717207E-2</v>
      </c>
      <c r="N87">
        <f t="shared" ca="1" si="14"/>
        <v>0</v>
      </c>
    </row>
    <row r="88" spans="1:14">
      <c r="A88" s="12">
        <v>45986</v>
      </c>
      <c r="B88" s="14">
        <v>-2.8626763659368691E-3</v>
      </c>
      <c r="C88" s="67">
        <f>'Parametric VAR'!$F$12</f>
        <v>-2.023068247926026E-2</v>
      </c>
      <c r="D88">
        <f t="shared" si="9"/>
        <v>0</v>
      </c>
      <c r="E88" s="67">
        <f>'Parametric VAR'!$F$13</f>
        <v>-2.8682193012943492E-2</v>
      </c>
      <c r="F88">
        <f t="shared" si="10"/>
        <v>0</v>
      </c>
      <c r="G88" s="67">
        <f>'Historical VAR'!$G$6</f>
        <v>-1.9839729167757107E-2</v>
      </c>
      <c r="H88">
        <f t="shared" si="11"/>
        <v>0</v>
      </c>
      <c r="I88" s="67">
        <f>'Historical VAR'!$G$7</f>
        <v>-3.1428916759065853E-2</v>
      </c>
      <c r="J88">
        <f t="shared" si="12"/>
        <v>0</v>
      </c>
      <c r="K88" s="67">
        <f ca="1">'Monte Carlo Stimulation'!$I$8</f>
        <v>-2.1559270710709389E-2</v>
      </c>
      <c r="L88">
        <f t="shared" ca="1" si="13"/>
        <v>0</v>
      </c>
      <c r="M88" s="67">
        <f ca="1">'Monte Carlo Stimulation'!$I$9</f>
        <v>-2.919314405717207E-2</v>
      </c>
      <c r="N88">
        <f t="shared" ca="1" si="14"/>
        <v>0</v>
      </c>
    </row>
    <row r="89" spans="1:14">
      <c r="A89" s="12">
        <v>45985</v>
      </c>
      <c r="B89" s="14">
        <v>3.532537069477289E-3</v>
      </c>
      <c r="C89" s="67">
        <f>'Parametric VAR'!$F$12</f>
        <v>-2.023068247926026E-2</v>
      </c>
      <c r="D89">
        <f t="shared" si="9"/>
        <v>0</v>
      </c>
      <c r="E89" s="67">
        <f>'Parametric VAR'!$F$13</f>
        <v>-2.8682193012943492E-2</v>
      </c>
      <c r="F89">
        <f t="shared" si="10"/>
        <v>0</v>
      </c>
      <c r="G89" s="67">
        <f>'Historical VAR'!$G$6</f>
        <v>-1.9839729167757107E-2</v>
      </c>
      <c r="H89">
        <f t="shared" si="11"/>
        <v>0</v>
      </c>
      <c r="I89" s="67">
        <f>'Historical VAR'!$G$7</f>
        <v>-3.1428916759065853E-2</v>
      </c>
      <c r="J89">
        <f t="shared" si="12"/>
        <v>0</v>
      </c>
      <c r="K89" s="67">
        <f ca="1">'Monte Carlo Stimulation'!$I$8</f>
        <v>-2.1559270710709389E-2</v>
      </c>
      <c r="L89">
        <f t="shared" ca="1" si="13"/>
        <v>0</v>
      </c>
      <c r="M89" s="67">
        <f ca="1">'Monte Carlo Stimulation'!$I$9</f>
        <v>-2.919314405717207E-2</v>
      </c>
      <c r="N89">
        <f t="shared" ca="1" si="14"/>
        <v>0</v>
      </c>
    </row>
    <row r="90" spans="1:14">
      <c r="A90" s="12">
        <v>45982</v>
      </c>
      <c r="B90" s="14">
        <v>1.3820445129593959E-4</v>
      </c>
      <c r="C90" s="67">
        <f>'Parametric VAR'!$F$12</f>
        <v>-2.023068247926026E-2</v>
      </c>
      <c r="D90">
        <f t="shared" si="9"/>
        <v>0</v>
      </c>
      <c r="E90" s="67">
        <f>'Parametric VAR'!$F$13</f>
        <v>-2.8682193012943492E-2</v>
      </c>
      <c r="F90">
        <f t="shared" si="10"/>
        <v>0</v>
      </c>
      <c r="G90" s="67">
        <f>'Historical VAR'!$G$6</f>
        <v>-1.9839729167757107E-2</v>
      </c>
      <c r="H90">
        <f t="shared" si="11"/>
        <v>0</v>
      </c>
      <c r="I90" s="67">
        <f>'Historical VAR'!$G$7</f>
        <v>-3.1428916759065853E-2</v>
      </c>
      <c r="J90">
        <f t="shared" si="12"/>
        <v>0</v>
      </c>
      <c r="K90" s="67">
        <f ca="1">'Monte Carlo Stimulation'!$I$8</f>
        <v>-2.1559270710709389E-2</v>
      </c>
      <c r="L90">
        <f t="shared" ca="1" si="13"/>
        <v>0</v>
      </c>
      <c r="M90" s="67">
        <f ca="1">'Monte Carlo Stimulation'!$I$9</f>
        <v>-2.919314405717207E-2</v>
      </c>
      <c r="N90">
        <f t="shared" ca="1" si="14"/>
        <v>0</v>
      </c>
    </row>
    <row r="91" spans="1:14">
      <c r="A91" s="12">
        <v>45981</v>
      </c>
      <c r="B91" s="14">
        <v>8.5413423222113467E-4</v>
      </c>
      <c r="C91" s="67">
        <f>'Parametric VAR'!$F$12</f>
        <v>-2.023068247926026E-2</v>
      </c>
      <c r="D91">
        <f t="shared" si="9"/>
        <v>0</v>
      </c>
      <c r="E91" s="67">
        <f>'Parametric VAR'!$F$13</f>
        <v>-2.8682193012943492E-2</v>
      </c>
      <c r="F91">
        <f t="shared" si="10"/>
        <v>0</v>
      </c>
      <c r="G91" s="67">
        <f>'Historical VAR'!$G$6</f>
        <v>-1.9839729167757107E-2</v>
      </c>
      <c r="H91">
        <f t="shared" si="11"/>
        <v>0</v>
      </c>
      <c r="I91" s="67">
        <f>'Historical VAR'!$G$7</f>
        <v>-3.1428916759065853E-2</v>
      </c>
      <c r="J91">
        <f t="shared" si="12"/>
        <v>0</v>
      </c>
      <c r="K91" s="67">
        <f ca="1">'Monte Carlo Stimulation'!$I$8</f>
        <v>-2.1559270710709389E-2</v>
      </c>
      <c r="L91">
        <f t="shared" ca="1" si="13"/>
        <v>0</v>
      </c>
      <c r="M91" s="67">
        <f ca="1">'Monte Carlo Stimulation'!$I$9</f>
        <v>-2.919314405717207E-2</v>
      </c>
      <c r="N91">
        <f t="shared" ca="1" si="14"/>
        <v>0</v>
      </c>
    </row>
    <row r="92" spans="1:14">
      <c r="A92" s="12">
        <v>45980</v>
      </c>
      <c r="B92" s="14">
        <v>8.7263560105099308E-3</v>
      </c>
      <c r="C92" s="67">
        <f>'Parametric VAR'!$F$12</f>
        <v>-2.023068247926026E-2</v>
      </c>
      <c r="D92">
        <f t="shared" si="9"/>
        <v>0</v>
      </c>
      <c r="E92" s="67">
        <f>'Parametric VAR'!$F$13</f>
        <v>-2.8682193012943492E-2</v>
      </c>
      <c r="F92">
        <f t="shared" si="10"/>
        <v>0</v>
      </c>
      <c r="G92" s="67">
        <f>'Historical VAR'!$G$6</f>
        <v>-1.9839729167757107E-2</v>
      </c>
      <c r="H92">
        <f t="shared" si="11"/>
        <v>0</v>
      </c>
      <c r="I92" s="67">
        <f>'Historical VAR'!$G$7</f>
        <v>-3.1428916759065853E-2</v>
      </c>
      <c r="J92">
        <f t="shared" si="12"/>
        <v>0</v>
      </c>
      <c r="K92" s="67">
        <f ca="1">'Monte Carlo Stimulation'!$I$8</f>
        <v>-2.1559270710709389E-2</v>
      </c>
      <c r="L92">
        <f t="shared" ca="1" si="13"/>
        <v>0</v>
      </c>
      <c r="M92" s="67">
        <f ca="1">'Monte Carlo Stimulation'!$I$9</f>
        <v>-2.919314405717207E-2</v>
      </c>
      <c r="N92">
        <f t="shared" ca="1" si="14"/>
        <v>0</v>
      </c>
    </row>
    <row r="93" spans="1:14">
      <c r="A93" s="12">
        <v>45979</v>
      </c>
      <c r="B93" s="14">
        <v>3.2419902315233367E-3</v>
      </c>
      <c r="C93" s="67">
        <f>'Parametric VAR'!$F$12</f>
        <v>-2.023068247926026E-2</v>
      </c>
      <c r="D93">
        <f t="shared" si="9"/>
        <v>0</v>
      </c>
      <c r="E93" s="67">
        <f>'Parametric VAR'!$F$13</f>
        <v>-2.8682193012943492E-2</v>
      </c>
      <c r="F93">
        <f t="shared" si="10"/>
        <v>0</v>
      </c>
      <c r="G93" s="67">
        <f>'Historical VAR'!$G$6</f>
        <v>-1.9839729167757107E-2</v>
      </c>
      <c r="H93">
        <f t="shared" si="11"/>
        <v>0</v>
      </c>
      <c r="I93" s="67">
        <f>'Historical VAR'!$G$7</f>
        <v>-3.1428916759065853E-2</v>
      </c>
      <c r="J93">
        <f t="shared" si="12"/>
        <v>0</v>
      </c>
      <c r="K93" s="67">
        <f ca="1">'Monte Carlo Stimulation'!$I$8</f>
        <v>-2.1559270710709389E-2</v>
      </c>
      <c r="L93">
        <f t="shared" ca="1" si="13"/>
        <v>0</v>
      </c>
      <c r="M93" s="67">
        <f ca="1">'Monte Carlo Stimulation'!$I$9</f>
        <v>-2.919314405717207E-2</v>
      </c>
      <c r="N93">
        <f t="shared" ca="1" si="14"/>
        <v>0</v>
      </c>
    </row>
    <row r="94" spans="1:14">
      <c r="A94" s="12">
        <v>45978</v>
      </c>
      <c r="B94" s="14">
        <v>-7.634852640567155E-3</v>
      </c>
      <c r="C94" s="67">
        <f>'Parametric VAR'!$F$12</f>
        <v>-2.023068247926026E-2</v>
      </c>
      <c r="D94">
        <f t="shared" si="9"/>
        <v>0</v>
      </c>
      <c r="E94" s="67">
        <f>'Parametric VAR'!$F$13</f>
        <v>-2.8682193012943492E-2</v>
      </c>
      <c r="F94">
        <f t="shared" si="10"/>
        <v>0</v>
      </c>
      <c r="G94" s="67">
        <f>'Historical VAR'!$G$6</f>
        <v>-1.9839729167757107E-2</v>
      </c>
      <c r="H94">
        <f t="shared" si="11"/>
        <v>0</v>
      </c>
      <c r="I94" s="67">
        <f>'Historical VAR'!$G$7</f>
        <v>-3.1428916759065853E-2</v>
      </c>
      <c r="J94">
        <f t="shared" si="12"/>
        <v>0</v>
      </c>
      <c r="K94" s="67">
        <f ca="1">'Monte Carlo Stimulation'!$I$8</f>
        <v>-2.1559270710709389E-2</v>
      </c>
      <c r="L94">
        <f t="shared" ca="1" si="13"/>
        <v>0</v>
      </c>
      <c r="M94" s="67">
        <f ca="1">'Monte Carlo Stimulation'!$I$9</f>
        <v>-2.919314405717207E-2</v>
      </c>
      <c r="N94">
        <f t="shared" ca="1" si="14"/>
        <v>0</v>
      </c>
    </row>
    <row r="95" spans="1:14">
      <c r="A95" s="12">
        <v>45975</v>
      </c>
      <c r="B95" s="14">
        <v>5.291530477200242E-3</v>
      </c>
      <c r="C95" s="67">
        <f>'Parametric VAR'!$F$12</f>
        <v>-2.023068247926026E-2</v>
      </c>
      <c r="D95">
        <f t="shared" si="9"/>
        <v>0</v>
      </c>
      <c r="E95" s="67">
        <f>'Parametric VAR'!$F$13</f>
        <v>-2.8682193012943492E-2</v>
      </c>
      <c r="F95">
        <f t="shared" si="10"/>
        <v>0</v>
      </c>
      <c r="G95" s="67">
        <f>'Historical VAR'!$G$6</f>
        <v>-1.9839729167757107E-2</v>
      </c>
      <c r="H95">
        <f t="shared" si="11"/>
        <v>0</v>
      </c>
      <c r="I95" s="67">
        <f>'Historical VAR'!$G$7</f>
        <v>-3.1428916759065853E-2</v>
      </c>
      <c r="J95">
        <f t="shared" si="12"/>
        <v>0</v>
      </c>
      <c r="K95" s="67">
        <f ca="1">'Monte Carlo Stimulation'!$I$8</f>
        <v>-2.1559270710709389E-2</v>
      </c>
      <c r="L95">
        <f t="shared" ca="1" si="13"/>
        <v>0</v>
      </c>
      <c r="M95" s="67">
        <f ca="1">'Monte Carlo Stimulation'!$I$9</f>
        <v>-2.919314405717207E-2</v>
      </c>
      <c r="N95">
        <f t="shared" ca="1" si="14"/>
        <v>0</v>
      </c>
    </row>
    <row r="96" spans="1:14">
      <c r="A96" s="12">
        <v>45974</v>
      </c>
      <c r="B96" s="14">
        <v>-7.3274619089650304E-3</v>
      </c>
      <c r="C96" s="67">
        <f>'Parametric VAR'!$F$12</f>
        <v>-2.023068247926026E-2</v>
      </c>
      <c r="D96">
        <f t="shared" si="9"/>
        <v>0</v>
      </c>
      <c r="E96" s="67">
        <f>'Parametric VAR'!$F$13</f>
        <v>-2.8682193012943492E-2</v>
      </c>
      <c r="F96">
        <f t="shared" si="10"/>
        <v>0</v>
      </c>
      <c r="G96" s="67">
        <f>'Historical VAR'!$G$6</f>
        <v>-1.9839729167757107E-2</v>
      </c>
      <c r="H96">
        <f t="shared" si="11"/>
        <v>0</v>
      </c>
      <c r="I96" s="67">
        <f>'Historical VAR'!$G$7</f>
        <v>-3.1428916759065853E-2</v>
      </c>
      <c r="J96">
        <f t="shared" si="12"/>
        <v>0</v>
      </c>
      <c r="K96" s="67">
        <f ca="1">'Monte Carlo Stimulation'!$I$8</f>
        <v>-2.1559270710709389E-2</v>
      </c>
      <c r="L96">
        <f t="shared" ca="1" si="13"/>
        <v>0</v>
      </c>
      <c r="M96" s="67">
        <f ca="1">'Monte Carlo Stimulation'!$I$9</f>
        <v>-2.919314405717207E-2</v>
      </c>
      <c r="N96">
        <f t="shared" ca="1" si="14"/>
        <v>0</v>
      </c>
    </row>
    <row r="97" spans="1:14">
      <c r="A97" s="12">
        <v>45973</v>
      </c>
      <c r="B97" s="14">
        <v>-3.4787172839765054E-2</v>
      </c>
      <c r="C97" s="67">
        <f>'Parametric VAR'!$F$12</f>
        <v>-2.023068247926026E-2</v>
      </c>
      <c r="D97">
        <f t="shared" si="9"/>
        <v>1</v>
      </c>
      <c r="E97" s="67">
        <f>'Parametric VAR'!$F$13</f>
        <v>-2.8682193012943492E-2</v>
      </c>
      <c r="F97">
        <f t="shared" si="10"/>
        <v>1</v>
      </c>
      <c r="G97" s="67">
        <f>'Historical VAR'!$G$6</f>
        <v>-1.9839729167757107E-2</v>
      </c>
      <c r="H97">
        <f t="shared" si="11"/>
        <v>1</v>
      </c>
      <c r="I97" s="67">
        <f>'Historical VAR'!$G$7</f>
        <v>-3.1428916759065853E-2</v>
      </c>
      <c r="J97">
        <f t="shared" si="12"/>
        <v>1</v>
      </c>
      <c r="K97" s="67">
        <f ca="1">'Monte Carlo Stimulation'!$I$8</f>
        <v>-2.1559270710709389E-2</v>
      </c>
      <c r="L97">
        <f t="shared" ca="1" si="13"/>
        <v>1</v>
      </c>
      <c r="M97" s="67">
        <f ca="1">'Monte Carlo Stimulation'!$I$9</f>
        <v>-2.919314405717207E-2</v>
      </c>
      <c r="N97">
        <f t="shared" ca="1" si="14"/>
        <v>1</v>
      </c>
    </row>
    <row r="98" spans="1:14">
      <c r="A98" s="12">
        <v>45972</v>
      </c>
      <c r="B98" s="14">
        <v>-3.4538924843212186E-2</v>
      </c>
      <c r="C98" s="67">
        <f>'Parametric VAR'!$F$12</f>
        <v>-2.023068247926026E-2</v>
      </c>
      <c r="D98">
        <f t="shared" si="9"/>
        <v>1</v>
      </c>
      <c r="E98" s="67">
        <f>'Parametric VAR'!$F$13</f>
        <v>-2.8682193012943492E-2</v>
      </c>
      <c r="F98">
        <f t="shared" si="10"/>
        <v>1</v>
      </c>
      <c r="G98" s="67">
        <f>'Historical VAR'!$G$6</f>
        <v>-1.9839729167757107E-2</v>
      </c>
      <c r="H98">
        <f t="shared" si="11"/>
        <v>1</v>
      </c>
      <c r="I98" s="67">
        <f>'Historical VAR'!$G$7</f>
        <v>-3.1428916759065853E-2</v>
      </c>
      <c r="J98">
        <f t="shared" si="12"/>
        <v>1</v>
      </c>
      <c r="K98" s="67">
        <f ca="1">'Monte Carlo Stimulation'!$I$8</f>
        <v>-2.1559270710709389E-2</v>
      </c>
      <c r="L98">
        <f t="shared" ca="1" si="13"/>
        <v>1</v>
      </c>
      <c r="M98" s="67">
        <f ca="1">'Monte Carlo Stimulation'!$I$9</f>
        <v>-2.919314405717207E-2</v>
      </c>
      <c r="N98">
        <f t="shared" ca="1" si="14"/>
        <v>1</v>
      </c>
    </row>
    <row r="99" spans="1:14">
      <c r="A99" s="12">
        <v>45971</v>
      </c>
      <c r="B99" s="14">
        <v>-5.1677747688858699E-3</v>
      </c>
      <c r="C99" s="67">
        <f>'Parametric VAR'!$F$12</f>
        <v>-2.023068247926026E-2</v>
      </c>
      <c r="D99">
        <f t="shared" si="9"/>
        <v>0</v>
      </c>
      <c r="E99" s="67">
        <f>'Parametric VAR'!$F$13</f>
        <v>-2.8682193012943492E-2</v>
      </c>
      <c r="F99">
        <f t="shared" si="10"/>
        <v>0</v>
      </c>
      <c r="G99" s="67">
        <f>'Historical VAR'!$G$6</f>
        <v>-1.9839729167757107E-2</v>
      </c>
      <c r="H99">
        <f t="shared" si="11"/>
        <v>0</v>
      </c>
      <c r="I99" s="67">
        <f>'Historical VAR'!$G$7</f>
        <v>-3.1428916759065853E-2</v>
      </c>
      <c r="J99">
        <f t="shared" si="12"/>
        <v>0</v>
      </c>
      <c r="K99" s="67">
        <f ca="1">'Monte Carlo Stimulation'!$I$8</f>
        <v>-2.1559270710709389E-2</v>
      </c>
      <c r="L99">
        <f t="shared" ca="1" si="13"/>
        <v>0</v>
      </c>
      <c r="M99" s="67">
        <f ca="1">'Monte Carlo Stimulation'!$I$9</f>
        <v>-2.919314405717207E-2</v>
      </c>
      <c r="N99">
        <f t="shared" ca="1" si="14"/>
        <v>0</v>
      </c>
    </row>
    <row r="100" spans="1:14">
      <c r="A100" s="12">
        <v>45968</v>
      </c>
      <c r="B100" s="14">
        <v>-1.3779149303591731E-2</v>
      </c>
      <c r="C100" s="67">
        <f>'Parametric VAR'!$F$12</f>
        <v>-2.023068247926026E-2</v>
      </c>
      <c r="D100">
        <f t="shared" si="9"/>
        <v>0</v>
      </c>
      <c r="E100" s="67">
        <f>'Parametric VAR'!$F$13</f>
        <v>-2.8682193012943492E-2</v>
      </c>
      <c r="F100">
        <f t="shared" si="10"/>
        <v>0</v>
      </c>
      <c r="G100" s="67">
        <f>'Historical VAR'!$G$6</f>
        <v>-1.9839729167757107E-2</v>
      </c>
      <c r="H100">
        <f t="shared" si="11"/>
        <v>0</v>
      </c>
      <c r="I100" s="67">
        <f>'Historical VAR'!$G$7</f>
        <v>-3.1428916759065853E-2</v>
      </c>
      <c r="J100">
        <f t="shared" si="12"/>
        <v>0</v>
      </c>
      <c r="K100" s="67">
        <f ca="1">'Monte Carlo Stimulation'!$I$8</f>
        <v>-2.1559270710709389E-2</v>
      </c>
      <c r="L100">
        <f t="shared" ca="1" si="13"/>
        <v>0</v>
      </c>
      <c r="M100" s="67">
        <f ca="1">'Monte Carlo Stimulation'!$I$9</f>
        <v>-2.919314405717207E-2</v>
      </c>
      <c r="N100">
        <f t="shared" ca="1" si="14"/>
        <v>0</v>
      </c>
    </row>
    <row r="101" spans="1:14">
      <c r="A101" s="12">
        <v>45967</v>
      </c>
      <c r="B101" s="14">
        <v>6.7722470775789898E-4</v>
      </c>
      <c r="C101" s="67">
        <f>'Parametric VAR'!$F$12</f>
        <v>-2.023068247926026E-2</v>
      </c>
      <c r="D101">
        <f t="shared" si="9"/>
        <v>0</v>
      </c>
      <c r="E101" s="67">
        <f>'Parametric VAR'!$F$13</f>
        <v>-2.8682193012943492E-2</v>
      </c>
      <c r="F101">
        <f t="shared" si="10"/>
        <v>0</v>
      </c>
      <c r="G101" s="67">
        <f>'Historical VAR'!$G$6</f>
        <v>-1.9839729167757107E-2</v>
      </c>
      <c r="H101">
        <f t="shared" si="11"/>
        <v>0</v>
      </c>
      <c r="I101" s="67">
        <f>'Historical VAR'!$G$7</f>
        <v>-3.1428916759065853E-2</v>
      </c>
      <c r="J101">
        <f t="shared" si="12"/>
        <v>0</v>
      </c>
      <c r="K101" s="67">
        <f ca="1">'Monte Carlo Stimulation'!$I$8</f>
        <v>-2.1559270710709389E-2</v>
      </c>
      <c r="L101">
        <f t="shared" ca="1" si="13"/>
        <v>0</v>
      </c>
      <c r="M101" s="67">
        <f ca="1">'Monte Carlo Stimulation'!$I$9</f>
        <v>-2.919314405717207E-2</v>
      </c>
      <c r="N101">
        <f t="shared" ca="1" si="14"/>
        <v>0</v>
      </c>
    </row>
    <row r="102" spans="1:14">
      <c r="A102" s="12">
        <v>45965</v>
      </c>
      <c r="B102" s="14">
        <v>-3.4223054757271353E-2</v>
      </c>
      <c r="C102" s="67">
        <f>'Parametric VAR'!$F$12</f>
        <v>-2.023068247926026E-2</v>
      </c>
      <c r="D102">
        <f t="shared" si="9"/>
        <v>1</v>
      </c>
      <c r="E102" s="67">
        <f>'Parametric VAR'!$F$13</f>
        <v>-2.8682193012943492E-2</v>
      </c>
      <c r="F102">
        <f t="shared" si="10"/>
        <v>1</v>
      </c>
      <c r="G102" s="67">
        <f>'Historical VAR'!$G$6</f>
        <v>-1.9839729167757107E-2</v>
      </c>
      <c r="H102">
        <f t="shared" si="11"/>
        <v>1</v>
      </c>
      <c r="I102" s="67">
        <f>'Historical VAR'!$G$7</f>
        <v>-3.1428916759065853E-2</v>
      </c>
      <c r="J102">
        <f t="shared" si="12"/>
        <v>1</v>
      </c>
      <c r="K102" s="67">
        <f ca="1">'Monte Carlo Stimulation'!$I$8</f>
        <v>-2.1559270710709389E-2</v>
      </c>
      <c r="L102">
        <f t="shared" ca="1" si="13"/>
        <v>1</v>
      </c>
      <c r="M102" s="67">
        <f ca="1">'Monte Carlo Stimulation'!$I$9</f>
        <v>-2.919314405717207E-2</v>
      </c>
      <c r="N102">
        <f t="shared" ca="1" si="14"/>
        <v>1</v>
      </c>
    </row>
    <row r="103" spans="1:14">
      <c r="A103" s="12">
        <v>45964</v>
      </c>
      <c r="B103" s="14">
        <v>8.5675529659709065E-3</v>
      </c>
      <c r="C103" s="67">
        <f>'Parametric VAR'!$F$12</f>
        <v>-2.023068247926026E-2</v>
      </c>
      <c r="D103">
        <f t="shared" si="9"/>
        <v>0</v>
      </c>
      <c r="E103" s="67">
        <f>'Parametric VAR'!$F$13</f>
        <v>-2.8682193012943492E-2</v>
      </c>
      <c r="F103">
        <f t="shared" si="10"/>
        <v>0</v>
      </c>
      <c r="G103" s="67">
        <f>'Historical VAR'!$G$6</f>
        <v>-1.9839729167757107E-2</v>
      </c>
      <c r="H103">
        <f t="shared" si="11"/>
        <v>0</v>
      </c>
      <c r="I103" s="67">
        <f>'Historical VAR'!$G$7</f>
        <v>-3.1428916759065853E-2</v>
      </c>
      <c r="J103">
        <f t="shared" si="12"/>
        <v>0</v>
      </c>
      <c r="K103" s="67">
        <f ca="1">'Monte Carlo Stimulation'!$I$8</f>
        <v>-2.1559270710709389E-2</v>
      </c>
      <c r="L103">
        <f t="shared" ca="1" si="13"/>
        <v>0</v>
      </c>
      <c r="M103" s="67">
        <f ca="1">'Monte Carlo Stimulation'!$I$9</f>
        <v>-2.919314405717207E-2</v>
      </c>
      <c r="N103">
        <f t="shared" ca="1" si="14"/>
        <v>0</v>
      </c>
    </row>
    <row r="104" spans="1:14">
      <c r="A104" s="12">
        <v>45961</v>
      </c>
      <c r="B104" s="14">
        <v>-4.3846130899105526E-5</v>
      </c>
      <c r="C104" s="67">
        <f>'Parametric VAR'!$F$12</f>
        <v>-2.023068247926026E-2</v>
      </c>
      <c r="D104">
        <f t="shared" si="9"/>
        <v>0</v>
      </c>
      <c r="E104" s="67">
        <f>'Parametric VAR'!$F$13</f>
        <v>-2.8682193012943492E-2</v>
      </c>
      <c r="F104">
        <f t="shared" si="10"/>
        <v>0</v>
      </c>
      <c r="G104" s="67">
        <f>'Historical VAR'!$G$6</f>
        <v>-1.9839729167757107E-2</v>
      </c>
      <c r="H104">
        <f t="shared" si="11"/>
        <v>0</v>
      </c>
      <c r="I104" s="67">
        <f>'Historical VAR'!$G$7</f>
        <v>-3.1428916759065853E-2</v>
      </c>
      <c r="J104">
        <f t="shared" si="12"/>
        <v>0</v>
      </c>
      <c r="K104" s="67">
        <f ca="1">'Monte Carlo Stimulation'!$I$8</f>
        <v>-2.1559270710709389E-2</v>
      </c>
      <c r="L104">
        <f t="shared" ca="1" si="13"/>
        <v>0</v>
      </c>
      <c r="M104" s="67">
        <f ca="1">'Monte Carlo Stimulation'!$I$9</f>
        <v>-2.919314405717207E-2</v>
      </c>
      <c r="N104">
        <f t="shared" ca="1" si="14"/>
        <v>0</v>
      </c>
    </row>
    <row r="105" spans="1:14">
      <c r="A105" s="12">
        <v>45960</v>
      </c>
      <c r="B105" s="14">
        <v>5.3832780216925644E-3</v>
      </c>
      <c r="C105" s="67">
        <f>'Parametric VAR'!$F$12</f>
        <v>-2.023068247926026E-2</v>
      </c>
      <c r="D105">
        <f t="shared" si="9"/>
        <v>0</v>
      </c>
      <c r="E105" s="67">
        <f>'Parametric VAR'!$F$13</f>
        <v>-2.8682193012943492E-2</v>
      </c>
      <c r="F105">
        <f t="shared" si="10"/>
        <v>0</v>
      </c>
      <c r="G105" s="67">
        <f>'Historical VAR'!$G$6</f>
        <v>-1.9839729167757107E-2</v>
      </c>
      <c r="H105">
        <f t="shared" si="11"/>
        <v>0</v>
      </c>
      <c r="I105" s="67">
        <f>'Historical VAR'!$G$7</f>
        <v>-3.1428916759065853E-2</v>
      </c>
      <c r="J105">
        <f t="shared" si="12"/>
        <v>0</v>
      </c>
      <c r="K105" s="67">
        <f ca="1">'Monte Carlo Stimulation'!$I$8</f>
        <v>-2.1559270710709389E-2</v>
      </c>
      <c r="L105">
        <f t="shared" ca="1" si="13"/>
        <v>0</v>
      </c>
      <c r="M105" s="67">
        <f ca="1">'Monte Carlo Stimulation'!$I$9</f>
        <v>-2.919314405717207E-2</v>
      </c>
      <c r="N105">
        <f t="shared" ca="1" si="14"/>
        <v>0</v>
      </c>
    </row>
    <row r="106" spans="1:14">
      <c r="A106" s="12">
        <v>45959</v>
      </c>
      <c r="B106" s="14">
        <v>5.2944295415894276E-3</v>
      </c>
      <c r="C106" s="67">
        <f>'Parametric VAR'!$F$12</f>
        <v>-2.023068247926026E-2</v>
      </c>
      <c r="D106">
        <f t="shared" si="9"/>
        <v>0</v>
      </c>
      <c r="E106" s="67">
        <f>'Parametric VAR'!$F$13</f>
        <v>-2.8682193012943492E-2</v>
      </c>
      <c r="F106">
        <f t="shared" si="10"/>
        <v>0</v>
      </c>
      <c r="G106" s="67">
        <f>'Historical VAR'!$G$6</f>
        <v>-1.9839729167757107E-2</v>
      </c>
      <c r="H106">
        <f t="shared" si="11"/>
        <v>0</v>
      </c>
      <c r="I106" s="67">
        <f>'Historical VAR'!$G$7</f>
        <v>-3.1428916759065853E-2</v>
      </c>
      <c r="J106">
        <f t="shared" si="12"/>
        <v>0</v>
      </c>
      <c r="K106" s="67">
        <f ca="1">'Monte Carlo Stimulation'!$I$8</f>
        <v>-2.1559270710709389E-2</v>
      </c>
      <c r="L106">
        <f t="shared" ca="1" si="13"/>
        <v>0</v>
      </c>
      <c r="M106" s="67">
        <f ca="1">'Monte Carlo Stimulation'!$I$9</f>
        <v>-2.919314405717207E-2</v>
      </c>
      <c r="N106">
        <f t="shared" ca="1" si="14"/>
        <v>0</v>
      </c>
    </row>
    <row r="107" spans="1:14">
      <c r="A107" s="12">
        <v>45958</v>
      </c>
      <c r="B107" s="14">
        <v>-9.4156888741461896E-3</v>
      </c>
      <c r="C107" s="67">
        <f>'Parametric VAR'!$F$12</f>
        <v>-2.023068247926026E-2</v>
      </c>
      <c r="D107">
        <f t="shared" si="9"/>
        <v>0</v>
      </c>
      <c r="E107" s="67">
        <f>'Parametric VAR'!$F$13</f>
        <v>-2.8682193012943492E-2</v>
      </c>
      <c r="F107">
        <f t="shared" si="10"/>
        <v>0</v>
      </c>
      <c r="G107" s="67">
        <f>'Historical VAR'!$G$6</f>
        <v>-1.9839729167757107E-2</v>
      </c>
      <c r="H107">
        <f t="shared" si="11"/>
        <v>0</v>
      </c>
      <c r="I107" s="67">
        <f>'Historical VAR'!$G$7</f>
        <v>-3.1428916759065853E-2</v>
      </c>
      <c r="J107">
        <f t="shared" si="12"/>
        <v>0</v>
      </c>
      <c r="K107" s="67">
        <f ca="1">'Monte Carlo Stimulation'!$I$8</f>
        <v>-2.1559270710709389E-2</v>
      </c>
      <c r="L107">
        <f t="shared" ca="1" si="13"/>
        <v>0</v>
      </c>
      <c r="M107" s="67">
        <f ca="1">'Monte Carlo Stimulation'!$I$9</f>
        <v>-2.919314405717207E-2</v>
      </c>
      <c r="N107">
        <f t="shared" ca="1" si="14"/>
        <v>0</v>
      </c>
    </row>
    <row r="108" spans="1:14">
      <c r="A108" s="12">
        <v>45957</v>
      </c>
      <c r="B108" s="14">
        <v>1.7356077482039538E-3</v>
      </c>
      <c r="C108" s="67">
        <f>'Parametric VAR'!$F$12</f>
        <v>-2.023068247926026E-2</v>
      </c>
      <c r="D108">
        <f t="shared" si="9"/>
        <v>0</v>
      </c>
      <c r="E108" s="67">
        <f>'Parametric VAR'!$F$13</f>
        <v>-2.8682193012943492E-2</v>
      </c>
      <c r="F108">
        <f t="shared" si="10"/>
        <v>0</v>
      </c>
      <c r="G108" s="67">
        <f>'Historical VAR'!$G$6</f>
        <v>-1.9839729167757107E-2</v>
      </c>
      <c r="H108">
        <f t="shared" si="11"/>
        <v>0</v>
      </c>
      <c r="I108" s="67">
        <f>'Historical VAR'!$G$7</f>
        <v>-3.1428916759065853E-2</v>
      </c>
      <c r="J108">
        <f t="shared" si="12"/>
        <v>0</v>
      </c>
      <c r="K108" s="67">
        <f ca="1">'Monte Carlo Stimulation'!$I$8</f>
        <v>-2.1559270710709389E-2</v>
      </c>
      <c r="L108">
        <f t="shared" ca="1" si="13"/>
        <v>0</v>
      </c>
      <c r="M108" s="67">
        <f ca="1">'Monte Carlo Stimulation'!$I$9</f>
        <v>-2.919314405717207E-2</v>
      </c>
      <c r="N108">
        <f t="shared" ca="1" si="14"/>
        <v>0</v>
      </c>
    </row>
    <row r="109" spans="1:14">
      <c r="A109" s="12">
        <v>45954</v>
      </c>
      <c r="B109" s="14">
        <v>-2.5927380372301415E-3</v>
      </c>
      <c r="C109" s="67">
        <f>'Parametric VAR'!$F$12</f>
        <v>-2.023068247926026E-2</v>
      </c>
      <c r="D109">
        <f t="shared" si="9"/>
        <v>0</v>
      </c>
      <c r="E109" s="67">
        <f>'Parametric VAR'!$F$13</f>
        <v>-2.8682193012943492E-2</v>
      </c>
      <c r="F109">
        <f t="shared" si="10"/>
        <v>0</v>
      </c>
      <c r="G109" s="67">
        <f>'Historical VAR'!$G$6</f>
        <v>-1.9839729167757107E-2</v>
      </c>
      <c r="H109">
        <f t="shared" si="11"/>
        <v>0</v>
      </c>
      <c r="I109" s="67">
        <f>'Historical VAR'!$G$7</f>
        <v>-3.1428916759065853E-2</v>
      </c>
      <c r="J109">
        <f t="shared" si="12"/>
        <v>0</v>
      </c>
      <c r="K109" s="67">
        <f ca="1">'Monte Carlo Stimulation'!$I$8</f>
        <v>-2.1559270710709389E-2</v>
      </c>
      <c r="L109">
        <f t="shared" ca="1" si="13"/>
        <v>0</v>
      </c>
      <c r="M109" s="67">
        <f ca="1">'Monte Carlo Stimulation'!$I$9</f>
        <v>-2.919314405717207E-2</v>
      </c>
      <c r="N109">
        <f t="shared" ca="1" si="14"/>
        <v>0</v>
      </c>
    </row>
    <row r="110" spans="1:14">
      <c r="A110" s="12">
        <v>45953</v>
      </c>
      <c r="B110" s="14">
        <v>3.0115290493909393E-4</v>
      </c>
      <c r="C110" s="67">
        <f>'Parametric VAR'!$F$12</f>
        <v>-2.023068247926026E-2</v>
      </c>
      <c r="D110">
        <f t="shared" si="9"/>
        <v>0</v>
      </c>
      <c r="E110" s="67">
        <f>'Parametric VAR'!$F$13</f>
        <v>-2.8682193012943492E-2</v>
      </c>
      <c r="F110">
        <f t="shared" si="10"/>
        <v>0</v>
      </c>
      <c r="G110" s="67">
        <f>'Historical VAR'!$G$6</f>
        <v>-1.9839729167757107E-2</v>
      </c>
      <c r="H110">
        <f t="shared" si="11"/>
        <v>0</v>
      </c>
      <c r="I110" s="67">
        <f>'Historical VAR'!$G$7</f>
        <v>-3.1428916759065853E-2</v>
      </c>
      <c r="J110">
        <f t="shared" si="12"/>
        <v>0</v>
      </c>
      <c r="K110" s="67">
        <f ca="1">'Monte Carlo Stimulation'!$I$8</f>
        <v>-2.1559270710709389E-2</v>
      </c>
      <c r="L110">
        <f t="shared" ca="1" si="13"/>
        <v>0</v>
      </c>
      <c r="M110" s="67">
        <f ca="1">'Monte Carlo Stimulation'!$I$9</f>
        <v>-2.919314405717207E-2</v>
      </c>
      <c r="N110">
        <f t="shared" ca="1" si="14"/>
        <v>0</v>
      </c>
    </row>
    <row r="111" spans="1:14">
      <c r="A111" s="12">
        <v>45951</v>
      </c>
      <c r="B111" s="14">
        <v>1.0358249991755755E-3</v>
      </c>
      <c r="C111" s="67">
        <f>'Parametric VAR'!$F$12</f>
        <v>-2.023068247926026E-2</v>
      </c>
      <c r="D111">
        <f t="shared" si="9"/>
        <v>0</v>
      </c>
      <c r="E111" s="67">
        <f>'Parametric VAR'!$F$13</f>
        <v>-2.8682193012943492E-2</v>
      </c>
      <c r="F111">
        <f t="shared" si="10"/>
        <v>0</v>
      </c>
      <c r="G111" s="67">
        <f>'Historical VAR'!$G$6</f>
        <v>-1.9839729167757107E-2</v>
      </c>
      <c r="H111">
        <f t="shared" si="11"/>
        <v>0</v>
      </c>
      <c r="I111" s="67">
        <f>'Historical VAR'!$G$7</f>
        <v>-3.1428916759065853E-2</v>
      </c>
      <c r="J111">
        <f t="shared" si="12"/>
        <v>0</v>
      </c>
      <c r="K111" s="67">
        <f ca="1">'Monte Carlo Stimulation'!$I$8</f>
        <v>-2.1559270710709389E-2</v>
      </c>
      <c r="L111">
        <f t="shared" ca="1" si="13"/>
        <v>0</v>
      </c>
      <c r="M111" s="67">
        <f ca="1">'Monte Carlo Stimulation'!$I$9</f>
        <v>-2.919314405717207E-2</v>
      </c>
      <c r="N111">
        <f t="shared" ca="1" si="14"/>
        <v>0</v>
      </c>
    </row>
    <row r="112" spans="1:14">
      <c r="A112" s="12">
        <v>45950</v>
      </c>
      <c r="B112" s="14">
        <v>1.5111211939359305E-3</v>
      </c>
      <c r="C112" s="67">
        <f>'Parametric VAR'!$F$12</f>
        <v>-2.023068247926026E-2</v>
      </c>
      <c r="D112">
        <f t="shared" si="9"/>
        <v>0</v>
      </c>
      <c r="E112" s="67">
        <f>'Parametric VAR'!$F$13</f>
        <v>-2.8682193012943492E-2</v>
      </c>
      <c r="F112">
        <f t="shared" si="10"/>
        <v>0</v>
      </c>
      <c r="G112" s="67">
        <f>'Historical VAR'!$G$6</f>
        <v>-1.9839729167757107E-2</v>
      </c>
      <c r="H112">
        <f t="shared" si="11"/>
        <v>0</v>
      </c>
      <c r="I112" s="67">
        <f>'Historical VAR'!$G$7</f>
        <v>-3.1428916759065853E-2</v>
      </c>
      <c r="J112">
        <f t="shared" si="12"/>
        <v>0</v>
      </c>
      <c r="K112" s="67">
        <f ca="1">'Monte Carlo Stimulation'!$I$8</f>
        <v>-2.1559270710709389E-2</v>
      </c>
      <c r="L112">
        <f t="shared" ca="1" si="13"/>
        <v>0</v>
      </c>
      <c r="M112" s="67">
        <f ca="1">'Monte Carlo Stimulation'!$I$9</f>
        <v>-2.919314405717207E-2</v>
      </c>
      <c r="N112">
        <f t="shared" ca="1" si="14"/>
        <v>0</v>
      </c>
    </row>
    <row r="113" spans="1:14">
      <c r="A113" s="12">
        <v>45947</v>
      </c>
      <c r="B113" s="14">
        <v>-5.5765881609083722E-5</v>
      </c>
      <c r="C113" s="67">
        <f>'Parametric VAR'!$F$12</f>
        <v>-2.023068247926026E-2</v>
      </c>
      <c r="D113">
        <f t="shared" si="9"/>
        <v>0</v>
      </c>
      <c r="E113" s="67">
        <f>'Parametric VAR'!$F$13</f>
        <v>-2.8682193012943492E-2</v>
      </c>
      <c r="F113">
        <f t="shared" si="10"/>
        <v>0</v>
      </c>
      <c r="G113" s="67">
        <f>'Historical VAR'!$G$6</f>
        <v>-1.9839729167757107E-2</v>
      </c>
      <c r="H113">
        <f t="shared" si="11"/>
        <v>0</v>
      </c>
      <c r="I113" s="67">
        <f>'Historical VAR'!$G$7</f>
        <v>-3.1428916759065853E-2</v>
      </c>
      <c r="J113">
        <f t="shared" si="12"/>
        <v>0</v>
      </c>
      <c r="K113" s="67">
        <f ca="1">'Monte Carlo Stimulation'!$I$8</f>
        <v>-2.1559270710709389E-2</v>
      </c>
      <c r="L113">
        <f t="shared" ca="1" si="13"/>
        <v>0</v>
      </c>
      <c r="M113" s="67">
        <f ca="1">'Monte Carlo Stimulation'!$I$9</f>
        <v>-2.919314405717207E-2</v>
      </c>
      <c r="N113">
        <f t="shared" ca="1" si="14"/>
        <v>0</v>
      </c>
    </row>
    <row r="114" spans="1:14">
      <c r="A114" s="12">
        <v>45946</v>
      </c>
      <c r="B114" s="14">
        <v>-3.377460132388075E-2</v>
      </c>
      <c r="C114" s="67">
        <f>'Parametric VAR'!$F$12</f>
        <v>-2.023068247926026E-2</v>
      </c>
      <c r="D114">
        <f t="shared" si="9"/>
        <v>1</v>
      </c>
      <c r="E114" s="67">
        <f>'Parametric VAR'!$F$13</f>
        <v>-2.8682193012943492E-2</v>
      </c>
      <c r="F114">
        <f t="shared" si="10"/>
        <v>1</v>
      </c>
      <c r="G114" s="67">
        <f>'Historical VAR'!$G$6</f>
        <v>-1.9839729167757107E-2</v>
      </c>
      <c r="H114">
        <f t="shared" si="11"/>
        <v>1</v>
      </c>
      <c r="I114" s="67">
        <f>'Historical VAR'!$G$7</f>
        <v>-3.1428916759065853E-2</v>
      </c>
      <c r="J114">
        <f t="shared" si="12"/>
        <v>1</v>
      </c>
      <c r="K114" s="67">
        <f ca="1">'Monte Carlo Stimulation'!$I$8</f>
        <v>-2.1559270710709389E-2</v>
      </c>
      <c r="L114">
        <f t="shared" ca="1" si="13"/>
        <v>1</v>
      </c>
      <c r="M114" s="67">
        <f ca="1">'Monte Carlo Stimulation'!$I$9</f>
        <v>-2.919314405717207E-2</v>
      </c>
      <c r="N114">
        <f t="shared" ca="1" si="14"/>
        <v>1</v>
      </c>
    </row>
    <row r="115" spans="1:14">
      <c r="A115" s="12">
        <v>45945</v>
      </c>
      <c r="B115" s="14">
        <v>-1.2382773521957153E-2</v>
      </c>
      <c r="C115" s="67">
        <f>'Parametric VAR'!$F$12</f>
        <v>-2.023068247926026E-2</v>
      </c>
      <c r="D115">
        <f t="shared" si="9"/>
        <v>0</v>
      </c>
      <c r="E115" s="67">
        <f>'Parametric VAR'!$F$13</f>
        <v>-2.8682193012943492E-2</v>
      </c>
      <c r="F115">
        <f t="shared" si="10"/>
        <v>0</v>
      </c>
      <c r="G115" s="67">
        <f>'Historical VAR'!$G$6</f>
        <v>-1.9839729167757107E-2</v>
      </c>
      <c r="H115">
        <f t="shared" si="11"/>
        <v>0</v>
      </c>
      <c r="I115" s="67">
        <f>'Historical VAR'!$G$7</f>
        <v>-3.1428916759065853E-2</v>
      </c>
      <c r="J115">
        <f t="shared" si="12"/>
        <v>0</v>
      </c>
      <c r="K115" s="67">
        <f ca="1">'Monte Carlo Stimulation'!$I$8</f>
        <v>-2.1559270710709389E-2</v>
      </c>
      <c r="L115">
        <f t="shared" ca="1" si="13"/>
        <v>0</v>
      </c>
      <c r="M115" s="67">
        <f ca="1">'Monte Carlo Stimulation'!$I$9</f>
        <v>-2.919314405717207E-2</v>
      </c>
      <c r="N115">
        <f t="shared" ca="1" si="14"/>
        <v>0</v>
      </c>
    </row>
    <row r="116" spans="1:14">
      <c r="A116" s="12">
        <v>45944</v>
      </c>
      <c r="B116" s="14">
        <v>-1.5178065166141447E-2</v>
      </c>
      <c r="C116" s="67">
        <f>'Parametric VAR'!$F$12</f>
        <v>-2.023068247926026E-2</v>
      </c>
      <c r="D116">
        <f t="shared" si="9"/>
        <v>0</v>
      </c>
      <c r="E116" s="67">
        <f>'Parametric VAR'!$F$13</f>
        <v>-2.8682193012943492E-2</v>
      </c>
      <c r="F116">
        <f t="shared" si="10"/>
        <v>0</v>
      </c>
      <c r="G116" s="67">
        <f>'Historical VAR'!$G$6</f>
        <v>-1.9839729167757107E-2</v>
      </c>
      <c r="H116">
        <f t="shared" si="11"/>
        <v>0</v>
      </c>
      <c r="I116" s="67">
        <f>'Historical VAR'!$G$7</f>
        <v>-3.1428916759065853E-2</v>
      </c>
      <c r="J116">
        <f t="shared" si="12"/>
        <v>0</v>
      </c>
      <c r="K116" s="67">
        <f ca="1">'Monte Carlo Stimulation'!$I$8</f>
        <v>-2.1559270710709389E-2</v>
      </c>
      <c r="L116">
        <f t="shared" ca="1" si="13"/>
        <v>0</v>
      </c>
      <c r="M116" s="67">
        <f ca="1">'Monte Carlo Stimulation'!$I$9</f>
        <v>-2.919314405717207E-2</v>
      </c>
      <c r="N116">
        <f t="shared" ca="1" si="14"/>
        <v>0</v>
      </c>
    </row>
    <row r="117" spans="1:14">
      <c r="A117" s="12">
        <v>45943</v>
      </c>
      <c r="B117" s="14">
        <v>7.3396912174648219E-3</v>
      </c>
      <c r="C117" s="67">
        <f>'Parametric VAR'!$F$12</f>
        <v>-2.023068247926026E-2</v>
      </c>
      <c r="D117">
        <f t="shared" si="9"/>
        <v>0</v>
      </c>
      <c r="E117" s="67">
        <f>'Parametric VAR'!$F$13</f>
        <v>-2.8682193012943492E-2</v>
      </c>
      <c r="F117">
        <f t="shared" si="10"/>
        <v>0</v>
      </c>
      <c r="G117" s="67">
        <f>'Historical VAR'!$G$6</f>
        <v>-1.9839729167757107E-2</v>
      </c>
      <c r="H117">
        <f t="shared" si="11"/>
        <v>0</v>
      </c>
      <c r="I117" s="67">
        <f>'Historical VAR'!$G$7</f>
        <v>-3.1428916759065853E-2</v>
      </c>
      <c r="J117">
        <f t="shared" si="12"/>
        <v>0</v>
      </c>
      <c r="K117" s="67">
        <f ca="1">'Monte Carlo Stimulation'!$I$8</f>
        <v>-2.1559270710709389E-2</v>
      </c>
      <c r="L117">
        <f t="shared" ca="1" si="13"/>
        <v>0</v>
      </c>
      <c r="M117" s="67">
        <f ca="1">'Monte Carlo Stimulation'!$I$9</f>
        <v>-2.919314405717207E-2</v>
      </c>
      <c r="N117">
        <f t="shared" ca="1" si="14"/>
        <v>0</v>
      </c>
    </row>
    <row r="118" spans="1:14">
      <c r="A118" s="12">
        <v>45940</v>
      </c>
      <c r="B118" s="14">
        <v>-1.645221399999467E-5</v>
      </c>
      <c r="C118" s="67">
        <f>'Parametric VAR'!$F$12</f>
        <v>-2.023068247926026E-2</v>
      </c>
      <c r="D118">
        <f t="shared" si="9"/>
        <v>0</v>
      </c>
      <c r="E118" s="67">
        <f>'Parametric VAR'!$F$13</f>
        <v>-2.8682193012943492E-2</v>
      </c>
      <c r="F118">
        <f t="shared" si="10"/>
        <v>0</v>
      </c>
      <c r="G118" s="67">
        <f>'Historical VAR'!$G$6</f>
        <v>-1.9839729167757107E-2</v>
      </c>
      <c r="H118">
        <f t="shared" si="11"/>
        <v>0</v>
      </c>
      <c r="I118" s="67">
        <f>'Historical VAR'!$G$7</f>
        <v>-3.1428916759065853E-2</v>
      </c>
      <c r="J118">
        <f t="shared" si="12"/>
        <v>0</v>
      </c>
      <c r="K118" s="67">
        <f ca="1">'Monte Carlo Stimulation'!$I$8</f>
        <v>-2.1559270710709389E-2</v>
      </c>
      <c r="L118">
        <f t="shared" ca="1" si="13"/>
        <v>0</v>
      </c>
      <c r="M118" s="67">
        <f ca="1">'Monte Carlo Stimulation'!$I$9</f>
        <v>-2.919314405717207E-2</v>
      </c>
      <c r="N118">
        <f t="shared" ca="1" si="14"/>
        <v>0</v>
      </c>
    </row>
    <row r="119" spans="1:14">
      <c r="A119" s="12">
        <v>45939</v>
      </c>
      <c r="B119" s="14">
        <v>-2.642864329617751E-3</v>
      </c>
      <c r="C119" s="67">
        <f>'Parametric VAR'!$F$12</f>
        <v>-2.023068247926026E-2</v>
      </c>
      <c r="D119">
        <f t="shared" si="9"/>
        <v>0</v>
      </c>
      <c r="E119" s="67">
        <f>'Parametric VAR'!$F$13</f>
        <v>-2.8682193012943492E-2</v>
      </c>
      <c r="F119">
        <f t="shared" si="10"/>
        <v>0</v>
      </c>
      <c r="G119" s="67">
        <f>'Historical VAR'!$G$6</f>
        <v>-1.9839729167757107E-2</v>
      </c>
      <c r="H119">
        <f t="shared" si="11"/>
        <v>0</v>
      </c>
      <c r="I119" s="67">
        <f>'Historical VAR'!$G$7</f>
        <v>-3.1428916759065853E-2</v>
      </c>
      <c r="J119">
        <f t="shared" si="12"/>
        <v>0</v>
      </c>
      <c r="K119" s="67">
        <f ca="1">'Monte Carlo Stimulation'!$I$8</f>
        <v>-2.1559270710709389E-2</v>
      </c>
      <c r="L119">
        <f t="shared" ca="1" si="13"/>
        <v>0</v>
      </c>
      <c r="M119" s="67">
        <f ca="1">'Monte Carlo Stimulation'!$I$9</f>
        <v>-2.919314405717207E-2</v>
      </c>
      <c r="N119">
        <f t="shared" ca="1" si="14"/>
        <v>0</v>
      </c>
    </row>
    <row r="120" spans="1:14">
      <c r="A120" s="12">
        <v>45938</v>
      </c>
      <c r="B120" s="14">
        <v>-4.5933419789069285E-3</v>
      </c>
      <c r="C120" s="67">
        <f>'Parametric VAR'!$F$12</f>
        <v>-2.023068247926026E-2</v>
      </c>
      <c r="D120">
        <f t="shared" si="9"/>
        <v>0</v>
      </c>
      <c r="E120" s="67">
        <f>'Parametric VAR'!$F$13</f>
        <v>-2.8682193012943492E-2</v>
      </c>
      <c r="F120">
        <f t="shared" si="10"/>
        <v>0</v>
      </c>
      <c r="G120" s="67">
        <f>'Historical VAR'!$G$6</f>
        <v>-1.9839729167757107E-2</v>
      </c>
      <c r="H120">
        <f t="shared" si="11"/>
        <v>0</v>
      </c>
      <c r="I120" s="67">
        <f>'Historical VAR'!$G$7</f>
        <v>-3.1428916759065853E-2</v>
      </c>
      <c r="J120">
        <f t="shared" si="12"/>
        <v>0</v>
      </c>
      <c r="K120" s="67">
        <f ca="1">'Monte Carlo Stimulation'!$I$8</f>
        <v>-2.1559270710709389E-2</v>
      </c>
      <c r="L120">
        <f t="shared" ca="1" si="13"/>
        <v>0</v>
      </c>
      <c r="M120" s="67">
        <f ca="1">'Monte Carlo Stimulation'!$I$9</f>
        <v>-2.919314405717207E-2</v>
      </c>
      <c r="N120">
        <f t="shared" ca="1" si="14"/>
        <v>0</v>
      </c>
    </row>
    <row r="121" spans="1:14">
      <c r="A121" s="12">
        <v>45937</v>
      </c>
      <c r="B121" s="14">
        <v>1.0987451663069501E-2</v>
      </c>
      <c r="C121" s="67">
        <f>'Parametric VAR'!$F$12</f>
        <v>-2.023068247926026E-2</v>
      </c>
      <c r="D121">
        <f t="shared" si="9"/>
        <v>0</v>
      </c>
      <c r="E121" s="67">
        <f>'Parametric VAR'!$F$13</f>
        <v>-2.8682193012943492E-2</v>
      </c>
      <c r="F121">
        <f t="shared" si="10"/>
        <v>0</v>
      </c>
      <c r="G121" s="67">
        <f>'Historical VAR'!$G$6</f>
        <v>-1.9839729167757107E-2</v>
      </c>
      <c r="H121">
        <f t="shared" si="11"/>
        <v>0</v>
      </c>
      <c r="I121" s="67">
        <f>'Historical VAR'!$G$7</f>
        <v>-3.1428916759065853E-2</v>
      </c>
      <c r="J121">
        <f t="shared" si="12"/>
        <v>0</v>
      </c>
      <c r="K121" s="67">
        <f ca="1">'Monte Carlo Stimulation'!$I$8</f>
        <v>-2.1559270710709389E-2</v>
      </c>
      <c r="L121">
        <f t="shared" ca="1" si="13"/>
        <v>0</v>
      </c>
      <c r="M121" s="67">
        <f ca="1">'Monte Carlo Stimulation'!$I$9</f>
        <v>-2.919314405717207E-2</v>
      </c>
      <c r="N121">
        <f t="shared" ca="1" si="14"/>
        <v>0</v>
      </c>
    </row>
    <row r="122" spans="1:14">
      <c r="A122" s="12">
        <v>45936</v>
      </c>
      <c r="B122" s="14">
        <v>4.9413700036044276E-4</v>
      </c>
      <c r="C122" s="67">
        <f>'Parametric VAR'!$F$12</f>
        <v>-2.023068247926026E-2</v>
      </c>
      <c r="D122">
        <f t="shared" si="9"/>
        <v>0</v>
      </c>
      <c r="E122" s="67">
        <f>'Parametric VAR'!$F$13</f>
        <v>-2.8682193012943492E-2</v>
      </c>
      <c r="F122">
        <f t="shared" si="10"/>
        <v>0</v>
      </c>
      <c r="G122" s="67">
        <f>'Historical VAR'!$G$6</f>
        <v>-1.9839729167757107E-2</v>
      </c>
      <c r="H122">
        <f t="shared" si="11"/>
        <v>0</v>
      </c>
      <c r="I122" s="67">
        <f>'Historical VAR'!$G$7</f>
        <v>-3.1428916759065853E-2</v>
      </c>
      <c r="J122">
        <f t="shared" si="12"/>
        <v>0</v>
      </c>
      <c r="K122" s="67">
        <f ca="1">'Monte Carlo Stimulation'!$I$8</f>
        <v>-2.1559270710709389E-2</v>
      </c>
      <c r="L122">
        <f t="shared" ca="1" si="13"/>
        <v>0</v>
      </c>
      <c r="M122" s="67">
        <f ca="1">'Monte Carlo Stimulation'!$I$9</f>
        <v>-2.919314405717207E-2</v>
      </c>
      <c r="N122">
        <f t="shared" ca="1" si="14"/>
        <v>0</v>
      </c>
    </row>
    <row r="123" spans="1:14">
      <c r="A123" s="12">
        <v>45933</v>
      </c>
      <c r="B123" s="14">
        <v>4.8497727942861295E-3</v>
      </c>
      <c r="C123" s="67">
        <f>'Parametric VAR'!$F$12</f>
        <v>-2.023068247926026E-2</v>
      </c>
      <c r="D123">
        <f t="shared" si="9"/>
        <v>0</v>
      </c>
      <c r="E123" s="67">
        <f>'Parametric VAR'!$F$13</f>
        <v>-2.8682193012943492E-2</v>
      </c>
      <c r="F123">
        <f t="shared" si="10"/>
        <v>0</v>
      </c>
      <c r="G123" s="67">
        <f>'Historical VAR'!$G$6</f>
        <v>-1.9839729167757107E-2</v>
      </c>
      <c r="H123">
        <f t="shared" si="11"/>
        <v>0</v>
      </c>
      <c r="I123" s="67">
        <f>'Historical VAR'!$G$7</f>
        <v>-3.1428916759065853E-2</v>
      </c>
      <c r="J123">
        <f t="shared" si="12"/>
        <v>0</v>
      </c>
      <c r="K123" s="67">
        <f ca="1">'Monte Carlo Stimulation'!$I$8</f>
        <v>-2.1559270710709389E-2</v>
      </c>
      <c r="L123">
        <f t="shared" ca="1" si="13"/>
        <v>0</v>
      </c>
      <c r="M123" s="67">
        <f ca="1">'Monte Carlo Stimulation'!$I$9</f>
        <v>-2.919314405717207E-2</v>
      </c>
      <c r="N123">
        <f t="shared" ca="1" si="14"/>
        <v>0</v>
      </c>
    </row>
    <row r="124" spans="1:14">
      <c r="A124" s="12">
        <v>45931</v>
      </c>
      <c r="B124" s="14">
        <v>-1.2040366082106919E-2</v>
      </c>
      <c r="C124" s="67">
        <f>'Parametric VAR'!$F$12</f>
        <v>-2.023068247926026E-2</v>
      </c>
      <c r="D124">
        <f t="shared" si="9"/>
        <v>0</v>
      </c>
      <c r="E124" s="67">
        <f>'Parametric VAR'!$F$13</f>
        <v>-2.8682193012943492E-2</v>
      </c>
      <c r="F124">
        <f t="shared" si="10"/>
        <v>0</v>
      </c>
      <c r="G124" s="67">
        <f>'Historical VAR'!$G$6</f>
        <v>-1.9839729167757107E-2</v>
      </c>
      <c r="H124">
        <f t="shared" si="11"/>
        <v>0</v>
      </c>
      <c r="I124" s="67">
        <f>'Historical VAR'!$G$7</f>
        <v>-3.1428916759065853E-2</v>
      </c>
      <c r="J124">
        <f t="shared" si="12"/>
        <v>0</v>
      </c>
      <c r="K124" s="67">
        <f ca="1">'Monte Carlo Stimulation'!$I$8</f>
        <v>-2.1559270710709389E-2</v>
      </c>
      <c r="L124">
        <f t="shared" ca="1" si="13"/>
        <v>0</v>
      </c>
      <c r="M124" s="67">
        <f ca="1">'Monte Carlo Stimulation'!$I$9</f>
        <v>-2.919314405717207E-2</v>
      </c>
      <c r="N124">
        <f t="shared" ca="1" si="14"/>
        <v>0</v>
      </c>
    </row>
    <row r="125" spans="1:14">
      <c r="A125" s="12">
        <v>45930</v>
      </c>
      <c r="B125" s="14">
        <v>-1.1242898416884328E-3</v>
      </c>
      <c r="C125" s="67">
        <f>'Parametric VAR'!$F$12</f>
        <v>-2.023068247926026E-2</v>
      </c>
      <c r="D125">
        <f t="shared" si="9"/>
        <v>0</v>
      </c>
      <c r="E125" s="67">
        <f>'Parametric VAR'!$F$13</f>
        <v>-2.8682193012943492E-2</v>
      </c>
      <c r="F125">
        <f t="shared" si="10"/>
        <v>0</v>
      </c>
      <c r="G125" s="67">
        <f>'Historical VAR'!$G$6</f>
        <v>-1.9839729167757107E-2</v>
      </c>
      <c r="H125">
        <f t="shared" si="11"/>
        <v>0</v>
      </c>
      <c r="I125" s="67">
        <f>'Historical VAR'!$G$7</f>
        <v>-3.1428916759065853E-2</v>
      </c>
      <c r="J125">
        <f t="shared" si="12"/>
        <v>0</v>
      </c>
      <c r="K125" s="67">
        <f ca="1">'Monte Carlo Stimulation'!$I$8</f>
        <v>-2.1559270710709389E-2</v>
      </c>
      <c r="L125">
        <f t="shared" ca="1" si="13"/>
        <v>0</v>
      </c>
      <c r="M125" s="67">
        <f ca="1">'Monte Carlo Stimulation'!$I$9</f>
        <v>-2.919314405717207E-2</v>
      </c>
      <c r="N125">
        <f t="shared" ca="1" si="14"/>
        <v>0</v>
      </c>
    </row>
    <row r="126" spans="1:14">
      <c r="A126" s="12">
        <v>45929</v>
      </c>
      <c r="B126" s="14">
        <v>-2.2490104669897399E-3</v>
      </c>
      <c r="C126" s="67">
        <f>'Parametric VAR'!$F$12</f>
        <v>-2.023068247926026E-2</v>
      </c>
      <c r="D126">
        <f t="shared" si="9"/>
        <v>0</v>
      </c>
      <c r="E126" s="67">
        <f>'Parametric VAR'!$F$13</f>
        <v>-2.8682193012943492E-2</v>
      </c>
      <c r="F126">
        <f t="shared" si="10"/>
        <v>0</v>
      </c>
      <c r="G126" s="67">
        <f>'Historical VAR'!$G$6</f>
        <v>-1.9839729167757107E-2</v>
      </c>
      <c r="H126">
        <f t="shared" si="11"/>
        <v>0</v>
      </c>
      <c r="I126" s="67">
        <f>'Historical VAR'!$G$7</f>
        <v>-3.1428916759065853E-2</v>
      </c>
      <c r="J126">
        <f t="shared" si="12"/>
        <v>0</v>
      </c>
      <c r="K126" s="67">
        <f ca="1">'Monte Carlo Stimulation'!$I$8</f>
        <v>-2.1559270710709389E-2</v>
      </c>
      <c r="L126">
        <f t="shared" ca="1" si="13"/>
        <v>0</v>
      </c>
      <c r="M126" s="67">
        <f ca="1">'Monte Carlo Stimulation'!$I$9</f>
        <v>-2.919314405717207E-2</v>
      </c>
      <c r="N126">
        <f t="shared" ca="1" si="14"/>
        <v>0</v>
      </c>
    </row>
    <row r="127" spans="1:14">
      <c r="A127" s="12">
        <v>45926</v>
      </c>
      <c r="B127" s="14">
        <v>2.9918675773571868E-3</v>
      </c>
      <c r="C127" s="67">
        <f>'Parametric VAR'!$F$12</f>
        <v>-2.023068247926026E-2</v>
      </c>
      <c r="D127">
        <f t="shared" si="9"/>
        <v>0</v>
      </c>
      <c r="E127" s="67">
        <f>'Parametric VAR'!$F$13</f>
        <v>-2.8682193012943492E-2</v>
      </c>
      <c r="F127">
        <f t="shared" si="10"/>
        <v>0</v>
      </c>
      <c r="G127" s="67">
        <f>'Historical VAR'!$G$6</f>
        <v>-1.9839729167757107E-2</v>
      </c>
      <c r="H127">
        <f t="shared" si="11"/>
        <v>0</v>
      </c>
      <c r="I127" s="67">
        <f>'Historical VAR'!$G$7</f>
        <v>-3.1428916759065853E-2</v>
      </c>
      <c r="J127">
        <f t="shared" si="12"/>
        <v>0</v>
      </c>
      <c r="K127" s="67">
        <f ca="1">'Monte Carlo Stimulation'!$I$8</f>
        <v>-2.1559270710709389E-2</v>
      </c>
      <c r="L127">
        <f t="shared" ca="1" si="13"/>
        <v>0</v>
      </c>
      <c r="M127" s="67">
        <f ca="1">'Monte Carlo Stimulation'!$I$9</f>
        <v>-2.919314405717207E-2</v>
      </c>
      <c r="N127">
        <f t="shared" ca="1" si="14"/>
        <v>0</v>
      </c>
    </row>
    <row r="128" spans="1:14">
      <c r="A128" s="12">
        <v>45925</v>
      </c>
      <c r="B128" s="14">
        <v>2.2220768382622099E-2</v>
      </c>
      <c r="C128" s="67">
        <f>'Parametric VAR'!$F$12</f>
        <v>-2.023068247926026E-2</v>
      </c>
      <c r="D128">
        <f t="shared" si="9"/>
        <v>0</v>
      </c>
      <c r="E128" s="67">
        <f>'Parametric VAR'!$F$13</f>
        <v>-2.8682193012943492E-2</v>
      </c>
      <c r="F128">
        <f t="shared" si="10"/>
        <v>0</v>
      </c>
      <c r="G128" s="67">
        <f>'Historical VAR'!$G$6</f>
        <v>-1.9839729167757107E-2</v>
      </c>
      <c r="H128">
        <f t="shared" si="11"/>
        <v>0</v>
      </c>
      <c r="I128" s="67">
        <f>'Historical VAR'!$G$7</f>
        <v>-3.1428916759065853E-2</v>
      </c>
      <c r="J128">
        <f t="shared" si="12"/>
        <v>0</v>
      </c>
      <c r="K128" s="67">
        <f ca="1">'Monte Carlo Stimulation'!$I$8</f>
        <v>-2.1559270710709389E-2</v>
      </c>
      <c r="L128">
        <f t="shared" ca="1" si="13"/>
        <v>0</v>
      </c>
      <c r="M128" s="67">
        <f ca="1">'Monte Carlo Stimulation'!$I$9</f>
        <v>-2.919314405717207E-2</v>
      </c>
      <c r="N128">
        <f t="shared" ca="1" si="14"/>
        <v>0</v>
      </c>
    </row>
    <row r="129" spans="1:14">
      <c r="A129" s="12">
        <v>45924</v>
      </c>
      <c r="B129" s="14">
        <v>1.7141176195228251E-2</v>
      </c>
      <c r="C129" s="67">
        <f>'Parametric VAR'!$F$12</f>
        <v>-2.023068247926026E-2</v>
      </c>
      <c r="D129">
        <f t="shared" si="9"/>
        <v>0</v>
      </c>
      <c r="E129" s="67">
        <f>'Parametric VAR'!$F$13</f>
        <v>-2.8682193012943492E-2</v>
      </c>
      <c r="F129">
        <f t="shared" si="10"/>
        <v>0</v>
      </c>
      <c r="G129" s="67">
        <f>'Historical VAR'!$G$6</f>
        <v>-1.9839729167757107E-2</v>
      </c>
      <c r="H129">
        <f t="shared" si="11"/>
        <v>0</v>
      </c>
      <c r="I129" s="67">
        <f>'Historical VAR'!$G$7</f>
        <v>-3.1428916759065853E-2</v>
      </c>
      <c r="J129">
        <f t="shared" si="12"/>
        <v>0</v>
      </c>
      <c r="K129" s="67">
        <f ca="1">'Monte Carlo Stimulation'!$I$8</f>
        <v>-2.1559270710709389E-2</v>
      </c>
      <c r="L129">
        <f t="shared" ca="1" si="13"/>
        <v>0</v>
      </c>
      <c r="M129" s="67">
        <f ca="1">'Monte Carlo Stimulation'!$I$9</f>
        <v>-2.919314405717207E-2</v>
      </c>
      <c r="N129">
        <f t="shared" ca="1" si="14"/>
        <v>0</v>
      </c>
    </row>
    <row r="130" spans="1:14">
      <c r="A130" s="12">
        <v>45923</v>
      </c>
      <c r="B130" s="14">
        <v>-3.8769259700780711E-3</v>
      </c>
      <c r="C130" s="67">
        <f>'Parametric VAR'!$F$12</f>
        <v>-2.023068247926026E-2</v>
      </c>
      <c r="D130">
        <f t="shared" si="9"/>
        <v>0</v>
      </c>
      <c r="E130" s="67">
        <f>'Parametric VAR'!$F$13</f>
        <v>-2.8682193012943492E-2</v>
      </c>
      <c r="F130">
        <f t="shared" si="10"/>
        <v>0</v>
      </c>
      <c r="G130" s="67">
        <f>'Historical VAR'!$G$6</f>
        <v>-1.9839729167757107E-2</v>
      </c>
      <c r="H130">
        <f t="shared" si="11"/>
        <v>0</v>
      </c>
      <c r="I130" s="67">
        <f>'Historical VAR'!$G$7</f>
        <v>-3.1428916759065853E-2</v>
      </c>
      <c r="J130">
        <f t="shared" si="12"/>
        <v>0</v>
      </c>
      <c r="K130" s="67">
        <f ca="1">'Monte Carlo Stimulation'!$I$8</f>
        <v>-2.1559270710709389E-2</v>
      </c>
      <c r="L130">
        <f t="shared" ca="1" si="13"/>
        <v>0</v>
      </c>
      <c r="M130" s="67">
        <f ca="1">'Monte Carlo Stimulation'!$I$9</f>
        <v>-2.919314405717207E-2</v>
      </c>
      <c r="N130">
        <f t="shared" ca="1" si="14"/>
        <v>0</v>
      </c>
    </row>
    <row r="131" spans="1:14">
      <c r="A131" s="12">
        <v>45922</v>
      </c>
      <c r="B131" s="14">
        <v>1.0981879813734944E-2</v>
      </c>
      <c r="C131" s="67">
        <f>'Parametric VAR'!$F$12</f>
        <v>-2.023068247926026E-2</v>
      </c>
      <c r="D131">
        <f t="shared" si="9"/>
        <v>0</v>
      </c>
      <c r="E131" s="67">
        <f>'Parametric VAR'!$F$13</f>
        <v>-2.8682193012943492E-2</v>
      </c>
      <c r="F131">
        <f t="shared" si="10"/>
        <v>0</v>
      </c>
      <c r="G131" s="67">
        <f>'Historical VAR'!$G$6</f>
        <v>-1.9839729167757107E-2</v>
      </c>
      <c r="H131">
        <f t="shared" si="11"/>
        <v>0</v>
      </c>
      <c r="I131" s="67">
        <f>'Historical VAR'!$G$7</f>
        <v>-3.1428916759065853E-2</v>
      </c>
      <c r="J131">
        <f t="shared" si="12"/>
        <v>0</v>
      </c>
      <c r="K131" s="67">
        <f ca="1">'Monte Carlo Stimulation'!$I$8</f>
        <v>-2.1559270710709389E-2</v>
      </c>
      <c r="L131">
        <f t="shared" ca="1" si="13"/>
        <v>0</v>
      </c>
      <c r="M131" s="67">
        <f ca="1">'Monte Carlo Stimulation'!$I$9</f>
        <v>-2.919314405717207E-2</v>
      </c>
      <c r="N131">
        <f t="shared" ca="1" si="14"/>
        <v>0</v>
      </c>
    </row>
    <row r="132" spans="1:14">
      <c r="A132" s="12">
        <v>45919</v>
      </c>
      <c r="B132" s="14">
        <v>-2.0263166983155209E-4</v>
      </c>
      <c r="C132" s="67">
        <f>'Parametric VAR'!$F$12</f>
        <v>-2.023068247926026E-2</v>
      </c>
      <c r="D132">
        <f t="shared" ref="D132:D195" si="15">IF(B132&lt;C132,1,0)</f>
        <v>0</v>
      </c>
      <c r="E132" s="67">
        <f>'Parametric VAR'!$F$13</f>
        <v>-2.8682193012943492E-2</v>
      </c>
      <c r="F132">
        <f t="shared" ref="F132:F195" si="16">IF(B132&lt;E132,1,0)</f>
        <v>0</v>
      </c>
      <c r="G132" s="67">
        <f>'Historical VAR'!$G$6</f>
        <v>-1.9839729167757107E-2</v>
      </c>
      <c r="H132">
        <f t="shared" ref="H132:H195" si="17">IF(B132&lt;G132,1,0)</f>
        <v>0</v>
      </c>
      <c r="I132" s="67">
        <f>'Historical VAR'!$G$7</f>
        <v>-3.1428916759065853E-2</v>
      </c>
      <c r="J132">
        <f t="shared" ref="J132:J195" si="18">IF(B132&lt;I132,1,0)</f>
        <v>0</v>
      </c>
      <c r="K132" s="67">
        <f ca="1">'Monte Carlo Stimulation'!$I$8</f>
        <v>-2.1559270710709389E-2</v>
      </c>
      <c r="L132">
        <f t="shared" ref="L132:L195" ca="1" si="19">IF(B132&lt;K132,1,0)</f>
        <v>0</v>
      </c>
      <c r="M132" s="67">
        <f ca="1">'Monte Carlo Stimulation'!$I$9</f>
        <v>-2.919314405717207E-2</v>
      </c>
      <c r="N132">
        <f t="shared" ref="N132:N195" ca="1" si="20">IF(B132&lt;M132,1,0)</f>
        <v>0</v>
      </c>
    </row>
    <row r="133" spans="1:14">
      <c r="A133" s="12">
        <v>45918</v>
      </c>
      <c r="B133" s="14">
        <v>8.9623526494341335E-4</v>
      </c>
      <c r="C133" s="67">
        <f>'Parametric VAR'!$F$12</f>
        <v>-2.023068247926026E-2</v>
      </c>
      <c r="D133">
        <f t="shared" si="15"/>
        <v>0</v>
      </c>
      <c r="E133" s="67">
        <f>'Parametric VAR'!$F$13</f>
        <v>-2.8682193012943492E-2</v>
      </c>
      <c r="F133">
        <f t="shared" si="16"/>
        <v>0</v>
      </c>
      <c r="G133" s="67">
        <f>'Historical VAR'!$G$6</f>
        <v>-1.9839729167757107E-2</v>
      </c>
      <c r="H133">
        <f t="shared" si="17"/>
        <v>0</v>
      </c>
      <c r="I133" s="67">
        <f>'Historical VAR'!$G$7</f>
        <v>-3.1428916759065853E-2</v>
      </c>
      <c r="J133">
        <f t="shared" si="18"/>
        <v>0</v>
      </c>
      <c r="K133" s="67">
        <f ca="1">'Monte Carlo Stimulation'!$I$8</f>
        <v>-2.1559270710709389E-2</v>
      </c>
      <c r="L133">
        <f t="shared" ca="1" si="19"/>
        <v>0</v>
      </c>
      <c r="M133" s="67">
        <f ca="1">'Monte Carlo Stimulation'!$I$9</f>
        <v>-2.919314405717207E-2</v>
      </c>
      <c r="N133">
        <f t="shared" ca="1" si="20"/>
        <v>0</v>
      </c>
    </row>
    <row r="134" spans="1:14">
      <c r="A134" s="12">
        <v>45917</v>
      </c>
      <c r="B134" s="14">
        <v>2.7640375798272205E-3</v>
      </c>
      <c r="C134" s="67">
        <f>'Parametric VAR'!$F$12</f>
        <v>-2.023068247926026E-2</v>
      </c>
      <c r="D134">
        <f t="shared" si="15"/>
        <v>0</v>
      </c>
      <c r="E134" s="67">
        <f>'Parametric VAR'!$F$13</f>
        <v>-2.8682193012943492E-2</v>
      </c>
      <c r="F134">
        <f t="shared" si="16"/>
        <v>0</v>
      </c>
      <c r="G134" s="67">
        <f>'Historical VAR'!$G$6</f>
        <v>-1.9839729167757107E-2</v>
      </c>
      <c r="H134">
        <f t="shared" si="17"/>
        <v>0</v>
      </c>
      <c r="I134" s="67">
        <f>'Historical VAR'!$G$7</f>
        <v>-3.1428916759065853E-2</v>
      </c>
      <c r="J134">
        <f t="shared" si="18"/>
        <v>0</v>
      </c>
      <c r="K134" s="67">
        <f ca="1">'Monte Carlo Stimulation'!$I$8</f>
        <v>-2.1559270710709389E-2</v>
      </c>
      <c r="L134">
        <f t="shared" ca="1" si="19"/>
        <v>0</v>
      </c>
      <c r="M134" s="67">
        <f ca="1">'Monte Carlo Stimulation'!$I$9</f>
        <v>-2.919314405717207E-2</v>
      </c>
      <c r="N134">
        <f t="shared" ca="1" si="20"/>
        <v>0</v>
      </c>
    </row>
    <row r="135" spans="1:14">
      <c r="A135" s="12">
        <v>45916</v>
      </c>
      <c r="B135" s="14">
        <v>-3.6869396941039407E-3</v>
      </c>
      <c r="C135" s="67">
        <f>'Parametric VAR'!$F$12</f>
        <v>-2.023068247926026E-2</v>
      </c>
      <c r="D135">
        <f t="shared" si="15"/>
        <v>0</v>
      </c>
      <c r="E135" s="67">
        <f>'Parametric VAR'!$F$13</f>
        <v>-2.8682193012943492E-2</v>
      </c>
      <c r="F135">
        <f t="shared" si="16"/>
        <v>0</v>
      </c>
      <c r="G135" s="67">
        <f>'Historical VAR'!$G$6</f>
        <v>-1.9839729167757107E-2</v>
      </c>
      <c r="H135">
        <f t="shared" si="17"/>
        <v>0</v>
      </c>
      <c r="I135" s="67">
        <f>'Historical VAR'!$G$7</f>
        <v>-3.1428916759065853E-2</v>
      </c>
      <c r="J135">
        <f t="shared" si="18"/>
        <v>0</v>
      </c>
      <c r="K135" s="67">
        <f ca="1">'Monte Carlo Stimulation'!$I$8</f>
        <v>-2.1559270710709389E-2</v>
      </c>
      <c r="L135">
        <f t="shared" ca="1" si="19"/>
        <v>0</v>
      </c>
      <c r="M135" s="67">
        <f ca="1">'Monte Carlo Stimulation'!$I$9</f>
        <v>-2.919314405717207E-2</v>
      </c>
      <c r="N135">
        <f t="shared" ca="1" si="20"/>
        <v>0</v>
      </c>
    </row>
    <row r="136" spans="1:14">
      <c r="A136" s="12">
        <v>45915</v>
      </c>
      <c r="B136" s="14">
        <v>8.7856796895925352E-3</v>
      </c>
      <c r="C136" s="67">
        <f>'Parametric VAR'!$F$12</f>
        <v>-2.023068247926026E-2</v>
      </c>
      <c r="D136">
        <f t="shared" si="15"/>
        <v>0</v>
      </c>
      <c r="E136" s="67">
        <f>'Parametric VAR'!$F$13</f>
        <v>-2.8682193012943492E-2</v>
      </c>
      <c r="F136">
        <f t="shared" si="16"/>
        <v>0</v>
      </c>
      <c r="G136" s="67">
        <f>'Historical VAR'!$G$6</f>
        <v>-1.9839729167757107E-2</v>
      </c>
      <c r="H136">
        <f t="shared" si="17"/>
        <v>0</v>
      </c>
      <c r="I136" s="67">
        <f>'Historical VAR'!$G$7</f>
        <v>-3.1428916759065853E-2</v>
      </c>
      <c r="J136">
        <f t="shared" si="18"/>
        <v>0</v>
      </c>
      <c r="K136" s="67">
        <f ca="1">'Monte Carlo Stimulation'!$I$8</f>
        <v>-2.1559270710709389E-2</v>
      </c>
      <c r="L136">
        <f t="shared" ca="1" si="19"/>
        <v>0</v>
      </c>
      <c r="M136" s="67">
        <f ca="1">'Monte Carlo Stimulation'!$I$9</f>
        <v>-2.919314405717207E-2</v>
      </c>
      <c r="N136">
        <f t="shared" ca="1" si="20"/>
        <v>0</v>
      </c>
    </row>
    <row r="137" spans="1:14">
      <c r="A137" s="12">
        <v>45912</v>
      </c>
      <c r="B137" s="14">
        <v>1.0688764568013511E-2</v>
      </c>
      <c r="C137" s="67">
        <f>'Parametric VAR'!$F$12</f>
        <v>-2.023068247926026E-2</v>
      </c>
      <c r="D137">
        <f t="shared" si="15"/>
        <v>0</v>
      </c>
      <c r="E137" s="67">
        <f>'Parametric VAR'!$F$13</f>
        <v>-2.8682193012943492E-2</v>
      </c>
      <c r="F137">
        <f t="shared" si="16"/>
        <v>0</v>
      </c>
      <c r="G137" s="67">
        <f>'Historical VAR'!$G$6</f>
        <v>-1.9839729167757107E-2</v>
      </c>
      <c r="H137">
        <f t="shared" si="17"/>
        <v>0</v>
      </c>
      <c r="I137" s="67">
        <f>'Historical VAR'!$G$7</f>
        <v>-3.1428916759065853E-2</v>
      </c>
      <c r="J137">
        <f t="shared" si="18"/>
        <v>0</v>
      </c>
      <c r="K137" s="67">
        <f ca="1">'Monte Carlo Stimulation'!$I$8</f>
        <v>-2.1559270710709389E-2</v>
      </c>
      <c r="L137">
        <f t="shared" ca="1" si="19"/>
        <v>0</v>
      </c>
      <c r="M137" s="67">
        <f ca="1">'Monte Carlo Stimulation'!$I$9</f>
        <v>-2.919314405717207E-2</v>
      </c>
      <c r="N137">
        <f t="shared" ca="1" si="20"/>
        <v>0</v>
      </c>
    </row>
    <row r="138" spans="1:14">
      <c r="A138" s="12">
        <v>45911</v>
      </c>
      <c r="B138" s="14">
        <v>6.0468076550979867E-3</v>
      </c>
      <c r="C138" s="67">
        <f>'Parametric VAR'!$F$12</f>
        <v>-2.023068247926026E-2</v>
      </c>
      <c r="D138">
        <f t="shared" si="15"/>
        <v>0</v>
      </c>
      <c r="E138" s="67">
        <f>'Parametric VAR'!$F$13</f>
        <v>-2.8682193012943492E-2</v>
      </c>
      <c r="F138">
        <f t="shared" si="16"/>
        <v>0</v>
      </c>
      <c r="G138" s="67">
        <f>'Historical VAR'!$G$6</f>
        <v>-1.9839729167757107E-2</v>
      </c>
      <c r="H138">
        <f t="shared" si="17"/>
        <v>0</v>
      </c>
      <c r="I138" s="67">
        <f>'Historical VAR'!$G$7</f>
        <v>-3.1428916759065853E-2</v>
      </c>
      <c r="J138">
        <f t="shared" si="18"/>
        <v>0</v>
      </c>
      <c r="K138" s="67">
        <f ca="1">'Monte Carlo Stimulation'!$I$8</f>
        <v>-2.1559270710709389E-2</v>
      </c>
      <c r="L138">
        <f t="shared" ca="1" si="19"/>
        <v>0</v>
      </c>
      <c r="M138" s="67">
        <f ca="1">'Monte Carlo Stimulation'!$I$9</f>
        <v>-2.919314405717207E-2</v>
      </c>
      <c r="N138">
        <f t="shared" ca="1" si="20"/>
        <v>0</v>
      </c>
    </row>
    <row r="139" spans="1:14">
      <c r="A139" s="12">
        <v>45910</v>
      </c>
      <c r="B139" s="14">
        <v>-8.5677043541455729E-3</v>
      </c>
      <c r="C139" s="67">
        <f>'Parametric VAR'!$F$12</f>
        <v>-2.023068247926026E-2</v>
      </c>
      <c r="D139">
        <f t="shared" si="15"/>
        <v>0</v>
      </c>
      <c r="E139" s="67">
        <f>'Parametric VAR'!$F$13</f>
        <v>-2.8682193012943492E-2</v>
      </c>
      <c r="F139">
        <f t="shared" si="16"/>
        <v>0</v>
      </c>
      <c r="G139" s="67">
        <f>'Historical VAR'!$G$6</f>
        <v>-1.9839729167757107E-2</v>
      </c>
      <c r="H139">
        <f t="shared" si="17"/>
        <v>0</v>
      </c>
      <c r="I139" s="67">
        <f>'Historical VAR'!$G$7</f>
        <v>-3.1428916759065853E-2</v>
      </c>
      <c r="J139">
        <f t="shared" si="18"/>
        <v>0</v>
      </c>
      <c r="K139" s="67">
        <f ca="1">'Monte Carlo Stimulation'!$I$8</f>
        <v>-2.1559270710709389E-2</v>
      </c>
      <c r="L139">
        <f t="shared" ca="1" si="19"/>
        <v>0</v>
      </c>
      <c r="M139" s="67">
        <f ca="1">'Monte Carlo Stimulation'!$I$9</f>
        <v>-2.919314405717207E-2</v>
      </c>
      <c r="N139">
        <f t="shared" ca="1" si="20"/>
        <v>0</v>
      </c>
    </row>
    <row r="140" spans="1:14">
      <c r="A140" s="12">
        <v>45909</v>
      </c>
      <c r="B140" s="14">
        <v>-2.4686973660766956E-3</v>
      </c>
      <c r="C140" s="67">
        <f>'Parametric VAR'!$F$12</f>
        <v>-2.023068247926026E-2</v>
      </c>
      <c r="D140">
        <f t="shared" si="15"/>
        <v>0</v>
      </c>
      <c r="E140" s="67">
        <f>'Parametric VAR'!$F$13</f>
        <v>-2.8682193012943492E-2</v>
      </c>
      <c r="F140">
        <f t="shared" si="16"/>
        <v>0</v>
      </c>
      <c r="G140" s="67">
        <f>'Historical VAR'!$G$6</f>
        <v>-1.9839729167757107E-2</v>
      </c>
      <c r="H140">
        <f t="shared" si="17"/>
        <v>0</v>
      </c>
      <c r="I140" s="67">
        <f>'Historical VAR'!$G$7</f>
        <v>-3.1428916759065853E-2</v>
      </c>
      <c r="J140">
        <f t="shared" si="18"/>
        <v>0</v>
      </c>
      <c r="K140" s="67">
        <f ca="1">'Monte Carlo Stimulation'!$I$8</f>
        <v>-2.1559270710709389E-2</v>
      </c>
      <c r="L140">
        <f t="shared" ca="1" si="19"/>
        <v>0</v>
      </c>
      <c r="M140" s="67">
        <f ca="1">'Monte Carlo Stimulation'!$I$9</f>
        <v>-2.919314405717207E-2</v>
      </c>
      <c r="N140">
        <f t="shared" ca="1" si="20"/>
        <v>0</v>
      </c>
    </row>
    <row r="141" spans="1:14">
      <c r="A141" s="12">
        <v>45908</v>
      </c>
      <c r="B141" s="14">
        <v>5.2541434367109731E-4</v>
      </c>
      <c r="C141" s="67">
        <f>'Parametric VAR'!$F$12</f>
        <v>-2.023068247926026E-2</v>
      </c>
      <c r="D141">
        <f t="shared" si="15"/>
        <v>0</v>
      </c>
      <c r="E141" s="67">
        <f>'Parametric VAR'!$F$13</f>
        <v>-2.8682193012943492E-2</v>
      </c>
      <c r="F141">
        <f t="shared" si="16"/>
        <v>0</v>
      </c>
      <c r="G141" s="67">
        <f>'Historical VAR'!$G$6</f>
        <v>-1.9839729167757107E-2</v>
      </c>
      <c r="H141">
        <f t="shared" si="17"/>
        <v>0</v>
      </c>
      <c r="I141" s="67">
        <f>'Historical VAR'!$G$7</f>
        <v>-3.1428916759065853E-2</v>
      </c>
      <c r="J141">
        <f t="shared" si="18"/>
        <v>0</v>
      </c>
      <c r="K141" s="67">
        <f ca="1">'Monte Carlo Stimulation'!$I$8</f>
        <v>-2.1559270710709389E-2</v>
      </c>
      <c r="L141">
        <f t="shared" ca="1" si="19"/>
        <v>0</v>
      </c>
      <c r="M141" s="67">
        <f ca="1">'Monte Carlo Stimulation'!$I$9</f>
        <v>-2.919314405717207E-2</v>
      </c>
      <c r="N141">
        <f t="shared" ca="1" si="20"/>
        <v>0</v>
      </c>
    </row>
    <row r="142" spans="1:14">
      <c r="A142" s="12">
        <v>45905</v>
      </c>
      <c r="B142" s="14">
        <v>1.2913227743126728E-2</v>
      </c>
      <c r="C142" s="67">
        <f>'Parametric VAR'!$F$12</f>
        <v>-2.023068247926026E-2</v>
      </c>
      <c r="D142">
        <f t="shared" si="15"/>
        <v>0</v>
      </c>
      <c r="E142" s="67">
        <f>'Parametric VAR'!$F$13</f>
        <v>-2.8682193012943492E-2</v>
      </c>
      <c r="F142">
        <f t="shared" si="16"/>
        <v>0</v>
      </c>
      <c r="G142" s="67">
        <f>'Historical VAR'!$G$6</f>
        <v>-1.9839729167757107E-2</v>
      </c>
      <c r="H142">
        <f t="shared" si="17"/>
        <v>0</v>
      </c>
      <c r="I142" s="67">
        <f>'Historical VAR'!$G$7</f>
        <v>-3.1428916759065853E-2</v>
      </c>
      <c r="J142">
        <f t="shared" si="18"/>
        <v>0</v>
      </c>
      <c r="K142" s="67">
        <f ca="1">'Monte Carlo Stimulation'!$I$8</f>
        <v>-2.1559270710709389E-2</v>
      </c>
      <c r="L142">
        <f t="shared" ca="1" si="19"/>
        <v>0</v>
      </c>
      <c r="M142" s="67">
        <f ca="1">'Monte Carlo Stimulation'!$I$9</f>
        <v>-2.919314405717207E-2</v>
      </c>
      <c r="N142">
        <f t="shared" ca="1" si="20"/>
        <v>0</v>
      </c>
    </row>
    <row r="143" spans="1:14">
      <c r="A143" s="12">
        <v>45904</v>
      </c>
      <c r="B143" s="14">
        <v>-1.8109949607567752E-3</v>
      </c>
      <c r="C143" s="67">
        <f>'Parametric VAR'!$F$12</f>
        <v>-2.023068247926026E-2</v>
      </c>
      <c r="D143">
        <f t="shared" si="15"/>
        <v>0</v>
      </c>
      <c r="E143" s="67">
        <f>'Parametric VAR'!$F$13</f>
        <v>-2.8682193012943492E-2</v>
      </c>
      <c r="F143">
        <f t="shared" si="16"/>
        <v>0</v>
      </c>
      <c r="G143" s="67">
        <f>'Historical VAR'!$G$6</f>
        <v>-1.9839729167757107E-2</v>
      </c>
      <c r="H143">
        <f t="shared" si="17"/>
        <v>0</v>
      </c>
      <c r="I143" s="67">
        <f>'Historical VAR'!$G$7</f>
        <v>-3.1428916759065853E-2</v>
      </c>
      <c r="J143">
        <f t="shared" si="18"/>
        <v>0</v>
      </c>
      <c r="K143" s="67">
        <f ca="1">'Monte Carlo Stimulation'!$I$8</f>
        <v>-2.1559270710709389E-2</v>
      </c>
      <c r="L143">
        <f t="shared" ca="1" si="19"/>
        <v>0</v>
      </c>
      <c r="M143" s="67">
        <f ca="1">'Monte Carlo Stimulation'!$I$9</f>
        <v>-2.919314405717207E-2</v>
      </c>
      <c r="N143">
        <f t="shared" ca="1" si="20"/>
        <v>0</v>
      </c>
    </row>
    <row r="144" spans="1:14">
      <c r="A144" s="12">
        <v>45903</v>
      </c>
      <c r="B144" s="14">
        <v>-4.0055783051423472E-3</v>
      </c>
      <c r="C144" s="67">
        <f>'Parametric VAR'!$F$12</f>
        <v>-2.023068247926026E-2</v>
      </c>
      <c r="D144">
        <f t="shared" si="15"/>
        <v>0</v>
      </c>
      <c r="E144" s="67">
        <f>'Parametric VAR'!$F$13</f>
        <v>-2.8682193012943492E-2</v>
      </c>
      <c r="F144">
        <f t="shared" si="16"/>
        <v>0</v>
      </c>
      <c r="G144" s="67">
        <f>'Historical VAR'!$G$6</f>
        <v>-1.9839729167757107E-2</v>
      </c>
      <c r="H144">
        <f t="shared" si="17"/>
        <v>0</v>
      </c>
      <c r="I144" s="67">
        <f>'Historical VAR'!$G$7</f>
        <v>-3.1428916759065853E-2</v>
      </c>
      <c r="J144">
        <f t="shared" si="18"/>
        <v>0</v>
      </c>
      <c r="K144" s="67">
        <f ca="1">'Monte Carlo Stimulation'!$I$8</f>
        <v>-2.1559270710709389E-2</v>
      </c>
      <c r="L144">
        <f t="shared" ca="1" si="19"/>
        <v>0</v>
      </c>
      <c r="M144" s="67">
        <f ca="1">'Monte Carlo Stimulation'!$I$9</f>
        <v>-2.919314405717207E-2</v>
      </c>
      <c r="N144">
        <f t="shared" ca="1" si="20"/>
        <v>0</v>
      </c>
    </row>
    <row r="145" spans="1:14">
      <c r="A145" s="12">
        <v>45902</v>
      </c>
      <c r="B145" s="14">
        <v>-3.6565590137033182E-3</v>
      </c>
      <c r="C145" s="67">
        <f>'Parametric VAR'!$F$12</f>
        <v>-2.023068247926026E-2</v>
      </c>
      <c r="D145">
        <f t="shared" si="15"/>
        <v>0</v>
      </c>
      <c r="E145" s="67">
        <f>'Parametric VAR'!$F$13</f>
        <v>-2.8682193012943492E-2</v>
      </c>
      <c r="F145">
        <f t="shared" si="16"/>
        <v>0</v>
      </c>
      <c r="G145" s="67">
        <f>'Historical VAR'!$G$6</f>
        <v>-1.9839729167757107E-2</v>
      </c>
      <c r="H145">
        <f t="shared" si="17"/>
        <v>0</v>
      </c>
      <c r="I145" s="67">
        <f>'Historical VAR'!$G$7</f>
        <v>-3.1428916759065853E-2</v>
      </c>
      <c r="J145">
        <f t="shared" si="18"/>
        <v>0</v>
      </c>
      <c r="K145" s="67">
        <f ca="1">'Monte Carlo Stimulation'!$I$8</f>
        <v>-2.1559270710709389E-2</v>
      </c>
      <c r="L145">
        <f t="shared" ca="1" si="19"/>
        <v>0</v>
      </c>
      <c r="M145" s="67">
        <f ca="1">'Monte Carlo Stimulation'!$I$9</f>
        <v>-2.919314405717207E-2</v>
      </c>
      <c r="N145">
        <f t="shared" ca="1" si="20"/>
        <v>0</v>
      </c>
    </row>
    <row r="146" spans="1:14">
      <c r="A146" s="12">
        <v>45901</v>
      </c>
      <c r="B146" s="14">
        <v>8.9082836783010346E-3</v>
      </c>
      <c r="C146" s="67">
        <f>'Parametric VAR'!$F$12</f>
        <v>-2.023068247926026E-2</v>
      </c>
      <c r="D146">
        <f t="shared" si="15"/>
        <v>0</v>
      </c>
      <c r="E146" s="67">
        <f>'Parametric VAR'!$F$13</f>
        <v>-2.8682193012943492E-2</v>
      </c>
      <c r="F146">
        <f t="shared" si="16"/>
        <v>0</v>
      </c>
      <c r="G146" s="67">
        <f>'Historical VAR'!$G$6</f>
        <v>-1.9839729167757107E-2</v>
      </c>
      <c r="H146">
        <f t="shared" si="17"/>
        <v>0</v>
      </c>
      <c r="I146" s="67">
        <f>'Historical VAR'!$G$7</f>
        <v>-3.1428916759065853E-2</v>
      </c>
      <c r="J146">
        <f t="shared" si="18"/>
        <v>0</v>
      </c>
      <c r="K146" s="67">
        <f ca="1">'Monte Carlo Stimulation'!$I$8</f>
        <v>-2.1559270710709389E-2</v>
      </c>
      <c r="L146">
        <f t="shared" ca="1" si="19"/>
        <v>0</v>
      </c>
      <c r="M146" s="67">
        <f ca="1">'Monte Carlo Stimulation'!$I$9</f>
        <v>-2.919314405717207E-2</v>
      </c>
      <c r="N146">
        <f t="shared" ca="1" si="20"/>
        <v>0</v>
      </c>
    </row>
    <row r="147" spans="1:14">
      <c r="A147" s="12">
        <v>45898</v>
      </c>
      <c r="B147" s="14">
        <v>-1.9202304986420955E-2</v>
      </c>
      <c r="C147" s="67">
        <f>'Parametric VAR'!$F$12</f>
        <v>-2.023068247926026E-2</v>
      </c>
      <c r="D147">
        <f t="shared" si="15"/>
        <v>0</v>
      </c>
      <c r="E147" s="67">
        <f>'Parametric VAR'!$F$13</f>
        <v>-2.8682193012943492E-2</v>
      </c>
      <c r="F147">
        <f t="shared" si="16"/>
        <v>0</v>
      </c>
      <c r="G147" s="67">
        <f>'Historical VAR'!$G$6</f>
        <v>-1.9839729167757107E-2</v>
      </c>
      <c r="H147">
        <f t="shared" si="17"/>
        <v>0</v>
      </c>
      <c r="I147" s="67">
        <f>'Historical VAR'!$G$7</f>
        <v>-3.1428916759065853E-2</v>
      </c>
      <c r="J147">
        <f t="shared" si="18"/>
        <v>0</v>
      </c>
      <c r="K147" s="67">
        <f ca="1">'Monte Carlo Stimulation'!$I$8</f>
        <v>-2.1559270710709389E-2</v>
      </c>
      <c r="L147">
        <f t="shared" ca="1" si="19"/>
        <v>0</v>
      </c>
      <c r="M147" s="67">
        <f ca="1">'Monte Carlo Stimulation'!$I$9</f>
        <v>-2.919314405717207E-2</v>
      </c>
      <c r="N147">
        <f t="shared" ca="1" si="20"/>
        <v>0</v>
      </c>
    </row>
    <row r="148" spans="1:14">
      <c r="A148" s="12">
        <v>45897</v>
      </c>
      <c r="B148" s="14">
        <v>-9.7487248271749764E-3</v>
      </c>
      <c r="C148" s="67">
        <f>'Parametric VAR'!$F$12</f>
        <v>-2.023068247926026E-2</v>
      </c>
      <c r="D148">
        <f t="shared" si="15"/>
        <v>0</v>
      </c>
      <c r="E148" s="67">
        <f>'Parametric VAR'!$F$13</f>
        <v>-2.8682193012943492E-2</v>
      </c>
      <c r="F148">
        <f t="shared" si="16"/>
        <v>0</v>
      </c>
      <c r="G148" s="67">
        <f>'Historical VAR'!$G$6</f>
        <v>-1.9839729167757107E-2</v>
      </c>
      <c r="H148">
        <f t="shared" si="17"/>
        <v>0</v>
      </c>
      <c r="I148" s="67">
        <f>'Historical VAR'!$G$7</f>
        <v>-3.1428916759065853E-2</v>
      </c>
      <c r="J148">
        <f t="shared" si="18"/>
        <v>0</v>
      </c>
      <c r="K148" s="67">
        <f ca="1">'Monte Carlo Stimulation'!$I$8</f>
        <v>-2.1559270710709389E-2</v>
      </c>
      <c r="L148">
        <f t="shared" ca="1" si="19"/>
        <v>0</v>
      </c>
      <c r="M148" s="67">
        <f ca="1">'Monte Carlo Stimulation'!$I$9</f>
        <v>-2.919314405717207E-2</v>
      </c>
      <c r="N148">
        <f t="shared" ca="1" si="20"/>
        <v>0</v>
      </c>
    </row>
    <row r="149" spans="1:14">
      <c r="A149" s="12">
        <v>45895</v>
      </c>
      <c r="B149" s="14">
        <v>-4.4371648666115728E-3</v>
      </c>
      <c r="C149" s="67">
        <f>'Parametric VAR'!$F$12</f>
        <v>-2.023068247926026E-2</v>
      </c>
      <c r="D149">
        <f t="shared" si="15"/>
        <v>0</v>
      </c>
      <c r="E149" s="67">
        <f>'Parametric VAR'!$F$13</f>
        <v>-2.8682193012943492E-2</v>
      </c>
      <c r="F149">
        <f t="shared" si="16"/>
        <v>0</v>
      </c>
      <c r="G149" s="67">
        <f>'Historical VAR'!$G$6</f>
        <v>-1.9839729167757107E-2</v>
      </c>
      <c r="H149">
        <f t="shared" si="17"/>
        <v>0</v>
      </c>
      <c r="I149" s="67">
        <f>'Historical VAR'!$G$7</f>
        <v>-3.1428916759065853E-2</v>
      </c>
      <c r="J149">
        <f t="shared" si="18"/>
        <v>0</v>
      </c>
      <c r="K149" s="67">
        <f ca="1">'Monte Carlo Stimulation'!$I$8</f>
        <v>-2.1559270710709389E-2</v>
      </c>
      <c r="L149">
        <f t="shared" ca="1" si="19"/>
        <v>0</v>
      </c>
      <c r="M149" s="67">
        <f ca="1">'Monte Carlo Stimulation'!$I$9</f>
        <v>-2.919314405717207E-2</v>
      </c>
      <c r="N149">
        <f t="shared" ca="1" si="20"/>
        <v>0</v>
      </c>
    </row>
    <row r="150" spans="1:14">
      <c r="A150" s="12">
        <v>45894</v>
      </c>
      <c r="B150" s="14">
        <v>6.5885524293078238E-3</v>
      </c>
      <c r="C150" s="67">
        <f>'Parametric VAR'!$F$12</f>
        <v>-2.023068247926026E-2</v>
      </c>
      <c r="D150">
        <f t="shared" si="15"/>
        <v>0</v>
      </c>
      <c r="E150" s="67">
        <f>'Parametric VAR'!$F$13</f>
        <v>-2.8682193012943492E-2</v>
      </c>
      <c r="F150">
        <f t="shared" si="16"/>
        <v>0</v>
      </c>
      <c r="G150" s="67">
        <f>'Historical VAR'!$G$6</f>
        <v>-1.9839729167757107E-2</v>
      </c>
      <c r="H150">
        <f t="shared" si="17"/>
        <v>0</v>
      </c>
      <c r="I150" s="67">
        <f>'Historical VAR'!$G$7</f>
        <v>-3.1428916759065853E-2</v>
      </c>
      <c r="J150">
        <f t="shared" si="18"/>
        <v>0</v>
      </c>
      <c r="K150" s="67">
        <f ca="1">'Monte Carlo Stimulation'!$I$8</f>
        <v>-2.1559270710709389E-2</v>
      </c>
      <c r="L150">
        <f t="shared" ca="1" si="19"/>
        <v>0</v>
      </c>
      <c r="M150" s="67">
        <f ca="1">'Monte Carlo Stimulation'!$I$9</f>
        <v>-2.919314405717207E-2</v>
      </c>
      <c r="N150">
        <f t="shared" ca="1" si="20"/>
        <v>0</v>
      </c>
    </row>
    <row r="151" spans="1:14">
      <c r="A151" s="12">
        <v>45891</v>
      </c>
      <c r="B151" s="14">
        <v>3.202009818131627E-4</v>
      </c>
      <c r="C151" s="67">
        <f>'Parametric VAR'!$F$12</f>
        <v>-2.023068247926026E-2</v>
      </c>
      <c r="D151">
        <f t="shared" si="15"/>
        <v>0</v>
      </c>
      <c r="E151" s="67">
        <f>'Parametric VAR'!$F$13</f>
        <v>-2.8682193012943492E-2</v>
      </c>
      <c r="F151">
        <f t="shared" si="16"/>
        <v>0</v>
      </c>
      <c r="G151" s="67">
        <f>'Historical VAR'!$G$6</f>
        <v>-1.9839729167757107E-2</v>
      </c>
      <c r="H151">
        <f t="shared" si="17"/>
        <v>0</v>
      </c>
      <c r="I151" s="67">
        <f>'Historical VAR'!$G$7</f>
        <v>-3.1428916759065853E-2</v>
      </c>
      <c r="J151">
        <f t="shared" si="18"/>
        <v>0</v>
      </c>
      <c r="K151" s="67">
        <f ca="1">'Monte Carlo Stimulation'!$I$8</f>
        <v>-2.1559270710709389E-2</v>
      </c>
      <c r="L151">
        <f t="shared" ca="1" si="19"/>
        <v>0</v>
      </c>
      <c r="M151" s="67">
        <f ca="1">'Monte Carlo Stimulation'!$I$9</f>
        <v>-2.919314405717207E-2</v>
      </c>
      <c r="N151">
        <f t="shared" ca="1" si="20"/>
        <v>0</v>
      </c>
    </row>
    <row r="152" spans="1:14">
      <c r="A152" s="12">
        <v>45890</v>
      </c>
      <c r="B152" s="14">
        <v>1.9644592790807568E-2</v>
      </c>
      <c r="C152" s="67">
        <f>'Parametric VAR'!$F$12</f>
        <v>-2.023068247926026E-2</v>
      </c>
      <c r="D152">
        <f t="shared" si="15"/>
        <v>0</v>
      </c>
      <c r="E152" s="67">
        <f>'Parametric VAR'!$F$13</f>
        <v>-2.8682193012943492E-2</v>
      </c>
      <c r="F152">
        <f t="shared" si="16"/>
        <v>0</v>
      </c>
      <c r="G152" s="67">
        <f>'Historical VAR'!$G$6</f>
        <v>-1.9839729167757107E-2</v>
      </c>
      <c r="H152">
        <f t="shared" si="17"/>
        <v>0</v>
      </c>
      <c r="I152" s="67">
        <f>'Historical VAR'!$G$7</f>
        <v>-3.1428916759065853E-2</v>
      </c>
      <c r="J152">
        <f t="shared" si="18"/>
        <v>0</v>
      </c>
      <c r="K152" s="67">
        <f ca="1">'Monte Carlo Stimulation'!$I$8</f>
        <v>-2.1559270710709389E-2</v>
      </c>
      <c r="L152">
        <f t="shared" ca="1" si="19"/>
        <v>0</v>
      </c>
      <c r="M152" s="67">
        <f ca="1">'Monte Carlo Stimulation'!$I$9</f>
        <v>-2.919314405717207E-2</v>
      </c>
      <c r="N152">
        <f t="shared" ca="1" si="20"/>
        <v>0</v>
      </c>
    </row>
    <row r="153" spans="1:14">
      <c r="A153" s="12">
        <v>45889</v>
      </c>
      <c r="B153" s="14">
        <v>6.0236195380429618E-3</v>
      </c>
      <c r="C153" s="67">
        <f>'Parametric VAR'!$F$12</f>
        <v>-2.023068247926026E-2</v>
      </c>
      <c r="D153">
        <f t="shared" si="15"/>
        <v>0</v>
      </c>
      <c r="E153" s="67">
        <f>'Parametric VAR'!$F$13</f>
        <v>-2.8682193012943492E-2</v>
      </c>
      <c r="F153">
        <f t="shared" si="16"/>
        <v>0</v>
      </c>
      <c r="G153" s="67">
        <f>'Historical VAR'!$G$6</f>
        <v>-1.9839729167757107E-2</v>
      </c>
      <c r="H153">
        <f t="shared" si="17"/>
        <v>0</v>
      </c>
      <c r="I153" s="67">
        <f>'Historical VAR'!$G$7</f>
        <v>-3.1428916759065853E-2</v>
      </c>
      <c r="J153">
        <f t="shared" si="18"/>
        <v>0</v>
      </c>
      <c r="K153" s="67">
        <f ca="1">'Monte Carlo Stimulation'!$I$8</f>
        <v>-2.1559270710709389E-2</v>
      </c>
      <c r="L153">
        <f t="shared" ca="1" si="19"/>
        <v>0</v>
      </c>
      <c r="M153" s="67">
        <f ca="1">'Monte Carlo Stimulation'!$I$9</f>
        <v>-2.919314405717207E-2</v>
      </c>
      <c r="N153">
        <f t="shared" ca="1" si="20"/>
        <v>0</v>
      </c>
    </row>
    <row r="154" spans="1:14">
      <c r="A154" s="12">
        <v>45888</v>
      </c>
      <c r="B154" s="14">
        <v>4.3282712000444427E-3</v>
      </c>
      <c r="C154" s="67">
        <f>'Parametric VAR'!$F$12</f>
        <v>-2.023068247926026E-2</v>
      </c>
      <c r="D154">
        <f t="shared" si="15"/>
        <v>0</v>
      </c>
      <c r="E154" s="67">
        <f>'Parametric VAR'!$F$13</f>
        <v>-2.8682193012943492E-2</v>
      </c>
      <c r="F154">
        <f t="shared" si="16"/>
        <v>0</v>
      </c>
      <c r="G154" s="67">
        <f>'Historical VAR'!$G$6</f>
        <v>-1.9839729167757107E-2</v>
      </c>
      <c r="H154">
        <f t="shared" si="17"/>
        <v>0</v>
      </c>
      <c r="I154" s="67">
        <f>'Historical VAR'!$G$7</f>
        <v>-3.1428916759065853E-2</v>
      </c>
      <c r="J154">
        <f t="shared" si="18"/>
        <v>0</v>
      </c>
      <c r="K154" s="67">
        <f ca="1">'Monte Carlo Stimulation'!$I$8</f>
        <v>-2.1559270710709389E-2</v>
      </c>
      <c r="L154">
        <f t="shared" ca="1" si="19"/>
        <v>0</v>
      </c>
      <c r="M154" s="67">
        <f ca="1">'Monte Carlo Stimulation'!$I$9</f>
        <v>-2.919314405717207E-2</v>
      </c>
      <c r="N154">
        <f t="shared" ca="1" si="20"/>
        <v>0</v>
      </c>
    </row>
    <row r="155" spans="1:14">
      <c r="A155" s="12">
        <v>45887</v>
      </c>
      <c r="B155" s="14">
        <v>2.6639853517091755E-3</v>
      </c>
      <c r="C155" s="67">
        <f>'Parametric VAR'!$F$12</f>
        <v>-2.023068247926026E-2</v>
      </c>
      <c r="D155">
        <f t="shared" si="15"/>
        <v>0</v>
      </c>
      <c r="E155" s="67">
        <f>'Parametric VAR'!$F$13</f>
        <v>-2.8682193012943492E-2</v>
      </c>
      <c r="F155">
        <f t="shared" si="16"/>
        <v>0</v>
      </c>
      <c r="G155" s="67">
        <f>'Historical VAR'!$G$6</f>
        <v>-1.9839729167757107E-2</v>
      </c>
      <c r="H155">
        <f t="shared" si="17"/>
        <v>0</v>
      </c>
      <c r="I155" s="67">
        <f>'Historical VAR'!$G$7</f>
        <v>-3.1428916759065853E-2</v>
      </c>
      <c r="J155">
        <f t="shared" si="18"/>
        <v>0</v>
      </c>
      <c r="K155" s="67">
        <f ca="1">'Monte Carlo Stimulation'!$I$8</f>
        <v>-2.1559270710709389E-2</v>
      </c>
      <c r="L155">
        <f t="shared" ca="1" si="19"/>
        <v>0</v>
      </c>
      <c r="M155" s="67">
        <f ca="1">'Monte Carlo Stimulation'!$I$9</f>
        <v>-2.919314405717207E-2</v>
      </c>
      <c r="N155">
        <f t="shared" ca="1" si="20"/>
        <v>0</v>
      </c>
    </row>
    <row r="156" spans="1:14">
      <c r="A156" s="12">
        <v>45883</v>
      </c>
      <c r="B156" s="14">
        <v>-2.309896275689427E-2</v>
      </c>
      <c r="C156" s="67">
        <f>'Parametric VAR'!$F$12</f>
        <v>-2.023068247926026E-2</v>
      </c>
      <c r="D156">
        <f t="shared" si="15"/>
        <v>1</v>
      </c>
      <c r="E156" s="67">
        <f>'Parametric VAR'!$F$13</f>
        <v>-2.8682193012943492E-2</v>
      </c>
      <c r="F156">
        <f t="shared" si="16"/>
        <v>0</v>
      </c>
      <c r="G156" s="67">
        <f>'Historical VAR'!$G$6</f>
        <v>-1.9839729167757107E-2</v>
      </c>
      <c r="H156">
        <f t="shared" si="17"/>
        <v>1</v>
      </c>
      <c r="I156" s="67">
        <f>'Historical VAR'!$G$7</f>
        <v>-3.1428916759065853E-2</v>
      </c>
      <c r="J156">
        <f t="shared" si="18"/>
        <v>0</v>
      </c>
      <c r="K156" s="67">
        <f ca="1">'Monte Carlo Stimulation'!$I$8</f>
        <v>-2.1559270710709389E-2</v>
      </c>
      <c r="L156">
        <f t="shared" ca="1" si="19"/>
        <v>1</v>
      </c>
      <c r="M156" s="67">
        <f ca="1">'Monte Carlo Stimulation'!$I$9</f>
        <v>-2.919314405717207E-2</v>
      </c>
      <c r="N156">
        <f t="shared" ca="1" si="20"/>
        <v>0</v>
      </c>
    </row>
    <row r="157" spans="1:14">
      <c r="A157" s="12">
        <v>45882</v>
      </c>
      <c r="B157" s="14">
        <v>-6.548063713592068E-3</v>
      </c>
      <c r="C157" s="67">
        <f>'Parametric VAR'!$F$12</f>
        <v>-2.023068247926026E-2</v>
      </c>
      <c r="D157">
        <f t="shared" si="15"/>
        <v>0</v>
      </c>
      <c r="E157" s="67">
        <f>'Parametric VAR'!$F$13</f>
        <v>-2.8682193012943492E-2</v>
      </c>
      <c r="F157">
        <f t="shared" si="16"/>
        <v>0</v>
      </c>
      <c r="G157" s="67">
        <f>'Historical VAR'!$G$6</f>
        <v>-1.9839729167757107E-2</v>
      </c>
      <c r="H157">
        <f t="shared" si="17"/>
        <v>0</v>
      </c>
      <c r="I157" s="67">
        <f>'Historical VAR'!$G$7</f>
        <v>-3.1428916759065853E-2</v>
      </c>
      <c r="J157">
        <f t="shared" si="18"/>
        <v>0</v>
      </c>
      <c r="K157" s="67">
        <f ca="1">'Monte Carlo Stimulation'!$I$8</f>
        <v>-2.1559270710709389E-2</v>
      </c>
      <c r="L157">
        <f t="shared" ca="1" si="19"/>
        <v>0</v>
      </c>
      <c r="M157" s="67">
        <f ca="1">'Monte Carlo Stimulation'!$I$9</f>
        <v>-2.919314405717207E-2</v>
      </c>
      <c r="N157">
        <f t="shared" ca="1" si="20"/>
        <v>0</v>
      </c>
    </row>
    <row r="158" spans="1:14">
      <c r="A158" s="12">
        <v>45881</v>
      </c>
      <c r="B158" s="14">
        <v>-5.9748880760874101E-3</v>
      </c>
      <c r="C158" s="67">
        <f>'Parametric VAR'!$F$12</f>
        <v>-2.023068247926026E-2</v>
      </c>
      <c r="D158">
        <f t="shared" si="15"/>
        <v>0</v>
      </c>
      <c r="E158" s="67">
        <f>'Parametric VAR'!$F$13</f>
        <v>-2.8682193012943492E-2</v>
      </c>
      <c r="F158">
        <f t="shared" si="16"/>
        <v>0</v>
      </c>
      <c r="G158" s="67">
        <f>'Historical VAR'!$G$6</f>
        <v>-1.9839729167757107E-2</v>
      </c>
      <c r="H158">
        <f t="shared" si="17"/>
        <v>0</v>
      </c>
      <c r="I158" s="67">
        <f>'Historical VAR'!$G$7</f>
        <v>-3.1428916759065853E-2</v>
      </c>
      <c r="J158">
        <f t="shared" si="18"/>
        <v>0</v>
      </c>
      <c r="K158" s="67">
        <f ca="1">'Monte Carlo Stimulation'!$I$8</f>
        <v>-2.1559270710709389E-2</v>
      </c>
      <c r="L158">
        <f t="shared" ca="1" si="19"/>
        <v>0</v>
      </c>
      <c r="M158" s="67">
        <f ca="1">'Monte Carlo Stimulation'!$I$9</f>
        <v>-2.919314405717207E-2</v>
      </c>
      <c r="N158">
        <f t="shared" ca="1" si="20"/>
        <v>0</v>
      </c>
    </row>
    <row r="159" spans="1:14">
      <c r="A159" s="12">
        <v>45880</v>
      </c>
      <c r="B159" s="14">
        <v>5.1992204438754989E-3</v>
      </c>
      <c r="C159" s="67">
        <f>'Parametric VAR'!$F$12</f>
        <v>-2.023068247926026E-2</v>
      </c>
      <c r="D159">
        <f t="shared" si="15"/>
        <v>0</v>
      </c>
      <c r="E159" s="67">
        <f>'Parametric VAR'!$F$13</f>
        <v>-2.8682193012943492E-2</v>
      </c>
      <c r="F159">
        <f t="shared" si="16"/>
        <v>0</v>
      </c>
      <c r="G159" s="67">
        <f>'Historical VAR'!$G$6</f>
        <v>-1.9839729167757107E-2</v>
      </c>
      <c r="H159">
        <f t="shared" si="17"/>
        <v>0</v>
      </c>
      <c r="I159" s="67">
        <f>'Historical VAR'!$G$7</f>
        <v>-3.1428916759065853E-2</v>
      </c>
      <c r="J159">
        <f t="shared" si="18"/>
        <v>0</v>
      </c>
      <c r="K159" s="67">
        <f ca="1">'Monte Carlo Stimulation'!$I$8</f>
        <v>-2.1559270710709389E-2</v>
      </c>
      <c r="L159">
        <f t="shared" ca="1" si="19"/>
        <v>0</v>
      </c>
      <c r="M159" s="67">
        <f ca="1">'Monte Carlo Stimulation'!$I$9</f>
        <v>-2.919314405717207E-2</v>
      </c>
      <c r="N159">
        <f t="shared" ca="1" si="20"/>
        <v>0</v>
      </c>
    </row>
    <row r="160" spans="1:14">
      <c r="A160" s="12">
        <v>45877</v>
      </c>
      <c r="B160" s="14">
        <v>-1.5820996514114497E-3</v>
      </c>
      <c r="C160" s="67">
        <f>'Parametric VAR'!$F$12</f>
        <v>-2.023068247926026E-2</v>
      </c>
      <c r="D160">
        <f t="shared" si="15"/>
        <v>0</v>
      </c>
      <c r="E160" s="67">
        <f>'Parametric VAR'!$F$13</f>
        <v>-2.8682193012943492E-2</v>
      </c>
      <c r="F160">
        <f t="shared" si="16"/>
        <v>0</v>
      </c>
      <c r="G160" s="67">
        <f>'Historical VAR'!$G$6</f>
        <v>-1.9839729167757107E-2</v>
      </c>
      <c r="H160">
        <f t="shared" si="17"/>
        <v>0</v>
      </c>
      <c r="I160" s="67">
        <f>'Historical VAR'!$G$7</f>
        <v>-3.1428916759065853E-2</v>
      </c>
      <c r="J160">
        <f t="shared" si="18"/>
        <v>0</v>
      </c>
      <c r="K160" s="67">
        <f ca="1">'Monte Carlo Stimulation'!$I$8</f>
        <v>-2.1559270710709389E-2</v>
      </c>
      <c r="L160">
        <f t="shared" ca="1" si="19"/>
        <v>0</v>
      </c>
      <c r="M160" s="67">
        <f ca="1">'Monte Carlo Stimulation'!$I$9</f>
        <v>-2.919314405717207E-2</v>
      </c>
      <c r="N160">
        <f t="shared" ca="1" si="20"/>
        <v>0</v>
      </c>
    </row>
    <row r="161" spans="1:14">
      <c r="A161" s="12">
        <v>45876</v>
      </c>
      <c r="B161" s="14">
        <v>7.5823715822295953E-3</v>
      </c>
      <c r="C161" s="67">
        <f>'Parametric VAR'!$F$12</f>
        <v>-2.023068247926026E-2</v>
      </c>
      <c r="D161">
        <f t="shared" si="15"/>
        <v>0</v>
      </c>
      <c r="E161" s="67">
        <f>'Parametric VAR'!$F$13</f>
        <v>-2.8682193012943492E-2</v>
      </c>
      <c r="F161">
        <f t="shared" si="16"/>
        <v>0</v>
      </c>
      <c r="G161" s="67">
        <f>'Historical VAR'!$G$6</f>
        <v>-1.9839729167757107E-2</v>
      </c>
      <c r="H161">
        <f t="shared" si="17"/>
        <v>0</v>
      </c>
      <c r="I161" s="67">
        <f>'Historical VAR'!$G$7</f>
        <v>-3.1428916759065853E-2</v>
      </c>
      <c r="J161">
        <f t="shared" si="18"/>
        <v>0</v>
      </c>
      <c r="K161" s="67">
        <f ca="1">'Monte Carlo Stimulation'!$I$8</f>
        <v>-2.1559270710709389E-2</v>
      </c>
      <c r="L161">
        <f t="shared" ca="1" si="19"/>
        <v>0</v>
      </c>
      <c r="M161" s="67">
        <f ca="1">'Monte Carlo Stimulation'!$I$9</f>
        <v>-2.919314405717207E-2</v>
      </c>
      <c r="N161">
        <f t="shared" ca="1" si="20"/>
        <v>0</v>
      </c>
    </row>
    <row r="162" spans="1:14">
      <c r="A162" s="12">
        <v>45875</v>
      </c>
      <c r="B162" s="14">
        <v>2.794814306587633E-3</v>
      </c>
      <c r="C162" s="67">
        <f>'Parametric VAR'!$F$12</f>
        <v>-2.023068247926026E-2</v>
      </c>
      <c r="D162">
        <f t="shared" si="15"/>
        <v>0</v>
      </c>
      <c r="E162" s="67">
        <f>'Parametric VAR'!$F$13</f>
        <v>-2.8682193012943492E-2</v>
      </c>
      <c r="F162">
        <f t="shared" si="16"/>
        <v>0</v>
      </c>
      <c r="G162" s="67">
        <f>'Historical VAR'!$G$6</f>
        <v>-1.9839729167757107E-2</v>
      </c>
      <c r="H162">
        <f t="shared" si="17"/>
        <v>0</v>
      </c>
      <c r="I162" s="67">
        <f>'Historical VAR'!$G$7</f>
        <v>-3.1428916759065853E-2</v>
      </c>
      <c r="J162">
        <f t="shared" si="18"/>
        <v>0</v>
      </c>
      <c r="K162" s="67">
        <f ca="1">'Monte Carlo Stimulation'!$I$8</f>
        <v>-2.1559270710709389E-2</v>
      </c>
      <c r="L162">
        <f t="shared" ca="1" si="19"/>
        <v>0</v>
      </c>
      <c r="M162" s="67">
        <f ca="1">'Monte Carlo Stimulation'!$I$9</f>
        <v>-2.919314405717207E-2</v>
      </c>
      <c r="N162">
        <f t="shared" ca="1" si="20"/>
        <v>0</v>
      </c>
    </row>
    <row r="163" spans="1:14">
      <c r="A163" s="12">
        <v>45874</v>
      </c>
      <c r="B163" s="14">
        <v>-1.2373095941327836E-2</v>
      </c>
      <c r="C163" s="67">
        <f>'Parametric VAR'!$F$12</f>
        <v>-2.023068247926026E-2</v>
      </c>
      <c r="D163">
        <f t="shared" si="15"/>
        <v>0</v>
      </c>
      <c r="E163" s="67">
        <f>'Parametric VAR'!$F$13</f>
        <v>-2.8682193012943492E-2</v>
      </c>
      <c r="F163">
        <f t="shared" si="16"/>
        <v>0</v>
      </c>
      <c r="G163" s="67">
        <f>'Historical VAR'!$G$6</f>
        <v>-1.9839729167757107E-2</v>
      </c>
      <c r="H163">
        <f t="shared" si="17"/>
        <v>0</v>
      </c>
      <c r="I163" s="67">
        <f>'Historical VAR'!$G$7</f>
        <v>-3.1428916759065853E-2</v>
      </c>
      <c r="J163">
        <f t="shared" si="18"/>
        <v>0</v>
      </c>
      <c r="K163" s="67">
        <f ca="1">'Monte Carlo Stimulation'!$I$8</f>
        <v>-2.1559270710709389E-2</v>
      </c>
      <c r="L163">
        <f t="shared" ca="1" si="19"/>
        <v>0</v>
      </c>
      <c r="M163" s="67">
        <f ca="1">'Monte Carlo Stimulation'!$I$9</f>
        <v>-2.919314405717207E-2</v>
      </c>
      <c r="N163">
        <f t="shared" ca="1" si="20"/>
        <v>0</v>
      </c>
    </row>
    <row r="164" spans="1:14">
      <c r="A164" s="12">
        <v>45873</v>
      </c>
      <c r="B164" s="14">
        <v>3.7890491989729133E-3</v>
      </c>
      <c r="C164" s="67">
        <f>'Parametric VAR'!$F$12</f>
        <v>-2.023068247926026E-2</v>
      </c>
      <c r="D164">
        <f t="shared" si="15"/>
        <v>0</v>
      </c>
      <c r="E164" s="67">
        <f>'Parametric VAR'!$F$13</f>
        <v>-2.8682193012943492E-2</v>
      </c>
      <c r="F164">
        <f t="shared" si="16"/>
        <v>0</v>
      </c>
      <c r="G164" s="67">
        <f>'Historical VAR'!$G$6</f>
        <v>-1.9839729167757107E-2</v>
      </c>
      <c r="H164">
        <f t="shared" si="17"/>
        <v>0</v>
      </c>
      <c r="I164" s="67">
        <f>'Historical VAR'!$G$7</f>
        <v>-3.1428916759065853E-2</v>
      </c>
      <c r="J164">
        <f t="shared" si="18"/>
        <v>0</v>
      </c>
      <c r="K164" s="67">
        <f ca="1">'Monte Carlo Stimulation'!$I$8</f>
        <v>-2.1559270710709389E-2</v>
      </c>
      <c r="L164">
        <f t="shared" ca="1" si="19"/>
        <v>0</v>
      </c>
      <c r="M164" s="67">
        <f ca="1">'Monte Carlo Stimulation'!$I$9</f>
        <v>-2.919314405717207E-2</v>
      </c>
      <c r="N164">
        <f t="shared" ca="1" si="20"/>
        <v>0</v>
      </c>
    </row>
    <row r="165" spans="1:14">
      <c r="A165" s="12">
        <v>45870</v>
      </c>
      <c r="B165" s="14">
        <v>-4.2626890295909626E-3</v>
      </c>
      <c r="C165" s="67">
        <f>'Parametric VAR'!$F$12</f>
        <v>-2.023068247926026E-2</v>
      </c>
      <c r="D165">
        <f t="shared" si="15"/>
        <v>0</v>
      </c>
      <c r="E165" s="67">
        <f>'Parametric VAR'!$F$13</f>
        <v>-2.8682193012943492E-2</v>
      </c>
      <c r="F165">
        <f t="shared" si="16"/>
        <v>0</v>
      </c>
      <c r="G165" s="67">
        <f>'Historical VAR'!$G$6</f>
        <v>-1.9839729167757107E-2</v>
      </c>
      <c r="H165">
        <f t="shared" si="17"/>
        <v>0</v>
      </c>
      <c r="I165" s="67">
        <f>'Historical VAR'!$G$7</f>
        <v>-3.1428916759065853E-2</v>
      </c>
      <c r="J165">
        <f t="shared" si="18"/>
        <v>0</v>
      </c>
      <c r="K165" s="67">
        <f ca="1">'Monte Carlo Stimulation'!$I$8</f>
        <v>-2.1559270710709389E-2</v>
      </c>
      <c r="L165">
        <f t="shared" ca="1" si="19"/>
        <v>0</v>
      </c>
      <c r="M165" s="67">
        <f ca="1">'Monte Carlo Stimulation'!$I$9</f>
        <v>-2.919314405717207E-2</v>
      </c>
      <c r="N165">
        <f t="shared" ca="1" si="20"/>
        <v>0</v>
      </c>
    </row>
    <row r="166" spans="1:14">
      <c r="A166" s="12">
        <v>45869</v>
      </c>
      <c r="B166" s="14">
        <v>-1.0218391488276121E-2</v>
      </c>
      <c r="C166" s="67">
        <f>'Parametric VAR'!$F$12</f>
        <v>-2.023068247926026E-2</v>
      </c>
      <c r="D166">
        <f t="shared" si="15"/>
        <v>0</v>
      </c>
      <c r="E166" s="67">
        <f>'Parametric VAR'!$F$13</f>
        <v>-2.8682193012943492E-2</v>
      </c>
      <c r="F166">
        <f t="shared" si="16"/>
        <v>0</v>
      </c>
      <c r="G166" s="67">
        <f>'Historical VAR'!$G$6</f>
        <v>-1.9839729167757107E-2</v>
      </c>
      <c r="H166">
        <f t="shared" si="17"/>
        <v>0</v>
      </c>
      <c r="I166" s="67">
        <f>'Historical VAR'!$G$7</f>
        <v>-3.1428916759065853E-2</v>
      </c>
      <c r="J166">
        <f t="shared" si="18"/>
        <v>0</v>
      </c>
      <c r="K166" s="67">
        <f ca="1">'Monte Carlo Stimulation'!$I$8</f>
        <v>-2.1559270710709389E-2</v>
      </c>
      <c r="L166">
        <f t="shared" ca="1" si="19"/>
        <v>0</v>
      </c>
      <c r="M166" s="67">
        <f ca="1">'Monte Carlo Stimulation'!$I$9</f>
        <v>-2.919314405717207E-2</v>
      </c>
      <c r="N166">
        <f t="shared" ca="1" si="20"/>
        <v>0</v>
      </c>
    </row>
    <row r="167" spans="1:14">
      <c r="A167" s="12">
        <v>45868</v>
      </c>
      <c r="B167" s="14">
        <v>9.456827892683449E-3</v>
      </c>
      <c r="C167" s="67">
        <f>'Parametric VAR'!$F$12</f>
        <v>-2.023068247926026E-2</v>
      </c>
      <c r="D167">
        <f t="shared" si="15"/>
        <v>0</v>
      </c>
      <c r="E167" s="67">
        <f>'Parametric VAR'!$F$13</f>
        <v>-2.8682193012943492E-2</v>
      </c>
      <c r="F167">
        <f t="shared" si="16"/>
        <v>0</v>
      </c>
      <c r="G167" s="67">
        <f>'Historical VAR'!$G$6</f>
        <v>-1.9839729167757107E-2</v>
      </c>
      <c r="H167">
        <f t="shared" si="17"/>
        <v>0</v>
      </c>
      <c r="I167" s="67">
        <f>'Historical VAR'!$G$7</f>
        <v>-3.1428916759065853E-2</v>
      </c>
      <c r="J167">
        <f t="shared" si="18"/>
        <v>0</v>
      </c>
      <c r="K167" s="67">
        <f ca="1">'Monte Carlo Stimulation'!$I$8</f>
        <v>-2.1559270710709389E-2</v>
      </c>
      <c r="L167">
        <f t="shared" ca="1" si="19"/>
        <v>0</v>
      </c>
      <c r="M167" s="67">
        <f ca="1">'Monte Carlo Stimulation'!$I$9</f>
        <v>-2.919314405717207E-2</v>
      </c>
      <c r="N167">
        <f t="shared" ca="1" si="20"/>
        <v>0</v>
      </c>
    </row>
    <row r="168" spans="1:14">
      <c r="A168" s="12">
        <v>45867</v>
      </c>
      <c r="B168" s="14">
        <v>-6.5380637113860041E-3</v>
      </c>
      <c r="C168" s="67">
        <f>'Parametric VAR'!$F$12</f>
        <v>-2.023068247926026E-2</v>
      </c>
      <c r="D168">
        <f t="shared" si="15"/>
        <v>0</v>
      </c>
      <c r="E168" s="67">
        <f>'Parametric VAR'!$F$13</f>
        <v>-2.8682193012943492E-2</v>
      </c>
      <c r="F168">
        <f t="shared" si="16"/>
        <v>0</v>
      </c>
      <c r="G168" s="67">
        <f>'Historical VAR'!$G$6</f>
        <v>-1.9839729167757107E-2</v>
      </c>
      <c r="H168">
        <f t="shared" si="17"/>
        <v>0</v>
      </c>
      <c r="I168" s="67">
        <f>'Historical VAR'!$G$7</f>
        <v>-3.1428916759065853E-2</v>
      </c>
      <c r="J168">
        <f t="shared" si="18"/>
        <v>0</v>
      </c>
      <c r="K168" s="67">
        <f ca="1">'Monte Carlo Stimulation'!$I$8</f>
        <v>-2.1559270710709389E-2</v>
      </c>
      <c r="L168">
        <f t="shared" ca="1" si="19"/>
        <v>0</v>
      </c>
      <c r="M168" s="67">
        <f ca="1">'Monte Carlo Stimulation'!$I$9</f>
        <v>-2.919314405717207E-2</v>
      </c>
      <c r="N168">
        <f t="shared" ca="1" si="20"/>
        <v>0</v>
      </c>
    </row>
    <row r="169" spans="1:14">
      <c r="A169" s="12">
        <v>45866</v>
      </c>
      <c r="B169" s="14">
        <v>-1.7296391321124441E-2</v>
      </c>
      <c r="C169" s="67">
        <f>'Parametric VAR'!$F$12</f>
        <v>-2.023068247926026E-2</v>
      </c>
      <c r="D169">
        <f t="shared" si="15"/>
        <v>0</v>
      </c>
      <c r="E169" s="67">
        <f>'Parametric VAR'!$F$13</f>
        <v>-2.8682193012943492E-2</v>
      </c>
      <c r="F169">
        <f t="shared" si="16"/>
        <v>0</v>
      </c>
      <c r="G169" s="67">
        <f>'Historical VAR'!$G$6</f>
        <v>-1.9839729167757107E-2</v>
      </c>
      <c r="H169">
        <f t="shared" si="17"/>
        <v>0</v>
      </c>
      <c r="I169" s="67">
        <f>'Historical VAR'!$G$7</f>
        <v>-3.1428916759065853E-2</v>
      </c>
      <c r="J169">
        <f t="shared" si="18"/>
        <v>0</v>
      </c>
      <c r="K169" s="67">
        <f ca="1">'Monte Carlo Stimulation'!$I$8</f>
        <v>-2.1559270710709389E-2</v>
      </c>
      <c r="L169">
        <f t="shared" ca="1" si="19"/>
        <v>0</v>
      </c>
      <c r="M169" s="67">
        <f ca="1">'Monte Carlo Stimulation'!$I$9</f>
        <v>-2.919314405717207E-2</v>
      </c>
      <c r="N169">
        <f t="shared" ca="1" si="20"/>
        <v>0</v>
      </c>
    </row>
    <row r="170" spans="1:14">
      <c r="A170" s="12">
        <v>45863</v>
      </c>
      <c r="B170" s="14">
        <v>-6.7349571088846346E-3</v>
      </c>
      <c r="C170" s="67">
        <f>'Parametric VAR'!$F$12</f>
        <v>-2.023068247926026E-2</v>
      </c>
      <c r="D170">
        <f t="shared" si="15"/>
        <v>0</v>
      </c>
      <c r="E170" s="67">
        <f>'Parametric VAR'!$F$13</f>
        <v>-2.8682193012943492E-2</v>
      </c>
      <c r="F170">
        <f t="shared" si="16"/>
        <v>0</v>
      </c>
      <c r="G170" s="67">
        <f>'Historical VAR'!$G$6</f>
        <v>-1.9839729167757107E-2</v>
      </c>
      <c r="H170">
        <f t="shared" si="17"/>
        <v>0</v>
      </c>
      <c r="I170" s="67">
        <f>'Historical VAR'!$G$7</f>
        <v>-3.1428916759065853E-2</v>
      </c>
      <c r="J170">
        <f t="shared" si="18"/>
        <v>0</v>
      </c>
      <c r="K170" s="67">
        <f ca="1">'Monte Carlo Stimulation'!$I$8</f>
        <v>-2.1559270710709389E-2</v>
      </c>
      <c r="L170">
        <f t="shared" ca="1" si="19"/>
        <v>0</v>
      </c>
      <c r="M170" s="67">
        <f ca="1">'Monte Carlo Stimulation'!$I$9</f>
        <v>-2.919314405717207E-2</v>
      </c>
      <c r="N170">
        <f t="shared" ca="1" si="20"/>
        <v>0</v>
      </c>
    </row>
    <row r="171" spans="1:14">
      <c r="A171" s="12">
        <v>45862</v>
      </c>
      <c r="B171" s="14">
        <v>1.328920252420644E-2</v>
      </c>
      <c r="C171" s="67">
        <f>'Parametric VAR'!$F$12</f>
        <v>-2.023068247926026E-2</v>
      </c>
      <c r="D171">
        <f t="shared" si="15"/>
        <v>0</v>
      </c>
      <c r="E171" s="67">
        <f>'Parametric VAR'!$F$13</f>
        <v>-2.8682193012943492E-2</v>
      </c>
      <c r="F171">
        <f t="shared" si="16"/>
        <v>0</v>
      </c>
      <c r="G171" s="67">
        <f>'Historical VAR'!$G$6</f>
        <v>-1.9839729167757107E-2</v>
      </c>
      <c r="H171">
        <f t="shared" si="17"/>
        <v>0</v>
      </c>
      <c r="I171" s="67">
        <f>'Historical VAR'!$G$7</f>
        <v>-3.1428916759065853E-2</v>
      </c>
      <c r="J171">
        <f t="shared" si="18"/>
        <v>0</v>
      </c>
      <c r="K171" s="67">
        <f ca="1">'Monte Carlo Stimulation'!$I$8</f>
        <v>-2.1559270710709389E-2</v>
      </c>
      <c r="L171">
        <f t="shared" ca="1" si="19"/>
        <v>0</v>
      </c>
      <c r="M171" s="67">
        <f ca="1">'Monte Carlo Stimulation'!$I$9</f>
        <v>-2.919314405717207E-2</v>
      </c>
      <c r="N171">
        <f t="shared" ca="1" si="20"/>
        <v>0</v>
      </c>
    </row>
    <row r="172" spans="1:14">
      <c r="A172" s="12">
        <v>45861</v>
      </c>
      <c r="B172" s="14">
        <v>5.1912360792443985E-3</v>
      </c>
      <c r="C172" s="67">
        <f>'Parametric VAR'!$F$12</f>
        <v>-2.023068247926026E-2</v>
      </c>
      <c r="D172">
        <f t="shared" si="15"/>
        <v>0</v>
      </c>
      <c r="E172" s="67">
        <f>'Parametric VAR'!$F$13</f>
        <v>-2.8682193012943492E-2</v>
      </c>
      <c r="F172">
        <f t="shared" si="16"/>
        <v>0</v>
      </c>
      <c r="G172" s="67">
        <f>'Historical VAR'!$G$6</f>
        <v>-1.9839729167757107E-2</v>
      </c>
      <c r="H172">
        <f t="shared" si="17"/>
        <v>0</v>
      </c>
      <c r="I172" s="67">
        <f>'Historical VAR'!$G$7</f>
        <v>-3.1428916759065853E-2</v>
      </c>
      <c r="J172">
        <f t="shared" si="18"/>
        <v>0</v>
      </c>
      <c r="K172" s="67">
        <f ca="1">'Monte Carlo Stimulation'!$I$8</f>
        <v>-2.1559270710709389E-2</v>
      </c>
      <c r="L172">
        <f t="shared" ca="1" si="19"/>
        <v>0</v>
      </c>
      <c r="M172" s="67">
        <f ca="1">'Monte Carlo Stimulation'!$I$9</f>
        <v>-2.919314405717207E-2</v>
      </c>
      <c r="N172">
        <f t="shared" ca="1" si="20"/>
        <v>0</v>
      </c>
    </row>
    <row r="173" spans="1:14">
      <c r="A173" s="12">
        <v>45860</v>
      </c>
      <c r="B173" s="14">
        <v>-4.1226906641421961E-3</v>
      </c>
      <c r="C173" s="67">
        <f>'Parametric VAR'!$F$12</f>
        <v>-2.023068247926026E-2</v>
      </c>
      <c r="D173">
        <f t="shared" si="15"/>
        <v>0</v>
      </c>
      <c r="E173" s="67">
        <f>'Parametric VAR'!$F$13</f>
        <v>-2.8682193012943492E-2</v>
      </c>
      <c r="F173">
        <f t="shared" si="16"/>
        <v>0</v>
      </c>
      <c r="G173" s="67">
        <f>'Historical VAR'!$G$6</f>
        <v>-1.9839729167757107E-2</v>
      </c>
      <c r="H173">
        <f t="shared" si="17"/>
        <v>0</v>
      </c>
      <c r="I173" s="67">
        <f>'Historical VAR'!$G$7</f>
        <v>-3.1428916759065853E-2</v>
      </c>
      <c r="J173">
        <f t="shared" si="18"/>
        <v>0</v>
      </c>
      <c r="K173" s="67">
        <f ca="1">'Monte Carlo Stimulation'!$I$8</f>
        <v>-2.1559270710709389E-2</v>
      </c>
      <c r="L173">
        <f t="shared" ca="1" si="19"/>
        <v>0</v>
      </c>
      <c r="M173" s="67">
        <f ca="1">'Monte Carlo Stimulation'!$I$9</f>
        <v>-2.919314405717207E-2</v>
      </c>
      <c r="N173">
        <f t="shared" ca="1" si="20"/>
        <v>0</v>
      </c>
    </row>
    <row r="174" spans="1:14">
      <c r="A174" s="12">
        <v>45859</v>
      </c>
      <c r="B174" s="14">
        <v>5.0198180777264172E-4</v>
      </c>
      <c r="C174" s="67">
        <f>'Parametric VAR'!$F$12</f>
        <v>-2.023068247926026E-2</v>
      </c>
      <c r="D174">
        <f t="shared" si="15"/>
        <v>0</v>
      </c>
      <c r="E174" s="67">
        <f>'Parametric VAR'!$F$13</f>
        <v>-2.8682193012943492E-2</v>
      </c>
      <c r="F174">
        <f t="shared" si="16"/>
        <v>0</v>
      </c>
      <c r="G174" s="67">
        <f>'Historical VAR'!$G$6</f>
        <v>-1.9839729167757107E-2</v>
      </c>
      <c r="H174">
        <f t="shared" si="17"/>
        <v>0</v>
      </c>
      <c r="I174" s="67">
        <f>'Historical VAR'!$G$7</f>
        <v>-3.1428916759065853E-2</v>
      </c>
      <c r="J174">
        <f t="shared" si="18"/>
        <v>0</v>
      </c>
      <c r="K174" s="67">
        <f ca="1">'Monte Carlo Stimulation'!$I$8</f>
        <v>-2.1559270710709389E-2</v>
      </c>
      <c r="L174">
        <f t="shared" ca="1" si="19"/>
        <v>0</v>
      </c>
      <c r="M174" s="67">
        <f ca="1">'Monte Carlo Stimulation'!$I$9</f>
        <v>-2.919314405717207E-2</v>
      </c>
      <c r="N174">
        <f t="shared" ca="1" si="20"/>
        <v>0</v>
      </c>
    </row>
    <row r="175" spans="1:14">
      <c r="A175" s="12">
        <v>45856</v>
      </c>
      <c r="B175" s="14">
        <v>4.5384617353963017E-3</v>
      </c>
      <c r="C175" s="67">
        <f>'Parametric VAR'!$F$12</f>
        <v>-2.023068247926026E-2</v>
      </c>
      <c r="D175">
        <f t="shared" si="15"/>
        <v>0</v>
      </c>
      <c r="E175" s="67">
        <f>'Parametric VAR'!$F$13</f>
        <v>-2.8682193012943492E-2</v>
      </c>
      <c r="F175">
        <f t="shared" si="16"/>
        <v>0</v>
      </c>
      <c r="G175" s="67">
        <f>'Historical VAR'!$G$6</f>
        <v>-1.9839729167757107E-2</v>
      </c>
      <c r="H175">
        <f t="shared" si="17"/>
        <v>0</v>
      </c>
      <c r="I175" s="67">
        <f>'Historical VAR'!$G$7</f>
        <v>-3.1428916759065853E-2</v>
      </c>
      <c r="J175">
        <f t="shared" si="18"/>
        <v>0</v>
      </c>
      <c r="K175" s="67">
        <f ca="1">'Monte Carlo Stimulation'!$I$8</f>
        <v>-2.1559270710709389E-2</v>
      </c>
      <c r="L175">
        <f t="shared" ca="1" si="19"/>
        <v>0</v>
      </c>
      <c r="M175" s="67">
        <f ca="1">'Monte Carlo Stimulation'!$I$9</f>
        <v>-2.919314405717207E-2</v>
      </c>
      <c r="N175">
        <f t="shared" ca="1" si="20"/>
        <v>0</v>
      </c>
    </row>
    <row r="176" spans="1:14">
      <c r="A176" s="12">
        <v>45855</v>
      </c>
      <c r="B176" s="14">
        <v>5.8053806564534903E-3</v>
      </c>
      <c r="C176" s="67">
        <f>'Parametric VAR'!$F$12</f>
        <v>-2.023068247926026E-2</v>
      </c>
      <c r="D176">
        <f t="shared" si="15"/>
        <v>0</v>
      </c>
      <c r="E176" s="67">
        <f>'Parametric VAR'!$F$13</f>
        <v>-2.8682193012943492E-2</v>
      </c>
      <c r="F176">
        <f t="shared" si="16"/>
        <v>0</v>
      </c>
      <c r="G176" s="67">
        <f>'Historical VAR'!$G$6</f>
        <v>-1.9839729167757107E-2</v>
      </c>
      <c r="H176">
        <f t="shared" si="17"/>
        <v>0</v>
      </c>
      <c r="I176" s="67">
        <f>'Historical VAR'!$G$7</f>
        <v>-3.1428916759065853E-2</v>
      </c>
      <c r="J176">
        <f t="shared" si="18"/>
        <v>0</v>
      </c>
      <c r="K176" s="67">
        <f ca="1">'Monte Carlo Stimulation'!$I$8</f>
        <v>-2.1559270710709389E-2</v>
      </c>
      <c r="L176">
        <f t="shared" ca="1" si="19"/>
        <v>0</v>
      </c>
      <c r="M176" s="67">
        <f ca="1">'Monte Carlo Stimulation'!$I$9</f>
        <v>-2.919314405717207E-2</v>
      </c>
      <c r="N176">
        <f t="shared" ca="1" si="20"/>
        <v>0</v>
      </c>
    </row>
    <row r="177" spans="1:14">
      <c r="A177" s="12">
        <v>45854</v>
      </c>
      <c r="B177" s="14">
        <v>-2.8726634565415573E-3</v>
      </c>
      <c r="C177" s="67">
        <f>'Parametric VAR'!$F$12</f>
        <v>-2.023068247926026E-2</v>
      </c>
      <c r="D177">
        <f t="shared" si="15"/>
        <v>0</v>
      </c>
      <c r="E177" s="67">
        <f>'Parametric VAR'!$F$13</f>
        <v>-2.8682193012943492E-2</v>
      </c>
      <c r="F177">
        <f t="shared" si="16"/>
        <v>0</v>
      </c>
      <c r="G177" s="67">
        <f>'Historical VAR'!$G$6</f>
        <v>-1.9839729167757107E-2</v>
      </c>
      <c r="H177">
        <f t="shared" si="17"/>
        <v>0</v>
      </c>
      <c r="I177" s="67">
        <f>'Historical VAR'!$G$7</f>
        <v>-3.1428916759065853E-2</v>
      </c>
      <c r="J177">
        <f t="shared" si="18"/>
        <v>0</v>
      </c>
      <c r="K177" s="67">
        <f ca="1">'Monte Carlo Stimulation'!$I$8</f>
        <v>-2.1559270710709389E-2</v>
      </c>
      <c r="L177">
        <f t="shared" ca="1" si="19"/>
        <v>0</v>
      </c>
      <c r="M177" s="67">
        <f ca="1">'Monte Carlo Stimulation'!$I$9</f>
        <v>-2.919314405717207E-2</v>
      </c>
      <c r="N177">
        <f t="shared" ca="1" si="20"/>
        <v>0</v>
      </c>
    </row>
    <row r="178" spans="1:14">
      <c r="A178" s="12">
        <v>45853</v>
      </c>
      <c r="B178" s="14">
        <v>-4.4458178250595089E-3</v>
      </c>
      <c r="C178" s="67">
        <f>'Parametric VAR'!$F$12</f>
        <v>-2.023068247926026E-2</v>
      </c>
      <c r="D178">
        <f t="shared" si="15"/>
        <v>0</v>
      </c>
      <c r="E178" s="67">
        <f>'Parametric VAR'!$F$13</f>
        <v>-2.8682193012943492E-2</v>
      </c>
      <c r="F178">
        <f t="shared" si="16"/>
        <v>0</v>
      </c>
      <c r="G178" s="67">
        <f>'Historical VAR'!$G$6</f>
        <v>-1.9839729167757107E-2</v>
      </c>
      <c r="H178">
        <f t="shared" si="17"/>
        <v>0</v>
      </c>
      <c r="I178" s="67">
        <f>'Historical VAR'!$G$7</f>
        <v>-3.1428916759065853E-2</v>
      </c>
      <c r="J178">
        <f t="shared" si="18"/>
        <v>0</v>
      </c>
      <c r="K178" s="67">
        <f ca="1">'Monte Carlo Stimulation'!$I$8</f>
        <v>-2.1559270710709389E-2</v>
      </c>
      <c r="L178">
        <f t="shared" ca="1" si="19"/>
        <v>0</v>
      </c>
      <c r="M178" s="67">
        <f ca="1">'Monte Carlo Stimulation'!$I$9</f>
        <v>-2.919314405717207E-2</v>
      </c>
      <c r="N178">
        <f t="shared" ca="1" si="20"/>
        <v>0</v>
      </c>
    </row>
    <row r="179" spans="1:14">
      <c r="A179" s="12">
        <v>45852</v>
      </c>
      <c r="B179" s="14">
        <v>8.2853529762239822E-4</v>
      </c>
      <c r="C179" s="67">
        <f>'Parametric VAR'!$F$12</f>
        <v>-2.023068247926026E-2</v>
      </c>
      <c r="D179">
        <f t="shared" si="15"/>
        <v>0</v>
      </c>
      <c r="E179" s="67">
        <f>'Parametric VAR'!$F$13</f>
        <v>-2.8682193012943492E-2</v>
      </c>
      <c r="F179">
        <f t="shared" si="16"/>
        <v>0</v>
      </c>
      <c r="G179" s="67">
        <f>'Historical VAR'!$G$6</f>
        <v>-1.9839729167757107E-2</v>
      </c>
      <c r="H179">
        <f t="shared" si="17"/>
        <v>0</v>
      </c>
      <c r="I179" s="67">
        <f>'Historical VAR'!$G$7</f>
        <v>-3.1428916759065853E-2</v>
      </c>
      <c r="J179">
        <f t="shared" si="18"/>
        <v>0</v>
      </c>
      <c r="K179" s="67">
        <f ca="1">'Monte Carlo Stimulation'!$I$8</f>
        <v>-2.1559270710709389E-2</v>
      </c>
      <c r="L179">
        <f t="shared" ca="1" si="19"/>
        <v>0</v>
      </c>
      <c r="M179" s="67">
        <f ca="1">'Monte Carlo Stimulation'!$I$9</f>
        <v>-2.919314405717207E-2</v>
      </c>
      <c r="N179">
        <f t="shared" ca="1" si="20"/>
        <v>0</v>
      </c>
    </row>
    <row r="180" spans="1:14">
      <c r="A180" s="12">
        <v>45849</v>
      </c>
      <c r="B180" s="14">
        <v>1.6037547848070793E-2</v>
      </c>
      <c r="C180" s="67">
        <f>'Parametric VAR'!$F$12</f>
        <v>-2.023068247926026E-2</v>
      </c>
      <c r="D180">
        <f t="shared" si="15"/>
        <v>0</v>
      </c>
      <c r="E180" s="67">
        <f>'Parametric VAR'!$F$13</f>
        <v>-2.8682193012943492E-2</v>
      </c>
      <c r="F180">
        <f t="shared" si="16"/>
        <v>0</v>
      </c>
      <c r="G180" s="67">
        <f>'Historical VAR'!$G$6</f>
        <v>-1.9839729167757107E-2</v>
      </c>
      <c r="H180">
        <f t="shared" si="17"/>
        <v>0</v>
      </c>
      <c r="I180" s="67">
        <f>'Historical VAR'!$G$7</f>
        <v>-3.1428916759065853E-2</v>
      </c>
      <c r="J180">
        <f t="shared" si="18"/>
        <v>0</v>
      </c>
      <c r="K180" s="67">
        <f ca="1">'Monte Carlo Stimulation'!$I$8</f>
        <v>-2.1559270710709389E-2</v>
      </c>
      <c r="L180">
        <f t="shared" ca="1" si="19"/>
        <v>0</v>
      </c>
      <c r="M180" s="67">
        <f ca="1">'Monte Carlo Stimulation'!$I$9</f>
        <v>-2.919314405717207E-2</v>
      </c>
      <c r="N180">
        <f t="shared" ca="1" si="20"/>
        <v>0</v>
      </c>
    </row>
    <row r="181" spans="1:14">
      <c r="A181" s="12">
        <v>45848</v>
      </c>
      <c r="B181" s="14">
        <v>5.1983629107713947E-3</v>
      </c>
      <c r="C181" s="67">
        <f>'Parametric VAR'!$F$12</f>
        <v>-2.023068247926026E-2</v>
      </c>
      <c r="D181">
        <f t="shared" si="15"/>
        <v>0</v>
      </c>
      <c r="E181" s="67">
        <f>'Parametric VAR'!$F$13</f>
        <v>-2.8682193012943492E-2</v>
      </c>
      <c r="F181">
        <f t="shared" si="16"/>
        <v>0</v>
      </c>
      <c r="G181" s="67">
        <f>'Historical VAR'!$G$6</f>
        <v>-1.9839729167757107E-2</v>
      </c>
      <c r="H181">
        <f t="shared" si="17"/>
        <v>0</v>
      </c>
      <c r="I181" s="67">
        <f>'Historical VAR'!$G$7</f>
        <v>-3.1428916759065853E-2</v>
      </c>
      <c r="J181">
        <f t="shared" si="18"/>
        <v>0</v>
      </c>
      <c r="K181" s="67">
        <f ca="1">'Monte Carlo Stimulation'!$I$8</f>
        <v>-2.1559270710709389E-2</v>
      </c>
      <c r="L181">
        <f t="shared" ca="1" si="19"/>
        <v>0</v>
      </c>
      <c r="M181" s="67">
        <f ca="1">'Monte Carlo Stimulation'!$I$9</f>
        <v>-2.919314405717207E-2</v>
      </c>
      <c r="N181">
        <f t="shared" ca="1" si="20"/>
        <v>0</v>
      </c>
    </row>
    <row r="182" spans="1:14">
      <c r="A182" s="12">
        <v>45847</v>
      </c>
      <c r="B182" s="14">
        <v>1.6426305363721708E-2</v>
      </c>
      <c r="C182" s="67">
        <f>'Parametric VAR'!$F$12</f>
        <v>-2.023068247926026E-2</v>
      </c>
      <c r="D182">
        <f t="shared" si="15"/>
        <v>0</v>
      </c>
      <c r="E182" s="67">
        <f>'Parametric VAR'!$F$13</f>
        <v>-2.8682193012943492E-2</v>
      </c>
      <c r="F182">
        <f t="shared" si="16"/>
        <v>0</v>
      </c>
      <c r="G182" s="67">
        <f>'Historical VAR'!$G$6</f>
        <v>-1.9839729167757107E-2</v>
      </c>
      <c r="H182">
        <f t="shared" si="17"/>
        <v>0</v>
      </c>
      <c r="I182" s="67">
        <f>'Historical VAR'!$G$7</f>
        <v>-3.1428916759065853E-2</v>
      </c>
      <c r="J182">
        <f t="shared" si="18"/>
        <v>0</v>
      </c>
      <c r="K182" s="67">
        <f ca="1">'Monte Carlo Stimulation'!$I$8</f>
        <v>-2.1559270710709389E-2</v>
      </c>
      <c r="L182">
        <f t="shared" ca="1" si="19"/>
        <v>0</v>
      </c>
      <c r="M182" s="67">
        <f ca="1">'Monte Carlo Stimulation'!$I$9</f>
        <v>-2.919314405717207E-2</v>
      </c>
      <c r="N182">
        <f t="shared" ca="1" si="20"/>
        <v>0</v>
      </c>
    </row>
    <row r="183" spans="1:14">
      <c r="A183" s="12">
        <v>45846</v>
      </c>
      <c r="B183" s="14">
        <v>-4.5444533832251274E-3</v>
      </c>
      <c r="C183" s="67">
        <f>'Parametric VAR'!$F$12</f>
        <v>-2.023068247926026E-2</v>
      </c>
      <c r="D183">
        <f t="shared" si="15"/>
        <v>0</v>
      </c>
      <c r="E183" s="67">
        <f>'Parametric VAR'!$F$13</f>
        <v>-2.8682193012943492E-2</v>
      </c>
      <c r="F183">
        <f t="shared" si="16"/>
        <v>0</v>
      </c>
      <c r="G183" s="67">
        <f>'Historical VAR'!$G$6</f>
        <v>-1.9839729167757107E-2</v>
      </c>
      <c r="H183">
        <f t="shared" si="17"/>
        <v>0</v>
      </c>
      <c r="I183" s="67">
        <f>'Historical VAR'!$G$7</f>
        <v>-3.1428916759065853E-2</v>
      </c>
      <c r="J183">
        <f t="shared" si="18"/>
        <v>0</v>
      </c>
      <c r="K183" s="67">
        <f ca="1">'Monte Carlo Stimulation'!$I$8</f>
        <v>-2.1559270710709389E-2</v>
      </c>
      <c r="L183">
        <f t="shared" ca="1" si="19"/>
        <v>0</v>
      </c>
      <c r="M183" s="67">
        <f ca="1">'Monte Carlo Stimulation'!$I$9</f>
        <v>-2.919314405717207E-2</v>
      </c>
      <c r="N183">
        <f t="shared" ca="1" si="20"/>
        <v>0</v>
      </c>
    </row>
    <row r="184" spans="1:14">
      <c r="A184" s="12">
        <v>45845</v>
      </c>
      <c r="B184" s="14">
        <v>-1.2247882522105775E-2</v>
      </c>
      <c r="C184" s="67">
        <f>'Parametric VAR'!$F$12</f>
        <v>-2.023068247926026E-2</v>
      </c>
      <c r="D184">
        <f t="shared" si="15"/>
        <v>0</v>
      </c>
      <c r="E184" s="67">
        <f>'Parametric VAR'!$F$13</f>
        <v>-2.8682193012943492E-2</v>
      </c>
      <c r="F184">
        <f t="shared" si="16"/>
        <v>0</v>
      </c>
      <c r="G184" s="67">
        <f>'Historical VAR'!$G$6</f>
        <v>-1.9839729167757107E-2</v>
      </c>
      <c r="H184">
        <f t="shared" si="17"/>
        <v>0</v>
      </c>
      <c r="I184" s="67">
        <f>'Historical VAR'!$G$7</f>
        <v>-3.1428916759065853E-2</v>
      </c>
      <c r="J184">
        <f t="shared" si="18"/>
        <v>0</v>
      </c>
      <c r="K184" s="67">
        <f ca="1">'Monte Carlo Stimulation'!$I$8</f>
        <v>-2.1559270710709389E-2</v>
      </c>
      <c r="L184">
        <f t="shared" ca="1" si="19"/>
        <v>0</v>
      </c>
      <c r="M184" s="67">
        <f ca="1">'Monte Carlo Stimulation'!$I$9</f>
        <v>-2.919314405717207E-2</v>
      </c>
      <c r="N184">
        <f t="shared" ca="1" si="20"/>
        <v>0</v>
      </c>
    </row>
    <row r="185" spans="1:14">
      <c r="A185" s="12">
        <v>45842</v>
      </c>
      <c r="B185" s="14">
        <v>-5.237489389001434E-3</v>
      </c>
      <c r="C185" s="67">
        <f>'Parametric VAR'!$F$12</f>
        <v>-2.023068247926026E-2</v>
      </c>
      <c r="D185">
        <f t="shared" si="15"/>
        <v>0</v>
      </c>
      <c r="E185" s="67">
        <f>'Parametric VAR'!$F$13</f>
        <v>-2.8682193012943492E-2</v>
      </c>
      <c r="F185">
        <f t="shared" si="16"/>
        <v>0</v>
      </c>
      <c r="G185" s="67">
        <f>'Historical VAR'!$G$6</f>
        <v>-1.9839729167757107E-2</v>
      </c>
      <c r="H185">
        <f t="shared" si="17"/>
        <v>0</v>
      </c>
      <c r="I185" s="67">
        <f>'Historical VAR'!$G$7</f>
        <v>-3.1428916759065853E-2</v>
      </c>
      <c r="J185">
        <f t="shared" si="18"/>
        <v>0</v>
      </c>
      <c r="K185" s="67">
        <f ca="1">'Monte Carlo Stimulation'!$I$8</f>
        <v>-2.1559270710709389E-2</v>
      </c>
      <c r="L185">
        <f t="shared" ca="1" si="19"/>
        <v>0</v>
      </c>
      <c r="M185" s="67">
        <f ca="1">'Monte Carlo Stimulation'!$I$9</f>
        <v>-2.919314405717207E-2</v>
      </c>
      <c r="N185">
        <f t="shared" ca="1" si="20"/>
        <v>0</v>
      </c>
    </row>
    <row r="186" spans="1:14">
      <c r="A186" s="12">
        <v>45841</v>
      </c>
      <c r="B186" s="14">
        <v>2.6664174047308421E-3</v>
      </c>
      <c r="C186" s="67">
        <f>'Parametric VAR'!$F$12</f>
        <v>-2.023068247926026E-2</v>
      </c>
      <c r="D186">
        <f t="shared" si="15"/>
        <v>0</v>
      </c>
      <c r="E186" s="67">
        <f>'Parametric VAR'!$F$13</f>
        <v>-2.8682193012943492E-2</v>
      </c>
      <c r="F186">
        <f t="shared" si="16"/>
        <v>0</v>
      </c>
      <c r="G186" s="67">
        <f>'Historical VAR'!$G$6</f>
        <v>-1.9839729167757107E-2</v>
      </c>
      <c r="H186">
        <f t="shared" si="17"/>
        <v>0</v>
      </c>
      <c r="I186" s="67">
        <f>'Historical VAR'!$G$7</f>
        <v>-3.1428916759065853E-2</v>
      </c>
      <c r="J186">
        <f t="shared" si="18"/>
        <v>0</v>
      </c>
      <c r="K186" s="67">
        <f ca="1">'Monte Carlo Stimulation'!$I$8</f>
        <v>-2.1559270710709389E-2</v>
      </c>
      <c r="L186">
        <f t="shared" ca="1" si="19"/>
        <v>0</v>
      </c>
      <c r="M186" s="67">
        <f ca="1">'Monte Carlo Stimulation'!$I$9</f>
        <v>-2.919314405717207E-2</v>
      </c>
      <c r="N186">
        <f t="shared" ca="1" si="20"/>
        <v>0</v>
      </c>
    </row>
    <row r="187" spans="1:14">
      <c r="A187" s="12">
        <v>45840</v>
      </c>
      <c r="B187" s="14">
        <v>-5.1129736909477806E-3</v>
      </c>
      <c r="C187" s="67">
        <f>'Parametric VAR'!$F$12</f>
        <v>-2.023068247926026E-2</v>
      </c>
      <c r="D187">
        <f t="shared" si="15"/>
        <v>0</v>
      </c>
      <c r="E187" s="67">
        <f>'Parametric VAR'!$F$13</f>
        <v>-2.8682193012943492E-2</v>
      </c>
      <c r="F187">
        <f t="shared" si="16"/>
        <v>0</v>
      </c>
      <c r="G187" s="67">
        <f>'Historical VAR'!$G$6</f>
        <v>-1.9839729167757107E-2</v>
      </c>
      <c r="H187">
        <f t="shared" si="17"/>
        <v>0</v>
      </c>
      <c r="I187" s="67">
        <f>'Historical VAR'!$G$7</f>
        <v>-3.1428916759065853E-2</v>
      </c>
      <c r="J187">
        <f t="shared" si="18"/>
        <v>0</v>
      </c>
      <c r="K187" s="67">
        <f ca="1">'Monte Carlo Stimulation'!$I$8</f>
        <v>-2.1559270710709389E-2</v>
      </c>
      <c r="L187">
        <f t="shared" ca="1" si="19"/>
        <v>0</v>
      </c>
      <c r="M187" s="67">
        <f ca="1">'Monte Carlo Stimulation'!$I$9</f>
        <v>-2.919314405717207E-2</v>
      </c>
      <c r="N187">
        <f t="shared" ca="1" si="20"/>
        <v>0</v>
      </c>
    </row>
    <row r="188" spans="1:14">
      <c r="A188" s="12">
        <v>45839</v>
      </c>
      <c r="B188" s="14">
        <v>-1.4997831251580636E-2</v>
      </c>
      <c r="C188" s="67">
        <f>'Parametric VAR'!$F$12</f>
        <v>-2.023068247926026E-2</v>
      </c>
      <c r="D188">
        <f t="shared" si="15"/>
        <v>0</v>
      </c>
      <c r="E188" s="67">
        <f>'Parametric VAR'!$F$13</f>
        <v>-2.8682193012943492E-2</v>
      </c>
      <c r="F188">
        <f t="shared" si="16"/>
        <v>0</v>
      </c>
      <c r="G188" s="67">
        <f>'Historical VAR'!$G$6</f>
        <v>-1.9839729167757107E-2</v>
      </c>
      <c r="H188">
        <f t="shared" si="17"/>
        <v>0</v>
      </c>
      <c r="I188" s="67">
        <f>'Historical VAR'!$G$7</f>
        <v>-3.1428916759065853E-2</v>
      </c>
      <c r="J188">
        <f t="shared" si="18"/>
        <v>0</v>
      </c>
      <c r="K188" s="67">
        <f ca="1">'Monte Carlo Stimulation'!$I$8</f>
        <v>-2.1559270710709389E-2</v>
      </c>
      <c r="L188">
        <f t="shared" ca="1" si="19"/>
        <v>0</v>
      </c>
      <c r="M188" s="67">
        <f ca="1">'Monte Carlo Stimulation'!$I$9</f>
        <v>-2.919314405717207E-2</v>
      </c>
      <c r="N188">
        <f t="shared" ca="1" si="20"/>
        <v>0</v>
      </c>
    </row>
    <row r="189" spans="1:14">
      <c r="A189" s="12">
        <v>45838</v>
      </c>
      <c r="B189" s="14">
        <v>-8.7325876557412894E-3</v>
      </c>
      <c r="C189" s="67">
        <f>'Parametric VAR'!$F$12</f>
        <v>-2.023068247926026E-2</v>
      </c>
      <c r="D189">
        <f t="shared" si="15"/>
        <v>0</v>
      </c>
      <c r="E189" s="67">
        <f>'Parametric VAR'!$F$13</f>
        <v>-2.8682193012943492E-2</v>
      </c>
      <c r="F189">
        <f t="shared" si="16"/>
        <v>0</v>
      </c>
      <c r="G189" s="67">
        <f>'Historical VAR'!$G$6</f>
        <v>-1.9839729167757107E-2</v>
      </c>
      <c r="H189">
        <f t="shared" si="17"/>
        <v>0</v>
      </c>
      <c r="I189" s="67">
        <f>'Historical VAR'!$G$7</f>
        <v>-3.1428916759065853E-2</v>
      </c>
      <c r="J189">
        <f t="shared" si="18"/>
        <v>0</v>
      </c>
      <c r="K189" s="67">
        <f ca="1">'Monte Carlo Stimulation'!$I$8</f>
        <v>-2.1559270710709389E-2</v>
      </c>
      <c r="L189">
        <f t="shared" ca="1" si="19"/>
        <v>0</v>
      </c>
      <c r="M189" s="67">
        <f ca="1">'Monte Carlo Stimulation'!$I$9</f>
        <v>-2.919314405717207E-2</v>
      </c>
      <c r="N189">
        <f t="shared" ca="1" si="20"/>
        <v>0</v>
      </c>
    </row>
    <row r="190" spans="1:14">
      <c r="A190" s="12">
        <v>45835</v>
      </c>
      <c r="B190" s="14">
        <v>2.0955865540215721E-3</v>
      </c>
      <c r="C190" s="67">
        <f>'Parametric VAR'!$F$12</f>
        <v>-2.023068247926026E-2</v>
      </c>
      <c r="D190">
        <f t="shared" si="15"/>
        <v>0</v>
      </c>
      <c r="E190" s="67">
        <f>'Parametric VAR'!$F$13</f>
        <v>-2.8682193012943492E-2</v>
      </c>
      <c r="F190">
        <f t="shared" si="16"/>
        <v>0</v>
      </c>
      <c r="G190" s="67">
        <f>'Historical VAR'!$G$6</f>
        <v>-1.9839729167757107E-2</v>
      </c>
      <c r="H190">
        <f t="shared" si="17"/>
        <v>0</v>
      </c>
      <c r="I190" s="67">
        <f>'Historical VAR'!$G$7</f>
        <v>-3.1428916759065853E-2</v>
      </c>
      <c r="J190">
        <f t="shared" si="18"/>
        <v>0</v>
      </c>
      <c r="K190" s="67">
        <f ca="1">'Monte Carlo Stimulation'!$I$8</f>
        <v>-2.1559270710709389E-2</v>
      </c>
      <c r="L190">
        <f t="shared" ca="1" si="19"/>
        <v>0</v>
      </c>
      <c r="M190" s="67">
        <f ca="1">'Monte Carlo Stimulation'!$I$9</f>
        <v>-2.919314405717207E-2</v>
      </c>
      <c r="N190">
        <f t="shared" ca="1" si="20"/>
        <v>0</v>
      </c>
    </row>
    <row r="191" spans="1:14">
      <c r="A191" s="12">
        <v>45834</v>
      </c>
      <c r="B191" s="14">
        <v>-2.9220304528830916E-2</v>
      </c>
      <c r="C191" s="67">
        <f>'Parametric VAR'!$F$12</f>
        <v>-2.023068247926026E-2</v>
      </c>
      <c r="D191">
        <f t="shared" si="15"/>
        <v>1</v>
      </c>
      <c r="E191" s="67">
        <f>'Parametric VAR'!$F$13</f>
        <v>-2.8682193012943492E-2</v>
      </c>
      <c r="F191">
        <f t="shared" si="16"/>
        <v>1</v>
      </c>
      <c r="G191" s="67">
        <f>'Historical VAR'!$G$6</f>
        <v>-1.9839729167757107E-2</v>
      </c>
      <c r="H191">
        <f t="shared" si="17"/>
        <v>1</v>
      </c>
      <c r="I191" s="67">
        <f>'Historical VAR'!$G$7</f>
        <v>-3.1428916759065853E-2</v>
      </c>
      <c r="J191">
        <f t="shared" si="18"/>
        <v>0</v>
      </c>
      <c r="K191" s="67">
        <f ca="1">'Monte Carlo Stimulation'!$I$8</f>
        <v>-2.1559270710709389E-2</v>
      </c>
      <c r="L191">
        <f t="shared" ca="1" si="19"/>
        <v>1</v>
      </c>
      <c r="M191" s="67">
        <f ca="1">'Monte Carlo Stimulation'!$I$9</f>
        <v>-2.919314405717207E-2</v>
      </c>
      <c r="N191">
        <f t="shared" ca="1" si="20"/>
        <v>1</v>
      </c>
    </row>
    <row r="192" spans="1:14">
      <c r="A192" s="12">
        <v>45833</v>
      </c>
      <c r="B192" s="14">
        <v>-2.7580363117153651E-3</v>
      </c>
      <c r="C192" s="67">
        <f>'Parametric VAR'!$F$12</f>
        <v>-2.023068247926026E-2</v>
      </c>
      <c r="D192">
        <f t="shared" si="15"/>
        <v>0</v>
      </c>
      <c r="E192" s="67">
        <f>'Parametric VAR'!$F$13</f>
        <v>-2.8682193012943492E-2</v>
      </c>
      <c r="F192">
        <f t="shared" si="16"/>
        <v>0</v>
      </c>
      <c r="G192" s="67">
        <f>'Historical VAR'!$G$6</f>
        <v>-1.9839729167757107E-2</v>
      </c>
      <c r="H192">
        <f t="shared" si="17"/>
        <v>0</v>
      </c>
      <c r="I192" s="67">
        <f>'Historical VAR'!$G$7</f>
        <v>-3.1428916759065853E-2</v>
      </c>
      <c r="J192">
        <f t="shared" si="18"/>
        <v>0</v>
      </c>
      <c r="K192" s="67">
        <f ca="1">'Monte Carlo Stimulation'!$I$8</f>
        <v>-2.1559270710709389E-2</v>
      </c>
      <c r="L192">
        <f t="shared" ca="1" si="19"/>
        <v>0</v>
      </c>
      <c r="M192" s="67">
        <f ca="1">'Monte Carlo Stimulation'!$I$9</f>
        <v>-2.919314405717207E-2</v>
      </c>
      <c r="N192">
        <f t="shared" ca="1" si="20"/>
        <v>0</v>
      </c>
    </row>
    <row r="193" spans="1:14">
      <c r="A193" s="12">
        <v>45832</v>
      </c>
      <c r="B193" s="14">
        <v>-6.7130605494631944E-3</v>
      </c>
      <c r="C193" s="67">
        <f>'Parametric VAR'!$F$12</f>
        <v>-2.023068247926026E-2</v>
      </c>
      <c r="D193">
        <f t="shared" si="15"/>
        <v>0</v>
      </c>
      <c r="E193" s="67">
        <f>'Parametric VAR'!$F$13</f>
        <v>-2.8682193012943492E-2</v>
      </c>
      <c r="F193">
        <f t="shared" si="16"/>
        <v>0</v>
      </c>
      <c r="G193" s="67">
        <f>'Historical VAR'!$G$6</f>
        <v>-1.9839729167757107E-2</v>
      </c>
      <c r="H193">
        <f t="shared" si="17"/>
        <v>0</v>
      </c>
      <c r="I193" s="67">
        <f>'Historical VAR'!$G$7</f>
        <v>-3.1428916759065853E-2</v>
      </c>
      <c r="J193">
        <f t="shared" si="18"/>
        <v>0</v>
      </c>
      <c r="K193" s="67">
        <f ca="1">'Monte Carlo Stimulation'!$I$8</f>
        <v>-2.1559270710709389E-2</v>
      </c>
      <c r="L193">
        <f t="shared" ca="1" si="19"/>
        <v>0</v>
      </c>
      <c r="M193" s="67">
        <f ca="1">'Monte Carlo Stimulation'!$I$9</f>
        <v>-2.919314405717207E-2</v>
      </c>
      <c r="N193">
        <f t="shared" ca="1" si="20"/>
        <v>0</v>
      </c>
    </row>
    <row r="194" spans="1:14">
      <c r="A194" s="12">
        <v>45831</v>
      </c>
      <c r="B194" s="14">
        <v>-3.7631676252508576E-3</v>
      </c>
      <c r="C194" s="67">
        <f>'Parametric VAR'!$F$12</f>
        <v>-2.023068247926026E-2</v>
      </c>
      <c r="D194">
        <f t="shared" si="15"/>
        <v>0</v>
      </c>
      <c r="E194" s="67">
        <f>'Parametric VAR'!$F$13</f>
        <v>-2.8682193012943492E-2</v>
      </c>
      <c r="F194">
        <f t="shared" si="16"/>
        <v>0</v>
      </c>
      <c r="G194" s="67">
        <f>'Historical VAR'!$G$6</f>
        <v>-1.9839729167757107E-2</v>
      </c>
      <c r="H194">
        <f t="shared" si="17"/>
        <v>0</v>
      </c>
      <c r="I194" s="67">
        <f>'Historical VAR'!$G$7</f>
        <v>-3.1428916759065853E-2</v>
      </c>
      <c r="J194">
        <f t="shared" si="18"/>
        <v>0</v>
      </c>
      <c r="K194" s="67">
        <f ca="1">'Monte Carlo Stimulation'!$I$8</f>
        <v>-2.1559270710709389E-2</v>
      </c>
      <c r="L194">
        <f t="shared" ca="1" si="19"/>
        <v>0</v>
      </c>
      <c r="M194" s="67">
        <f ca="1">'Monte Carlo Stimulation'!$I$9</f>
        <v>-2.919314405717207E-2</v>
      </c>
      <c r="N194">
        <f t="shared" ca="1" si="20"/>
        <v>0</v>
      </c>
    </row>
    <row r="195" spans="1:14">
      <c r="A195" s="12">
        <v>45828</v>
      </c>
      <c r="B195" s="14">
        <v>-1.5543620329842825E-3</v>
      </c>
      <c r="C195" s="67">
        <f>'Parametric VAR'!$F$12</f>
        <v>-2.023068247926026E-2</v>
      </c>
      <c r="D195">
        <f t="shared" si="15"/>
        <v>0</v>
      </c>
      <c r="E195" s="67">
        <f>'Parametric VAR'!$F$13</f>
        <v>-2.8682193012943492E-2</v>
      </c>
      <c r="F195">
        <f t="shared" si="16"/>
        <v>0</v>
      </c>
      <c r="G195" s="67">
        <f>'Historical VAR'!$G$6</f>
        <v>-1.9839729167757107E-2</v>
      </c>
      <c r="H195">
        <f t="shared" si="17"/>
        <v>0</v>
      </c>
      <c r="I195" s="67">
        <f>'Historical VAR'!$G$7</f>
        <v>-3.1428916759065853E-2</v>
      </c>
      <c r="J195">
        <f t="shared" si="18"/>
        <v>0</v>
      </c>
      <c r="K195" s="67">
        <f ca="1">'Monte Carlo Stimulation'!$I$8</f>
        <v>-2.1559270710709389E-2</v>
      </c>
      <c r="L195">
        <f t="shared" ca="1" si="19"/>
        <v>0</v>
      </c>
      <c r="M195" s="67">
        <f ca="1">'Monte Carlo Stimulation'!$I$9</f>
        <v>-2.919314405717207E-2</v>
      </c>
      <c r="N195">
        <f t="shared" ca="1" si="20"/>
        <v>0</v>
      </c>
    </row>
    <row r="196" spans="1:14">
      <c r="A196" s="12">
        <v>45827</v>
      </c>
      <c r="B196" s="14">
        <v>-1.3070818003380854E-3</v>
      </c>
      <c r="C196" s="67">
        <f>'Parametric VAR'!$F$12</f>
        <v>-2.023068247926026E-2</v>
      </c>
      <c r="D196">
        <f t="shared" ref="D196:D259" si="21">IF(B196&lt;C196,1,0)</f>
        <v>0</v>
      </c>
      <c r="E196" s="67">
        <f>'Parametric VAR'!$F$13</f>
        <v>-2.8682193012943492E-2</v>
      </c>
      <c r="F196">
        <f t="shared" ref="F196:F259" si="22">IF(B196&lt;E196,1,0)</f>
        <v>0</v>
      </c>
      <c r="G196" s="67">
        <f>'Historical VAR'!$G$6</f>
        <v>-1.9839729167757107E-2</v>
      </c>
      <c r="H196">
        <f t="shared" ref="H196:H259" si="23">IF(B196&lt;G196,1,0)</f>
        <v>0</v>
      </c>
      <c r="I196" s="67">
        <f>'Historical VAR'!$G$7</f>
        <v>-3.1428916759065853E-2</v>
      </c>
      <c r="J196">
        <f t="shared" ref="J196:J259" si="24">IF(B196&lt;I196,1,0)</f>
        <v>0</v>
      </c>
      <c r="K196" s="67">
        <f ca="1">'Monte Carlo Stimulation'!$I$8</f>
        <v>-2.1559270710709389E-2</v>
      </c>
      <c r="L196">
        <f t="shared" ref="L196:L259" ca="1" si="25">IF(B196&lt;K196,1,0)</f>
        <v>0</v>
      </c>
      <c r="M196" s="67">
        <f ca="1">'Monte Carlo Stimulation'!$I$9</f>
        <v>-2.919314405717207E-2</v>
      </c>
      <c r="N196">
        <f t="shared" ref="N196:N259" ca="1" si="26">IF(B196&lt;M196,1,0)</f>
        <v>0</v>
      </c>
    </row>
    <row r="197" spans="1:14">
      <c r="A197" s="12">
        <v>45826</v>
      </c>
      <c r="B197" s="14">
        <v>9.4434609874702365E-3</v>
      </c>
      <c r="C197" s="67">
        <f>'Parametric VAR'!$F$12</f>
        <v>-2.023068247926026E-2</v>
      </c>
      <c r="D197">
        <f t="shared" si="21"/>
        <v>0</v>
      </c>
      <c r="E197" s="67">
        <f>'Parametric VAR'!$F$13</f>
        <v>-2.8682193012943492E-2</v>
      </c>
      <c r="F197">
        <f t="shared" si="22"/>
        <v>0</v>
      </c>
      <c r="G197" s="67">
        <f>'Historical VAR'!$G$6</f>
        <v>-1.9839729167757107E-2</v>
      </c>
      <c r="H197">
        <f t="shared" si="23"/>
        <v>0</v>
      </c>
      <c r="I197" s="67">
        <f>'Historical VAR'!$G$7</f>
        <v>-3.1428916759065853E-2</v>
      </c>
      <c r="J197">
        <f t="shared" si="24"/>
        <v>0</v>
      </c>
      <c r="K197" s="67">
        <f ca="1">'Monte Carlo Stimulation'!$I$8</f>
        <v>-2.1559270710709389E-2</v>
      </c>
      <c r="L197">
        <f t="shared" ca="1" si="25"/>
        <v>0</v>
      </c>
      <c r="M197" s="67">
        <f ca="1">'Monte Carlo Stimulation'!$I$9</f>
        <v>-2.919314405717207E-2</v>
      </c>
      <c r="N197">
        <f t="shared" ca="1" si="26"/>
        <v>0</v>
      </c>
    </row>
    <row r="198" spans="1:14">
      <c r="A198" s="12">
        <v>45825</v>
      </c>
      <c r="B198" s="14">
        <v>-4.74463532900018E-3</v>
      </c>
      <c r="C198" s="67">
        <f>'Parametric VAR'!$F$12</f>
        <v>-2.023068247926026E-2</v>
      </c>
      <c r="D198">
        <f t="shared" si="21"/>
        <v>0</v>
      </c>
      <c r="E198" s="67">
        <f>'Parametric VAR'!$F$13</f>
        <v>-2.8682193012943492E-2</v>
      </c>
      <c r="F198">
        <f t="shared" si="22"/>
        <v>0</v>
      </c>
      <c r="G198" s="67">
        <f>'Historical VAR'!$G$6</f>
        <v>-1.9839729167757107E-2</v>
      </c>
      <c r="H198">
        <f t="shared" si="23"/>
        <v>0</v>
      </c>
      <c r="I198" s="67">
        <f>'Historical VAR'!$G$7</f>
        <v>-3.1428916759065853E-2</v>
      </c>
      <c r="J198">
        <f t="shared" si="24"/>
        <v>0</v>
      </c>
      <c r="K198" s="67">
        <f ca="1">'Monte Carlo Stimulation'!$I$8</f>
        <v>-2.1559270710709389E-2</v>
      </c>
      <c r="L198">
        <f t="shared" ca="1" si="25"/>
        <v>0</v>
      </c>
      <c r="M198" s="67">
        <f ca="1">'Monte Carlo Stimulation'!$I$9</f>
        <v>-2.919314405717207E-2</v>
      </c>
      <c r="N198">
        <f t="shared" ca="1" si="26"/>
        <v>0</v>
      </c>
    </row>
    <row r="199" spans="1:14">
      <c r="A199" s="12">
        <v>45824</v>
      </c>
      <c r="B199" s="14">
        <v>-3.6427108542107269E-3</v>
      </c>
      <c r="C199" s="67">
        <f>'Parametric VAR'!$F$12</f>
        <v>-2.023068247926026E-2</v>
      </c>
      <c r="D199">
        <f t="shared" si="21"/>
        <v>0</v>
      </c>
      <c r="E199" s="67">
        <f>'Parametric VAR'!$F$13</f>
        <v>-2.8682193012943492E-2</v>
      </c>
      <c r="F199">
        <f t="shared" si="22"/>
        <v>0</v>
      </c>
      <c r="G199" s="67">
        <f>'Historical VAR'!$G$6</f>
        <v>-1.9839729167757107E-2</v>
      </c>
      <c r="H199">
        <f t="shared" si="23"/>
        <v>0</v>
      </c>
      <c r="I199" s="67">
        <f>'Historical VAR'!$G$7</f>
        <v>-3.1428916759065853E-2</v>
      </c>
      <c r="J199">
        <f t="shared" si="24"/>
        <v>0</v>
      </c>
      <c r="K199" s="67">
        <f ca="1">'Monte Carlo Stimulation'!$I$8</f>
        <v>-2.1559270710709389E-2</v>
      </c>
      <c r="L199">
        <f t="shared" ca="1" si="25"/>
        <v>0</v>
      </c>
      <c r="M199" s="67">
        <f ca="1">'Monte Carlo Stimulation'!$I$9</f>
        <v>-2.919314405717207E-2</v>
      </c>
      <c r="N199">
        <f t="shared" ca="1" si="26"/>
        <v>0</v>
      </c>
    </row>
    <row r="200" spans="1:14">
      <c r="A200" s="12">
        <v>45821</v>
      </c>
      <c r="B200" s="14">
        <v>-9.2002807592880664E-3</v>
      </c>
      <c r="C200" s="67">
        <f>'Parametric VAR'!$F$12</f>
        <v>-2.023068247926026E-2</v>
      </c>
      <c r="D200">
        <f t="shared" si="21"/>
        <v>0</v>
      </c>
      <c r="E200" s="67">
        <f>'Parametric VAR'!$F$13</f>
        <v>-2.8682193012943492E-2</v>
      </c>
      <c r="F200">
        <f t="shared" si="22"/>
        <v>0</v>
      </c>
      <c r="G200" s="67">
        <f>'Historical VAR'!$G$6</f>
        <v>-1.9839729167757107E-2</v>
      </c>
      <c r="H200">
        <f t="shared" si="23"/>
        <v>0</v>
      </c>
      <c r="I200" s="67">
        <f>'Historical VAR'!$G$7</f>
        <v>-3.1428916759065853E-2</v>
      </c>
      <c r="J200">
        <f t="shared" si="24"/>
        <v>0</v>
      </c>
      <c r="K200" s="67">
        <f ca="1">'Monte Carlo Stimulation'!$I$8</f>
        <v>-2.1559270710709389E-2</v>
      </c>
      <c r="L200">
        <f t="shared" ca="1" si="25"/>
        <v>0</v>
      </c>
      <c r="M200" s="67">
        <f ca="1">'Monte Carlo Stimulation'!$I$9</f>
        <v>-2.919314405717207E-2</v>
      </c>
      <c r="N200">
        <f t="shared" ca="1" si="26"/>
        <v>0</v>
      </c>
    </row>
    <row r="201" spans="1:14">
      <c r="A201" s="12">
        <v>45820</v>
      </c>
      <c r="B201" s="14">
        <v>2.7711277885414248E-3</v>
      </c>
      <c r="C201" s="67">
        <f>'Parametric VAR'!$F$12</f>
        <v>-2.023068247926026E-2</v>
      </c>
      <c r="D201">
        <f t="shared" si="21"/>
        <v>0</v>
      </c>
      <c r="E201" s="67">
        <f>'Parametric VAR'!$F$13</f>
        <v>-2.8682193012943492E-2</v>
      </c>
      <c r="F201">
        <f t="shared" si="22"/>
        <v>0</v>
      </c>
      <c r="G201" s="67">
        <f>'Historical VAR'!$G$6</f>
        <v>-1.9839729167757107E-2</v>
      </c>
      <c r="H201">
        <f t="shared" si="23"/>
        <v>0</v>
      </c>
      <c r="I201" s="67">
        <f>'Historical VAR'!$G$7</f>
        <v>-3.1428916759065853E-2</v>
      </c>
      <c r="J201">
        <f t="shared" si="24"/>
        <v>0</v>
      </c>
      <c r="K201" s="67">
        <f ca="1">'Monte Carlo Stimulation'!$I$8</f>
        <v>-2.1559270710709389E-2</v>
      </c>
      <c r="L201">
        <f t="shared" ca="1" si="25"/>
        <v>0</v>
      </c>
      <c r="M201" s="67">
        <f ca="1">'Monte Carlo Stimulation'!$I$9</f>
        <v>-2.919314405717207E-2</v>
      </c>
      <c r="N201">
        <f t="shared" ca="1" si="26"/>
        <v>0</v>
      </c>
    </row>
    <row r="202" spans="1:14">
      <c r="A202" s="12">
        <v>45819</v>
      </c>
      <c r="B202" s="14">
        <v>-3.4431246293156435E-3</v>
      </c>
      <c r="C202" s="67">
        <f>'Parametric VAR'!$F$12</f>
        <v>-2.023068247926026E-2</v>
      </c>
      <c r="D202">
        <f t="shared" si="21"/>
        <v>0</v>
      </c>
      <c r="E202" s="67">
        <f>'Parametric VAR'!$F$13</f>
        <v>-2.8682193012943492E-2</v>
      </c>
      <c r="F202">
        <f t="shared" si="22"/>
        <v>0</v>
      </c>
      <c r="G202" s="67">
        <f>'Historical VAR'!$G$6</f>
        <v>-1.9839729167757107E-2</v>
      </c>
      <c r="H202">
        <f t="shared" si="23"/>
        <v>0</v>
      </c>
      <c r="I202" s="67">
        <f>'Historical VAR'!$G$7</f>
        <v>-3.1428916759065853E-2</v>
      </c>
      <c r="J202">
        <f t="shared" si="24"/>
        <v>0</v>
      </c>
      <c r="K202" s="67">
        <f ca="1">'Monte Carlo Stimulation'!$I$8</f>
        <v>-2.1559270710709389E-2</v>
      </c>
      <c r="L202">
        <f t="shared" ca="1" si="25"/>
        <v>0</v>
      </c>
      <c r="M202" s="67">
        <f ca="1">'Monte Carlo Stimulation'!$I$9</f>
        <v>-2.919314405717207E-2</v>
      </c>
      <c r="N202">
        <f t="shared" ca="1" si="26"/>
        <v>0</v>
      </c>
    </row>
    <row r="203" spans="1:14">
      <c r="A203" s="12">
        <v>45818</v>
      </c>
      <c r="B203" s="14">
        <v>5.4309239183273194E-3</v>
      </c>
      <c r="C203" s="67">
        <f>'Parametric VAR'!$F$12</f>
        <v>-2.023068247926026E-2</v>
      </c>
      <c r="D203">
        <f t="shared" si="21"/>
        <v>0</v>
      </c>
      <c r="E203" s="67">
        <f>'Parametric VAR'!$F$13</f>
        <v>-2.8682193012943492E-2</v>
      </c>
      <c r="F203">
        <f t="shared" si="22"/>
        <v>0</v>
      </c>
      <c r="G203" s="67">
        <f>'Historical VAR'!$G$6</f>
        <v>-1.9839729167757107E-2</v>
      </c>
      <c r="H203">
        <f t="shared" si="23"/>
        <v>0</v>
      </c>
      <c r="I203" s="67">
        <f>'Historical VAR'!$G$7</f>
        <v>-3.1428916759065853E-2</v>
      </c>
      <c r="J203">
        <f t="shared" si="24"/>
        <v>0</v>
      </c>
      <c r="K203" s="67">
        <f ca="1">'Monte Carlo Stimulation'!$I$8</f>
        <v>-2.1559270710709389E-2</v>
      </c>
      <c r="L203">
        <f t="shared" ca="1" si="25"/>
        <v>0</v>
      </c>
      <c r="M203" s="67">
        <f ca="1">'Monte Carlo Stimulation'!$I$9</f>
        <v>-2.919314405717207E-2</v>
      </c>
      <c r="N203">
        <f t="shared" ca="1" si="26"/>
        <v>0</v>
      </c>
    </row>
    <row r="204" spans="1:14">
      <c r="A204" s="12">
        <v>45817</v>
      </c>
      <c r="B204" s="14">
        <v>7.9796927389825332E-3</v>
      </c>
      <c r="C204" s="67">
        <f>'Parametric VAR'!$F$12</f>
        <v>-2.023068247926026E-2</v>
      </c>
      <c r="D204">
        <f t="shared" si="21"/>
        <v>0</v>
      </c>
      <c r="E204" s="67">
        <f>'Parametric VAR'!$F$13</f>
        <v>-2.8682193012943492E-2</v>
      </c>
      <c r="F204">
        <f t="shared" si="22"/>
        <v>0</v>
      </c>
      <c r="G204" s="67">
        <f>'Historical VAR'!$G$6</f>
        <v>-1.9839729167757107E-2</v>
      </c>
      <c r="H204">
        <f t="shared" si="23"/>
        <v>0</v>
      </c>
      <c r="I204" s="67">
        <f>'Historical VAR'!$G$7</f>
        <v>-3.1428916759065853E-2</v>
      </c>
      <c r="J204">
        <f t="shared" si="24"/>
        <v>0</v>
      </c>
      <c r="K204" s="67">
        <f ca="1">'Monte Carlo Stimulation'!$I$8</f>
        <v>-2.1559270710709389E-2</v>
      </c>
      <c r="L204">
        <f t="shared" ca="1" si="25"/>
        <v>0</v>
      </c>
      <c r="M204" s="67">
        <f ca="1">'Monte Carlo Stimulation'!$I$9</f>
        <v>-2.919314405717207E-2</v>
      </c>
      <c r="N204">
        <f t="shared" ca="1" si="26"/>
        <v>0</v>
      </c>
    </row>
    <row r="205" spans="1:14">
      <c r="A205" s="12">
        <v>45814</v>
      </c>
      <c r="B205" s="14">
        <v>1.285680194958097E-3</v>
      </c>
      <c r="C205" s="67">
        <f>'Parametric VAR'!$F$12</f>
        <v>-2.023068247926026E-2</v>
      </c>
      <c r="D205">
        <f t="shared" si="21"/>
        <v>0</v>
      </c>
      <c r="E205" s="67">
        <f>'Parametric VAR'!$F$13</f>
        <v>-2.8682193012943492E-2</v>
      </c>
      <c r="F205">
        <f t="shared" si="22"/>
        <v>0</v>
      </c>
      <c r="G205" s="67">
        <f>'Historical VAR'!$G$6</f>
        <v>-1.9839729167757107E-2</v>
      </c>
      <c r="H205">
        <f t="shared" si="23"/>
        <v>0</v>
      </c>
      <c r="I205" s="67">
        <f>'Historical VAR'!$G$7</f>
        <v>-3.1428916759065853E-2</v>
      </c>
      <c r="J205">
        <f t="shared" si="24"/>
        <v>0</v>
      </c>
      <c r="K205" s="67">
        <f ca="1">'Monte Carlo Stimulation'!$I$8</f>
        <v>-2.1559270710709389E-2</v>
      </c>
      <c r="L205">
        <f t="shared" ca="1" si="25"/>
        <v>0</v>
      </c>
      <c r="M205" s="67">
        <f ca="1">'Monte Carlo Stimulation'!$I$9</f>
        <v>-2.919314405717207E-2</v>
      </c>
      <c r="N205">
        <f t="shared" ca="1" si="26"/>
        <v>0</v>
      </c>
    </row>
    <row r="206" spans="1:14">
      <c r="A206" s="12">
        <v>45813</v>
      </c>
      <c r="B206" s="14">
        <v>1.4426998869509737E-4</v>
      </c>
      <c r="C206" s="67">
        <f>'Parametric VAR'!$F$12</f>
        <v>-2.023068247926026E-2</v>
      </c>
      <c r="D206">
        <f t="shared" si="21"/>
        <v>0</v>
      </c>
      <c r="E206" s="67">
        <f>'Parametric VAR'!$F$13</f>
        <v>-2.8682193012943492E-2</v>
      </c>
      <c r="F206">
        <f t="shared" si="22"/>
        <v>0</v>
      </c>
      <c r="G206" s="67">
        <f>'Historical VAR'!$G$6</f>
        <v>-1.9839729167757107E-2</v>
      </c>
      <c r="H206">
        <f t="shared" si="23"/>
        <v>0</v>
      </c>
      <c r="I206" s="67">
        <f>'Historical VAR'!$G$7</f>
        <v>-3.1428916759065853E-2</v>
      </c>
      <c r="J206">
        <f t="shared" si="24"/>
        <v>0</v>
      </c>
      <c r="K206" s="67">
        <f ca="1">'Monte Carlo Stimulation'!$I$8</f>
        <v>-2.1559270710709389E-2</v>
      </c>
      <c r="L206">
        <f t="shared" ca="1" si="25"/>
        <v>0</v>
      </c>
      <c r="M206" s="67">
        <f ca="1">'Monte Carlo Stimulation'!$I$9</f>
        <v>-2.919314405717207E-2</v>
      </c>
      <c r="N206">
        <f t="shared" ca="1" si="26"/>
        <v>0</v>
      </c>
    </row>
    <row r="207" spans="1:14">
      <c r="A207" s="12">
        <v>45812</v>
      </c>
      <c r="B207" s="14">
        <v>-1.8388942277544659E-3</v>
      </c>
      <c r="C207" s="67">
        <f>'Parametric VAR'!$F$12</f>
        <v>-2.023068247926026E-2</v>
      </c>
      <c r="D207">
        <f t="shared" si="21"/>
        <v>0</v>
      </c>
      <c r="E207" s="67">
        <f>'Parametric VAR'!$F$13</f>
        <v>-2.8682193012943492E-2</v>
      </c>
      <c r="F207">
        <f t="shared" si="22"/>
        <v>0</v>
      </c>
      <c r="G207" s="67">
        <f>'Historical VAR'!$G$6</f>
        <v>-1.9839729167757107E-2</v>
      </c>
      <c r="H207">
        <f t="shared" si="23"/>
        <v>0</v>
      </c>
      <c r="I207" s="67">
        <f>'Historical VAR'!$G$7</f>
        <v>-3.1428916759065853E-2</v>
      </c>
      <c r="J207">
        <f t="shared" si="24"/>
        <v>0</v>
      </c>
      <c r="K207" s="67">
        <f ca="1">'Monte Carlo Stimulation'!$I$8</f>
        <v>-2.1559270710709389E-2</v>
      </c>
      <c r="L207">
        <f t="shared" ca="1" si="25"/>
        <v>0</v>
      </c>
      <c r="M207" s="67">
        <f ca="1">'Monte Carlo Stimulation'!$I$9</f>
        <v>-2.919314405717207E-2</v>
      </c>
      <c r="N207">
        <f t="shared" ca="1" si="26"/>
        <v>0</v>
      </c>
    </row>
    <row r="208" spans="1:14">
      <c r="A208" s="12">
        <v>45811</v>
      </c>
      <c r="B208" s="14">
        <v>-8.5436332509694103E-4</v>
      </c>
      <c r="C208" s="67">
        <f>'Parametric VAR'!$F$12</f>
        <v>-2.023068247926026E-2</v>
      </c>
      <c r="D208">
        <f t="shared" si="21"/>
        <v>0</v>
      </c>
      <c r="E208" s="67">
        <f>'Parametric VAR'!$F$13</f>
        <v>-2.8682193012943492E-2</v>
      </c>
      <c r="F208">
        <f t="shared" si="22"/>
        <v>0</v>
      </c>
      <c r="G208" s="67">
        <f>'Historical VAR'!$G$6</f>
        <v>-1.9839729167757107E-2</v>
      </c>
      <c r="H208">
        <f t="shared" si="23"/>
        <v>0</v>
      </c>
      <c r="I208" s="67">
        <f>'Historical VAR'!$G$7</f>
        <v>-3.1428916759065853E-2</v>
      </c>
      <c r="J208">
        <f t="shared" si="24"/>
        <v>0</v>
      </c>
      <c r="K208" s="67">
        <f ca="1">'Monte Carlo Stimulation'!$I$8</f>
        <v>-2.1559270710709389E-2</v>
      </c>
      <c r="L208">
        <f t="shared" ca="1" si="25"/>
        <v>0</v>
      </c>
      <c r="M208" s="67">
        <f ca="1">'Monte Carlo Stimulation'!$I$9</f>
        <v>-2.919314405717207E-2</v>
      </c>
      <c r="N208">
        <f t="shared" ca="1" si="26"/>
        <v>0</v>
      </c>
    </row>
    <row r="209" spans="1:14">
      <c r="A209" s="12">
        <v>45810</v>
      </c>
      <c r="B209" s="14">
        <v>3.2792299729031112E-3</v>
      </c>
      <c r="C209" s="67">
        <f>'Parametric VAR'!$F$12</f>
        <v>-2.023068247926026E-2</v>
      </c>
      <c r="D209">
        <f t="shared" si="21"/>
        <v>0</v>
      </c>
      <c r="E209" s="67">
        <f>'Parametric VAR'!$F$13</f>
        <v>-2.8682193012943492E-2</v>
      </c>
      <c r="F209">
        <f t="shared" si="22"/>
        <v>0</v>
      </c>
      <c r="G209" s="67">
        <f>'Historical VAR'!$G$6</f>
        <v>-1.9839729167757107E-2</v>
      </c>
      <c r="H209">
        <f t="shared" si="23"/>
        <v>0</v>
      </c>
      <c r="I209" s="67">
        <f>'Historical VAR'!$G$7</f>
        <v>-3.1428916759065853E-2</v>
      </c>
      <c r="J209">
        <f t="shared" si="24"/>
        <v>0</v>
      </c>
      <c r="K209" s="67">
        <f ca="1">'Monte Carlo Stimulation'!$I$8</f>
        <v>-2.1559270710709389E-2</v>
      </c>
      <c r="L209">
        <f t="shared" ca="1" si="25"/>
        <v>0</v>
      </c>
      <c r="M209" s="67">
        <f ca="1">'Monte Carlo Stimulation'!$I$9</f>
        <v>-2.919314405717207E-2</v>
      </c>
      <c r="N209">
        <f t="shared" ca="1" si="26"/>
        <v>0</v>
      </c>
    </row>
    <row r="210" spans="1:14">
      <c r="A210" s="12">
        <v>45807</v>
      </c>
      <c r="B210" s="14">
        <v>1.8419077527895942E-3</v>
      </c>
      <c r="C210" s="67">
        <f>'Parametric VAR'!$F$12</f>
        <v>-2.023068247926026E-2</v>
      </c>
      <c r="D210">
        <f t="shared" si="21"/>
        <v>0</v>
      </c>
      <c r="E210" s="67">
        <f>'Parametric VAR'!$F$13</f>
        <v>-2.8682193012943492E-2</v>
      </c>
      <c r="F210">
        <f t="shared" si="22"/>
        <v>0</v>
      </c>
      <c r="G210" s="67">
        <f>'Historical VAR'!$G$6</f>
        <v>-1.9839729167757107E-2</v>
      </c>
      <c r="H210">
        <f t="shared" si="23"/>
        <v>0</v>
      </c>
      <c r="I210" s="67">
        <f>'Historical VAR'!$G$7</f>
        <v>-3.1428916759065853E-2</v>
      </c>
      <c r="J210">
        <f t="shared" si="24"/>
        <v>0</v>
      </c>
      <c r="K210" s="67">
        <f ca="1">'Monte Carlo Stimulation'!$I$8</f>
        <v>-2.1559270710709389E-2</v>
      </c>
      <c r="L210">
        <f t="shared" ca="1" si="25"/>
        <v>0</v>
      </c>
      <c r="M210" s="67">
        <f ca="1">'Monte Carlo Stimulation'!$I$9</f>
        <v>-2.919314405717207E-2</v>
      </c>
      <c r="N210">
        <f t="shared" ca="1" si="26"/>
        <v>0</v>
      </c>
    </row>
    <row r="211" spans="1:14">
      <c r="A211" s="12">
        <v>45806</v>
      </c>
      <c r="B211" s="14">
        <v>8.5257104813058048E-3</v>
      </c>
      <c r="C211" s="67">
        <f>'Parametric VAR'!$F$12</f>
        <v>-2.023068247926026E-2</v>
      </c>
      <c r="D211">
        <f t="shared" si="21"/>
        <v>0</v>
      </c>
      <c r="E211" s="67">
        <f>'Parametric VAR'!$F$13</f>
        <v>-2.8682193012943492E-2</v>
      </c>
      <c r="F211">
        <f t="shared" si="22"/>
        <v>0</v>
      </c>
      <c r="G211" s="67">
        <f>'Historical VAR'!$G$6</f>
        <v>-1.9839729167757107E-2</v>
      </c>
      <c r="H211">
        <f t="shared" si="23"/>
        <v>0</v>
      </c>
      <c r="I211" s="67">
        <f>'Historical VAR'!$G$7</f>
        <v>-3.1428916759065853E-2</v>
      </c>
      <c r="J211">
        <f t="shared" si="24"/>
        <v>0</v>
      </c>
      <c r="K211" s="67">
        <f ca="1">'Monte Carlo Stimulation'!$I$8</f>
        <v>-2.1559270710709389E-2</v>
      </c>
      <c r="L211">
        <f t="shared" ca="1" si="25"/>
        <v>0</v>
      </c>
      <c r="M211" s="67">
        <f ca="1">'Monte Carlo Stimulation'!$I$9</f>
        <v>-2.919314405717207E-2</v>
      </c>
      <c r="N211">
        <f t="shared" ca="1" si="26"/>
        <v>0</v>
      </c>
    </row>
    <row r="212" spans="1:14">
      <c r="A212" s="12">
        <v>45805</v>
      </c>
      <c r="B212" s="14">
        <v>7.1404925741721669E-4</v>
      </c>
      <c r="C212" s="67">
        <f>'Parametric VAR'!$F$12</f>
        <v>-2.023068247926026E-2</v>
      </c>
      <c r="D212">
        <f t="shared" si="21"/>
        <v>0</v>
      </c>
      <c r="E212" s="67">
        <f>'Parametric VAR'!$F$13</f>
        <v>-2.8682193012943492E-2</v>
      </c>
      <c r="F212">
        <f t="shared" si="22"/>
        <v>0</v>
      </c>
      <c r="G212" s="67">
        <f>'Historical VAR'!$G$6</f>
        <v>-1.9839729167757107E-2</v>
      </c>
      <c r="H212">
        <f t="shared" si="23"/>
        <v>0</v>
      </c>
      <c r="I212" s="67">
        <f>'Historical VAR'!$G$7</f>
        <v>-3.1428916759065853E-2</v>
      </c>
      <c r="J212">
        <f t="shared" si="24"/>
        <v>0</v>
      </c>
      <c r="K212" s="67">
        <f ca="1">'Monte Carlo Stimulation'!$I$8</f>
        <v>-2.1559270710709389E-2</v>
      </c>
      <c r="L212">
        <f t="shared" ca="1" si="25"/>
        <v>0</v>
      </c>
      <c r="M212" s="67">
        <f ca="1">'Monte Carlo Stimulation'!$I$9</f>
        <v>-2.919314405717207E-2</v>
      </c>
      <c r="N212">
        <f t="shared" ca="1" si="26"/>
        <v>0</v>
      </c>
    </row>
    <row r="213" spans="1:14">
      <c r="A213" s="12">
        <v>45804</v>
      </c>
      <c r="B213" s="14">
        <v>8.2267191451372446E-3</v>
      </c>
      <c r="C213" s="67">
        <f>'Parametric VAR'!$F$12</f>
        <v>-2.023068247926026E-2</v>
      </c>
      <c r="D213">
        <f t="shared" si="21"/>
        <v>0</v>
      </c>
      <c r="E213" s="67">
        <f>'Parametric VAR'!$F$13</f>
        <v>-2.8682193012943492E-2</v>
      </c>
      <c r="F213">
        <f t="shared" si="22"/>
        <v>0</v>
      </c>
      <c r="G213" s="67">
        <f>'Historical VAR'!$G$6</f>
        <v>-1.9839729167757107E-2</v>
      </c>
      <c r="H213">
        <f t="shared" si="23"/>
        <v>0</v>
      </c>
      <c r="I213" s="67">
        <f>'Historical VAR'!$G$7</f>
        <v>-3.1428916759065853E-2</v>
      </c>
      <c r="J213">
        <f t="shared" si="24"/>
        <v>0</v>
      </c>
      <c r="K213" s="67">
        <f ca="1">'Monte Carlo Stimulation'!$I$8</f>
        <v>-2.1559270710709389E-2</v>
      </c>
      <c r="L213">
        <f t="shared" ca="1" si="25"/>
        <v>0</v>
      </c>
      <c r="M213" s="67">
        <f ca="1">'Monte Carlo Stimulation'!$I$9</f>
        <v>-2.919314405717207E-2</v>
      </c>
      <c r="N213">
        <f t="shared" ca="1" si="26"/>
        <v>0</v>
      </c>
    </row>
    <row r="214" spans="1:14">
      <c r="A214" s="12">
        <v>45803</v>
      </c>
      <c r="B214" s="14">
        <v>-1.4381330236765369E-3</v>
      </c>
      <c r="C214" s="67">
        <f>'Parametric VAR'!$F$12</f>
        <v>-2.023068247926026E-2</v>
      </c>
      <c r="D214">
        <f t="shared" si="21"/>
        <v>0</v>
      </c>
      <c r="E214" s="67">
        <f>'Parametric VAR'!$F$13</f>
        <v>-2.8682193012943492E-2</v>
      </c>
      <c r="F214">
        <f t="shared" si="22"/>
        <v>0</v>
      </c>
      <c r="G214" s="67">
        <f>'Historical VAR'!$G$6</f>
        <v>-1.9839729167757107E-2</v>
      </c>
      <c r="H214">
        <f t="shared" si="23"/>
        <v>0</v>
      </c>
      <c r="I214" s="67">
        <f>'Historical VAR'!$G$7</f>
        <v>-3.1428916759065853E-2</v>
      </c>
      <c r="J214">
        <f t="shared" si="24"/>
        <v>0</v>
      </c>
      <c r="K214" s="67">
        <f ca="1">'Monte Carlo Stimulation'!$I$8</f>
        <v>-2.1559270710709389E-2</v>
      </c>
      <c r="L214">
        <f t="shared" ca="1" si="25"/>
        <v>0</v>
      </c>
      <c r="M214" s="67">
        <f ca="1">'Monte Carlo Stimulation'!$I$9</f>
        <v>-2.919314405717207E-2</v>
      </c>
      <c r="N214">
        <f t="shared" ca="1" si="26"/>
        <v>0</v>
      </c>
    </row>
    <row r="215" spans="1:14">
      <c r="A215" s="12">
        <v>45800</v>
      </c>
      <c r="B215" s="14">
        <v>7.7173247580628523E-4</v>
      </c>
      <c r="C215" s="67">
        <f>'Parametric VAR'!$F$12</f>
        <v>-2.023068247926026E-2</v>
      </c>
      <c r="D215">
        <f t="shared" si="21"/>
        <v>0</v>
      </c>
      <c r="E215" s="67">
        <f>'Parametric VAR'!$F$13</f>
        <v>-2.8682193012943492E-2</v>
      </c>
      <c r="F215">
        <f t="shared" si="22"/>
        <v>0</v>
      </c>
      <c r="G215" s="67">
        <f>'Historical VAR'!$G$6</f>
        <v>-1.9839729167757107E-2</v>
      </c>
      <c r="H215">
        <f t="shared" si="23"/>
        <v>0</v>
      </c>
      <c r="I215" s="67">
        <f>'Historical VAR'!$G$7</f>
        <v>-3.1428916759065853E-2</v>
      </c>
      <c r="J215">
        <f t="shared" si="24"/>
        <v>0</v>
      </c>
      <c r="K215" s="67">
        <f ca="1">'Monte Carlo Stimulation'!$I$8</f>
        <v>-2.1559270710709389E-2</v>
      </c>
      <c r="L215">
        <f t="shared" ca="1" si="25"/>
        <v>0</v>
      </c>
      <c r="M215" s="67">
        <f ca="1">'Monte Carlo Stimulation'!$I$9</f>
        <v>-2.919314405717207E-2</v>
      </c>
      <c r="N215">
        <f t="shared" ca="1" si="26"/>
        <v>0</v>
      </c>
    </row>
    <row r="216" spans="1:14">
      <c r="A216" s="12">
        <v>45799</v>
      </c>
      <c r="B216" s="14">
        <v>-1.6846222792847379E-3</v>
      </c>
      <c r="C216" s="67">
        <f>'Parametric VAR'!$F$12</f>
        <v>-2.023068247926026E-2</v>
      </c>
      <c r="D216">
        <f t="shared" si="21"/>
        <v>0</v>
      </c>
      <c r="E216" s="67">
        <f>'Parametric VAR'!$F$13</f>
        <v>-2.8682193012943492E-2</v>
      </c>
      <c r="F216">
        <f t="shared" si="22"/>
        <v>0</v>
      </c>
      <c r="G216" s="67">
        <f>'Historical VAR'!$G$6</f>
        <v>-1.9839729167757107E-2</v>
      </c>
      <c r="H216">
        <f t="shared" si="23"/>
        <v>0</v>
      </c>
      <c r="I216" s="67">
        <f>'Historical VAR'!$G$7</f>
        <v>-3.1428916759065853E-2</v>
      </c>
      <c r="J216">
        <f t="shared" si="24"/>
        <v>0</v>
      </c>
      <c r="K216" s="67">
        <f ca="1">'Monte Carlo Stimulation'!$I$8</f>
        <v>-2.1559270710709389E-2</v>
      </c>
      <c r="L216">
        <f t="shared" ca="1" si="25"/>
        <v>0</v>
      </c>
      <c r="M216" s="67">
        <f ca="1">'Monte Carlo Stimulation'!$I$9</f>
        <v>-2.919314405717207E-2</v>
      </c>
      <c r="N216">
        <f t="shared" ca="1" si="26"/>
        <v>0</v>
      </c>
    </row>
    <row r="217" spans="1:14">
      <c r="A217" s="12">
        <v>45798</v>
      </c>
      <c r="B217" s="14">
        <v>-8.9486807548580147E-4</v>
      </c>
      <c r="C217" s="67">
        <f>'Parametric VAR'!$F$12</f>
        <v>-2.023068247926026E-2</v>
      </c>
      <c r="D217">
        <f t="shared" si="21"/>
        <v>0</v>
      </c>
      <c r="E217" s="67">
        <f>'Parametric VAR'!$F$13</f>
        <v>-2.8682193012943492E-2</v>
      </c>
      <c r="F217">
        <f t="shared" si="22"/>
        <v>0</v>
      </c>
      <c r="G217" s="67">
        <f>'Historical VAR'!$G$6</f>
        <v>-1.9839729167757107E-2</v>
      </c>
      <c r="H217">
        <f t="shared" si="23"/>
        <v>0</v>
      </c>
      <c r="I217" s="67">
        <f>'Historical VAR'!$G$7</f>
        <v>-3.1428916759065853E-2</v>
      </c>
      <c r="J217">
        <f t="shared" si="24"/>
        <v>0</v>
      </c>
      <c r="K217" s="67">
        <f ca="1">'Monte Carlo Stimulation'!$I$8</f>
        <v>-2.1559270710709389E-2</v>
      </c>
      <c r="L217">
        <f t="shared" ca="1" si="25"/>
        <v>0</v>
      </c>
      <c r="M217" s="67">
        <f ca="1">'Monte Carlo Stimulation'!$I$9</f>
        <v>-2.919314405717207E-2</v>
      </c>
      <c r="N217">
        <f t="shared" ca="1" si="26"/>
        <v>0</v>
      </c>
    </row>
    <row r="218" spans="1:14">
      <c r="A218" s="12">
        <v>45797</v>
      </c>
      <c r="B218" s="14">
        <v>-2.9805129574337385E-3</v>
      </c>
      <c r="C218" s="67">
        <f>'Parametric VAR'!$F$12</f>
        <v>-2.023068247926026E-2</v>
      </c>
      <c r="D218">
        <f t="shared" si="21"/>
        <v>0</v>
      </c>
      <c r="E218" s="67">
        <f>'Parametric VAR'!$F$13</f>
        <v>-2.8682193012943492E-2</v>
      </c>
      <c r="F218">
        <f t="shared" si="22"/>
        <v>0</v>
      </c>
      <c r="G218" s="67">
        <f>'Historical VAR'!$G$6</f>
        <v>-1.9839729167757107E-2</v>
      </c>
      <c r="H218">
        <f t="shared" si="23"/>
        <v>0</v>
      </c>
      <c r="I218" s="67">
        <f>'Historical VAR'!$G$7</f>
        <v>-3.1428916759065853E-2</v>
      </c>
      <c r="J218">
        <f t="shared" si="24"/>
        <v>0</v>
      </c>
      <c r="K218" s="67">
        <f ca="1">'Monte Carlo Stimulation'!$I$8</f>
        <v>-2.1559270710709389E-2</v>
      </c>
      <c r="L218">
        <f t="shared" ca="1" si="25"/>
        <v>0</v>
      </c>
      <c r="M218" s="67">
        <f ca="1">'Monte Carlo Stimulation'!$I$9</f>
        <v>-2.919314405717207E-2</v>
      </c>
      <c r="N218">
        <f t="shared" ca="1" si="26"/>
        <v>0</v>
      </c>
    </row>
    <row r="219" spans="1:14">
      <c r="A219" s="12">
        <v>45796</v>
      </c>
      <c r="B219" s="14">
        <v>1.3393171609423967E-2</v>
      </c>
      <c r="C219" s="67">
        <f>'Parametric VAR'!$F$12</f>
        <v>-2.023068247926026E-2</v>
      </c>
      <c r="D219">
        <f t="shared" si="21"/>
        <v>0</v>
      </c>
      <c r="E219" s="67">
        <f>'Parametric VAR'!$F$13</f>
        <v>-2.8682193012943492E-2</v>
      </c>
      <c r="F219">
        <f t="shared" si="22"/>
        <v>0</v>
      </c>
      <c r="G219" s="67">
        <f>'Historical VAR'!$G$6</f>
        <v>-1.9839729167757107E-2</v>
      </c>
      <c r="H219">
        <f t="shared" si="23"/>
        <v>0</v>
      </c>
      <c r="I219" s="67">
        <f>'Historical VAR'!$G$7</f>
        <v>-3.1428916759065853E-2</v>
      </c>
      <c r="J219">
        <f t="shared" si="24"/>
        <v>0</v>
      </c>
      <c r="K219" s="67">
        <f ca="1">'Monte Carlo Stimulation'!$I$8</f>
        <v>-2.1559270710709389E-2</v>
      </c>
      <c r="L219">
        <f t="shared" ca="1" si="25"/>
        <v>0</v>
      </c>
      <c r="M219" s="67">
        <f ca="1">'Monte Carlo Stimulation'!$I$9</f>
        <v>-2.919314405717207E-2</v>
      </c>
      <c r="N219">
        <f t="shared" ca="1" si="26"/>
        <v>0</v>
      </c>
    </row>
    <row r="220" spans="1:14">
      <c r="A220" s="12">
        <v>45793</v>
      </c>
      <c r="B220" s="14">
        <v>9.5861605097967463E-3</v>
      </c>
      <c r="C220" s="67">
        <f>'Parametric VAR'!$F$12</f>
        <v>-2.023068247926026E-2</v>
      </c>
      <c r="D220">
        <f t="shared" si="21"/>
        <v>0</v>
      </c>
      <c r="E220" s="67">
        <f>'Parametric VAR'!$F$13</f>
        <v>-2.8682193012943492E-2</v>
      </c>
      <c r="F220">
        <f t="shared" si="22"/>
        <v>0</v>
      </c>
      <c r="G220" s="67">
        <f>'Historical VAR'!$G$6</f>
        <v>-1.9839729167757107E-2</v>
      </c>
      <c r="H220">
        <f t="shared" si="23"/>
        <v>0</v>
      </c>
      <c r="I220" s="67">
        <f>'Historical VAR'!$G$7</f>
        <v>-3.1428916759065853E-2</v>
      </c>
      <c r="J220">
        <f t="shared" si="24"/>
        <v>0</v>
      </c>
      <c r="K220" s="67">
        <f ca="1">'Monte Carlo Stimulation'!$I$8</f>
        <v>-2.1559270710709389E-2</v>
      </c>
      <c r="L220">
        <f t="shared" ca="1" si="25"/>
        <v>0</v>
      </c>
      <c r="M220" s="67">
        <f ca="1">'Monte Carlo Stimulation'!$I$9</f>
        <v>-2.919314405717207E-2</v>
      </c>
      <c r="N220">
        <f t="shared" ca="1" si="26"/>
        <v>0</v>
      </c>
    </row>
    <row r="221" spans="1:14">
      <c r="A221" s="12">
        <v>45792</v>
      </c>
      <c r="B221" s="14">
        <v>-9.9263340177099813E-3</v>
      </c>
      <c r="C221" s="67">
        <f>'Parametric VAR'!$F$12</f>
        <v>-2.023068247926026E-2</v>
      </c>
      <c r="D221">
        <f t="shared" si="21"/>
        <v>0</v>
      </c>
      <c r="E221" s="67">
        <f>'Parametric VAR'!$F$13</f>
        <v>-2.8682193012943492E-2</v>
      </c>
      <c r="F221">
        <f t="shared" si="22"/>
        <v>0</v>
      </c>
      <c r="G221" s="67">
        <f>'Historical VAR'!$G$6</f>
        <v>-1.9839729167757107E-2</v>
      </c>
      <c r="H221">
        <f t="shared" si="23"/>
        <v>0</v>
      </c>
      <c r="I221" s="67">
        <f>'Historical VAR'!$G$7</f>
        <v>-3.1428916759065853E-2</v>
      </c>
      <c r="J221">
        <f t="shared" si="24"/>
        <v>0</v>
      </c>
      <c r="K221" s="67">
        <f ca="1">'Monte Carlo Stimulation'!$I$8</f>
        <v>-2.1559270710709389E-2</v>
      </c>
      <c r="L221">
        <f t="shared" ca="1" si="25"/>
        <v>0</v>
      </c>
      <c r="M221" s="67">
        <f ca="1">'Monte Carlo Stimulation'!$I$9</f>
        <v>-2.919314405717207E-2</v>
      </c>
      <c r="N221">
        <f t="shared" ca="1" si="26"/>
        <v>0</v>
      </c>
    </row>
    <row r="222" spans="1:14">
      <c r="A222" s="12">
        <v>45791</v>
      </c>
      <c r="B222" s="14">
        <v>-2.1392838371063202E-2</v>
      </c>
      <c r="C222" s="67">
        <f>'Parametric VAR'!$F$12</f>
        <v>-2.023068247926026E-2</v>
      </c>
      <c r="D222">
        <f t="shared" si="21"/>
        <v>1</v>
      </c>
      <c r="E222" s="67">
        <f>'Parametric VAR'!$F$13</f>
        <v>-2.8682193012943492E-2</v>
      </c>
      <c r="F222">
        <f t="shared" si="22"/>
        <v>0</v>
      </c>
      <c r="G222" s="67">
        <f>'Historical VAR'!$G$6</f>
        <v>-1.9839729167757107E-2</v>
      </c>
      <c r="H222">
        <f t="shared" si="23"/>
        <v>1</v>
      </c>
      <c r="I222" s="67">
        <f>'Historical VAR'!$G$7</f>
        <v>-3.1428916759065853E-2</v>
      </c>
      <c r="J222">
        <f t="shared" si="24"/>
        <v>0</v>
      </c>
      <c r="K222" s="67">
        <f ca="1">'Monte Carlo Stimulation'!$I$8</f>
        <v>-2.1559270710709389E-2</v>
      </c>
      <c r="L222">
        <f t="shared" ca="1" si="25"/>
        <v>0</v>
      </c>
      <c r="M222" s="67">
        <f ca="1">'Monte Carlo Stimulation'!$I$9</f>
        <v>-2.919314405717207E-2</v>
      </c>
      <c r="N222">
        <f t="shared" ca="1" si="26"/>
        <v>0</v>
      </c>
    </row>
    <row r="223" spans="1:14">
      <c r="A223" s="12">
        <v>45790</v>
      </c>
      <c r="B223" s="14">
        <v>9.7354913877007315E-3</v>
      </c>
      <c r="C223" s="67">
        <f>'Parametric VAR'!$F$12</f>
        <v>-2.023068247926026E-2</v>
      </c>
      <c r="D223">
        <f t="shared" si="21"/>
        <v>0</v>
      </c>
      <c r="E223" s="67">
        <f>'Parametric VAR'!$F$13</f>
        <v>-2.8682193012943492E-2</v>
      </c>
      <c r="F223">
        <f t="shared" si="22"/>
        <v>0</v>
      </c>
      <c r="G223" s="67">
        <f>'Historical VAR'!$G$6</f>
        <v>-1.9839729167757107E-2</v>
      </c>
      <c r="H223">
        <f t="shared" si="23"/>
        <v>0</v>
      </c>
      <c r="I223" s="67">
        <f>'Historical VAR'!$G$7</f>
        <v>-3.1428916759065853E-2</v>
      </c>
      <c r="J223">
        <f t="shared" si="24"/>
        <v>0</v>
      </c>
      <c r="K223" s="67">
        <f ca="1">'Monte Carlo Stimulation'!$I$8</f>
        <v>-2.1559270710709389E-2</v>
      </c>
      <c r="L223">
        <f t="shared" ca="1" si="25"/>
        <v>0</v>
      </c>
      <c r="M223" s="67">
        <f ca="1">'Monte Carlo Stimulation'!$I$9</f>
        <v>-2.919314405717207E-2</v>
      </c>
      <c r="N223">
        <f t="shared" ca="1" si="26"/>
        <v>0</v>
      </c>
    </row>
    <row r="224" spans="1:14">
      <c r="A224" s="12">
        <v>45789</v>
      </c>
      <c r="B224" s="14">
        <v>8.9907659011621479E-3</v>
      </c>
      <c r="C224" s="67">
        <f>'Parametric VAR'!$F$12</f>
        <v>-2.023068247926026E-2</v>
      </c>
      <c r="D224">
        <f t="shared" si="21"/>
        <v>0</v>
      </c>
      <c r="E224" s="67">
        <f>'Parametric VAR'!$F$13</f>
        <v>-2.8682193012943492E-2</v>
      </c>
      <c r="F224">
        <f t="shared" si="22"/>
        <v>0</v>
      </c>
      <c r="G224" s="67">
        <f>'Historical VAR'!$G$6</f>
        <v>-1.9839729167757107E-2</v>
      </c>
      <c r="H224">
        <f t="shared" si="23"/>
        <v>0</v>
      </c>
      <c r="I224" s="67">
        <f>'Historical VAR'!$G$7</f>
        <v>-3.1428916759065853E-2</v>
      </c>
      <c r="J224">
        <f t="shared" si="24"/>
        <v>0</v>
      </c>
      <c r="K224" s="67">
        <f ca="1">'Monte Carlo Stimulation'!$I$8</f>
        <v>-2.1559270710709389E-2</v>
      </c>
      <c r="L224">
        <f t="shared" ca="1" si="25"/>
        <v>0</v>
      </c>
      <c r="M224" s="67">
        <f ca="1">'Monte Carlo Stimulation'!$I$9</f>
        <v>-2.919314405717207E-2</v>
      </c>
      <c r="N224">
        <f t="shared" ca="1" si="26"/>
        <v>0</v>
      </c>
    </row>
    <row r="225" spans="1:14">
      <c r="A225" s="12">
        <v>45786</v>
      </c>
      <c r="B225" s="14">
        <v>-2.0752718444158495E-2</v>
      </c>
      <c r="C225" s="67">
        <f>'Parametric VAR'!$F$12</f>
        <v>-2.023068247926026E-2</v>
      </c>
      <c r="D225">
        <f t="shared" si="21"/>
        <v>1</v>
      </c>
      <c r="E225" s="67">
        <f>'Parametric VAR'!$F$13</f>
        <v>-2.8682193012943492E-2</v>
      </c>
      <c r="F225">
        <f t="shared" si="22"/>
        <v>0</v>
      </c>
      <c r="G225" s="67">
        <f>'Historical VAR'!$G$6</f>
        <v>-1.9839729167757107E-2</v>
      </c>
      <c r="H225">
        <f t="shared" si="23"/>
        <v>1</v>
      </c>
      <c r="I225" s="67">
        <f>'Historical VAR'!$G$7</f>
        <v>-3.1428916759065853E-2</v>
      </c>
      <c r="J225">
        <f t="shared" si="24"/>
        <v>0</v>
      </c>
      <c r="K225" s="67">
        <f ca="1">'Monte Carlo Stimulation'!$I$8</f>
        <v>-2.1559270710709389E-2</v>
      </c>
      <c r="L225">
        <f t="shared" ca="1" si="25"/>
        <v>0</v>
      </c>
      <c r="M225" s="67">
        <f ca="1">'Monte Carlo Stimulation'!$I$9</f>
        <v>-2.919314405717207E-2</v>
      </c>
      <c r="N225">
        <f t="shared" ca="1" si="26"/>
        <v>0</v>
      </c>
    </row>
    <row r="226" spans="1:14">
      <c r="A226" s="12">
        <v>45785</v>
      </c>
      <c r="B226" s="14">
        <v>7.7299029053488574E-4</v>
      </c>
      <c r="C226" s="67">
        <f>'Parametric VAR'!$F$12</f>
        <v>-2.023068247926026E-2</v>
      </c>
      <c r="D226">
        <f t="shared" si="21"/>
        <v>0</v>
      </c>
      <c r="E226" s="67">
        <f>'Parametric VAR'!$F$13</f>
        <v>-2.8682193012943492E-2</v>
      </c>
      <c r="F226">
        <f t="shared" si="22"/>
        <v>0</v>
      </c>
      <c r="G226" s="67">
        <f>'Historical VAR'!$G$6</f>
        <v>-1.9839729167757107E-2</v>
      </c>
      <c r="H226">
        <f t="shared" si="23"/>
        <v>0</v>
      </c>
      <c r="I226" s="67">
        <f>'Historical VAR'!$G$7</f>
        <v>-3.1428916759065853E-2</v>
      </c>
      <c r="J226">
        <f t="shared" si="24"/>
        <v>0</v>
      </c>
      <c r="K226" s="67">
        <f ca="1">'Monte Carlo Stimulation'!$I$8</f>
        <v>-2.1559270710709389E-2</v>
      </c>
      <c r="L226">
        <f t="shared" ca="1" si="25"/>
        <v>0</v>
      </c>
      <c r="M226" s="67">
        <f ca="1">'Monte Carlo Stimulation'!$I$9</f>
        <v>-2.919314405717207E-2</v>
      </c>
      <c r="N226">
        <f t="shared" ca="1" si="26"/>
        <v>0</v>
      </c>
    </row>
    <row r="227" spans="1:14">
      <c r="A227" s="12">
        <v>45784</v>
      </c>
      <c r="B227" s="14">
        <v>1.2010060893070305E-2</v>
      </c>
      <c r="C227" s="67">
        <f>'Parametric VAR'!$F$12</f>
        <v>-2.023068247926026E-2</v>
      </c>
      <c r="D227">
        <f t="shared" si="21"/>
        <v>0</v>
      </c>
      <c r="E227" s="67">
        <f>'Parametric VAR'!$F$13</f>
        <v>-2.8682193012943492E-2</v>
      </c>
      <c r="F227">
        <f t="shared" si="22"/>
        <v>0</v>
      </c>
      <c r="G227" s="67">
        <f>'Historical VAR'!$G$6</f>
        <v>-1.9839729167757107E-2</v>
      </c>
      <c r="H227">
        <f t="shared" si="23"/>
        <v>0</v>
      </c>
      <c r="I227" s="67">
        <f>'Historical VAR'!$G$7</f>
        <v>-3.1428916759065853E-2</v>
      </c>
      <c r="J227">
        <f t="shared" si="24"/>
        <v>0</v>
      </c>
      <c r="K227" s="67">
        <f ca="1">'Monte Carlo Stimulation'!$I$8</f>
        <v>-2.1559270710709389E-2</v>
      </c>
      <c r="L227">
        <f t="shared" ca="1" si="25"/>
        <v>0</v>
      </c>
      <c r="M227" s="67">
        <f ca="1">'Monte Carlo Stimulation'!$I$9</f>
        <v>-2.919314405717207E-2</v>
      </c>
      <c r="N227">
        <f t="shared" ca="1" si="26"/>
        <v>0</v>
      </c>
    </row>
    <row r="228" spans="1:14">
      <c r="A228" s="12">
        <v>45783</v>
      </c>
      <c r="B228" s="14">
        <v>2.5619772532589458E-2</v>
      </c>
      <c r="C228" s="67">
        <f>'Parametric VAR'!$F$12</f>
        <v>-2.023068247926026E-2</v>
      </c>
      <c r="D228">
        <f t="shared" si="21"/>
        <v>0</v>
      </c>
      <c r="E228" s="67">
        <f>'Parametric VAR'!$F$13</f>
        <v>-2.8682193012943492E-2</v>
      </c>
      <c r="F228">
        <f t="shared" si="22"/>
        <v>0</v>
      </c>
      <c r="G228" s="67">
        <f>'Historical VAR'!$G$6</f>
        <v>-1.9839729167757107E-2</v>
      </c>
      <c r="H228">
        <f t="shared" si="23"/>
        <v>0</v>
      </c>
      <c r="I228" s="67">
        <f>'Historical VAR'!$G$7</f>
        <v>-3.1428916759065853E-2</v>
      </c>
      <c r="J228">
        <f t="shared" si="24"/>
        <v>0</v>
      </c>
      <c r="K228" s="67">
        <f ca="1">'Monte Carlo Stimulation'!$I$8</f>
        <v>-2.1559270710709389E-2</v>
      </c>
      <c r="L228">
        <f t="shared" ca="1" si="25"/>
        <v>0</v>
      </c>
      <c r="M228" s="67">
        <f ca="1">'Monte Carlo Stimulation'!$I$9</f>
        <v>-2.919314405717207E-2</v>
      </c>
      <c r="N228">
        <f t="shared" ca="1" si="26"/>
        <v>0</v>
      </c>
    </row>
    <row r="229" spans="1:14">
      <c r="A229" s="12">
        <v>45782</v>
      </c>
      <c r="B229" s="14">
        <v>1.0282078083477508E-2</v>
      </c>
      <c r="C229" s="67">
        <f>'Parametric VAR'!$F$12</f>
        <v>-2.023068247926026E-2</v>
      </c>
      <c r="D229">
        <f t="shared" si="21"/>
        <v>0</v>
      </c>
      <c r="E229" s="67">
        <f>'Parametric VAR'!$F$13</f>
        <v>-2.8682193012943492E-2</v>
      </c>
      <c r="F229">
        <f t="shared" si="22"/>
        <v>0</v>
      </c>
      <c r="G229" s="67">
        <f>'Historical VAR'!$G$6</f>
        <v>-1.9839729167757107E-2</v>
      </c>
      <c r="H229">
        <f t="shared" si="23"/>
        <v>0</v>
      </c>
      <c r="I229" s="67">
        <f>'Historical VAR'!$G$7</f>
        <v>-3.1428916759065853E-2</v>
      </c>
      <c r="J229">
        <f t="shared" si="24"/>
        <v>0</v>
      </c>
      <c r="K229" s="67">
        <f ca="1">'Monte Carlo Stimulation'!$I$8</f>
        <v>-2.1559270710709389E-2</v>
      </c>
      <c r="L229">
        <f t="shared" ca="1" si="25"/>
        <v>0</v>
      </c>
      <c r="M229" s="67">
        <f ca="1">'Monte Carlo Stimulation'!$I$9</f>
        <v>-2.919314405717207E-2</v>
      </c>
      <c r="N229">
        <f t="shared" ca="1" si="26"/>
        <v>0</v>
      </c>
    </row>
    <row r="230" spans="1:14">
      <c r="A230" s="12">
        <v>45779</v>
      </c>
      <c r="B230" s="14">
        <v>-1.2123321455080749E-2</v>
      </c>
      <c r="C230" s="67">
        <f>'Parametric VAR'!$F$12</f>
        <v>-2.023068247926026E-2</v>
      </c>
      <c r="D230">
        <f t="shared" si="21"/>
        <v>0</v>
      </c>
      <c r="E230" s="67">
        <f>'Parametric VAR'!$F$13</f>
        <v>-2.8682193012943492E-2</v>
      </c>
      <c r="F230">
        <f t="shared" si="22"/>
        <v>0</v>
      </c>
      <c r="G230" s="67">
        <f>'Historical VAR'!$G$6</f>
        <v>-1.9839729167757107E-2</v>
      </c>
      <c r="H230">
        <f t="shared" si="23"/>
        <v>0</v>
      </c>
      <c r="I230" s="67">
        <f>'Historical VAR'!$G$7</f>
        <v>-3.1428916759065853E-2</v>
      </c>
      <c r="J230">
        <f t="shared" si="24"/>
        <v>0</v>
      </c>
      <c r="K230" s="67">
        <f ca="1">'Monte Carlo Stimulation'!$I$8</f>
        <v>-2.1559270710709389E-2</v>
      </c>
      <c r="L230">
        <f t="shared" ca="1" si="25"/>
        <v>0</v>
      </c>
      <c r="M230" s="67">
        <f ca="1">'Monte Carlo Stimulation'!$I$9</f>
        <v>-2.919314405717207E-2</v>
      </c>
      <c r="N230">
        <f t="shared" ca="1" si="26"/>
        <v>0</v>
      </c>
    </row>
    <row r="231" spans="1:14">
      <c r="A231" s="12">
        <v>45777</v>
      </c>
      <c r="B231" s="14">
        <v>5.3947474227716164E-3</v>
      </c>
      <c r="C231" s="67">
        <f>'Parametric VAR'!$F$12</f>
        <v>-2.023068247926026E-2</v>
      </c>
      <c r="D231">
        <f t="shared" si="21"/>
        <v>0</v>
      </c>
      <c r="E231" s="67">
        <f>'Parametric VAR'!$F$13</f>
        <v>-2.8682193012943492E-2</v>
      </c>
      <c r="F231">
        <f t="shared" si="22"/>
        <v>0</v>
      </c>
      <c r="G231" s="67">
        <f>'Historical VAR'!$G$6</f>
        <v>-1.9839729167757107E-2</v>
      </c>
      <c r="H231">
        <f t="shared" si="23"/>
        <v>0</v>
      </c>
      <c r="I231" s="67">
        <f>'Historical VAR'!$G$7</f>
        <v>-3.1428916759065853E-2</v>
      </c>
      <c r="J231">
        <f t="shared" si="24"/>
        <v>0</v>
      </c>
      <c r="K231" s="67">
        <f ca="1">'Monte Carlo Stimulation'!$I$8</f>
        <v>-2.1559270710709389E-2</v>
      </c>
      <c r="L231">
        <f t="shared" ca="1" si="25"/>
        <v>0</v>
      </c>
      <c r="M231" s="67">
        <f ca="1">'Monte Carlo Stimulation'!$I$9</f>
        <v>-2.919314405717207E-2</v>
      </c>
      <c r="N231">
        <f t="shared" ca="1" si="26"/>
        <v>0</v>
      </c>
    </row>
    <row r="232" spans="1:14">
      <c r="A232" s="12">
        <v>45776</v>
      </c>
      <c r="B232" s="14">
        <v>1.1340488089291398E-2</v>
      </c>
      <c r="C232" s="67">
        <f>'Parametric VAR'!$F$12</f>
        <v>-2.023068247926026E-2</v>
      </c>
      <c r="D232">
        <f t="shared" si="21"/>
        <v>0</v>
      </c>
      <c r="E232" s="67">
        <f>'Parametric VAR'!$F$13</f>
        <v>-2.8682193012943492E-2</v>
      </c>
      <c r="F232">
        <f t="shared" si="22"/>
        <v>0</v>
      </c>
      <c r="G232" s="67">
        <f>'Historical VAR'!$G$6</f>
        <v>-1.9839729167757107E-2</v>
      </c>
      <c r="H232">
        <f t="shared" si="23"/>
        <v>0</v>
      </c>
      <c r="I232" s="67">
        <f>'Historical VAR'!$G$7</f>
        <v>-3.1428916759065853E-2</v>
      </c>
      <c r="J232">
        <f t="shared" si="24"/>
        <v>0</v>
      </c>
      <c r="K232" s="67">
        <f ca="1">'Monte Carlo Stimulation'!$I$8</f>
        <v>-2.1559270710709389E-2</v>
      </c>
      <c r="L232">
        <f t="shared" ca="1" si="25"/>
        <v>0</v>
      </c>
      <c r="M232" s="67">
        <f ca="1">'Monte Carlo Stimulation'!$I$9</f>
        <v>-2.919314405717207E-2</v>
      </c>
      <c r="N232">
        <f t="shared" ca="1" si="26"/>
        <v>0</v>
      </c>
    </row>
    <row r="233" spans="1:14">
      <c r="A233" s="12">
        <v>45775</v>
      </c>
      <c r="B233" s="14">
        <v>1.8803035126418867E-3</v>
      </c>
      <c r="C233" s="67">
        <f>'Parametric VAR'!$F$12</f>
        <v>-2.023068247926026E-2</v>
      </c>
      <c r="D233">
        <f t="shared" si="21"/>
        <v>0</v>
      </c>
      <c r="E233" s="67">
        <f>'Parametric VAR'!$F$13</f>
        <v>-2.8682193012943492E-2</v>
      </c>
      <c r="F233">
        <f t="shared" si="22"/>
        <v>0</v>
      </c>
      <c r="G233" s="67">
        <f>'Historical VAR'!$G$6</f>
        <v>-1.9839729167757107E-2</v>
      </c>
      <c r="H233">
        <f t="shared" si="23"/>
        <v>0</v>
      </c>
      <c r="I233" s="67">
        <f>'Historical VAR'!$G$7</f>
        <v>-3.1428916759065853E-2</v>
      </c>
      <c r="J233">
        <f t="shared" si="24"/>
        <v>0</v>
      </c>
      <c r="K233" s="67">
        <f ca="1">'Monte Carlo Stimulation'!$I$8</f>
        <v>-2.1559270710709389E-2</v>
      </c>
      <c r="L233">
        <f t="shared" ca="1" si="25"/>
        <v>0</v>
      </c>
      <c r="M233" s="67">
        <f ca="1">'Monte Carlo Stimulation'!$I$9</f>
        <v>-2.919314405717207E-2</v>
      </c>
      <c r="N233">
        <f t="shared" ca="1" si="26"/>
        <v>0</v>
      </c>
    </row>
    <row r="234" spans="1:14">
      <c r="A234" s="12">
        <v>45772</v>
      </c>
      <c r="B234" s="14">
        <v>-6.1975272606220426E-3</v>
      </c>
      <c r="C234" s="67">
        <f>'Parametric VAR'!$F$12</f>
        <v>-2.023068247926026E-2</v>
      </c>
      <c r="D234">
        <f t="shared" si="21"/>
        <v>0</v>
      </c>
      <c r="E234" s="67">
        <f>'Parametric VAR'!$F$13</f>
        <v>-2.8682193012943492E-2</v>
      </c>
      <c r="F234">
        <f t="shared" si="22"/>
        <v>0</v>
      </c>
      <c r="G234" s="67">
        <f>'Historical VAR'!$G$6</f>
        <v>-1.9839729167757107E-2</v>
      </c>
      <c r="H234">
        <f t="shared" si="23"/>
        <v>0</v>
      </c>
      <c r="I234" s="67">
        <f>'Historical VAR'!$G$7</f>
        <v>-3.1428916759065853E-2</v>
      </c>
      <c r="J234">
        <f t="shared" si="24"/>
        <v>0</v>
      </c>
      <c r="K234" s="67">
        <f ca="1">'Monte Carlo Stimulation'!$I$8</f>
        <v>-2.1559270710709389E-2</v>
      </c>
      <c r="L234">
        <f t="shared" ca="1" si="25"/>
        <v>0</v>
      </c>
      <c r="M234" s="67">
        <f ca="1">'Monte Carlo Stimulation'!$I$9</f>
        <v>-2.919314405717207E-2</v>
      </c>
      <c r="N234">
        <f t="shared" ca="1" si="26"/>
        <v>0</v>
      </c>
    </row>
    <row r="235" spans="1:14">
      <c r="A235" s="12">
        <v>45771</v>
      </c>
      <c r="B235" s="14">
        <v>1.977779695777962E-2</v>
      </c>
      <c r="C235" s="67">
        <f>'Parametric VAR'!$F$12</f>
        <v>-2.023068247926026E-2</v>
      </c>
      <c r="D235">
        <f t="shared" si="21"/>
        <v>0</v>
      </c>
      <c r="E235" s="67">
        <f>'Parametric VAR'!$F$13</f>
        <v>-2.8682193012943492E-2</v>
      </c>
      <c r="F235">
        <f t="shared" si="22"/>
        <v>0</v>
      </c>
      <c r="G235" s="67">
        <f>'Historical VAR'!$G$6</f>
        <v>-1.9839729167757107E-2</v>
      </c>
      <c r="H235">
        <f t="shared" si="23"/>
        <v>0</v>
      </c>
      <c r="I235" s="67">
        <f>'Historical VAR'!$G$7</f>
        <v>-3.1428916759065853E-2</v>
      </c>
      <c r="J235">
        <f t="shared" si="24"/>
        <v>0</v>
      </c>
      <c r="K235" s="67">
        <f ca="1">'Monte Carlo Stimulation'!$I$8</f>
        <v>-2.1559270710709389E-2</v>
      </c>
      <c r="L235">
        <f t="shared" ca="1" si="25"/>
        <v>0</v>
      </c>
      <c r="M235" s="67">
        <f ca="1">'Monte Carlo Stimulation'!$I$9</f>
        <v>-2.919314405717207E-2</v>
      </c>
      <c r="N235">
        <f t="shared" ca="1" si="26"/>
        <v>0</v>
      </c>
    </row>
    <row r="236" spans="1:14">
      <c r="A236" s="12">
        <v>45770</v>
      </c>
      <c r="B236" s="14">
        <v>-2.5667397145837747E-3</v>
      </c>
      <c r="C236" s="67">
        <f>'Parametric VAR'!$F$12</f>
        <v>-2.023068247926026E-2</v>
      </c>
      <c r="D236">
        <f t="shared" si="21"/>
        <v>0</v>
      </c>
      <c r="E236" s="67">
        <f>'Parametric VAR'!$F$13</f>
        <v>-2.8682193012943492E-2</v>
      </c>
      <c r="F236">
        <f t="shared" si="22"/>
        <v>0</v>
      </c>
      <c r="G236" s="67">
        <f>'Historical VAR'!$G$6</f>
        <v>-1.9839729167757107E-2</v>
      </c>
      <c r="H236">
        <f t="shared" si="23"/>
        <v>0</v>
      </c>
      <c r="I236" s="67">
        <f>'Historical VAR'!$G$7</f>
        <v>-3.1428916759065853E-2</v>
      </c>
      <c r="J236">
        <f t="shared" si="24"/>
        <v>0</v>
      </c>
      <c r="K236" s="67">
        <f ca="1">'Monte Carlo Stimulation'!$I$8</f>
        <v>-2.1559270710709389E-2</v>
      </c>
      <c r="L236">
        <f t="shared" ca="1" si="25"/>
        <v>0</v>
      </c>
      <c r="M236" s="67">
        <f ca="1">'Monte Carlo Stimulation'!$I$9</f>
        <v>-2.919314405717207E-2</v>
      </c>
      <c r="N236">
        <f t="shared" ca="1" si="26"/>
        <v>0</v>
      </c>
    </row>
    <row r="237" spans="1:14">
      <c r="A237" s="12">
        <v>45769</v>
      </c>
      <c r="B237" s="14">
        <v>-7.8611874917224097E-3</v>
      </c>
      <c r="C237" s="67">
        <f>'Parametric VAR'!$F$12</f>
        <v>-2.023068247926026E-2</v>
      </c>
      <c r="D237">
        <f t="shared" si="21"/>
        <v>0</v>
      </c>
      <c r="E237" s="67">
        <f>'Parametric VAR'!$F$13</f>
        <v>-2.8682193012943492E-2</v>
      </c>
      <c r="F237">
        <f t="shared" si="22"/>
        <v>0</v>
      </c>
      <c r="G237" s="67">
        <f>'Historical VAR'!$G$6</f>
        <v>-1.9839729167757107E-2</v>
      </c>
      <c r="H237">
        <f t="shared" si="23"/>
        <v>0</v>
      </c>
      <c r="I237" s="67">
        <f>'Historical VAR'!$G$7</f>
        <v>-3.1428916759065853E-2</v>
      </c>
      <c r="J237">
        <f t="shared" si="24"/>
        <v>0</v>
      </c>
      <c r="K237" s="67">
        <f ca="1">'Monte Carlo Stimulation'!$I$8</f>
        <v>-2.1559270710709389E-2</v>
      </c>
      <c r="L237">
        <f t="shared" ca="1" si="25"/>
        <v>0</v>
      </c>
      <c r="M237" s="67">
        <f ca="1">'Monte Carlo Stimulation'!$I$9</f>
        <v>-2.919314405717207E-2</v>
      </c>
      <c r="N237">
        <f t="shared" ca="1" si="26"/>
        <v>0</v>
      </c>
    </row>
    <row r="238" spans="1:14">
      <c r="A238" s="12">
        <v>45768</v>
      </c>
      <c r="B238" s="14">
        <v>-4.6470032402390789E-3</v>
      </c>
      <c r="C238" s="67">
        <f>'Parametric VAR'!$F$12</f>
        <v>-2.023068247926026E-2</v>
      </c>
      <c r="D238">
        <f t="shared" si="21"/>
        <v>0</v>
      </c>
      <c r="E238" s="67">
        <f>'Parametric VAR'!$F$13</f>
        <v>-2.8682193012943492E-2</v>
      </c>
      <c r="F238">
        <f t="shared" si="22"/>
        <v>0</v>
      </c>
      <c r="G238" s="67">
        <f>'Historical VAR'!$G$6</f>
        <v>-1.9839729167757107E-2</v>
      </c>
      <c r="H238">
        <f t="shared" si="23"/>
        <v>0</v>
      </c>
      <c r="I238" s="67">
        <f>'Historical VAR'!$G$7</f>
        <v>-3.1428916759065853E-2</v>
      </c>
      <c r="J238">
        <f t="shared" si="24"/>
        <v>0</v>
      </c>
      <c r="K238" s="67">
        <f ca="1">'Monte Carlo Stimulation'!$I$8</f>
        <v>-2.1559270710709389E-2</v>
      </c>
      <c r="L238">
        <f t="shared" ca="1" si="25"/>
        <v>0</v>
      </c>
      <c r="M238" s="67">
        <f ca="1">'Monte Carlo Stimulation'!$I$9</f>
        <v>-2.919314405717207E-2</v>
      </c>
      <c r="N238">
        <f t="shared" ca="1" si="26"/>
        <v>0</v>
      </c>
    </row>
    <row r="239" spans="1:14">
      <c r="A239" s="12">
        <v>45764</v>
      </c>
      <c r="B239" s="14">
        <v>1.7751283730334535E-3</v>
      </c>
      <c r="C239" s="67">
        <f>'Parametric VAR'!$F$12</f>
        <v>-2.023068247926026E-2</v>
      </c>
      <c r="D239">
        <f t="shared" si="21"/>
        <v>0</v>
      </c>
      <c r="E239" s="67">
        <f>'Parametric VAR'!$F$13</f>
        <v>-2.8682193012943492E-2</v>
      </c>
      <c r="F239">
        <f t="shared" si="22"/>
        <v>0</v>
      </c>
      <c r="G239" s="67">
        <f>'Historical VAR'!$G$6</f>
        <v>-1.9839729167757107E-2</v>
      </c>
      <c r="H239">
        <f t="shared" si="23"/>
        <v>0</v>
      </c>
      <c r="I239" s="67">
        <f>'Historical VAR'!$G$7</f>
        <v>-3.1428916759065853E-2</v>
      </c>
      <c r="J239">
        <f t="shared" si="24"/>
        <v>0</v>
      </c>
      <c r="K239" s="67">
        <f ca="1">'Monte Carlo Stimulation'!$I$8</f>
        <v>-2.1559270710709389E-2</v>
      </c>
      <c r="L239">
        <f t="shared" ca="1" si="25"/>
        <v>0</v>
      </c>
      <c r="M239" s="67">
        <f ca="1">'Monte Carlo Stimulation'!$I$9</f>
        <v>-2.919314405717207E-2</v>
      </c>
      <c r="N239">
        <f t="shared" ca="1" si="26"/>
        <v>0</v>
      </c>
    </row>
    <row r="240" spans="1:14">
      <c r="A240" s="12">
        <v>45763</v>
      </c>
      <c r="B240" s="14">
        <v>-2.3505267361828741E-3</v>
      </c>
      <c r="C240" s="67">
        <f>'Parametric VAR'!$F$12</f>
        <v>-2.023068247926026E-2</v>
      </c>
      <c r="D240">
        <f t="shared" si="21"/>
        <v>0</v>
      </c>
      <c r="E240" s="67">
        <f>'Parametric VAR'!$F$13</f>
        <v>-2.8682193012943492E-2</v>
      </c>
      <c r="F240">
        <f t="shared" si="22"/>
        <v>0</v>
      </c>
      <c r="G240" s="67">
        <f>'Historical VAR'!$G$6</f>
        <v>-1.9839729167757107E-2</v>
      </c>
      <c r="H240">
        <f t="shared" si="23"/>
        <v>0</v>
      </c>
      <c r="I240" s="67">
        <f>'Historical VAR'!$G$7</f>
        <v>-3.1428916759065853E-2</v>
      </c>
      <c r="J240">
        <f t="shared" si="24"/>
        <v>0</v>
      </c>
      <c r="K240" s="67">
        <f ca="1">'Monte Carlo Stimulation'!$I$8</f>
        <v>-2.1559270710709389E-2</v>
      </c>
      <c r="L240">
        <f t="shared" ca="1" si="25"/>
        <v>0</v>
      </c>
      <c r="M240" s="67">
        <f ca="1">'Monte Carlo Stimulation'!$I$9</f>
        <v>-2.919314405717207E-2</v>
      </c>
      <c r="N240">
        <f t="shared" ca="1" si="26"/>
        <v>0</v>
      </c>
    </row>
    <row r="241" spans="1:14">
      <c r="A241" s="12">
        <v>45762</v>
      </c>
      <c r="B241" s="14">
        <v>-1.9603928549092056E-2</v>
      </c>
      <c r="C241" s="67">
        <f>'Parametric VAR'!$F$12</f>
        <v>-2.023068247926026E-2</v>
      </c>
      <c r="D241">
        <f t="shared" si="21"/>
        <v>0</v>
      </c>
      <c r="E241" s="67">
        <f>'Parametric VAR'!$F$13</f>
        <v>-2.8682193012943492E-2</v>
      </c>
      <c r="F241">
        <f t="shared" si="22"/>
        <v>0</v>
      </c>
      <c r="G241" s="67">
        <f>'Historical VAR'!$G$6</f>
        <v>-1.9839729167757107E-2</v>
      </c>
      <c r="H241">
        <f t="shared" si="23"/>
        <v>0</v>
      </c>
      <c r="I241" s="67">
        <f>'Historical VAR'!$G$7</f>
        <v>-3.1428916759065853E-2</v>
      </c>
      <c r="J241">
        <f t="shared" si="24"/>
        <v>0</v>
      </c>
      <c r="K241" s="67">
        <f ca="1">'Monte Carlo Stimulation'!$I$8</f>
        <v>-2.1559270710709389E-2</v>
      </c>
      <c r="L241">
        <f t="shared" ca="1" si="25"/>
        <v>0</v>
      </c>
      <c r="M241" s="67">
        <f ca="1">'Monte Carlo Stimulation'!$I$9</f>
        <v>-2.919314405717207E-2</v>
      </c>
      <c r="N241">
        <f t="shared" ca="1" si="26"/>
        <v>0</v>
      </c>
    </row>
    <row r="242" spans="1:14">
      <c r="A242" s="12">
        <v>45758</v>
      </c>
      <c r="B242" s="14">
        <v>-6.7943816935148857E-3</v>
      </c>
      <c r="C242" s="67">
        <f>'Parametric VAR'!$F$12</f>
        <v>-2.023068247926026E-2</v>
      </c>
      <c r="D242">
        <f t="shared" si="21"/>
        <v>0</v>
      </c>
      <c r="E242" s="67">
        <f>'Parametric VAR'!$F$13</f>
        <v>-2.8682193012943492E-2</v>
      </c>
      <c r="F242">
        <f t="shared" si="22"/>
        <v>0</v>
      </c>
      <c r="G242" s="67">
        <f>'Historical VAR'!$G$6</f>
        <v>-1.9839729167757107E-2</v>
      </c>
      <c r="H242">
        <f t="shared" si="23"/>
        <v>0</v>
      </c>
      <c r="I242" s="67">
        <f>'Historical VAR'!$G$7</f>
        <v>-3.1428916759065853E-2</v>
      </c>
      <c r="J242">
        <f t="shared" si="24"/>
        <v>0</v>
      </c>
      <c r="K242" s="67">
        <f ca="1">'Monte Carlo Stimulation'!$I$8</f>
        <v>-2.1559270710709389E-2</v>
      </c>
      <c r="L242">
        <f t="shared" ca="1" si="25"/>
        <v>0</v>
      </c>
      <c r="M242" s="67">
        <f ca="1">'Monte Carlo Stimulation'!$I$9</f>
        <v>-2.919314405717207E-2</v>
      </c>
      <c r="N242">
        <f t="shared" ca="1" si="26"/>
        <v>0</v>
      </c>
    </row>
    <row r="243" spans="1:14">
      <c r="A243" s="12">
        <v>45756</v>
      </c>
      <c r="B243" s="14">
        <v>3.939931840887697E-3</v>
      </c>
      <c r="C243" s="67">
        <f>'Parametric VAR'!$F$12</f>
        <v>-2.023068247926026E-2</v>
      </c>
      <c r="D243">
        <f t="shared" si="21"/>
        <v>0</v>
      </c>
      <c r="E243" s="67">
        <f>'Parametric VAR'!$F$13</f>
        <v>-2.8682193012943492E-2</v>
      </c>
      <c r="F243">
        <f t="shared" si="22"/>
        <v>0</v>
      </c>
      <c r="G243" s="67">
        <f>'Historical VAR'!$G$6</f>
        <v>-1.9839729167757107E-2</v>
      </c>
      <c r="H243">
        <f t="shared" si="23"/>
        <v>0</v>
      </c>
      <c r="I243" s="67">
        <f>'Historical VAR'!$G$7</f>
        <v>-3.1428916759065853E-2</v>
      </c>
      <c r="J243">
        <f t="shared" si="24"/>
        <v>0</v>
      </c>
      <c r="K243" s="67">
        <f ca="1">'Monte Carlo Stimulation'!$I$8</f>
        <v>-2.1559270710709389E-2</v>
      </c>
      <c r="L243">
        <f t="shared" ca="1" si="25"/>
        <v>0</v>
      </c>
      <c r="M243" s="67">
        <f ca="1">'Monte Carlo Stimulation'!$I$9</f>
        <v>-2.919314405717207E-2</v>
      </c>
      <c r="N243">
        <f t="shared" ca="1" si="26"/>
        <v>0</v>
      </c>
    </row>
    <row r="244" spans="1:14">
      <c r="A244" s="12">
        <v>45755</v>
      </c>
      <c r="B244" s="14">
        <v>-4.0955107213314999E-3</v>
      </c>
      <c r="C244" s="67">
        <f>'Parametric VAR'!$F$12</f>
        <v>-2.023068247926026E-2</v>
      </c>
      <c r="D244">
        <f t="shared" si="21"/>
        <v>0</v>
      </c>
      <c r="E244" s="67">
        <f>'Parametric VAR'!$F$13</f>
        <v>-2.8682193012943492E-2</v>
      </c>
      <c r="F244">
        <f t="shared" si="22"/>
        <v>0</v>
      </c>
      <c r="G244" s="67">
        <f>'Historical VAR'!$G$6</f>
        <v>-1.9839729167757107E-2</v>
      </c>
      <c r="H244">
        <f t="shared" si="23"/>
        <v>0</v>
      </c>
      <c r="I244" s="67">
        <f>'Historical VAR'!$G$7</f>
        <v>-3.1428916759065853E-2</v>
      </c>
      <c r="J244">
        <f t="shared" si="24"/>
        <v>0</v>
      </c>
      <c r="K244" s="67">
        <f ca="1">'Monte Carlo Stimulation'!$I$8</f>
        <v>-2.1559270710709389E-2</v>
      </c>
      <c r="L244">
        <f t="shared" ca="1" si="25"/>
        <v>0</v>
      </c>
      <c r="M244" s="67">
        <f ca="1">'Monte Carlo Stimulation'!$I$9</f>
        <v>-2.919314405717207E-2</v>
      </c>
      <c r="N244">
        <f t="shared" ca="1" si="26"/>
        <v>0</v>
      </c>
    </row>
    <row r="245" spans="1:14">
      <c r="A245" s="12">
        <v>45754</v>
      </c>
      <c r="B245" s="14">
        <v>-2.7493650211907878E-2</v>
      </c>
      <c r="C245" s="67">
        <f>'Parametric VAR'!$F$12</f>
        <v>-2.023068247926026E-2</v>
      </c>
      <c r="D245">
        <f t="shared" si="21"/>
        <v>1</v>
      </c>
      <c r="E245" s="67">
        <f>'Parametric VAR'!$F$13</f>
        <v>-2.8682193012943492E-2</v>
      </c>
      <c r="F245">
        <f t="shared" si="22"/>
        <v>0</v>
      </c>
      <c r="G245" s="67">
        <f>'Historical VAR'!$G$6</f>
        <v>-1.9839729167757107E-2</v>
      </c>
      <c r="H245">
        <f t="shared" si="23"/>
        <v>1</v>
      </c>
      <c r="I245" s="67">
        <f>'Historical VAR'!$G$7</f>
        <v>-3.1428916759065853E-2</v>
      </c>
      <c r="J245">
        <f t="shared" si="24"/>
        <v>0</v>
      </c>
      <c r="K245" s="67">
        <f ca="1">'Monte Carlo Stimulation'!$I$8</f>
        <v>-2.1559270710709389E-2</v>
      </c>
      <c r="L245">
        <f t="shared" ca="1" si="25"/>
        <v>1</v>
      </c>
      <c r="M245" s="67">
        <f ca="1">'Monte Carlo Stimulation'!$I$9</f>
        <v>-2.919314405717207E-2</v>
      </c>
      <c r="N245">
        <f t="shared" ca="1" si="26"/>
        <v>0</v>
      </c>
    </row>
    <row r="246" spans="1:14">
      <c r="A246" s="12">
        <v>45751</v>
      </c>
      <c r="B246" s="14">
        <v>7.8790493162678513E-3</v>
      </c>
      <c r="C246" s="67">
        <f>'Parametric VAR'!$F$12</f>
        <v>-2.023068247926026E-2</v>
      </c>
      <c r="D246">
        <f t="shared" si="21"/>
        <v>0</v>
      </c>
      <c r="E246" s="67">
        <f>'Parametric VAR'!$F$13</f>
        <v>-2.8682193012943492E-2</v>
      </c>
      <c r="F246">
        <f t="shared" si="22"/>
        <v>0</v>
      </c>
      <c r="G246" s="67">
        <f>'Historical VAR'!$G$6</f>
        <v>-1.9839729167757107E-2</v>
      </c>
      <c r="H246">
        <f t="shared" si="23"/>
        <v>0</v>
      </c>
      <c r="I246" s="67">
        <f>'Historical VAR'!$G$7</f>
        <v>-3.1428916759065853E-2</v>
      </c>
      <c r="J246">
        <f t="shared" si="24"/>
        <v>0</v>
      </c>
      <c r="K246" s="67">
        <f ca="1">'Monte Carlo Stimulation'!$I$8</f>
        <v>-2.1559270710709389E-2</v>
      </c>
      <c r="L246">
        <f t="shared" ca="1" si="25"/>
        <v>0</v>
      </c>
      <c r="M246" s="67">
        <f ca="1">'Monte Carlo Stimulation'!$I$9</f>
        <v>-2.919314405717207E-2</v>
      </c>
      <c r="N246">
        <f t="shared" ca="1" si="26"/>
        <v>0</v>
      </c>
    </row>
    <row r="247" spans="1:14">
      <c r="A247" s="12">
        <v>45750</v>
      </c>
      <c r="B247" s="14">
        <v>-7.5878845586330656E-4</v>
      </c>
      <c r="C247" s="67">
        <f>'Parametric VAR'!$F$12</f>
        <v>-2.023068247926026E-2</v>
      </c>
      <c r="D247">
        <f t="shared" si="21"/>
        <v>0</v>
      </c>
      <c r="E247" s="67">
        <f>'Parametric VAR'!$F$13</f>
        <v>-2.8682193012943492E-2</v>
      </c>
      <c r="F247">
        <f t="shared" si="22"/>
        <v>0</v>
      </c>
      <c r="G247" s="67">
        <f>'Historical VAR'!$G$6</f>
        <v>-1.9839729167757107E-2</v>
      </c>
      <c r="H247">
        <f t="shared" si="23"/>
        <v>0</v>
      </c>
      <c r="I247" s="67">
        <f>'Historical VAR'!$G$7</f>
        <v>-3.1428916759065853E-2</v>
      </c>
      <c r="J247">
        <f t="shared" si="24"/>
        <v>0</v>
      </c>
      <c r="K247" s="67">
        <f ca="1">'Monte Carlo Stimulation'!$I$8</f>
        <v>-2.1559270710709389E-2</v>
      </c>
      <c r="L247">
        <f t="shared" ca="1" si="25"/>
        <v>0</v>
      </c>
      <c r="M247" s="67">
        <f ca="1">'Monte Carlo Stimulation'!$I$9</f>
        <v>-2.919314405717207E-2</v>
      </c>
      <c r="N247">
        <f t="shared" ca="1" si="26"/>
        <v>0</v>
      </c>
    </row>
    <row r="248" spans="1:14">
      <c r="A248" s="12">
        <v>45749</v>
      </c>
      <c r="B248" s="14">
        <v>-1.6424859280104231E-2</v>
      </c>
      <c r="C248" s="67">
        <f>'Parametric VAR'!$F$12</f>
        <v>-2.023068247926026E-2</v>
      </c>
      <c r="D248">
        <f t="shared" si="21"/>
        <v>0</v>
      </c>
      <c r="E248" s="67">
        <f>'Parametric VAR'!$F$13</f>
        <v>-2.8682193012943492E-2</v>
      </c>
      <c r="F248">
        <f t="shared" si="22"/>
        <v>0</v>
      </c>
      <c r="G248" s="67">
        <f>'Historical VAR'!$G$6</f>
        <v>-1.9839729167757107E-2</v>
      </c>
      <c r="H248">
        <f t="shared" si="23"/>
        <v>0</v>
      </c>
      <c r="I248" s="67">
        <f>'Historical VAR'!$G$7</f>
        <v>-3.1428916759065853E-2</v>
      </c>
      <c r="J248">
        <f t="shared" si="24"/>
        <v>0</v>
      </c>
      <c r="K248" s="67">
        <f ca="1">'Monte Carlo Stimulation'!$I$8</f>
        <v>-2.1559270710709389E-2</v>
      </c>
      <c r="L248">
        <f t="shared" ca="1" si="25"/>
        <v>0</v>
      </c>
      <c r="M248" s="67">
        <f ca="1">'Monte Carlo Stimulation'!$I$9</f>
        <v>-2.919314405717207E-2</v>
      </c>
      <c r="N248">
        <f t="shared" ca="1" si="26"/>
        <v>0</v>
      </c>
    </row>
    <row r="249" spans="1:14">
      <c r="A249" s="12">
        <v>45748</v>
      </c>
      <c r="B249" s="14">
        <v>-1.4911250998939306E-3</v>
      </c>
      <c r="C249" s="67">
        <f>'Parametric VAR'!$F$12</f>
        <v>-2.023068247926026E-2</v>
      </c>
      <c r="D249">
        <f t="shared" si="21"/>
        <v>0</v>
      </c>
      <c r="E249" s="67">
        <f>'Parametric VAR'!$F$13</f>
        <v>-2.8682193012943492E-2</v>
      </c>
      <c r="F249">
        <f t="shared" si="22"/>
        <v>0</v>
      </c>
      <c r="G249" s="67">
        <f>'Historical VAR'!$G$6</f>
        <v>-1.9839729167757107E-2</v>
      </c>
      <c r="H249">
        <f t="shared" si="23"/>
        <v>0</v>
      </c>
      <c r="I249" s="67">
        <f>'Historical VAR'!$G$7</f>
        <v>-3.1428916759065853E-2</v>
      </c>
      <c r="J249">
        <f t="shared" si="24"/>
        <v>0</v>
      </c>
      <c r="K249" s="67">
        <f ca="1">'Monte Carlo Stimulation'!$I$8</f>
        <v>-2.1559270710709389E-2</v>
      </c>
      <c r="L249">
        <f t="shared" ca="1" si="25"/>
        <v>0</v>
      </c>
      <c r="M249" s="67">
        <f ca="1">'Monte Carlo Stimulation'!$I$9</f>
        <v>-2.919314405717207E-2</v>
      </c>
      <c r="N249">
        <f t="shared" ca="1" si="26"/>
        <v>0</v>
      </c>
    </row>
    <row r="250" spans="1:14">
      <c r="A250" s="12">
        <v>45744</v>
      </c>
      <c r="B250" s="14">
        <v>9.0339660829036762E-3</v>
      </c>
      <c r="C250" s="67">
        <f>'Parametric VAR'!$F$12</f>
        <v>-2.023068247926026E-2</v>
      </c>
      <c r="D250">
        <f t="shared" si="21"/>
        <v>0</v>
      </c>
      <c r="E250" s="67">
        <f>'Parametric VAR'!$F$13</f>
        <v>-2.8682193012943492E-2</v>
      </c>
      <c r="F250">
        <f t="shared" si="22"/>
        <v>0</v>
      </c>
      <c r="G250" s="67">
        <f>'Historical VAR'!$G$6</f>
        <v>-1.9839729167757107E-2</v>
      </c>
      <c r="H250">
        <f t="shared" si="23"/>
        <v>0</v>
      </c>
      <c r="I250" s="67">
        <f>'Historical VAR'!$G$7</f>
        <v>-3.1428916759065853E-2</v>
      </c>
      <c r="J250">
        <f t="shared" si="24"/>
        <v>0</v>
      </c>
      <c r="K250" s="67">
        <f ca="1">'Monte Carlo Stimulation'!$I$8</f>
        <v>-2.1559270710709389E-2</v>
      </c>
      <c r="L250">
        <f t="shared" ca="1" si="25"/>
        <v>0</v>
      </c>
      <c r="M250" s="67">
        <f ca="1">'Monte Carlo Stimulation'!$I$9</f>
        <v>-2.919314405717207E-2</v>
      </c>
      <c r="N250">
        <f t="shared" ca="1" si="26"/>
        <v>0</v>
      </c>
    </row>
    <row r="251" spans="1:14">
      <c r="A251" s="12">
        <v>45743</v>
      </c>
      <c r="B251" s="14">
        <v>1.2235303294085573E-3</v>
      </c>
      <c r="C251" s="67">
        <f>'Parametric VAR'!$F$12</f>
        <v>-2.023068247926026E-2</v>
      </c>
      <c r="D251">
        <f t="shared" si="21"/>
        <v>0</v>
      </c>
      <c r="E251" s="67">
        <f>'Parametric VAR'!$F$13</f>
        <v>-2.8682193012943492E-2</v>
      </c>
      <c r="F251">
        <f t="shared" si="22"/>
        <v>0</v>
      </c>
      <c r="G251" s="67">
        <f>'Historical VAR'!$G$6</f>
        <v>-1.9839729167757107E-2</v>
      </c>
      <c r="H251">
        <f t="shared" si="23"/>
        <v>0</v>
      </c>
      <c r="I251" s="67">
        <f>'Historical VAR'!$G$7</f>
        <v>-3.1428916759065853E-2</v>
      </c>
      <c r="J251">
        <f t="shared" si="24"/>
        <v>0</v>
      </c>
      <c r="K251" s="67">
        <f ca="1">'Monte Carlo Stimulation'!$I$8</f>
        <v>-2.1559270710709389E-2</v>
      </c>
      <c r="L251">
        <f t="shared" ca="1" si="25"/>
        <v>0</v>
      </c>
      <c r="M251" s="67">
        <f ca="1">'Monte Carlo Stimulation'!$I$9</f>
        <v>-2.919314405717207E-2</v>
      </c>
      <c r="N251">
        <f t="shared" ca="1" si="26"/>
        <v>0</v>
      </c>
    </row>
    <row r="252" spans="1:14">
      <c r="A252" s="12">
        <v>45742</v>
      </c>
      <c r="B252" s="14">
        <v>-8.3309796026855773E-3</v>
      </c>
      <c r="C252" s="67">
        <f>'Parametric VAR'!$F$12</f>
        <v>-2.023068247926026E-2</v>
      </c>
      <c r="D252">
        <f t="shared" si="21"/>
        <v>0</v>
      </c>
      <c r="E252" s="67">
        <f>'Parametric VAR'!$F$13</f>
        <v>-2.8682193012943492E-2</v>
      </c>
      <c r="F252">
        <f t="shared" si="22"/>
        <v>0</v>
      </c>
      <c r="G252" s="67">
        <f>'Historical VAR'!$G$6</f>
        <v>-1.9839729167757107E-2</v>
      </c>
      <c r="H252">
        <f t="shared" si="23"/>
        <v>0</v>
      </c>
      <c r="I252" s="67">
        <f>'Historical VAR'!$G$7</f>
        <v>-3.1428916759065853E-2</v>
      </c>
      <c r="J252">
        <f t="shared" si="24"/>
        <v>0</v>
      </c>
      <c r="K252" s="67">
        <f ca="1">'Monte Carlo Stimulation'!$I$8</f>
        <v>-2.1559270710709389E-2</v>
      </c>
      <c r="L252">
        <f t="shared" ca="1" si="25"/>
        <v>0</v>
      </c>
      <c r="M252" s="67">
        <f ca="1">'Monte Carlo Stimulation'!$I$9</f>
        <v>-2.919314405717207E-2</v>
      </c>
      <c r="N252">
        <f t="shared" ca="1" si="26"/>
        <v>0</v>
      </c>
    </row>
    <row r="253" spans="1:14">
      <c r="A253" s="12">
        <v>45741</v>
      </c>
      <c r="B253" s="14">
        <v>3.2043378588071064E-3</v>
      </c>
      <c r="C253" s="67">
        <f>'Parametric VAR'!$F$12</f>
        <v>-2.023068247926026E-2</v>
      </c>
      <c r="D253">
        <f t="shared" si="21"/>
        <v>0</v>
      </c>
      <c r="E253" s="67">
        <f>'Parametric VAR'!$F$13</f>
        <v>-2.8682193012943492E-2</v>
      </c>
      <c r="F253">
        <f t="shared" si="22"/>
        <v>0</v>
      </c>
      <c r="G253" s="67">
        <f>'Historical VAR'!$G$6</f>
        <v>-1.9839729167757107E-2</v>
      </c>
      <c r="H253">
        <f t="shared" si="23"/>
        <v>0</v>
      </c>
      <c r="I253" s="67">
        <f>'Historical VAR'!$G$7</f>
        <v>-3.1428916759065853E-2</v>
      </c>
      <c r="J253">
        <f t="shared" si="24"/>
        <v>0</v>
      </c>
      <c r="K253" s="67">
        <f ca="1">'Monte Carlo Stimulation'!$I$8</f>
        <v>-2.1559270710709389E-2</v>
      </c>
      <c r="L253">
        <f t="shared" ca="1" si="25"/>
        <v>0</v>
      </c>
      <c r="M253" s="67">
        <f ca="1">'Monte Carlo Stimulation'!$I$9</f>
        <v>-2.919314405717207E-2</v>
      </c>
      <c r="N253">
        <f t="shared" ca="1" si="26"/>
        <v>0</v>
      </c>
    </row>
    <row r="254" spans="1:14">
      <c r="A254" s="12">
        <v>45740</v>
      </c>
      <c r="B254" s="14">
        <v>2.8724662757673679E-3</v>
      </c>
      <c r="C254" s="67">
        <f>'Parametric VAR'!$F$12</f>
        <v>-2.023068247926026E-2</v>
      </c>
      <c r="D254">
        <f t="shared" si="21"/>
        <v>0</v>
      </c>
      <c r="E254" s="67">
        <f>'Parametric VAR'!$F$13</f>
        <v>-2.8682193012943492E-2</v>
      </c>
      <c r="F254">
        <f t="shared" si="22"/>
        <v>0</v>
      </c>
      <c r="G254" s="67">
        <f>'Historical VAR'!$G$6</f>
        <v>-1.9839729167757107E-2</v>
      </c>
      <c r="H254">
        <f t="shared" si="23"/>
        <v>0</v>
      </c>
      <c r="I254" s="67">
        <f>'Historical VAR'!$G$7</f>
        <v>-3.1428916759065853E-2</v>
      </c>
      <c r="J254">
        <f t="shared" si="24"/>
        <v>0</v>
      </c>
      <c r="K254" s="67">
        <f ca="1">'Monte Carlo Stimulation'!$I$8</f>
        <v>-2.1559270710709389E-2</v>
      </c>
      <c r="L254">
        <f t="shared" ca="1" si="25"/>
        <v>0</v>
      </c>
      <c r="M254" s="67">
        <f ca="1">'Monte Carlo Stimulation'!$I$9</f>
        <v>-2.919314405717207E-2</v>
      </c>
      <c r="N254">
        <f t="shared" ca="1" si="26"/>
        <v>0</v>
      </c>
    </row>
    <row r="255" spans="1:14">
      <c r="A255" s="12">
        <v>45737</v>
      </c>
      <c r="B255" s="14">
        <v>-1.0117156764008617E-2</v>
      </c>
      <c r="C255" s="67">
        <f>'Parametric VAR'!$F$12</f>
        <v>-2.023068247926026E-2</v>
      </c>
      <c r="D255">
        <f t="shared" si="21"/>
        <v>0</v>
      </c>
      <c r="E255" s="67">
        <f>'Parametric VAR'!$F$13</f>
        <v>-2.8682193012943492E-2</v>
      </c>
      <c r="F255">
        <f t="shared" si="22"/>
        <v>0</v>
      </c>
      <c r="G255" s="67">
        <f>'Historical VAR'!$G$6</f>
        <v>-1.9839729167757107E-2</v>
      </c>
      <c r="H255">
        <f t="shared" si="23"/>
        <v>0</v>
      </c>
      <c r="I255" s="67">
        <f>'Historical VAR'!$G$7</f>
        <v>-3.1428916759065853E-2</v>
      </c>
      <c r="J255">
        <f t="shared" si="24"/>
        <v>0</v>
      </c>
      <c r="K255" s="67">
        <f ca="1">'Monte Carlo Stimulation'!$I$8</f>
        <v>-2.1559270710709389E-2</v>
      </c>
      <c r="L255">
        <f t="shared" ca="1" si="25"/>
        <v>0</v>
      </c>
      <c r="M255" s="67">
        <f ca="1">'Monte Carlo Stimulation'!$I$9</f>
        <v>-2.919314405717207E-2</v>
      </c>
      <c r="N255">
        <f t="shared" ca="1" si="26"/>
        <v>0</v>
      </c>
    </row>
    <row r="256" spans="1:14">
      <c r="A256" s="12">
        <v>45736</v>
      </c>
      <c r="B256" s="14">
        <v>-4.0838164955992453E-3</v>
      </c>
      <c r="C256" s="67">
        <f>'Parametric VAR'!$F$12</f>
        <v>-2.023068247926026E-2</v>
      </c>
      <c r="D256">
        <f t="shared" si="21"/>
        <v>0</v>
      </c>
      <c r="E256" s="67">
        <f>'Parametric VAR'!$F$13</f>
        <v>-2.8682193012943492E-2</v>
      </c>
      <c r="F256">
        <f t="shared" si="22"/>
        <v>0</v>
      </c>
      <c r="G256" s="67">
        <f>'Historical VAR'!$G$6</f>
        <v>-1.9839729167757107E-2</v>
      </c>
      <c r="H256">
        <f t="shared" si="23"/>
        <v>0</v>
      </c>
      <c r="I256" s="67">
        <f>'Historical VAR'!$G$7</f>
        <v>-3.1428916759065853E-2</v>
      </c>
      <c r="J256">
        <f t="shared" si="24"/>
        <v>0</v>
      </c>
      <c r="K256" s="67">
        <f ca="1">'Monte Carlo Stimulation'!$I$8</f>
        <v>-2.1559270710709389E-2</v>
      </c>
      <c r="L256">
        <f t="shared" ca="1" si="25"/>
        <v>0</v>
      </c>
      <c r="M256" s="67">
        <f ca="1">'Monte Carlo Stimulation'!$I$9</f>
        <v>-2.919314405717207E-2</v>
      </c>
      <c r="N256">
        <f t="shared" ca="1" si="26"/>
        <v>0</v>
      </c>
    </row>
    <row r="257" spans="1:14">
      <c r="A257" s="12">
        <v>45735</v>
      </c>
      <c r="B257" s="14">
        <v>-6.4990696067699916E-3</v>
      </c>
      <c r="C257" s="67">
        <f>'Parametric VAR'!$F$12</f>
        <v>-2.023068247926026E-2</v>
      </c>
      <c r="D257">
        <f t="shared" si="21"/>
        <v>0</v>
      </c>
      <c r="E257" s="67">
        <f>'Parametric VAR'!$F$13</f>
        <v>-2.8682193012943492E-2</v>
      </c>
      <c r="F257">
        <f t="shared" si="22"/>
        <v>0</v>
      </c>
      <c r="G257" s="67">
        <f>'Historical VAR'!$G$6</f>
        <v>-1.9839729167757107E-2</v>
      </c>
      <c r="H257">
        <f t="shared" si="23"/>
        <v>0</v>
      </c>
      <c r="I257" s="67">
        <f>'Historical VAR'!$G$7</f>
        <v>-3.1428916759065853E-2</v>
      </c>
      <c r="J257">
        <f t="shared" si="24"/>
        <v>0</v>
      </c>
      <c r="K257" s="67">
        <f ca="1">'Monte Carlo Stimulation'!$I$8</f>
        <v>-2.1559270710709389E-2</v>
      </c>
      <c r="L257">
        <f t="shared" ca="1" si="25"/>
        <v>0</v>
      </c>
      <c r="M257" s="67">
        <f ca="1">'Monte Carlo Stimulation'!$I$9</f>
        <v>-2.919314405717207E-2</v>
      </c>
      <c r="N257">
        <f t="shared" ca="1" si="26"/>
        <v>0</v>
      </c>
    </row>
    <row r="258" spans="1:14">
      <c r="A258" s="12">
        <v>45734</v>
      </c>
      <c r="B258" s="14">
        <v>-1.9275007407166119E-3</v>
      </c>
      <c r="C258" s="67">
        <f>'Parametric VAR'!$F$12</f>
        <v>-2.023068247926026E-2</v>
      </c>
      <c r="D258">
        <f t="shared" si="21"/>
        <v>0</v>
      </c>
      <c r="E258" s="67">
        <f>'Parametric VAR'!$F$13</f>
        <v>-2.8682193012943492E-2</v>
      </c>
      <c r="F258">
        <f t="shared" si="22"/>
        <v>0</v>
      </c>
      <c r="G258" s="67">
        <f>'Historical VAR'!$G$6</f>
        <v>-1.9839729167757107E-2</v>
      </c>
      <c r="H258">
        <f t="shared" si="23"/>
        <v>0</v>
      </c>
      <c r="I258" s="67">
        <f>'Historical VAR'!$G$7</f>
        <v>-3.1428916759065853E-2</v>
      </c>
      <c r="J258">
        <f t="shared" si="24"/>
        <v>0</v>
      </c>
      <c r="K258" s="67">
        <f ca="1">'Monte Carlo Stimulation'!$I$8</f>
        <v>-2.1559270710709389E-2</v>
      </c>
      <c r="L258">
        <f t="shared" ca="1" si="25"/>
        <v>0</v>
      </c>
      <c r="M258" s="67">
        <f ca="1">'Monte Carlo Stimulation'!$I$9</f>
        <v>-2.919314405717207E-2</v>
      </c>
      <c r="N258">
        <f t="shared" ca="1" si="26"/>
        <v>0</v>
      </c>
    </row>
    <row r="259" spans="1:14">
      <c r="A259" s="12">
        <v>45733</v>
      </c>
      <c r="B259" s="14">
        <v>-2.093392006060479E-2</v>
      </c>
      <c r="C259" s="67">
        <f>'Parametric VAR'!$F$12</f>
        <v>-2.023068247926026E-2</v>
      </c>
      <c r="D259">
        <f t="shared" si="21"/>
        <v>1</v>
      </c>
      <c r="E259" s="67">
        <f>'Parametric VAR'!$F$13</f>
        <v>-2.8682193012943492E-2</v>
      </c>
      <c r="F259">
        <f t="shared" si="22"/>
        <v>0</v>
      </c>
      <c r="G259" s="67">
        <f>'Historical VAR'!$G$6</f>
        <v>-1.9839729167757107E-2</v>
      </c>
      <c r="H259">
        <f t="shared" si="23"/>
        <v>1</v>
      </c>
      <c r="I259" s="67">
        <f>'Historical VAR'!$G$7</f>
        <v>-3.1428916759065853E-2</v>
      </c>
      <c r="J259">
        <f t="shared" si="24"/>
        <v>0</v>
      </c>
      <c r="K259" s="67">
        <f ca="1">'Monte Carlo Stimulation'!$I$8</f>
        <v>-2.1559270710709389E-2</v>
      </c>
      <c r="L259">
        <f t="shared" ca="1" si="25"/>
        <v>0</v>
      </c>
      <c r="M259" s="67">
        <f ca="1">'Monte Carlo Stimulation'!$I$9</f>
        <v>-2.919314405717207E-2</v>
      </c>
      <c r="N259">
        <f t="shared" ca="1" si="26"/>
        <v>0</v>
      </c>
    </row>
    <row r="260" spans="1:14">
      <c r="A260" s="12">
        <v>45729</v>
      </c>
      <c r="B260" s="14">
        <v>-8.8687296312583118E-4</v>
      </c>
      <c r="C260" s="67">
        <f>'Parametric VAR'!$F$12</f>
        <v>-2.023068247926026E-2</v>
      </c>
      <c r="D260">
        <f t="shared" ref="D260:D323" si="27">IF(B260&lt;C260,1,0)</f>
        <v>0</v>
      </c>
      <c r="E260" s="67">
        <f>'Parametric VAR'!$F$13</f>
        <v>-2.8682193012943492E-2</v>
      </c>
      <c r="F260">
        <f t="shared" ref="F260:F323" si="28">IF(B260&lt;E260,1,0)</f>
        <v>0</v>
      </c>
      <c r="G260" s="67">
        <f>'Historical VAR'!$G$6</f>
        <v>-1.9839729167757107E-2</v>
      </c>
      <c r="H260">
        <f t="shared" ref="H260:H323" si="29">IF(B260&lt;G260,1,0)</f>
        <v>0</v>
      </c>
      <c r="I260" s="67">
        <f>'Historical VAR'!$G$7</f>
        <v>-3.1428916759065853E-2</v>
      </c>
      <c r="J260">
        <f t="shared" ref="J260:J323" si="30">IF(B260&lt;I260,1,0)</f>
        <v>0</v>
      </c>
      <c r="K260" s="67">
        <f ca="1">'Monte Carlo Stimulation'!$I$8</f>
        <v>-2.1559270710709389E-2</v>
      </c>
      <c r="L260">
        <f t="shared" ref="L260:L323" ca="1" si="31">IF(B260&lt;K260,1,0)</f>
        <v>0</v>
      </c>
      <c r="M260" s="67">
        <f ca="1">'Monte Carlo Stimulation'!$I$9</f>
        <v>-2.919314405717207E-2</v>
      </c>
      <c r="N260">
        <f t="shared" ref="N260:N323" ca="1" si="32">IF(B260&lt;M260,1,0)</f>
        <v>0</v>
      </c>
    </row>
    <row r="261" spans="1:14">
      <c r="A261" s="12">
        <v>45728</v>
      </c>
      <c r="B261" s="14">
        <v>5.827886401778018E-3</v>
      </c>
      <c r="C261" s="67">
        <f>'Parametric VAR'!$F$12</f>
        <v>-2.023068247926026E-2</v>
      </c>
      <c r="D261">
        <f t="shared" si="27"/>
        <v>0</v>
      </c>
      <c r="E261" s="67">
        <f>'Parametric VAR'!$F$13</f>
        <v>-2.8682193012943492E-2</v>
      </c>
      <c r="F261">
        <f t="shared" si="28"/>
        <v>0</v>
      </c>
      <c r="G261" s="67">
        <f>'Historical VAR'!$G$6</f>
        <v>-1.9839729167757107E-2</v>
      </c>
      <c r="H261">
        <f t="shared" si="29"/>
        <v>0</v>
      </c>
      <c r="I261" s="67">
        <f>'Historical VAR'!$G$7</f>
        <v>-3.1428916759065853E-2</v>
      </c>
      <c r="J261">
        <f t="shared" si="30"/>
        <v>0</v>
      </c>
      <c r="K261" s="67">
        <f ca="1">'Monte Carlo Stimulation'!$I$8</f>
        <v>-2.1559270710709389E-2</v>
      </c>
      <c r="L261">
        <f t="shared" ca="1" si="31"/>
        <v>0</v>
      </c>
      <c r="M261" s="67">
        <f ca="1">'Monte Carlo Stimulation'!$I$9</f>
        <v>-2.919314405717207E-2</v>
      </c>
      <c r="N261">
        <f t="shared" ca="1" si="32"/>
        <v>0</v>
      </c>
    </row>
    <row r="262" spans="1:14">
      <c r="A262" s="12">
        <v>45727</v>
      </c>
      <c r="B262" s="14">
        <v>1.8679454523633145E-2</v>
      </c>
      <c r="C262" s="67">
        <f>'Parametric VAR'!$F$12</f>
        <v>-2.023068247926026E-2</v>
      </c>
      <c r="D262">
        <f t="shared" si="27"/>
        <v>0</v>
      </c>
      <c r="E262" s="67">
        <f>'Parametric VAR'!$F$13</f>
        <v>-2.8682193012943492E-2</v>
      </c>
      <c r="F262">
        <f t="shared" si="28"/>
        <v>0</v>
      </c>
      <c r="G262" s="67">
        <f>'Historical VAR'!$G$6</f>
        <v>-1.9839729167757107E-2</v>
      </c>
      <c r="H262">
        <f t="shared" si="29"/>
        <v>0</v>
      </c>
      <c r="I262" s="67">
        <f>'Historical VAR'!$G$7</f>
        <v>-3.1428916759065853E-2</v>
      </c>
      <c r="J262">
        <f t="shared" si="30"/>
        <v>0</v>
      </c>
      <c r="K262" s="67">
        <f ca="1">'Monte Carlo Stimulation'!$I$8</f>
        <v>-2.1559270710709389E-2</v>
      </c>
      <c r="L262">
        <f t="shared" ca="1" si="31"/>
        <v>0</v>
      </c>
      <c r="M262" s="67">
        <f ca="1">'Monte Carlo Stimulation'!$I$9</f>
        <v>-2.919314405717207E-2</v>
      </c>
      <c r="N262">
        <f t="shared" ca="1" si="32"/>
        <v>0</v>
      </c>
    </row>
    <row r="263" spans="1:14">
      <c r="A263" s="12">
        <v>45726</v>
      </c>
      <c r="B263" s="14">
        <v>4.5160730882079259E-4</v>
      </c>
      <c r="C263" s="67">
        <f>'Parametric VAR'!$F$12</f>
        <v>-2.023068247926026E-2</v>
      </c>
      <c r="D263">
        <f t="shared" si="27"/>
        <v>0</v>
      </c>
      <c r="E263" s="67">
        <f>'Parametric VAR'!$F$13</f>
        <v>-2.8682193012943492E-2</v>
      </c>
      <c r="F263">
        <f t="shared" si="28"/>
        <v>0</v>
      </c>
      <c r="G263" s="67">
        <f>'Historical VAR'!$G$6</f>
        <v>-1.9839729167757107E-2</v>
      </c>
      <c r="H263">
        <f t="shared" si="29"/>
        <v>0</v>
      </c>
      <c r="I263" s="67">
        <f>'Historical VAR'!$G$7</f>
        <v>-3.1428916759065853E-2</v>
      </c>
      <c r="J263">
        <f t="shared" si="30"/>
        <v>0</v>
      </c>
      <c r="K263" s="67">
        <f ca="1">'Monte Carlo Stimulation'!$I$8</f>
        <v>-2.1559270710709389E-2</v>
      </c>
      <c r="L263">
        <f t="shared" ca="1" si="31"/>
        <v>0</v>
      </c>
      <c r="M263" s="67">
        <f ca="1">'Monte Carlo Stimulation'!$I$9</f>
        <v>-2.919314405717207E-2</v>
      </c>
      <c r="N263">
        <f t="shared" ca="1" si="32"/>
        <v>0</v>
      </c>
    </row>
    <row r="264" spans="1:14">
      <c r="A264" s="12">
        <v>45723</v>
      </c>
      <c r="B264" s="14">
        <v>4.9497933555506311E-4</v>
      </c>
      <c r="C264" s="67">
        <f>'Parametric VAR'!$F$12</f>
        <v>-2.023068247926026E-2</v>
      </c>
      <c r="D264">
        <f t="shared" si="27"/>
        <v>0</v>
      </c>
      <c r="E264" s="67">
        <f>'Parametric VAR'!$F$13</f>
        <v>-2.8682193012943492E-2</v>
      </c>
      <c r="F264">
        <f t="shared" si="28"/>
        <v>0</v>
      </c>
      <c r="G264" s="67">
        <f>'Historical VAR'!$G$6</f>
        <v>-1.9839729167757107E-2</v>
      </c>
      <c r="H264">
        <f t="shared" si="29"/>
        <v>0</v>
      </c>
      <c r="I264" s="67">
        <f>'Historical VAR'!$G$7</f>
        <v>-3.1428916759065853E-2</v>
      </c>
      <c r="J264">
        <f t="shared" si="30"/>
        <v>0</v>
      </c>
      <c r="K264" s="67">
        <f ca="1">'Monte Carlo Stimulation'!$I$8</f>
        <v>-2.1559270710709389E-2</v>
      </c>
      <c r="L264">
        <f t="shared" ca="1" si="31"/>
        <v>0</v>
      </c>
      <c r="M264" s="67">
        <f ca="1">'Monte Carlo Stimulation'!$I$9</f>
        <v>-2.919314405717207E-2</v>
      </c>
      <c r="N264">
        <f t="shared" ca="1" si="32"/>
        <v>0</v>
      </c>
    </row>
    <row r="265" spans="1:14">
      <c r="A265" s="12">
        <v>45722</v>
      </c>
      <c r="B265" s="14">
        <v>-4.6958183044477656E-3</v>
      </c>
      <c r="C265" s="67">
        <f>'Parametric VAR'!$F$12</f>
        <v>-2.023068247926026E-2</v>
      </c>
      <c r="D265">
        <f t="shared" si="27"/>
        <v>0</v>
      </c>
      <c r="E265" s="67">
        <f>'Parametric VAR'!$F$13</f>
        <v>-2.8682193012943492E-2</v>
      </c>
      <c r="F265">
        <f t="shared" si="28"/>
        <v>0</v>
      </c>
      <c r="G265" s="67">
        <f>'Historical VAR'!$G$6</f>
        <v>-1.9839729167757107E-2</v>
      </c>
      <c r="H265">
        <f t="shared" si="29"/>
        <v>0</v>
      </c>
      <c r="I265" s="67">
        <f>'Historical VAR'!$G$7</f>
        <v>-3.1428916759065853E-2</v>
      </c>
      <c r="J265">
        <f t="shared" si="30"/>
        <v>0</v>
      </c>
      <c r="K265" s="67">
        <f ca="1">'Monte Carlo Stimulation'!$I$8</f>
        <v>-2.1559270710709389E-2</v>
      </c>
      <c r="L265">
        <f t="shared" ca="1" si="31"/>
        <v>0</v>
      </c>
      <c r="M265" s="67">
        <f ca="1">'Monte Carlo Stimulation'!$I$9</f>
        <v>-2.919314405717207E-2</v>
      </c>
      <c r="N265">
        <f t="shared" ca="1" si="32"/>
        <v>0</v>
      </c>
    </row>
    <row r="266" spans="1:14">
      <c r="A266" s="12">
        <v>45721</v>
      </c>
      <c r="B266" s="14">
        <v>-4.1727909629586585E-2</v>
      </c>
      <c r="C266" s="67">
        <f>'Parametric VAR'!$F$12</f>
        <v>-2.023068247926026E-2</v>
      </c>
      <c r="D266">
        <f t="shared" si="27"/>
        <v>1</v>
      </c>
      <c r="E266" s="67">
        <f>'Parametric VAR'!$F$13</f>
        <v>-2.8682193012943492E-2</v>
      </c>
      <c r="F266">
        <f t="shared" si="28"/>
        <v>1</v>
      </c>
      <c r="G266" s="67">
        <f>'Historical VAR'!$G$6</f>
        <v>-1.9839729167757107E-2</v>
      </c>
      <c r="H266">
        <f t="shared" si="29"/>
        <v>1</v>
      </c>
      <c r="I266" s="67">
        <f>'Historical VAR'!$G$7</f>
        <v>-3.1428916759065853E-2</v>
      </c>
      <c r="J266">
        <f t="shared" si="30"/>
        <v>1</v>
      </c>
      <c r="K266" s="67">
        <f ca="1">'Monte Carlo Stimulation'!$I$8</f>
        <v>-2.1559270710709389E-2</v>
      </c>
      <c r="L266">
        <f t="shared" ca="1" si="31"/>
        <v>1</v>
      </c>
      <c r="M266" s="67">
        <f ca="1">'Monte Carlo Stimulation'!$I$9</f>
        <v>-2.919314405717207E-2</v>
      </c>
      <c r="N266">
        <f t="shared" ca="1" si="32"/>
        <v>1</v>
      </c>
    </row>
    <row r="267" spans="1:14">
      <c r="A267" s="12">
        <v>45720</v>
      </c>
      <c r="B267" s="14">
        <v>-1.3502474018776927E-2</v>
      </c>
      <c r="C267" s="67">
        <f>'Parametric VAR'!$F$12</f>
        <v>-2.023068247926026E-2</v>
      </c>
      <c r="D267">
        <f t="shared" si="27"/>
        <v>0</v>
      </c>
      <c r="E267" s="67">
        <f>'Parametric VAR'!$F$13</f>
        <v>-2.8682193012943492E-2</v>
      </c>
      <c r="F267">
        <f t="shared" si="28"/>
        <v>0</v>
      </c>
      <c r="G267" s="67">
        <f>'Historical VAR'!$G$6</f>
        <v>-1.9839729167757107E-2</v>
      </c>
      <c r="H267">
        <f t="shared" si="29"/>
        <v>0</v>
      </c>
      <c r="I267" s="67">
        <f>'Historical VAR'!$G$7</f>
        <v>-3.1428916759065853E-2</v>
      </c>
      <c r="J267">
        <f t="shared" si="30"/>
        <v>0</v>
      </c>
      <c r="K267" s="67">
        <f ca="1">'Monte Carlo Stimulation'!$I$8</f>
        <v>-2.1559270710709389E-2</v>
      </c>
      <c r="L267">
        <f t="shared" ca="1" si="31"/>
        <v>0</v>
      </c>
      <c r="M267" s="67">
        <f ca="1">'Monte Carlo Stimulation'!$I$9</f>
        <v>-2.919314405717207E-2</v>
      </c>
      <c r="N267">
        <f t="shared" ca="1" si="32"/>
        <v>0</v>
      </c>
    </row>
    <row r="268" spans="1:14">
      <c r="A268" s="12">
        <v>45719</v>
      </c>
      <c r="B268" s="14">
        <v>1.2984266362775602E-2</v>
      </c>
      <c r="C268" s="67">
        <f>'Parametric VAR'!$F$12</f>
        <v>-2.023068247926026E-2</v>
      </c>
      <c r="D268">
        <f t="shared" si="27"/>
        <v>0</v>
      </c>
      <c r="E268" s="67">
        <f>'Parametric VAR'!$F$13</f>
        <v>-2.8682193012943492E-2</v>
      </c>
      <c r="F268">
        <f t="shared" si="28"/>
        <v>0</v>
      </c>
      <c r="G268" s="67">
        <f>'Historical VAR'!$G$6</f>
        <v>-1.9839729167757107E-2</v>
      </c>
      <c r="H268">
        <f t="shared" si="29"/>
        <v>0</v>
      </c>
      <c r="I268" s="67">
        <f>'Historical VAR'!$G$7</f>
        <v>-3.1428916759065853E-2</v>
      </c>
      <c r="J268">
        <f t="shared" si="30"/>
        <v>0</v>
      </c>
      <c r="K268" s="67">
        <f ca="1">'Monte Carlo Stimulation'!$I$8</f>
        <v>-2.1559270710709389E-2</v>
      </c>
      <c r="L268">
        <f t="shared" ca="1" si="31"/>
        <v>0</v>
      </c>
      <c r="M268" s="67">
        <f ca="1">'Monte Carlo Stimulation'!$I$9</f>
        <v>-2.919314405717207E-2</v>
      </c>
      <c r="N268">
        <f t="shared" ca="1" si="32"/>
        <v>0</v>
      </c>
    </row>
    <row r="269" spans="1:14">
      <c r="A269" s="12">
        <v>45716</v>
      </c>
      <c r="B269" s="14">
        <v>6.0580466997193329E-3</v>
      </c>
      <c r="C269" s="67">
        <f>'Parametric VAR'!$F$12</f>
        <v>-2.023068247926026E-2</v>
      </c>
      <c r="D269">
        <f t="shared" si="27"/>
        <v>0</v>
      </c>
      <c r="E269" s="67">
        <f>'Parametric VAR'!$F$13</f>
        <v>-2.8682193012943492E-2</v>
      </c>
      <c r="F269">
        <f t="shared" si="28"/>
        <v>0</v>
      </c>
      <c r="G269" s="67">
        <f>'Historical VAR'!$G$6</f>
        <v>-1.9839729167757107E-2</v>
      </c>
      <c r="H269">
        <f t="shared" si="29"/>
        <v>0</v>
      </c>
      <c r="I269" s="67">
        <f>'Historical VAR'!$G$7</f>
        <v>-3.1428916759065853E-2</v>
      </c>
      <c r="J269">
        <f t="shared" si="30"/>
        <v>0</v>
      </c>
      <c r="K269" s="67">
        <f ca="1">'Monte Carlo Stimulation'!$I$8</f>
        <v>-2.1559270710709389E-2</v>
      </c>
      <c r="L269">
        <f t="shared" ca="1" si="31"/>
        <v>0</v>
      </c>
      <c r="M269" s="67">
        <f ca="1">'Monte Carlo Stimulation'!$I$9</f>
        <v>-2.919314405717207E-2</v>
      </c>
      <c r="N269">
        <f t="shared" ca="1" si="32"/>
        <v>0</v>
      </c>
    </row>
    <row r="270" spans="1:14">
      <c r="A270" s="12">
        <v>45715</v>
      </c>
      <c r="B270" s="14">
        <v>2.0054535566235404E-2</v>
      </c>
      <c r="C270" s="67">
        <f>'Parametric VAR'!$F$12</f>
        <v>-2.023068247926026E-2</v>
      </c>
      <c r="D270">
        <f t="shared" si="27"/>
        <v>0</v>
      </c>
      <c r="E270" s="67">
        <f>'Parametric VAR'!$F$13</f>
        <v>-2.8682193012943492E-2</v>
      </c>
      <c r="F270">
        <f t="shared" si="28"/>
        <v>0</v>
      </c>
      <c r="G270" s="67">
        <f>'Historical VAR'!$G$6</f>
        <v>-1.9839729167757107E-2</v>
      </c>
      <c r="H270">
        <f t="shared" si="29"/>
        <v>0</v>
      </c>
      <c r="I270" s="67">
        <f>'Historical VAR'!$G$7</f>
        <v>-3.1428916759065853E-2</v>
      </c>
      <c r="J270">
        <f t="shared" si="30"/>
        <v>0</v>
      </c>
      <c r="K270" s="67">
        <f ca="1">'Monte Carlo Stimulation'!$I$8</f>
        <v>-2.1559270710709389E-2</v>
      </c>
      <c r="L270">
        <f t="shared" ca="1" si="31"/>
        <v>0</v>
      </c>
      <c r="M270" s="67">
        <f ca="1">'Monte Carlo Stimulation'!$I$9</f>
        <v>-2.919314405717207E-2</v>
      </c>
      <c r="N270">
        <f t="shared" ca="1" si="32"/>
        <v>0</v>
      </c>
    </row>
    <row r="271" spans="1:14">
      <c r="A271" s="12">
        <v>45713</v>
      </c>
      <c r="B271" s="14">
        <v>3.5976332731426195E-3</v>
      </c>
      <c r="C271" s="67">
        <f>'Parametric VAR'!$F$12</f>
        <v>-2.023068247926026E-2</v>
      </c>
      <c r="D271">
        <f t="shared" si="27"/>
        <v>0</v>
      </c>
      <c r="E271" s="67">
        <f>'Parametric VAR'!$F$13</f>
        <v>-2.8682193012943492E-2</v>
      </c>
      <c r="F271">
        <f t="shared" si="28"/>
        <v>0</v>
      </c>
      <c r="G271" s="67">
        <f>'Historical VAR'!$G$6</f>
        <v>-1.9839729167757107E-2</v>
      </c>
      <c r="H271">
        <f t="shared" si="29"/>
        <v>0</v>
      </c>
      <c r="I271" s="67">
        <f>'Historical VAR'!$G$7</f>
        <v>-3.1428916759065853E-2</v>
      </c>
      <c r="J271">
        <f t="shared" si="30"/>
        <v>0</v>
      </c>
      <c r="K271" s="67">
        <f ca="1">'Monte Carlo Stimulation'!$I$8</f>
        <v>-2.1559270710709389E-2</v>
      </c>
      <c r="L271">
        <f t="shared" ca="1" si="31"/>
        <v>0</v>
      </c>
      <c r="M271" s="67">
        <f ca="1">'Monte Carlo Stimulation'!$I$9</f>
        <v>-2.919314405717207E-2</v>
      </c>
      <c r="N271">
        <f t="shared" ca="1" si="32"/>
        <v>0</v>
      </c>
    </row>
    <row r="272" spans="1:14">
      <c r="A272" s="12">
        <v>45712</v>
      </c>
      <c r="B272" s="14">
        <v>7.9253027647799706E-3</v>
      </c>
      <c r="C272" s="67">
        <f>'Parametric VAR'!$F$12</f>
        <v>-2.023068247926026E-2</v>
      </c>
      <c r="D272">
        <f t="shared" si="27"/>
        <v>0</v>
      </c>
      <c r="E272" s="67">
        <f>'Parametric VAR'!$F$13</f>
        <v>-2.8682193012943492E-2</v>
      </c>
      <c r="F272">
        <f t="shared" si="28"/>
        <v>0</v>
      </c>
      <c r="G272" s="67">
        <f>'Historical VAR'!$G$6</f>
        <v>-1.9839729167757107E-2</v>
      </c>
      <c r="H272">
        <f t="shared" si="29"/>
        <v>0</v>
      </c>
      <c r="I272" s="67">
        <f>'Historical VAR'!$G$7</f>
        <v>-3.1428916759065853E-2</v>
      </c>
      <c r="J272">
        <f t="shared" si="30"/>
        <v>0</v>
      </c>
      <c r="K272" s="67">
        <f ca="1">'Monte Carlo Stimulation'!$I$8</f>
        <v>-2.1559270710709389E-2</v>
      </c>
      <c r="L272">
        <f t="shared" ca="1" si="31"/>
        <v>0</v>
      </c>
      <c r="M272" s="67">
        <f ca="1">'Monte Carlo Stimulation'!$I$9</f>
        <v>-2.919314405717207E-2</v>
      </c>
      <c r="N272">
        <f t="shared" ca="1" si="32"/>
        <v>0</v>
      </c>
    </row>
    <row r="273" spans="1:14">
      <c r="A273" s="12">
        <v>45709</v>
      </c>
      <c r="B273" s="14">
        <v>6.7820957352505312E-4</v>
      </c>
      <c r="C273" s="67">
        <f>'Parametric VAR'!$F$12</f>
        <v>-2.023068247926026E-2</v>
      </c>
      <c r="D273">
        <f t="shared" si="27"/>
        <v>0</v>
      </c>
      <c r="E273" s="67">
        <f>'Parametric VAR'!$F$13</f>
        <v>-2.8682193012943492E-2</v>
      </c>
      <c r="F273">
        <f t="shared" si="28"/>
        <v>0</v>
      </c>
      <c r="G273" s="67">
        <f>'Historical VAR'!$G$6</f>
        <v>-1.9839729167757107E-2</v>
      </c>
      <c r="H273">
        <f t="shared" si="29"/>
        <v>0</v>
      </c>
      <c r="I273" s="67">
        <f>'Historical VAR'!$G$7</f>
        <v>-3.1428916759065853E-2</v>
      </c>
      <c r="J273">
        <f t="shared" si="30"/>
        <v>0</v>
      </c>
      <c r="K273" s="67">
        <f ca="1">'Monte Carlo Stimulation'!$I$8</f>
        <v>-2.1559270710709389E-2</v>
      </c>
      <c r="L273">
        <f t="shared" ca="1" si="31"/>
        <v>0</v>
      </c>
      <c r="M273" s="67">
        <f ca="1">'Monte Carlo Stimulation'!$I$9</f>
        <v>-2.919314405717207E-2</v>
      </c>
      <c r="N273">
        <f t="shared" ca="1" si="32"/>
        <v>0</v>
      </c>
    </row>
    <row r="274" spans="1:14">
      <c r="A274" s="12">
        <v>45708</v>
      </c>
      <c r="B274" s="14">
        <v>-3.3574033146730395E-3</v>
      </c>
      <c r="C274" s="67">
        <f>'Parametric VAR'!$F$12</f>
        <v>-2.023068247926026E-2</v>
      </c>
      <c r="D274">
        <f t="shared" si="27"/>
        <v>0</v>
      </c>
      <c r="E274" s="67">
        <f>'Parametric VAR'!$F$13</f>
        <v>-2.8682193012943492E-2</v>
      </c>
      <c r="F274">
        <f t="shared" si="28"/>
        <v>0</v>
      </c>
      <c r="G274" s="67">
        <f>'Historical VAR'!$G$6</f>
        <v>-1.9839729167757107E-2</v>
      </c>
      <c r="H274">
        <f t="shared" si="29"/>
        <v>0</v>
      </c>
      <c r="I274" s="67">
        <f>'Historical VAR'!$G$7</f>
        <v>-3.1428916759065853E-2</v>
      </c>
      <c r="J274">
        <f t="shared" si="30"/>
        <v>0</v>
      </c>
      <c r="K274" s="67">
        <f ca="1">'Monte Carlo Stimulation'!$I$8</f>
        <v>-2.1559270710709389E-2</v>
      </c>
      <c r="L274">
        <f t="shared" ca="1" si="31"/>
        <v>0</v>
      </c>
      <c r="M274" s="67">
        <f ca="1">'Monte Carlo Stimulation'!$I$9</f>
        <v>-2.919314405717207E-2</v>
      </c>
      <c r="N274">
        <f t="shared" ca="1" si="32"/>
        <v>0</v>
      </c>
    </row>
    <row r="275" spans="1:14">
      <c r="A275" s="12">
        <v>45707</v>
      </c>
      <c r="B275" s="14">
        <v>-5.3097469068038279E-3</v>
      </c>
      <c r="C275" s="67">
        <f>'Parametric VAR'!$F$12</f>
        <v>-2.023068247926026E-2</v>
      </c>
      <c r="D275">
        <f t="shared" si="27"/>
        <v>0</v>
      </c>
      <c r="E275" s="67">
        <f>'Parametric VAR'!$F$13</f>
        <v>-2.8682193012943492E-2</v>
      </c>
      <c r="F275">
        <f t="shared" si="28"/>
        <v>0</v>
      </c>
      <c r="G275" s="67">
        <f>'Historical VAR'!$G$6</f>
        <v>-1.9839729167757107E-2</v>
      </c>
      <c r="H275">
        <f t="shared" si="29"/>
        <v>0</v>
      </c>
      <c r="I275" s="67">
        <f>'Historical VAR'!$G$7</f>
        <v>-3.1428916759065853E-2</v>
      </c>
      <c r="J275">
        <f t="shared" si="30"/>
        <v>0</v>
      </c>
      <c r="K275" s="67">
        <f ca="1">'Monte Carlo Stimulation'!$I$8</f>
        <v>-2.1559270710709389E-2</v>
      </c>
      <c r="L275">
        <f t="shared" ca="1" si="31"/>
        <v>0</v>
      </c>
      <c r="M275" s="67">
        <f ca="1">'Monte Carlo Stimulation'!$I$9</f>
        <v>-2.919314405717207E-2</v>
      </c>
      <c r="N275">
        <f t="shared" ca="1" si="32"/>
        <v>0</v>
      </c>
    </row>
    <row r="276" spans="1:14">
      <c r="A276" s="12">
        <v>45706</v>
      </c>
      <c r="B276" s="14">
        <v>1.9648373694400366E-4</v>
      </c>
      <c r="C276" s="67">
        <f>'Parametric VAR'!$F$12</f>
        <v>-2.023068247926026E-2</v>
      </c>
      <c r="D276">
        <f t="shared" si="27"/>
        <v>0</v>
      </c>
      <c r="E276" s="67">
        <f>'Parametric VAR'!$F$13</f>
        <v>-2.8682193012943492E-2</v>
      </c>
      <c r="F276">
        <f t="shared" si="28"/>
        <v>0</v>
      </c>
      <c r="G276" s="67">
        <f>'Historical VAR'!$G$6</f>
        <v>-1.9839729167757107E-2</v>
      </c>
      <c r="H276">
        <f t="shared" si="29"/>
        <v>0</v>
      </c>
      <c r="I276" s="67">
        <f>'Historical VAR'!$G$7</f>
        <v>-3.1428916759065853E-2</v>
      </c>
      <c r="J276">
        <f t="shared" si="30"/>
        <v>0</v>
      </c>
      <c r="K276" s="67">
        <f ca="1">'Monte Carlo Stimulation'!$I$8</f>
        <v>-2.1559270710709389E-2</v>
      </c>
      <c r="L276">
        <f t="shared" ca="1" si="31"/>
        <v>0</v>
      </c>
      <c r="M276" s="67">
        <f ca="1">'Monte Carlo Stimulation'!$I$9</f>
        <v>-2.919314405717207E-2</v>
      </c>
      <c r="N276">
        <f t="shared" ca="1" si="32"/>
        <v>0</v>
      </c>
    </row>
    <row r="277" spans="1:14">
      <c r="A277" s="12">
        <v>45705</v>
      </c>
      <c r="B277" s="14">
        <v>2.2941482487417899E-3</v>
      </c>
      <c r="C277" s="67">
        <f>'Parametric VAR'!$F$12</f>
        <v>-2.023068247926026E-2</v>
      </c>
      <c r="D277">
        <f t="shared" si="27"/>
        <v>0</v>
      </c>
      <c r="E277" s="67">
        <f>'Parametric VAR'!$F$13</f>
        <v>-2.8682193012943492E-2</v>
      </c>
      <c r="F277">
        <f t="shared" si="28"/>
        <v>0</v>
      </c>
      <c r="G277" s="67">
        <f>'Historical VAR'!$G$6</f>
        <v>-1.9839729167757107E-2</v>
      </c>
      <c r="H277">
        <f t="shared" si="29"/>
        <v>0</v>
      </c>
      <c r="I277" s="67">
        <f>'Historical VAR'!$G$7</f>
        <v>-3.1428916759065853E-2</v>
      </c>
      <c r="J277">
        <f t="shared" si="30"/>
        <v>0</v>
      </c>
      <c r="K277" s="67">
        <f ca="1">'Monte Carlo Stimulation'!$I$8</f>
        <v>-2.1559270710709389E-2</v>
      </c>
      <c r="L277">
        <f t="shared" ca="1" si="31"/>
        <v>0</v>
      </c>
      <c r="M277" s="67">
        <f ca="1">'Monte Carlo Stimulation'!$I$9</f>
        <v>-2.919314405717207E-2</v>
      </c>
      <c r="N277">
        <f t="shared" ca="1" si="32"/>
        <v>0</v>
      </c>
    </row>
    <row r="278" spans="1:14">
      <c r="A278" s="12">
        <v>45702</v>
      </c>
      <c r="B278" s="14">
        <v>-8.5440732662585266E-3</v>
      </c>
      <c r="C278" s="67">
        <f>'Parametric VAR'!$F$12</f>
        <v>-2.023068247926026E-2</v>
      </c>
      <c r="D278">
        <f t="shared" si="27"/>
        <v>0</v>
      </c>
      <c r="E278" s="67">
        <f>'Parametric VAR'!$F$13</f>
        <v>-2.8682193012943492E-2</v>
      </c>
      <c r="F278">
        <f t="shared" si="28"/>
        <v>0</v>
      </c>
      <c r="G278" s="67">
        <f>'Historical VAR'!$G$6</f>
        <v>-1.9839729167757107E-2</v>
      </c>
      <c r="H278">
        <f t="shared" si="29"/>
        <v>0</v>
      </c>
      <c r="I278" s="67">
        <f>'Historical VAR'!$G$7</f>
        <v>-3.1428916759065853E-2</v>
      </c>
      <c r="J278">
        <f t="shared" si="30"/>
        <v>0</v>
      </c>
      <c r="K278" s="67">
        <f ca="1">'Monte Carlo Stimulation'!$I$8</f>
        <v>-2.1559270710709389E-2</v>
      </c>
      <c r="L278">
        <f t="shared" ca="1" si="31"/>
        <v>0</v>
      </c>
      <c r="M278" s="67">
        <f ca="1">'Monte Carlo Stimulation'!$I$9</f>
        <v>-2.919314405717207E-2</v>
      </c>
      <c r="N278">
        <f t="shared" ca="1" si="32"/>
        <v>0</v>
      </c>
    </row>
    <row r="279" spans="1:14">
      <c r="A279" s="12">
        <v>45701</v>
      </c>
      <c r="B279" s="14">
        <v>5.9446198614835945E-3</v>
      </c>
      <c r="C279" s="67">
        <f>'Parametric VAR'!$F$12</f>
        <v>-2.023068247926026E-2</v>
      </c>
      <c r="D279">
        <f t="shared" si="27"/>
        <v>0</v>
      </c>
      <c r="E279" s="67">
        <f>'Parametric VAR'!$F$13</f>
        <v>-2.8682193012943492E-2</v>
      </c>
      <c r="F279">
        <f t="shared" si="28"/>
        <v>0</v>
      </c>
      <c r="G279" s="67">
        <f>'Historical VAR'!$G$6</f>
        <v>-1.9839729167757107E-2</v>
      </c>
      <c r="H279">
        <f t="shared" si="29"/>
        <v>0</v>
      </c>
      <c r="I279" s="67">
        <f>'Historical VAR'!$G$7</f>
        <v>-3.1428916759065853E-2</v>
      </c>
      <c r="J279">
        <f t="shared" si="30"/>
        <v>0</v>
      </c>
      <c r="K279" s="67">
        <f ca="1">'Monte Carlo Stimulation'!$I$8</f>
        <v>-2.1559270710709389E-2</v>
      </c>
      <c r="L279">
        <f t="shared" ca="1" si="31"/>
        <v>0</v>
      </c>
      <c r="M279" s="67">
        <f ca="1">'Monte Carlo Stimulation'!$I$9</f>
        <v>-2.919314405717207E-2</v>
      </c>
      <c r="N279">
        <f t="shared" ca="1" si="32"/>
        <v>0</v>
      </c>
    </row>
    <row r="280" spans="1:14">
      <c r="A280" s="12">
        <v>45700</v>
      </c>
      <c r="B280" s="14">
        <v>-9.6448830301519117E-4</v>
      </c>
      <c r="C280" s="67">
        <f>'Parametric VAR'!$F$12</f>
        <v>-2.023068247926026E-2</v>
      </c>
      <c r="D280">
        <f t="shared" si="27"/>
        <v>0</v>
      </c>
      <c r="E280" s="67">
        <f>'Parametric VAR'!$F$13</f>
        <v>-2.8682193012943492E-2</v>
      </c>
      <c r="F280">
        <f t="shared" si="28"/>
        <v>0</v>
      </c>
      <c r="G280" s="67">
        <f>'Historical VAR'!$G$6</f>
        <v>-1.9839729167757107E-2</v>
      </c>
      <c r="H280">
        <f t="shared" si="29"/>
        <v>0</v>
      </c>
      <c r="I280" s="67">
        <f>'Historical VAR'!$G$7</f>
        <v>-3.1428916759065853E-2</v>
      </c>
      <c r="J280">
        <f t="shared" si="30"/>
        <v>0</v>
      </c>
      <c r="K280" s="67">
        <f ca="1">'Monte Carlo Stimulation'!$I$8</f>
        <v>-2.1559270710709389E-2</v>
      </c>
      <c r="L280">
        <f t="shared" ca="1" si="31"/>
        <v>0</v>
      </c>
      <c r="M280" s="67">
        <f ca="1">'Monte Carlo Stimulation'!$I$9</f>
        <v>-2.919314405717207E-2</v>
      </c>
      <c r="N280">
        <f t="shared" ca="1" si="32"/>
        <v>0</v>
      </c>
    </row>
    <row r="281" spans="1:14">
      <c r="A281" s="12">
        <v>45699</v>
      </c>
      <c r="B281" s="14">
        <v>2.4780902637934303E-3</v>
      </c>
      <c r="C281" s="67">
        <f>'Parametric VAR'!$F$12</f>
        <v>-2.023068247926026E-2</v>
      </c>
      <c r="D281">
        <f t="shared" si="27"/>
        <v>0</v>
      </c>
      <c r="E281" s="67">
        <f>'Parametric VAR'!$F$13</f>
        <v>-2.8682193012943492E-2</v>
      </c>
      <c r="F281">
        <f t="shared" si="28"/>
        <v>0</v>
      </c>
      <c r="G281" s="67">
        <f>'Historical VAR'!$G$6</f>
        <v>-1.9839729167757107E-2</v>
      </c>
      <c r="H281">
        <f t="shared" si="29"/>
        <v>0</v>
      </c>
      <c r="I281" s="67">
        <f>'Historical VAR'!$G$7</f>
        <v>-3.1428916759065853E-2</v>
      </c>
      <c r="J281">
        <f t="shared" si="30"/>
        <v>0</v>
      </c>
      <c r="K281" s="67">
        <f ca="1">'Monte Carlo Stimulation'!$I$8</f>
        <v>-2.1559270710709389E-2</v>
      </c>
      <c r="L281">
        <f t="shared" ca="1" si="31"/>
        <v>0</v>
      </c>
      <c r="M281" s="67">
        <f ca="1">'Monte Carlo Stimulation'!$I$9</f>
        <v>-2.919314405717207E-2</v>
      </c>
      <c r="N281">
        <f t="shared" ca="1" si="32"/>
        <v>0</v>
      </c>
    </row>
    <row r="282" spans="1:14">
      <c r="A282" s="12">
        <v>45698</v>
      </c>
      <c r="B282" s="14">
        <v>1.6774957171378502E-2</v>
      </c>
      <c r="C282" s="67">
        <f>'Parametric VAR'!$F$12</f>
        <v>-2.023068247926026E-2</v>
      </c>
      <c r="D282">
        <f t="shared" si="27"/>
        <v>0</v>
      </c>
      <c r="E282" s="67">
        <f>'Parametric VAR'!$F$13</f>
        <v>-2.8682193012943492E-2</v>
      </c>
      <c r="F282">
        <f t="shared" si="28"/>
        <v>0</v>
      </c>
      <c r="G282" s="67">
        <f>'Historical VAR'!$G$6</f>
        <v>-1.9839729167757107E-2</v>
      </c>
      <c r="H282">
        <f t="shared" si="29"/>
        <v>0</v>
      </c>
      <c r="I282" s="67">
        <f>'Historical VAR'!$G$7</f>
        <v>-3.1428916759065853E-2</v>
      </c>
      <c r="J282">
        <f t="shared" si="30"/>
        <v>0</v>
      </c>
      <c r="K282" s="67">
        <f ca="1">'Monte Carlo Stimulation'!$I$8</f>
        <v>-2.1559270710709389E-2</v>
      </c>
      <c r="L282">
        <f t="shared" ca="1" si="31"/>
        <v>0</v>
      </c>
      <c r="M282" s="67">
        <f ca="1">'Monte Carlo Stimulation'!$I$9</f>
        <v>-2.919314405717207E-2</v>
      </c>
      <c r="N282">
        <f t="shared" ca="1" si="32"/>
        <v>0</v>
      </c>
    </row>
    <row r="283" spans="1:14">
      <c r="A283" s="12">
        <v>45695</v>
      </c>
      <c r="B283" s="14">
        <v>-1.3686448937074753E-4</v>
      </c>
      <c r="C283" s="67">
        <f>'Parametric VAR'!$F$12</f>
        <v>-2.023068247926026E-2</v>
      </c>
      <c r="D283">
        <f t="shared" si="27"/>
        <v>0</v>
      </c>
      <c r="E283" s="67">
        <f>'Parametric VAR'!$F$13</f>
        <v>-2.8682193012943492E-2</v>
      </c>
      <c r="F283">
        <f t="shared" si="28"/>
        <v>0</v>
      </c>
      <c r="G283" s="67">
        <f>'Historical VAR'!$G$6</f>
        <v>-1.9839729167757107E-2</v>
      </c>
      <c r="H283">
        <f t="shared" si="29"/>
        <v>0</v>
      </c>
      <c r="I283" s="67">
        <f>'Historical VAR'!$G$7</f>
        <v>-3.1428916759065853E-2</v>
      </c>
      <c r="J283">
        <f t="shared" si="30"/>
        <v>0</v>
      </c>
      <c r="K283" s="67">
        <f ca="1">'Monte Carlo Stimulation'!$I$8</f>
        <v>-2.1559270710709389E-2</v>
      </c>
      <c r="L283">
        <f t="shared" ca="1" si="31"/>
        <v>0</v>
      </c>
      <c r="M283" s="67">
        <f ca="1">'Monte Carlo Stimulation'!$I$9</f>
        <v>-2.919314405717207E-2</v>
      </c>
      <c r="N283">
        <f t="shared" ca="1" si="32"/>
        <v>0</v>
      </c>
    </row>
    <row r="284" spans="1:14">
      <c r="A284" s="12">
        <v>45694</v>
      </c>
      <c r="B284" s="14">
        <v>-2.1997478199076753E-3</v>
      </c>
      <c r="C284" s="67">
        <f>'Parametric VAR'!$F$12</f>
        <v>-2.023068247926026E-2</v>
      </c>
      <c r="D284">
        <f t="shared" si="27"/>
        <v>0</v>
      </c>
      <c r="E284" s="67">
        <f>'Parametric VAR'!$F$13</f>
        <v>-2.8682193012943492E-2</v>
      </c>
      <c r="F284">
        <f t="shared" si="28"/>
        <v>0</v>
      </c>
      <c r="G284" s="67">
        <f>'Historical VAR'!$G$6</f>
        <v>-1.9839729167757107E-2</v>
      </c>
      <c r="H284">
        <f t="shared" si="29"/>
        <v>0</v>
      </c>
      <c r="I284" s="67">
        <f>'Historical VAR'!$G$7</f>
        <v>-3.1428916759065853E-2</v>
      </c>
      <c r="J284">
        <f t="shared" si="30"/>
        <v>0</v>
      </c>
      <c r="K284" s="67">
        <f ca="1">'Monte Carlo Stimulation'!$I$8</f>
        <v>-2.1559270710709389E-2</v>
      </c>
      <c r="L284">
        <f t="shared" ca="1" si="31"/>
        <v>0</v>
      </c>
      <c r="M284" s="67">
        <f ca="1">'Monte Carlo Stimulation'!$I$9</f>
        <v>-2.919314405717207E-2</v>
      </c>
      <c r="N284">
        <f t="shared" ca="1" si="32"/>
        <v>0</v>
      </c>
    </row>
    <row r="285" spans="1:14">
      <c r="A285" s="12">
        <v>45693</v>
      </c>
      <c r="B285" s="14">
        <v>4.2967342706231515E-3</v>
      </c>
      <c r="C285" s="67">
        <f>'Parametric VAR'!$F$12</f>
        <v>-2.023068247926026E-2</v>
      </c>
      <c r="D285">
        <f t="shared" si="27"/>
        <v>0</v>
      </c>
      <c r="E285" s="67">
        <f>'Parametric VAR'!$F$13</f>
        <v>-2.8682193012943492E-2</v>
      </c>
      <c r="F285">
        <f t="shared" si="28"/>
        <v>0</v>
      </c>
      <c r="G285" s="67">
        <f>'Historical VAR'!$G$6</f>
        <v>-1.9839729167757107E-2</v>
      </c>
      <c r="H285">
        <f t="shared" si="29"/>
        <v>0</v>
      </c>
      <c r="I285" s="67">
        <f>'Historical VAR'!$G$7</f>
        <v>-3.1428916759065853E-2</v>
      </c>
      <c r="J285">
        <f t="shared" si="30"/>
        <v>0</v>
      </c>
      <c r="K285" s="67">
        <f ca="1">'Monte Carlo Stimulation'!$I$8</f>
        <v>-2.1559270710709389E-2</v>
      </c>
      <c r="L285">
        <f t="shared" ca="1" si="31"/>
        <v>0</v>
      </c>
      <c r="M285" s="67">
        <f ca="1">'Monte Carlo Stimulation'!$I$9</f>
        <v>-2.919314405717207E-2</v>
      </c>
      <c r="N285">
        <f t="shared" ca="1" si="32"/>
        <v>0</v>
      </c>
    </row>
    <row r="286" spans="1:14">
      <c r="A286" s="12">
        <v>45692</v>
      </c>
      <c r="B286" s="14">
        <v>2.9283770396186983E-2</v>
      </c>
      <c r="C286" s="67">
        <f>'Parametric VAR'!$F$12</f>
        <v>-2.023068247926026E-2</v>
      </c>
      <c r="D286">
        <f t="shared" si="27"/>
        <v>0</v>
      </c>
      <c r="E286" s="67">
        <f>'Parametric VAR'!$F$13</f>
        <v>-2.8682193012943492E-2</v>
      </c>
      <c r="F286">
        <f t="shared" si="28"/>
        <v>0</v>
      </c>
      <c r="G286" s="67">
        <f>'Historical VAR'!$G$6</f>
        <v>-1.9839729167757107E-2</v>
      </c>
      <c r="H286">
        <f t="shared" si="29"/>
        <v>0</v>
      </c>
      <c r="I286" s="67">
        <f>'Historical VAR'!$G$7</f>
        <v>-3.1428916759065853E-2</v>
      </c>
      <c r="J286">
        <f t="shared" si="30"/>
        <v>0</v>
      </c>
      <c r="K286" s="67">
        <f ca="1">'Monte Carlo Stimulation'!$I$8</f>
        <v>-2.1559270710709389E-2</v>
      </c>
      <c r="L286">
        <f t="shared" ca="1" si="31"/>
        <v>0</v>
      </c>
      <c r="M286" s="67">
        <f ca="1">'Monte Carlo Stimulation'!$I$9</f>
        <v>-2.919314405717207E-2</v>
      </c>
      <c r="N286">
        <f t="shared" ca="1" si="32"/>
        <v>0</v>
      </c>
    </row>
    <row r="287" spans="1:14">
      <c r="A287" s="12">
        <v>45691</v>
      </c>
      <c r="B287" s="14">
        <v>-2.0688215450406191E-2</v>
      </c>
      <c r="C287" s="67">
        <f>'Parametric VAR'!$F$12</f>
        <v>-2.023068247926026E-2</v>
      </c>
      <c r="D287">
        <f t="shared" si="27"/>
        <v>1</v>
      </c>
      <c r="E287" s="67">
        <f>'Parametric VAR'!$F$13</f>
        <v>-2.8682193012943492E-2</v>
      </c>
      <c r="F287">
        <f t="shared" si="28"/>
        <v>0</v>
      </c>
      <c r="G287" s="67">
        <f>'Historical VAR'!$G$6</f>
        <v>-1.9839729167757107E-2</v>
      </c>
      <c r="H287">
        <f t="shared" si="29"/>
        <v>1</v>
      </c>
      <c r="I287" s="67">
        <f>'Historical VAR'!$G$7</f>
        <v>-3.1428916759065853E-2</v>
      </c>
      <c r="J287">
        <f t="shared" si="30"/>
        <v>0</v>
      </c>
      <c r="K287" s="67">
        <f ca="1">'Monte Carlo Stimulation'!$I$8</f>
        <v>-2.1559270710709389E-2</v>
      </c>
      <c r="L287">
        <f t="shared" ca="1" si="31"/>
        <v>0</v>
      </c>
      <c r="M287" s="67">
        <f ca="1">'Monte Carlo Stimulation'!$I$9</f>
        <v>-2.919314405717207E-2</v>
      </c>
      <c r="N287">
        <f t="shared" ca="1" si="32"/>
        <v>0</v>
      </c>
    </row>
    <row r="288" spans="1:14">
      <c r="A288" s="12">
        <v>45689</v>
      </c>
      <c r="B288" s="14">
        <v>1.9454989707087061E-2</v>
      </c>
      <c r="C288" s="67">
        <f>'Parametric VAR'!$F$12</f>
        <v>-2.023068247926026E-2</v>
      </c>
      <c r="D288">
        <f t="shared" si="27"/>
        <v>0</v>
      </c>
      <c r="E288" s="67">
        <f>'Parametric VAR'!$F$13</f>
        <v>-2.8682193012943492E-2</v>
      </c>
      <c r="F288">
        <f t="shared" si="28"/>
        <v>0</v>
      </c>
      <c r="G288" s="67">
        <f>'Historical VAR'!$G$6</f>
        <v>-1.9839729167757107E-2</v>
      </c>
      <c r="H288">
        <f t="shared" si="29"/>
        <v>0</v>
      </c>
      <c r="I288" s="67">
        <f>'Historical VAR'!$G$7</f>
        <v>-3.1428916759065853E-2</v>
      </c>
      <c r="J288">
        <f t="shared" si="30"/>
        <v>0</v>
      </c>
      <c r="K288" s="67">
        <f ca="1">'Monte Carlo Stimulation'!$I$8</f>
        <v>-2.1559270710709389E-2</v>
      </c>
      <c r="L288">
        <f t="shared" ca="1" si="31"/>
        <v>0</v>
      </c>
      <c r="M288" s="67">
        <f ca="1">'Monte Carlo Stimulation'!$I$9</f>
        <v>-2.919314405717207E-2</v>
      </c>
      <c r="N288">
        <f t="shared" ca="1" si="32"/>
        <v>0</v>
      </c>
    </row>
    <row r="289" spans="1:14">
      <c r="A289" s="12">
        <v>45688</v>
      </c>
      <c r="B289" s="14">
        <v>-2.3890847662228244E-2</v>
      </c>
      <c r="C289" s="67">
        <f>'Parametric VAR'!$F$12</f>
        <v>-2.023068247926026E-2</v>
      </c>
      <c r="D289">
        <f t="shared" si="27"/>
        <v>1</v>
      </c>
      <c r="E289" s="67">
        <f>'Parametric VAR'!$F$13</f>
        <v>-2.8682193012943492E-2</v>
      </c>
      <c r="F289">
        <f t="shared" si="28"/>
        <v>0</v>
      </c>
      <c r="G289" s="67">
        <f>'Historical VAR'!$G$6</f>
        <v>-1.9839729167757107E-2</v>
      </c>
      <c r="H289">
        <f t="shared" si="29"/>
        <v>1</v>
      </c>
      <c r="I289" s="67">
        <f>'Historical VAR'!$G$7</f>
        <v>-3.1428916759065853E-2</v>
      </c>
      <c r="J289">
        <f t="shared" si="30"/>
        <v>0</v>
      </c>
      <c r="K289" s="67">
        <f ca="1">'Monte Carlo Stimulation'!$I$8</f>
        <v>-2.1559270710709389E-2</v>
      </c>
      <c r="L289">
        <f t="shared" ca="1" si="31"/>
        <v>1</v>
      </c>
      <c r="M289" s="67">
        <f ca="1">'Monte Carlo Stimulation'!$I$9</f>
        <v>-2.919314405717207E-2</v>
      </c>
      <c r="N289">
        <f t="shared" ca="1" si="32"/>
        <v>0</v>
      </c>
    </row>
    <row r="290" spans="1:14">
      <c r="A290" s="12">
        <v>45687</v>
      </c>
      <c r="B290" s="14">
        <v>-1.5024594033133148E-2</v>
      </c>
      <c r="C290" s="67">
        <f>'Parametric VAR'!$F$12</f>
        <v>-2.023068247926026E-2</v>
      </c>
      <c r="D290">
        <f t="shared" si="27"/>
        <v>0</v>
      </c>
      <c r="E290" s="67">
        <f>'Parametric VAR'!$F$13</f>
        <v>-2.8682193012943492E-2</v>
      </c>
      <c r="F290">
        <f t="shared" si="28"/>
        <v>0</v>
      </c>
      <c r="G290" s="67">
        <f>'Historical VAR'!$G$6</f>
        <v>-1.9839729167757107E-2</v>
      </c>
      <c r="H290">
        <f t="shared" si="29"/>
        <v>0</v>
      </c>
      <c r="I290" s="67">
        <f>'Historical VAR'!$G$7</f>
        <v>-3.1428916759065853E-2</v>
      </c>
      <c r="J290">
        <f t="shared" si="30"/>
        <v>0</v>
      </c>
      <c r="K290" s="67">
        <f ca="1">'Monte Carlo Stimulation'!$I$8</f>
        <v>-2.1559270710709389E-2</v>
      </c>
      <c r="L290">
        <f t="shared" ca="1" si="31"/>
        <v>0</v>
      </c>
      <c r="M290" s="67">
        <f ca="1">'Monte Carlo Stimulation'!$I$9</f>
        <v>-2.919314405717207E-2</v>
      </c>
      <c r="N290">
        <f t="shared" ca="1" si="32"/>
        <v>0</v>
      </c>
    </row>
    <row r="291" spans="1:14">
      <c r="A291" s="12">
        <v>45686</v>
      </c>
      <c r="B291" s="14">
        <v>-1.6241209760150303E-2</v>
      </c>
      <c r="C291" s="67">
        <f>'Parametric VAR'!$F$12</f>
        <v>-2.023068247926026E-2</v>
      </c>
      <c r="D291">
        <f t="shared" si="27"/>
        <v>0</v>
      </c>
      <c r="E291" s="67">
        <f>'Parametric VAR'!$F$13</f>
        <v>-2.8682193012943492E-2</v>
      </c>
      <c r="F291">
        <f t="shared" si="28"/>
        <v>0</v>
      </c>
      <c r="G291" s="67">
        <f>'Historical VAR'!$G$6</f>
        <v>-1.9839729167757107E-2</v>
      </c>
      <c r="H291">
        <f t="shared" si="29"/>
        <v>0</v>
      </c>
      <c r="I291" s="67">
        <f>'Historical VAR'!$G$7</f>
        <v>-3.1428916759065853E-2</v>
      </c>
      <c r="J291">
        <f t="shared" si="30"/>
        <v>0</v>
      </c>
      <c r="K291" s="67">
        <f ca="1">'Monte Carlo Stimulation'!$I$8</f>
        <v>-2.1559270710709389E-2</v>
      </c>
      <c r="L291">
        <f t="shared" ca="1" si="31"/>
        <v>0</v>
      </c>
      <c r="M291" s="67">
        <f ca="1">'Monte Carlo Stimulation'!$I$9</f>
        <v>-2.919314405717207E-2</v>
      </c>
      <c r="N291">
        <f t="shared" ca="1" si="32"/>
        <v>0</v>
      </c>
    </row>
    <row r="292" spans="1:14">
      <c r="A292" s="12">
        <v>45685</v>
      </c>
      <c r="B292" s="14">
        <v>9.108187617205759E-3</v>
      </c>
      <c r="C292" s="67">
        <f>'Parametric VAR'!$F$12</f>
        <v>-2.023068247926026E-2</v>
      </c>
      <c r="D292">
        <f t="shared" si="27"/>
        <v>0</v>
      </c>
      <c r="E292" s="67">
        <f>'Parametric VAR'!$F$13</f>
        <v>-2.8682193012943492E-2</v>
      </c>
      <c r="F292">
        <f t="shared" si="28"/>
        <v>0</v>
      </c>
      <c r="G292" s="67">
        <f>'Historical VAR'!$G$6</f>
        <v>-1.9839729167757107E-2</v>
      </c>
      <c r="H292">
        <f t="shared" si="29"/>
        <v>0</v>
      </c>
      <c r="I292" s="67">
        <f>'Historical VAR'!$G$7</f>
        <v>-3.1428916759065853E-2</v>
      </c>
      <c r="J292">
        <f t="shared" si="30"/>
        <v>0</v>
      </c>
      <c r="K292" s="67">
        <f ca="1">'Monte Carlo Stimulation'!$I$8</f>
        <v>-2.1559270710709389E-2</v>
      </c>
      <c r="L292">
        <f t="shared" ca="1" si="31"/>
        <v>0</v>
      </c>
      <c r="M292" s="67">
        <f ca="1">'Monte Carlo Stimulation'!$I$9</f>
        <v>-2.919314405717207E-2</v>
      </c>
      <c r="N292">
        <f t="shared" ca="1" si="32"/>
        <v>0</v>
      </c>
    </row>
    <row r="293" spans="1:14">
      <c r="A293" s="12">
        <v>45684</v>
      </c>
      <c r="B293" s="14">
        <v>9.0342017273429137E-3</v>
      </c>
      <c r="C293" s="67">
        <f>'Parametric VAR'!$F$12</f>
        <v>-2.023068247926026E-2</v>
      </c>
      <c r="D293">
        <f t="shared" si="27"/>
        <v>0</v>
      </c>
      <c r="E293" s="67">
        <f>'Parametric VAR'!$F$13</f>
        <v>-2.8682193012943492E-2</v>
      </c>
      <c r="F293">
        <f t="shared" si="28"/>
        <v>0</v>
      </c>
      <c r="G293" s="67">
        <f>'Historical VAR'!$G$6</f>
        <v>-1.9839729167757107E-2</v>
      </c>
      <c r="H293">
        <f t="shared" si="29"/>
        <v>0</v>
      </c>
      <c r="I293" s="67">
        <f>'Historical VAR'!$G$7</f>
        <v>-3.1428916759065853E-2</v>
      </c>
      <c r="J293">
        <f t="shared" si="30"/>
        <v>0</v>
      </c>
      <c r="K293" s="67">
        <f ca="1">'Monte Carlo Stimulation'!$I$8</f>
        <v>-2.1559270710709389E-2</v>
      </c>
      <c r="L293">
        <f t="shared" ca="1" si="31"/>
        <v>0</v>
      </c>
      <c r="M293" s="67">
        <f ca="1">'Monte Carlo Stimulation'!$I$9</f>
        <v>-2.919314405717207E-2</v>
      </c>
      <c r="N293">
        <f t="shared" ca="1" si="32"/>
        <v>0</v>
      </c>
    </row>
    <row r="294" spans="1:14">
      <c r="A294" s="12">
        <v>45681</v>
      </c>
      <c r="B294" s="14">
        <v>5.7741681263204772E-3</v>
      </c>
      <c r="C294" s="67">
        <f>'Parametric VAR'!$F$12</f>
        <v>-2.023068247926026E-2</v>
      </c>
      <c r="D294">
        <f t="shared" si="27"/>
        <v>0</v>
      </c>
      <c r="E294" s="67">
        <f>'Parametric VAR'!$F$13</f>
        <v>-2.8682193012943492E-2</v>
      </c>
      <c r="F294">
        <f t="shared" si="28"/>
        <v>0</v>
      </c>
      <c r="G294" s="67">
        <f>'Historical VAR'!$G$6</f>
        <v>-1.9839729167757107E-2</v>
      </c>
      <c r="H294">
        <f t="shared" si="29"/>
        <v>0</v>
      </c>
      <c r="I294" s="67">
        <f>'Historical VAR'!$G$7</f>
        <v>-3.1428916759065853E-2</v>
      </c>
      <c r="J294">
        <f t="shared" si="30"/>
        <v>0</v>
      </c>
      <c r="K294" s="67">
        <f ca="1">'Monte Carlo Stimulation'!$I$8</f>
        <v>-2.1559270710709389E-2</v>
      </c>
      <c r="L294">
        <f t="shared" ca="1" si="31"/>
        <v>0</v>
      </c>
      <c r="M294" s="67">
        <f ca="1">'Monte Carlo Stimulation'!$I$9</f>
        <v>-2.919314405717207E-2</v>
      </c>
      <c r="N294">
        <f t="shared" ca="1" si="32"/>
        <v>0</v>
      </c>
    </row>
    <row r="295" spans="1:14">
      <c r="A295" s="12">
        <v>45680</v>
      </c>
      <c r="B295" s="14">
        <v>3.7392308030460061E-3</v>
      </c>
      <c r="C295" s="67">
        <f>'Parametric VAR'!$F$12</f>
        <v>-2.023068247926026E-2</v>
      </c>
      <c r="D295">
        <f t="shared" si="27"/>
        <v>0</v>
      </c>
      <c r="E295" s="67">
        <f>'Parametric VAR'!$F$13</f>
        <v>-2.8682193012943492E-2</v>
      </c>
      <c r="F295">
        <f t="shared" si="28"/>
        <v>0</v>
      </c>
      <c r="G295" s="67">
        <f>'Historical VAR'!$G$6</f>
        <v>-1.9839729167757107E-2</v>
      </c>
      <c r="H295">
        <f t="shared" si="29"/>
        <v>0</v>
      </c>
      <c r="I295" s="67">
        <f>'Historical VAR'!$G$7</f>
        <v>-3.1428916759065853E-2</v>
      </c>
      <c r="J295">
        <f t="shared" si="30"/>
        <v>0</v>
      </c>
      <c r="K295" s="67">
        <f ca="1">'Monte Carlo Stimulation'!$I$8</f>
        <v>-2.1559270710709389E-2</v>
      </c>
      <c r="L295">
        <f t="shared" ca="1" si="31"/>
        <v>0</v>
      </c>
      <c r="M295" s="67">
        <f ca="1">'Monte Carlo Stimulation'!$I$9</f>
        <v>-2.919314405717207E-2</v>
      </c>
      <c r="N295">
        <f t="shared" ca="1" si="32"/>
        <v>0</v>
      </c>
    </row>
    <row r="296" spans="1:14">
      <c r="A296" s="12">
        <v>45679</v>
      </c>
      <c r="B296" s="14">
        <v>-6.428158769653255E-3</v>
      </c>
      <c r="C296" s="67">
        <f>'Parametric VAR'!$F$12</f>
        <v>-2.023068247926026E-2</v>
      </c>
      <c r="D296">
        <f t="shared" si="27"/>
        <v>0</v>
      </c>
      <c r="E296" s="67">
        <f>'Parametric VAR'!$F$13</f>
        <v>-2.8682193012943492E-2</v>
      </c>
      <c r="F296">
        <f t="shared" si="28"/>
        <v>0</v>
      </c>
      <c r="G296" s="67">
        <f>'Historical VAR'!$G$6</f>
        <v>-1.9839729167757107E-2</v>
      </c>
      <c r="H296">
        <f t="shared" si="29"/>
        <v>0</v>
      </c>
      <c r="I296" s="67">
        <f>'Historical VAR'!$G$7</f>
        <v>-3.1428916759065853E-2</v>
      </c>
      <c r="J296">
        <f t="shared" si="30"/>
        <v>0</v>
      </c>
      <c r="K296" s="67">
        <f ca="1">'Monte Carlo Stimulation'!$I$8</f>
        <v>-2.1559270710709389E-2</v>
      </c>
      <c r="L296">
        <f t="shared" ca="1" si="31"/>
        <v>0</v>
      </c>
      <c r="M296" s="67">
        <f ca="1">'Monte Carlo Stimulation'!$I$9</f>
        <v>-2.919314405717207E-2</v>
      </c>
      <c r="N296">
        <f t="shared" ca="1" si="32"/>
        <v>0</v>
      </c>
    </row>
    <row r="297" spans="1:14">
      <c r="A297" s="12">
        <v>45678</v>
      </c>
      <c r="B297" s="14">
        <v>9.1422695614431701E-4</v>
      </c>
      <c r="C297" s="67">
        <f>'Parametric VAR'!$F$12</f>
        <v>-2.023068247926026E-2</v>
      </c>
      <c r="D297">
        <f t="shared" si="27"/>
        <v>0</v>
      </c>
      <c r="E297" s="67">
        <f>'Parametric VAR'!$F$13</f>
        <v>-2.8682193012943492E-2</v>
      </c>
      <c r="F297">
        <f t="shared" si="28"/>
        <v>0</v>
      </c>
      <c r="G297" s="67">
        <f>'Historical VAR'!$G$6</f>
        <v>-1.9839729167757107E-2</v>
      </c>
      <c r="H297">
        <f t="shared" si="29"/>
        <v>0</v>
      </c>
      <c r="I297" s="67">
        <f>'Historical VAR'!$G$7</f>
        <v>-3.1428916759065853E-2</v>
      </c>
      <c r="J297">
        <f t="shared" si="30"/>
        <v>0</v>
      </c>
      <c r="K297" s="67">
        <f ca="1">'Monte Carlo Stimulation'!$I$8</f>
        <v>-2.1559270710709389E-2</v>
      </c>
      <c r="L297">
        <f t="shared" ca="1" si="31"/>
        <v>0</v>
      </c>
      <c r="M297" s="67">
        <f ca="1">'Monte Carlo Stimulation'!$I$9</f>
        <v>-2.919314405717207E-2</v>
      </c>
      <c r="N297">
        <f t="shared" ca="1" si="32"/>
        <v>0</v>
      </c>
    </row>
    <row r="298" spans="1:14">
      <c r="A298" s="12">
        <v>45677</v>
      </c>
      <c r="B298" s="14">
        <v>4.2646451328262917E-3</v>
      </c>
      <c r="C298" s="67">
        <f>'Parametric VAR'!$F$12</f>
        <v>-2.023068247926026E-2</v>
      </c>
      <c r="D298">
        <f t="shared" si="27"/>
        <v>0</v>
      </c>
      <c r="E298" s="67">
        <f>'Parametric VAR'!$F$13</f>
        <v>-2.8682193012943492E-2</v>
      </c>
      <c r="F298">
        <f t="shared" si="28"/>
        <v>0</v>
      </c>
      <c r="G298" s="67">
        <f>'Historical VAR'!$G$6</f>
        <v>-1.9839729167757107E-2</v>
      </c>
      <c r="H298">
        <f t="shared" si="29"/>
        <v>0</v>
      </c>
      <c r="I298" s="67">
        <f>'Historical VAR'!$G$7</f>
        <v>-3.1428916759065853E-2</v>
      </c>
      <c r="J298">
        <f t="shared" si="30"/>
        <v>0</v>
      </c>
      <c r="K298" s="67">
        <f ca="1">'Monte Carlo Stimulation'!$I$8</f>
        <v>-2.1559270710709389E-2</v>
      </c>
      <c r="L298">
        <f t="shared" ca="1" si="31"/>
        <v>0</v>
      </c>
      <c r="M298" s="67">
        <f ca="1">'Monte Carlo Stimulation'!$I$9</f>
        <v>-2.919314405717207E-2</v>
      </c>
      <c r="N298">
        <f t="shared" ca="1" si="32"/>
        <v>0</v>
      </c>
    </row>
    <row r="299" spans="1:14">
      <c r="A299" s="12">
        <v>45674</v>
      </c>
      <c r="B299" s="14">
        <v>-6.3367130205486807E-3</v>
      </c>
      <c r="C299" s="67">
        <f>'Parametric VAR'!$F$12</f>
        <v>-2.023068247926026E-2</v>
      </c>
      <c r="D299">
        <f t="shared" si="27"/>
        <v>0</v>
      </c>
      <c r="E299" s="67">
        <f>'Parametric VAR'!$F$13</f>
        <v>-2.8682193012943492E-2</v>
      </c>
      <c r="F299">
        <f t="shared" si="28"/>
        <v>0</v>
      </c>
      <c r="G299" s="67">
        <f>'Historical VAR'!$G$6</f>
        <v>-1.9839729167757107E-2</v>
      </c>
      <c r="H299">
        <f t="shared" si="29"/>
        <v>0</v>
      </c>
      <c r="I299" s="67">
        <f>'Historical VAR'!$G$7</f>
        <v>-3.1428916759065853E-2</v>
      </c>
      <c r="J299">
        <f t="shared" si="30"/>
        <v>0</v>
      </c>
      <c r="K299" s="67">
        <f ca="1">'Monte Carlo Stimulation'!$I$8</f>
        <v>-2.1559270710709389E-2</v>
      </c>
      <c r="L299">
        <f t="shared" ca="1" si="31"/>
        <v>0</v>
      </c>
      <c r="M299" s="67">
        <f ca="1">'Monte Carlo Stimulation'!$I$9</f>
        <v>-2.919314405717207E-2</v>
      </c>
      <c r="N299">
        <f t="shared" ca="1" si="32"/>
        <v>0</v>
      </c>
    </row>
    <row r="300" spans="1:14">
      <c r="A300" s="12">
        <v>45673</v>
      </c>
      <c r="B300" s="14">
        <v>-1.7040106972642449E-2</v>
      </c>
      <c r="C300" s="67">
        <f>'Parametric VAR'!$F$12</f>
        <v>-2.023068247926026E-2</v>
      </c>
      <c r="D300">
        <f t="shared" si="27"/>
        <v>0</v>
      </c>
      <c r="E300" s="67">
        <f>'Parametric VAR'!$F$13</f>
        <v>-2.8682193012943492E-2</v>
      </c>
      <c r="F300">
        <f t="shared" si="28"/>
        <v>0</v>
      </c>
      <c r="G300" s="67">
        <f>'Historical VAR'!$G$6</f>
        <v>-1.9839729167757107E-2</v>
      </c>
      <c r="H300">
        <f t="shared" si="29"/>
        <v>0</v>
      </c>
      <c r="I300" s="67">
        <f>'Historical VAR'!$G$7</f>
        <v>-3.1428916759065853E-2</v>
      </c>
      <c r="J300">
        <f t="shared" si="30"/>
        <v>0</v>
      </c>
      <c r="K300" s="67">
        <f ca="1">'Monte Carlo Stimulation'!$I$8</f>
        <v>-2.1559270710709389E-2</v>
      </c>
      <c r="L300">
        <f t="shared" ca="1" si="31"/>
        <v>0</v>
      </c>
      <c r="M300" s="67">
        <f ca="1">'Monte Carlo Stimulation'!$I$9</f>
        <v>-2.919314405717207E-2</v>
      </c>
      <c r="N300">
        <f t="shared" ca="1" si="32"/>
        <v>0</v>
      </c>
    </row>
    <row r="301" spans="1:14">
      <c r="A301" s="12">
        <v>45672</v>
      </c>
      <c r="B301" s="14">
        <v>2.6900060989455696E-3</v>
      </c>
      <c r="C301" s="67">
        <f>'Parametric VAR'!$F$12</f>
        <v>-2.023068247926026E-2</v>
      </c>
      <c r="D301">
        <f t="shared" si="27"/>
        <v>0</v>
      </c>
      <c r="E301" s="67">
        <f>'Parametric VAR'!$F$13</f>
        <v>-2.8682193012943492E-2</v>
      </c>
      <c r="F301">
        <f t="shared" si="28"/>
        <v>0</v>
      </c>
      <c r="G301" s="67">
        <f>'Historical VAR'!$G$6</f>
        <v>-1.9839729167757107E-2</v>
      </c>
      <c r="H301">
        <f t="shared" si="29"/>
        <v>0</v>
      </c>
      <c r="I301" s="67">
        <f>'Historical VAR'!$G$7</f>
        <v>-3.1428916759065853E-2</v>
      </c>
      <c r="J301">
        <f t="shared" si="30"/>
        <v>0</v>
      </c>
      <c r="K301" s="67">
        <f ca="1">'Monte Carlo Stimulation'!$I$8</f>
        <v>-2.1559270710709389E-2</v>
      </c>
      <c r="L301">
        <f t="shared" ca="1" si="31"/>
        <v>0</v>
      </c>
      <c r="M301" s="67">
        <f ca="1">'Monte Carlo Stimulation'!$I$9</f>
        <v>-2.919314405717207E-2</v>
      </c>
      <c r="N301">
        <f t="shared" ca="1" si="32"/>
        <v>0</v>
      </c>
    </row>
    <row r="302" spans="1:14">
      <c r="A302" s="12">
        <v>45671</v>
      </c>
      <c r="B302" s="14">
        <v>3.5156582878532439E-3</v>
      </c>
      <c r="C302" s="67">
        <f>'Parametric VAR'!$F$12</f>
        <v>-2.023068247926026E-2</v>
      </c>
      <c r="D302">
        <f t="shared" si="27"/>
        <v>0</v>
      </c>
      <c r="E302" s="67">
        <f>'Parametric VAR'!$F$13</f>
        <v>-2.8682193012943492E-2</v>
      </c>
      <c r="F302">
        <f t="shared" si="28"/>
        <v>0</v>
      </c>
      <c r="G302" s="67">
        <f>'Historical VAR'!$G$6</f>
        <v>-1.9839729167757107E-2</v>
      </c>
      <c r="H302">
        <f t="shared" si="29"/>
        <v>0</v>
      </c>
      <c r="I302" s="67">
        <f>'Historical VAR'!$G$7</f>
        <v>-3.1428916759065853E-2</v>
      </c>
      <c r="J302">
        <f t="shared" si="30"/>
        <v>0</v>
      </c>
      <c r="K302" s="67">
        <f ca="1">'Monte Carlo Stimulation'!$I$8</f>
        <v>-2.1559270710709389E-2</v>
      </c>
      <c r="L302">
        <f t="shared" ca="1" si="31"/>
        <v>0</v>
      </c>
      <c r="M302" s="67">
        <f ca="1">'Monte Carlo Stimulation'!$I$9</f>
        <v>-2.919314405717207E-2</v>
      </c>
      <c r="N302">
        <f t="shared" ca="1" si="32"/>
        <v>0</v>
      </c>
    </row>
    <row r="303" spans="1:14">
      <c r="A303" s="12">
        <v>45670</v>
      </c>
      <c r="B303" s="14">
        <v>-2.129859176144773E-5</v>
      </c>
      <c r="C303" s="67">
        <f>'Parametric VAR'!$F$12</f>
        <v>-2.023068247926026E-2</v>
      </c>
      <c r="D303">
        <f t="shared" si="27"/>
        <v>0</v>
      </c>
      <c r="E303" s="67">
        <f>'Parametric VAR'!$F$13</f>
        <v>-2.8682193012943492E-2</v>
      </c>
      <c r="F303">
        <f t="shared" si="28"/>
        <v>0</v>
      </c>
      <c r="G303" s="67">
        <f>'Historical VAR'!$G$6</f>
        <v>-1.9839729167757107E-2</v>
      </c>
      <c r="H303">
        <f t="shared" si="29"/>
        <v>0</v>
      </c>
      <c r="I303" s="67">
        <f>'Historical VAR'!$G$7</f>
        <v>-3.1428916759065853E-2</v>
      </c>
      <c r="J303">
        <f t="shared" si="30"/>
        <v>0</v>
      </c>
      <c r="K303" s="67">
        <f ca="1">'Monte Carlo Stimulation'!$I$8</f>
        <v>-2.1559270710709389E-2</v>
      </c>
      <c r="L303">
        <f t="shared" ca="1" si="31"/>
        <v>0</v>
      </c>
      <c r="M303" s="67">
        <f ca="1">'Monte Carlo Stimulation'!$I$9</f>
        <v>-2.919314405717207E-2</v>
      </c>
      <c r="N303">
        <f t="shared" ca="1" si="32"/>
        <v>0</v>
      </c>
    </row>
    <row r="304" spans="1:14">
      <c r="A304" s="12">
        <v>45667</v>
      </c>
      <c r="B304" s="14">
        <v>2.7319823191588644E-2</v>
      </c>
      <c r="C304" s="67">
        <f>'Parametric VAR'!$F$12</f>
        <v>-2.023068247926026E-2</v>
      </c>
      <c r="D304">
        <f t="shared" si="27"/>
        <v>0</v>
      </c>
      <c r="E304" s="67">
        <f>'Parametric VAR'!$F$13</f>
        <v>-2.8682193012943492E-2</v>
      </c>
      <c r="F304">
        <f t="shared" si="28"/>
        <v>0</v>
      </c>
      <c r="G304" s="67">
        <f>'Historical VAR'!$G$6</f>
        <v>-1.9839729167757107E-2</v>
      </c>
      <c r="H304">
        <f t="shared" si="29"/>
        <v>0</v>
      </c>
      <c r="I304" s="67">
        <f>'Historical VAR'!$G$7</f>
        <v>-3.1428916759065853E-2</v>
      </c>
      <c r="J304">
        <f t="shared" si="30"/>
        <v>0</v>
      </c>
      <c r="K304" s="67">
        <f ca="1">'Monte Carlo Stimulation'!$I$8</f>
        <v>-2.1559270710709389E-2</v>
      </c>
      <c r="L304">
        <f t="shared" ca="1" si="31"/>
        <v>0</v>
      </c>
      <c r="M304" s="67">
        <f ca="1">'Monte Carlo Stimulation'!$I$9</f>
        <v>-2.919314405717207E-2</v>
      </c>
      <c r="N304">
        <f t="shared" ca="1" si="32"/>
        <v>0</v>
      </c>
    </row>
    <row r="305" spans="1:14">
      <c r="A305" s="12">
        <v>45666</v>
      </c>
      <c r="B305" s="14">
        <v>1.3127133711728252E-2</v>
      </c>
      <c r="C305" s="67">
        <f>'Parametric VAR'!$F$12</f>
        <v>-2.023068247926026E-2</v>
      </c>
      <c r="D305">
        <f t="shared" si="27"/>
        <v>0</v>
      </c>
      <c r="E305" s="67">
        <f>'Parametric VAR'!$F$13</f>
        <v>-2.8682193012943492E-2</v>
      </c>
      <c r="F305">
        <f t="shared" si="28"/>
        <v>0</v>
      </c>
      <c r="G305" s="67">
        <f>'Historical VAR'!$G$6</f>
        <v>-1.9839729167757107E-2</v>
      </c>
      <c r="H305">
        <f t="shared" si="29"/>
        <v>0</v>
      </c>
      <c r="I305" s="67">
        <f>'Historical VAR'!$G$7</f>
        <v>-3.1428916759065853E-2</v>
      </c>
      <c r="J305">
        <f t="shared" si="30"/>
        <v>0</v>
      </c>
      <c r="K305" s="67">
        <f ca="1">'Monte Carlo Stimulation'!$I$8</f>
        <v>-2.1559270710709389E-2</v>
      </c>
      <c r="L305">
        <f t="shared" ca="1" si="31"/>
        <v>0</v>
      </c>
      <c r="M305" s="67">
        <f ca="1">'Monte Carlo Stimulation'!$I$9</f>
        <v>-2.919314405717207E-2</v>
      </c>
      <c r="N305">
        <f t="shared" ca="1" si="32"/>
        <v>0</v>
      </c>
    </row>
    <row r="306" spans="1:14">
      <c r="A306" s="12">
        <v>45665</v>
      </c>
      <c r="B306" s="14">
        <v>-8.5157063105065593E-3</v>
      </c>
      <c r="C306" s="67">
        <f>'Parametric VAR'!$F$12</f>
        <v>-2.023068247926026E-2</v>
      </c>
      <c r="D306">
        <f t="shared" si="27"/>
        <v>0</v>
      </c>
      <c r="E306" s="67">
        <f>'Parametric VAR'!$F$13</f>
        <v>-2.8682193012943492E-2</v>
      </c>
      <c r="F306">
        <f t="shared" si="28"/>
        <v>0</v>
      </c>
      <c r="G306" s="67">
        <f>'Historical VAR'!$G$6</f>
        <v>-1.9839729167757107E-2</v>
      </c>
      <c r="H306">
        <f t="shared" si="29"/>
        <v>0</v>
      </c>
      <c r="I306" s="67">
        <f>'Historical VAR'!$G$7</f>
        <v>-3.1428916759065853E-2</v>
      </c>
      <c r="J306">
        <f t="shared" si="30"/>
        <v>0</v>
      </c>
      <c r="K306" s="67">
        <f ca="1">'Monte Carlo Stimulation'!$I$8</f>
        <v>-2.1559270710709389E-2</v>
      </c>
      <c r="L306">
        <f t="shared" ca="1" si="31"/>
        <v>0</v>
      </c>
      <c r="M306" s="67">
        <f ca="1">'Monte Carlo Stimulation'!$I$9</f>
        <v>-2.919314405717207E-2</v>
      </c>
      <c r="N306">
        <f t="shared" ca="1" si="32"/>
        <v>0</v>
      </c>
    </row>
    <row r="307" spans="1:14">
      <c r="A307" s="12">
        <v>45664</v>
      </c>
      <c r="B307" s="14">
        <v>-1.5862220737239301E-2</v>
      </c>
      <c r="C307" s="67">
        <f>'Parametric VAR'!$F$12</f>
        <v>-2.023068247926026E-2</v>
      </c>
      <c r="D307">
        <f t="shared" si="27"/>
        <v>0</v>
      </c>
      <c r="E307" s="67">
        <f>'Parametric VAR'!$F$13</f>
        <v>-2.8682193012943492E-2</v>
      </c>
      <c r="F307">
        <f t="shared" si="28"/>
        <v>0</v>
      </c>
      <c r="G307" s="67">
        <f>'Historical VAR'!$G$6</f>
        <v>-1.9839729167757107E-2</v>
      </c>
      <c r="H307">
        <f t="shared" si="29"/>
        <v>0</v>
      </c>
      <c r="I307" s="67">
        <f>'Historical VAR'!$G$7</f>
        <v>-3.1428916759065853E-2</v>
      </c>
      <c r="J307">
        <f t="shared" si="30"/>
        <v>0</v>
      </c>
      <c r="K307" s="67">
        <f ca="1">'Monte Carlo Stimulation'!$I$8</f>
        <v>-2.1559270710709389E-2</v>
      </c>
      <c r="L307">
        <f t="shared" ca="1" si="31"/>
        <v>0</v>
      </c>
      <c r="M307" s="67">
        <f ca="1">'Monte Carlo Stimulation'!$I$9</f>
        <v>-2.919314405717207E-2</v>
      </c>
      <c r="N307">
        <f t="shared" ca="1" si="32"/>
        <v>0</v>
      </c>
    </row>
    <row r="308" spans="1:14">
      <c r="A308" s="12">
        <v>45663</v>
      </c>
      <c r="B308" s="14">
        <v>-1.293377936765625E-2</v>
      </c>
      <c r="C308" s="67">
        <f>'Parametric VAR'!$F$12</f>
        <v>-2.023068247926026E-2</v>
      </c>
      <c r="D308">
        <f t="shared" si="27"/>
        <v>0</v>
      </c>
      <c r="E308" s="67">
        <f>'Parametric VAR'!$F$13</f>
        <v>-2.8682193012943492E-2</v>
      </c>
      <c r="F308">
        <f t="shared" si="28"/>
        <v>0</v>
      </c>
      <c r="G308" s="67">
        <f>'Historical VAR'!$G$6</f>
        <v>-1.9839729167757107E-2</v>
      </c>
      <c r="H308">
        <f t="shared" si="29"/>
        <v>0</v>
      </c>
      <c r="I308" s="67">
        <f>'Historical VAR'!$G$7</f>
        <v>-3.1428916759065853E-2</v>
      </c>
      <c r="J308">
        <f t="shared" si="30"/>
        <v>0</v>
      </c>
      <c r="K308" s="67">
        <f ca="1">'Monte Carlo Stimulation'!$I$8</f>
        <v>-2.1559270710709389E-2</v>
      </c>
      <c r="L308">
        <f t="shared" ca="1" si="31"/>
        <v>0</v>
      </c>
      <c r="M308" s="67">
        <f ca="1">'Monte Carlo Stimulation'!$I$9</f>
        <v>-2.919314405717207E-2</v>
      </c>
      <c r="N308">
        <f t="shared" ca="1" si="32"/>
        <v>0</v>
      </c>
    </row>
    <row r="309" spans="1:14">
      <c r="A309" s="12">
        <v>45660</v>
      </c>
      <c r="B309" s="14">
        <v>2.7955431825566708E-2</v>
      </c>
      <c r="C309" s="67">
        <f>'Parametric VAR'!$F$12</f>
        <v>-2.023068247926026E-2</v>
      </c>
      <c r="D309">
        <f t="shared" si="27"/>
        <v>0</v>
      </c>
      <c r="E309" s="67">
        <f>'Parametric VAR'!$F$13</f>
        <v>-2.8682193012943492E-2</v>
      </c>
      <c r="F309">
        <f t="shared" si="28"/>
        <v>0</v>
      </c>
      <c r="G309" s="67">
        <f>'Historical VAR'!$G$6</f>
        <v>-1.9839729167757107E-2</v>
      </c>
      <c r="H309">
        <f t="shared" si="29"/>
        <v>0</v>
      </c>
      <c r="I309" s="67">
        <f>'Historical VAR'!$G$7</f>
        <v>-3.1428916759065853E-2</v>
      </c>
      <c r="J309">
        <f t="shared" si="30"/>
        <v>0</v>
      </c>
      <c r="K309" s="67">
        <f ca="1">'Monte Carlo Stimulation'!$I$8</f>
        <v>-2.1559270710709389E-2</v>
      </c>
      <c r="L309">
        <f t="shared" ca="1" si="31"/>
        <v>0</v>
      </c>
      <c r="M309" s="67">
        <f ca="1">'Monte Carlo Stimulation'!$I$9</f>
        <v>-2.919314405717207E-2</v>
      </c>
      <c r="N309">
        <f t="shared" ca="1" si="32"/>
        <v>0</v>
      </c>
    </row>
    <row r="310" spans="1:14">
      <c r="A310" s="12">
        <v>45659</v>
      </c>
      <c r="B310" s="14">
        <v>2.9591196735884763E-3</v>
      </c>
      <c r="C310" s="67">
        <f>'Parametric VAR'!$F$12</f>
        <v>-2.023068247926026E-2</v>
      </c>
      <c r="D310">
        <f t="shared" si="27"/>
        <v>0</v>
      </c>
      <c r="E310" s="67">
        <f>'Parametric VAR'!$F$13</f>
        <v>-2.8682193012943492E-2</v>
      </c>
      <c r="F310">
        <f t="shared" si="28"/>
        <v>0</v>
      </c>
      <c r="G310" s="67">
        <f>'Historical VAR'!$G$6</f>
        <v>-1.9839729167757107E-2</v>
      </c>
      <c r="H310">
        <f t="shared" si="29"/>
        <v>0</v>
      </c>
      <c r="I310" s="67">
        <f>'Historical VAR'!$G$7</f>
        <v>-3.1428916759065853E-2</v>
      </c>
      <c r="J310">
        <f t="shared" si="30"/>
        <v>0</v>
      </c>
      <c r="K310" s="67">
        <f ca="1">'Monte Carlo Stimulation'!$I$8</f>
        <v>-2.1559270710709389E-2</v>
      </c>
      <c r="L310">
        <f t="shared" ca="1" si="31"/>
        <v>0</v>
      </c>
      <c r="M310" s="67">
        <f ca="1">'Monte Carlo Stimulation'!$I$9</f>
        <v>-2.919314405717207E-2</v>
      </c>
      <c r="N310">
        <f t="shared" ca="1" si="32"/>
        <v>0</v>
      </c>
    </row>
    <row r="311" spans="1:14">
      <c r="A311" s="12">
        <v>45658</v>
      </c>
      <c r="B311" s="14">
        <v>-1.1139897867921234E-2</v>
      </c>
      <c r="C311" s="67">
        <f>'Parametric VAR'!$F$12</f>
        <v>-2.023068247926026E-2</v>
      </c>
      <c r="D311">
        <f t="shared" si="27"/>
        <v>0</v>
      </c>
      <c r="E311" s="67">
        <f>'Parametric VAR'!$F$13</f>
        <v>-2.8682193012943492E-2</v>
      </c>
      <c r="F311">
        <f t="shared" si="28"/>
        <v>0</v>
      </c>
      <c r="G311" s="67">
        <f>'Historical VAR'!$G$6</f>
        <v>-1.9839729167757107E-2</v>
      </c>
      <c r="H311">
        <f t="shared" si="29"/>
        <v>0</v>
      </c>
      <c r="I311" s="67">
        <f>'Historical VAR'!$G$7</f>
        <v>-3.1428916759065853E-2</v>
      </c>
      <c r="J311">
        <f t="shared" si="30"/>
        <v>0</v>
      </c>
      <c r="K311" s="67">
        <f ca="1">'Monte Carlo Stimulation'!$I$8</f>
        <v>-2.1559270710709389E-2</v>
      </c>
      <c r="L311">
        <f t="shared" ca="1" si="31"/>
        <v>0</v>
      </c>
      <c r="M311" s="67">
        <f ca="1">'Monte Carlo Stimulation'!$I$9</f>
        <v>-2.919314405717207E-2</v>
      </c>
      <c r="N311">
        <f t="shared" ca="1" si="32"/>
        <v>0</v>
      </c>
    </row>
    <row r="312" spans="1:14">
      <c r="A312" s="12">
        <v>45657</v>
      </c>
      <c r="B312" s="14">
        <v>-1.0103145575702055E-2</v>
      </c>
      <c r="C312" s="67">
        <f>'Parametric VAR'!$F$12</f>
        <v>-2.023068247926026E-2</v>
      </c>
      <c r="D312">
        <f t="shared" si="27"/>
        <v>0</v>
      </c>
      <c r="E312" s="67">
        <f>'Parametric VAR'!$F$13</f>
        <v>-2.8682193012943492E-2</v>
      </c>
      <c r="F312">
        <f t="shared" si="28"/>
        <v>0</v>
      </c>
      <c r="G312" s="67">
        <f>'Historical VAR'!$G$6</f>
        <v>-1.9839729167757107E-2</v>
      </c>
      <c r="H312">
        <f t="shared" si="29"/>
        <v>0</v>
      </c>
      <c r="I312" s="67">
        <f>'Historical VAR'!$G$7</f>
        <v>-3.1428916759065853E-2</v>
      </c>
      <c r="J312">
        <f t="shared" si="30"/>
        <v>0</v>
      </c>
      <c r="K312" s="67">
        <f ca="1">'Monte Carlo Stimulation'!$I$8</f>
        <v>-2.1559270710709389E-2</v>
      </c>
      <c r="L312">
        <f t="shared" ca="1" si="31"/>
        <v>0</v>
      </c>
      <c r="M312" s="67">
        <f ca="1">'Monte Carlo Stimulation'!$I$9</f>
        <v>-2.919314405717207E-2</v>
      </c>
      <c r="N312">
        <f t="shared" ca="1" si="32"/>
        <v>0</v>
      </c>
    </row>
    <row r="313" spans="1:14">
      <c r="A313" s="12">
        <v>45656</v>
      </c>
      <c r="B313" s="14">
        <v>-1.7541972006844295E-3</v>
      </c>
      <c r="C313" s="67">
        <f>'Parametric VAR'!$F$12</f>
        <v>-2.023068247926026E-2</v>
      </c>
      <c r="D313">
        <f t="shared" si="27"/>
        <v>0</v>
      </c>
      <c r="E313" s="67">
        <f>'Parametric VAR'!$F$13</f>
        <v>-2.8682193012943492E-2</v>
      </c>
      <c r="F313">
        <f t="shared" si="28"/>
        <v>0</v>
      </c>
      <c r="G313" s="67">
        <f>'Historical VAR'!$G$6</f>
        <v>-1.9839729167757107E-2</v>
      </c>
      <c r="H313">
        <f t="shared" si="29"/>
        <v>0</v>
      </c>
      <c r="I313" s="67">
        <f>'Historical VAR'!$G$7</f>
        <v>-3.1428916759065853E-2</v>
      </c>
      <c r="J313">
        <f t="shared" si="30"/>
        <v>0</v>
      </c>
      <c r="K313" s="67">
        <f ca="1">'Monte Carlo Stimulation'!$I$8</f>
        <v>-2.1559270710709389E-2</v>
      </c>
      <c r="L313">
        <f t="shared" ca="1" si="31"/>
        <v>0</v>
      </c>
      <c r="M313" s="67">
        <f ca="1">'Monte Carlo Stimulation'!$I$9</f>
        <v>-2.919314405717207E-2</v>
      </c>
      <c r="N313">
        <f t="shared" ca="1" si="32"/>
        <v>0</v>
      </c>
    </row>
    <row r="314" spans="1:14">
      <c r="A314" s="12">
        <v>45653</v>
      </c>
      <c r="B314" s="14">
        <v>-7.5321176927302331E-3</v>
      </c>
      <c r="C314" s="67">
        <f>'Parametric VAR'!$F$12</f>
        <v>-2.023068247926026E-2</v>
      </c>
      <c r="D314">
        <f t="shared" si="27"/>
        <v>0</v>
      </c>
      <c r="E314" s="67">
        <f>'Parametric VAR'!$F$13</f>
        <v>-2.8682193012943492E-2</v>
      </c>
      <c r="F314">
        <f t="shared" si="28"/>
        <v>0</v>
      </c>
      <c r="G314" s="67">
        <f>'Historical VAR'!$G$6</f>
        <v>-1.9839729167757107E-2</v>
      </c>
      <c r="H314">
        <f t="shared" si="29"/>
        <v>0</v>
      </c>
      <c r="I314" s="67">
        <f>'Historical VAR'!$G$7</f>
        <v>-3.1428916759065853E-2</v>
      </c>
      <c r="J314">
        <f t="shared" si="30"/>
        <v>0</v>
      </c>
      <c r="K314" s="67">
        <f ca="1">'Monte Carlo Stimulation'!$I$8</f>
        <v>-2.1559270710709389E-2</v>
      </c>
      <c r="L314">
        <f t="shared" ca="1" si="31"/>
        <v>0</v>
      </c>
      <c r="M314" s="67">
        <f ca="1">'Monte Carlo Stimulation'!$I$9</f>
        <v>-2.919314405717207E-2</v>
      </c>
      <c r="N314">
        <f t="shared" ca="1" si="32"/>
        <v>0</v>
      </c>
    </row>
    <row r="315" spans="1:14">
      <c r="A315" s="12">
        <v>45652</v>
      </c>
      <c r="B315" s="14">
        <v>-2.5967387791365724E-3</v>
      </c>
      <c r="C315" s="67">
        <f>'Parametric VAR'!$F$12</f>
        <v>-2.023068247926026E-2</v>
      </c>
      <c r="D315">
        <f t="shared" si="27"/>
        <v>0</v>
      </c>
      <c r="E315" s="67">
        <f>'Parametric VAR'!$F$13</f>
        <v>-2.8682193012943492E-2</v>
      </c>
      <c r="F315">
        <f t="shared" si="28"/>
        <v>0</v>
      </c>
      <c r="G315" s="67">
        <f>'Historical VAR'!$G$6</f>
        <v>-1.9839729167757107E-2</v>
      </c>
      <c r="H315">
        <f t="shared" si="29"/>
        <v>0</v>
      </c>
      <c r="I315" s="67">
        <f>'Historical VAR'!$G$7</f>
        <v>-3.1428916759065853E-2</v>
      </c>
      <c r="J315">
        <f t="shared" si="30"/>
        <v>0</v>
      </c>
      <c r="K315" s="67">
        <f ca="1">'Monte Carlo Stimulation'!$I$8</f>
        <v>-2.1559270710709389E-2</v>
      </c>
      <c r="L315">
        <f t="shared" ca="1" si="31"/>
        <v>0</v>
      </c>
      <c r="M315" s="67">
        <f ca="1">'Monte Carlo Stimulation'!$I$9</f>
        <v>-2.919314405717207E-2</v>
      </c>
      <c r="N315">
        <f t="shared" ca="1" si="32"/>
        <v>0</v>
      </c>
    </row>
    <row r="316" spans="1:14">
      <c r="A316" s="12">
        <v>45650</v>
      </c>
      <c r="B316" s="14">
        <v>8.5760652821457173E-3</v>
      </c>
      <c r="C316" s="67">
        <f>'Parametric VAR'!$F$12</f>
        <v>-2.023068247926026E-2</v>
      </c>
      <c r="D316">
        <f t="shared" si="27"/>
        <v>0</v>
      </c>
      <c r="E316" s="67">
        <f>'Parametric VAR'!$F$13</f>
        <v>-2.8682193012943492E-2</v>
      </c>
      <c r="F316">
        <f t="shared" si="28"/>
        <v>0</v>
      </c>
      <c r="G316" s="67">
        <f>'Historical VAR'!$G$6</f>
        <v>-1.9839729167757107E-2</v>
      </c>
      <c r="H316">
        <f t="shared" si="29"/>
        <v>0</v>
      </c>
      <c r="I316" s="67">
        <f>'Historical VAR'!$G$7</f>
        <v>-3.1428916759065853E-2</v>
      </c>
      <c r="J316">
        <f t="shared" si="30"/>
        <v>0</v>
      </c>
      <c r="K316" s="67">
        <f ca="1">'Monte Carlo Stimulation'!$I$8</f>
        <v>-2.1559270710709389E-2</v>
      </c>
      <c r="L316">
        <f t="shared" ca="1" si="31"/>
        <v>0</v>
      </c>
      <c r="M316" s="67">
        <f ca="1">'Monte Carlo Stimulation'!$I$9</f>
        <v>-2.919314405717207E-2</v>
      </c>
      <c r="N316">
        <f t="shared" ca="1" si="32"/>
        <v>0</v>
      </c>
    </row>
    <row r="317" spans="1:14">
      <c r="A317" s="12">
        <v>45649</v>
      </c>
      <c r="B317" s="14">
        <v>-1.0890809661061539E-3</v>
      </c>
      <c r="C317" s="67">
        <f>'Parametric VAR'!$F$12</f>
        <v>-2.023068247926026E-2</v>
      </c>
      <c r="D317">
        <f t="shared" si="27"/>
        <v>0</v>
      </c>
      <c r="E317" s="67">
        <f>'Parametric VAR'!$F$13</f>
        <v>-2.8682193012943492E-2</v>
      </c>
      <c r="F317">
        <f t="shared" si="28"/>
        <v>0</v>
      </c>
      <c r="G317" s="67">
        <f>'Historical VAR'!$G$6</f>
        <v>-1.9839729167757107E-2</v>
      </c>
      <c r="H317">
        <f t="shared" si="29"/>
        <v>0</v>
      </c>
      <c r="I317" s="67">
        <f>'Historical VAR'!$G$7</f>
        <v>-3.1428916759065853E-2</v>
      </c>
      <c r="J317">
        <f t="shared" si="30"/>
        <v>0</v>
      </c>
      <c r="K317" s="67">
        <f ca="1">'Monte Carlo Stimulation'!$I$8</f>
        <v>-2.1559270710709389E-2</v>
      </c>
      <c r="L317">
        <f t="shared" ca="1" si="31"/>
        <v>0</v>
      </c>
      <c r="M317" s="67">
        <f ca="1">'Monte Carlo Stimulation'!$I$9</f>
        <v>-2.919314405717207E-2</v>
      </c>
      <c r="N317">
        <f t="shared" ca="1" si="32"/>
        <v>0</v>
      </c>
    </row>
    <row r="318" spans="1:14">
      <c r="A318" s="12">
        <v>45646</v>
      </c>
      <c r="B318" s="14">
        <v>2.4331656754191856E-3</v>
      </c>
      <c r="C318" s="67">
        <f>'Parametric VAR'!$F$12</f>
        <v>-2.023068247926026E-2</v>
      </c>
      <c r="D318">
        <f t="shared" si="27"/>
        <v>0</v>
      </c>
      <c r="E318" s="67">
        <f>'Parametric VAR'!$F$13</f>
        <v>-2.8682193012943492E-2</v>
      </c>
      <c r="F318">
        <f t="shared" si="28"/>
        <v>0</v>
      </c>
      <c r="G318" s="67">
        <f>'Historical VAR'!$G$6</f>
        <v>-1.9839729167757107E-2</v>
      </c>
      <c r="H318">
        <f t="shared" si="29"/>
        <v>0</v>
      </c>
      <c r="I318" s="67">
        <f>'Historical VAR'!$G$7</f>
        <v>-3.1428916759065853E-2</v>
      </c>
      <c r="J318">
        <f t="shared" si="30"/>
        <v>0</v>
      </c>
      <c r="K318" s="67">
        <f ca="1">'Monte Carlo Stimulation'!$I$8</f>
        <v>-2.1559270710709389E-2</v>
      </c>
      <c r="L318">
        <f t="shared" ca="1" si="31"/>
        <v>0</v>
      </c>
      <c r="M318" s="67">
        <f ca="1">'Monte Carlo Stimulation'!$I$9</f>
        <v>-2.919314405717207E-2</v>
      </c>
      <c r="N318">
        <f t="shared" ca="1" si="32"/>
        <v>0</v>
      </c>
    </row>
    <row r="319" spans="1:14">
      <c r="A319" s="12">
        <v>45645</v>
      </c>
      <c r="B319" s="14">
        <v>2.727132261863397E-3</v>
      </c>
      <c r="C319" s="67">
        <f>'Parametric VAR'!$F$12</f>
        <v>-2.023068247926026E-2</v>
      </c>
      <c r="D319">
        <f t="shared" si="27"/>
        <v>0</v>
      </c>
      <c r="E319" s="67">
        <f>'Parametric VAR'!$F$13</f>
        <v>-2.8682193012943492E-2</v>
      </c>
      <c r="F319">
        <f t="shared" si="28"/>
        <v>0</v>
      </c>
      <c r="G319" s="67">
        <f>'Historical VAR'!$G$6</f>
        <v>-1.9839729167757107E-2</v>
      </c>
      <c r="H319">
        <f t="shared" si="29"/>
        <v>0</v>
      </c>
      <c r="I319" s="67">
        <f>'Historical VAR'!$G$7</f>
        <v>-3.1428916759065853E-2</v>
      </c>
      <c r="J319">
        <f t="shared" si="30"/>
        <v>0</v>
      </c>
      <c r="K319" s="67">
        <f ca="1">'Monte Carlo Stimulation'!$I$8</f>
        <v>-2.1559270710709389E-2</v>
      </c>
      <c r="L319">
        <f t="shared" ca="1" si="31"/>
        <v>0</v>
      </c>
      <c r="M319" s="67">
        <f ca="1">'Monte Carlo Stimulation'!$I$9</f>
        <v>-2.919314405717207E-2</v>
      </c>
      <c r="N319">
        <f t="shared" ca="1" si="32"/>
        <v>0</v>
      </c>
    </row>
    <row r="320" spans="1:14">
      <c r="A320" s="12">
        <v>45644</v>
      </c>
      <c r="B320" s="14">
        <v>2.1525120923422274E-2</v>
      </c>
      <c r="C320" s="67">
        <f>'Parametric VAR'!$F$12</f>
        <v>-2.023068247926026E-2</v>
      </c>
      <c r="D320">
        <f t="shared" si="27"/>
        <v>0</v>
      </c>
      <c r="E320" s="67">
        <f>'Parametric VAR'!$F$13</f>
        <v>-2.8682193012943492E-2</v>
      </c>
      <c r="F320">
        <f t="shared" si="28"/>
        <v>0</v>
      </c>
      <c r="G320" s="67">
        <f>'Historical VAR'!$G$6</f>
        <v>-1.9839729167757107E-2</v>
      </c>
      <c r="H320">
        <f t="shared" si="29"/>
        <v>0</v>
      </c>
      <c r="I320" s="67">
        <f>'Historical VAR'!$G$7</f>
        <v>-3.1428916759065853E-2</v>
      </c>
      <c r="J320">
        <f t="shared" si="30"/>
        <v>0</v>
      </c>
      <c r="K320" s="67">
        <f ca="1">'Monte Carlo Stimulation'!$I$8</f>
        <v>-2.1559270710709389E-2</v>
      </c>
      <c r="L320">
        <f t="shared" ca="1" si="31"/>
        <v>0</v>
      </c>
      <c r="M320" s="67">
        <f ca="1">'Monte Carlo Stimulation'!$I$9</f>
        <v>-2.919314405717207E-2</v>
      </c>
      <c r="N320">
        <f t="shared" ca="1" si="32"/>
        <v>0</v>
      </c>
    </row>
    <row r="321" spans="1:14">
      <c r="A321" s="12">
        <v>45643</v>
      </c>
      <c r="B321" s="14">
        <v>4.0309557093392593E-3</v>
      </c>
      <c r="C321" s="67">
        <f>'Parametric VAR'!$F$12</f>
        <v>-2.023068247926026E-2</v>
      </c>
      <c r="D321">
        <f t="shared" si="27"/>
        <v>0</v>
      </c>
      <c r="E321" s="67">
        <f>'Parametric VAR'!$F$13</f>
        <v>-2.8682193012943492E-2</v>
      </c>
      <c r="F321">
        <f t="shared" si="28"/>
        <v>0</v>
      </c>
      <c r="G321" s="67">
        <f>'Historical VAR'!$G$6</f>
        <v>-1.9839729167757107E-2</v>
      </c>
      <c r="H321">
        <f t="shared" si="29"/>
        <v>0</v>
      </c>
      <c r="I321" s="67">
        <f>'Historical VAR'!$G$7</f>
        <v>-3.1428916759065853E-2</v>
      </c>
      <c r="J321">
        <f t="shared" si="30"/>
        <v>0</v>
      </c>
      <c r="K321" s="67">
        <f ca="1">'Monte Carlo Stimulation'!$I$8</f>
        <v>-2.1559270710709389E-2</v>
      </c>
      <c r="L321">
        <f t="shared" ca="1" si="31"/>
        <v>0</v>
      </c>
      <c r="M321" s="67">
        <f ca="1">'Monte Carlo Stimulation'!$I$9</f>
        <v>-2.919314405717207E-2</v>
      </c>
      <c r="N321">
        <f t="shared" ca="1" si="32"/>
        <v>0</v>
      </c>
    </row>
    <row r="322" spans="1:14">
      <c r="A322" s="12">
        <v>45642</v>
      </c>
      <c r="B322" s="14">
        <v>2.0235666111445012E-2</v>
      </c>
      <c r="C322" s="67">
        <f>'Parametric VAR'!$F$12</f>
        <v>-2.023068247926026E-2</v>
      </c>
      <c r="D322">
        <f t="shared" si="27"/>
        <v>0</v>
      </c>
      <c r="E322" s="67">
        <f>'Parametric VAR'!$F$13</f>
        <v>-2.8682193012943492E-2</v>
      </c>
      <c r="F322">
        <f t="shared" si="28"/>
        <v>0</v>
      </c>
      <c r="G322" s="67">
        <f>'Historical VAR'!$G$6</f>
        <v>-1.9839729167757107E-2</v>
      </c>
      <c r="H322">
        <f t="shared" si="29"/>
        <v>0</v>
      </c>
      <c r="I322" s="67">
        <f>'Historical VAR'!$G$7</f>
        <v>-3.1428916759065853E-2</v>
      </c>
      <c r="J322">
        <f t="shared" si="30"/>
        <v>0</v>
      </c>
      <c r="K322" s="67">
        <f ca="1">'Monte Carlo Stimulation'!$I$8</f>
        <v>-2.1559270710709389E-2</v>
      </c>
      <c r="L322">
        <f t="shared" ca="1" si="31"/>
        <v>0</v>
      </c>
      <c r="M322" s="67">
        <f ca="1">'Monte Carlo Stimulation'!$I$9</f>
        <v>-2.919314405717207E-2</v>
      </c>
      <c r="N322">
        <f t="shared" ca="1" si="32"/>
        <v>0</v>
      </c>
    </row>
    <row r="323" spans="1:14">
      <c r="A323" s="12">
        <v>45639</v>
      </c>
      <c r="B323" s="14">
        <v>8.0977548409795095E-4</v>
      </c>
      <c r="C323" s="67">
        <f>'Parametric VAR'!$F$12</f>
        <v>-2.023068247926026E-2</v>
      </c>
      <c r="D323">
        <f t="shared" si="27"/>
        <v>0</v>
      </c>
      <c r="E323" s="67">
        <f>'Parametric VAR'!$F$13</f>
        <v>-2.8682193012943492E-2</v>
      </c>
      <c r="F323">
        <f t="shared" si="28"/>
        <v>0</v>
      </c>
      <c r="G323" s="67">
        <f>'Historical VAR'!$G$6</f>
        <v>-1.9839729167757107E-2</v>
      </c>
      <c r="H323">
        <f t="shared" si="29"/>
        <v>0</v>
      </c>
      <c r="I323" s="67">
        <f>'Historical VAR'!$G$7</f>
        <v>-3.1428916759065853E-2</v>
      </c>
      <c r="J323">
        <f t="shared" si="30"/>
        <v>0</v>
      </c>
      <c r="K323" s="67">
        <f ca="1">'Monte Carlo Stimulation'!$I$8</f>
        <v>-2.1559270710709389E-2</v>
      </c>
      <c r="L323">
        <f t="shared" ca="1" si="31"/>
        <v>0</v>
      </c>
      <c r="M323" s="67">
        <f ca="1">'Monte Carlo Stimulation'!$I$9</f>
        <v>-2.919314405717207E-2</v>
      </c>
      <c r="N323">
        <f t="shared" ca="1" si="32"/>
        <v>0</v>
      </c>
    </row>
    <row r="324" spans="1:14">
      <c r="A324" s="12">
        <v>45638</v>
      </c>
      <c r="B324" s="14">
        <v>-6.0196078699419897E-3</v>
      </c>
      <c r="C324" s="67">
        <f>'Parametric VAR'!$F$12</f>
        <v>-2.023068247926026E-2</v>
      </c>
      <c r="D324">
        <f t="shared" ref="D324:D387" si="33">IF(B324&lt;C324,1,0)</f>
        <v>0</v>
      </c>
      <c r="E324" s="67">
        <f>'Parametric VAR'!$F$13</f>
        <v>-2.8682193012943492E-2</v>
      </c>
      <c r="F324">
        <f t="shared" ref="F324:F387" si="34">IF(B324&lt;E324,1,0)</f>
        <v>0</v>
      </c>
      <c r="G324" s="67">
        <f>'Historical VAR'!$G$6</f>
        <v>-1.9839729167757107E-2</v>
      </c>
      <c r="H324">
        <f t="shared" ref="H324:H387" si="35">IF(B324&lt;G324,1,0)</f>
        <v>0</v>
      </c>
      <c r="I324" s="67">
        <f>'Historical VAR'!$G$7</f>
        <v>-3.1428916759065853E-2</v>
      </c>
      <c r="J324">
        <f t="shared" ref="J324:J387" si="36">IF(B324&lt;I324,1,0)</f>
        <v>0</v>
      </c>
      <c r="K324" s="67">
        <f ca="1">'Monte Carlo Stimulation'!$I$8</f>
        <v>-2.1559270710709389E-2</v>
      </c>
      <c r="L324">
        <f t="shared" ref="L324:L387" ca="1" si="37">IF(B324&lt;K324,1,0)</f>
        <v>0</v>
      </c>
      <c r="M324" s="67">
        <f ca="1">'Monte Carlo Stimulation'!$I$9</f>
        <v>-2.919314405717207E-2</v>
      </c>
      <c r="N324">
        <f t="shared" ref="N324:N387" ca="1" si="38">IF(B324&lt;M324,1,0)</f>
        <v>0</v>
      </c>
    </row>
    <row r="325" spans="1:14">
      <c r="A325" s="12">
        <v>45637</v>
      </c>
      <c r="B325" s="14">
        <v>1.0071136870360785E-2</v>
      </c>
      <c r="C325" s="67">
        <f>'Parametric VAR'!$F$12</f>
        <v>-2.023068247926026E-2</v>
      </c>
      <c r="D325">
        <f t="shared" si="33"/>
        <v>0</v>
      </c>
      <c r="E325" s="67">
        <f>'Parametric VAR'!$F$13</f>
        <v>-2.8682193012943492E-2</v>
      </c>
      <c r="F325">
        <f t="shared" si="34"/>
        <v>0</v>
      </c>
      <c r="G325" s="67">
        <f>'Historical VAR'!$G$6</f>
        <v>-1.9839729167757107E-2</v>
      </c>
      <c r="H325">
        <f t="shared" si="35"/>
        <v>0</v>
      </c>
      <c r="I325" s="67">
        <f>'Historical VAR'!$G$7</f>
        <v>-3.1428916759065853E-2</v>
      </c>
      <c r="J325">
        <f t="shared" si="36"/>
        <v>0</v>
      </c>
      <c r="K325" s="67">
        <f ca="1">'Monte Carlo Stimulation'!$I$8</f>
        <v>-2.1559270710709389E-2</v>
      </c>
      <c r="L325">
        <f t="shared" ca="1" si="37"/>
        <v>0</v>
      </c>
      <c r="M325" s="67">
        <f ca="1">'Monte Carlo Stimulation'!$I$9</f>
        <v>-2.919314405717207E-2</v>
      </c>
      <c r="N325">
        <f t="shared" ca="1" si="38"/>
        <v>0</v>
      </c>
    </row>
    <row r="326" spans="1:14">
      <c r="A326" s="12">
        <v>45636</v>
      </c>
      <c r="B326" s="14">
        <v>-8.2828975505025142E-3</v>
      </c>
      <c r="C326" s="67">
        <f>'Parametric VAR'!$F$12</f>
        <v>-2.023068247926026E-2</v>
      </c>
      <c r="D326">
        <f t="shared" si="33"/>
        <v>0</v>
      </c>
      <c r="E326" s="67">
        <f>'Parametric VAR'!$F$13</f>
        <v>-2.8682193012943492E-2</v>
      </c>
      <c r="F326">
        <f t="shared" si="34"/>
        <v>0</v>
      </c>
      <c r="G326" s="67">
        <f>'Historical VAR'!$G$6</f>
        <v>-1.9839729167757107E-2</v>
      </c>
      <c r="H326">
        <f t="shared" si="35"/>
        <v>0</v>
      </c>
      <c r="I326" s="67">
        <f>'Historical VAR'!$G$7</f>
        <v>-3.1428916759065853E-2</v>
      </c>
      <c r="J326">
        <f t="shared" si="36"/>
        <v>0</v>
      </c>
      <c r="K326" s="67">
        <f ca="1">'Monte Carlo Stimulation'!$I$8</f>
        <v>-2.1559270710709389E-2</v>
      </c>
      <c r="L326">
        <f t="shared" ca="1" si="37"/>
        <v>0</v>
      </c>
      <c r="M326" s="67">
        <f ca="1">'Monte Carlo Stimulation'!$I$9</f>
        <v>-2.919314405717207E-2</v>
      </c>
      <c r="N326">
        <f t="shared" ca="1" si="38"/>
        <v>0</v>
      </c>
    </row>
    <row r="327" spans="1:14">
      <c r="A327" s="12">
        <v>45635</v>
      </c>
      <c r="B327" s="14">
        <v>3.1006479891241574E-3</v>
      </c>
      <c r="C327" s="67">
        <f>'Parametric VAR'!$F$12</f>
        <v>-2.023068247926026E-2</v>
      </c>
      <c r="D327">
        <f t="shared" si="33"/>
        <v>0</v>
      </c>
      <c r="E327" s="67">
        <f>'Parametric VAR'!$F$13</f>
        <v>-2.8682193012943492E-2</v>
      </c>
      <c r="F327">
        <f t="shared" si="34"/>
        <v>0</v>
      </c>
      <c r="G327" s="67">
        <f>'Historical VAR'!$G$6</f>
        <v>-1.9839729167757107E-2</v>
      </c>
      <c r="H327">
        <f t="shared" si="35"/>
        <v>0</v>
      </c>
      <c r="I327" s="67">
        <f>'Historical VAR'!$G$7</f>
        <v>-3.1428916759065853E-2</v>
      </c>
      <c r="J327">
        <f t="shared" si="36"/>
        <v>0</v>
      </c>
      <c r="K327" s="67">
        <f ca="1">'Monte Carlo Stimulation'!$I$8</f>
        <v>-2.1559270710709389E-2</v>
      </c>
      <c r="L327">
        <f t="shared" ca="1" si="37"/>
        <v>0</v>
      </c>
      <c r="M327" s="67">
        <f ca="1">'Monte Carlo Stimulation'!$I$9</f>
        <v>-2.919314405717207E-2</v>
      </c>
      <c r="N327">
        <f t="shared" ca="1" si="38"/>
        <v>0</v>
      </c>
    </row>
    <row r="328" spans="1:14">
      <c r="A328" s="12">
        <v>45632</v>
      </c>
      <c r="B328" s="14">
        <v>1.3831114334542673E-2</v>
      </c>
      <c r="C328" s="67">
        <f>'Parametric VAR'!$F$12</f>
        <v>-2.023068247926026E-2</v>
      </c>
      <c r="D328">
        <f t="shared" si="33"/>
        <v>0</v>
      </c>
      <c r="E328" s="67">
        <f>'Parametric VAR'!$F$13</f>
        <v>-2.8682193012943492E-2</v>
      </c>
      <c r="F328">
        <f t="shared" si="34"/>
        <v>0</v>
      </c>
      <c r="G328" s="67">
        <f>'Historical VAR'!$G$6</f>
        <v>-1.9839729167757107E-2</v>
      </c>
      <c r="H328">
        <f t="shared" si="35"/>
        <v>0</v>
      </c>
      <c r="I328" s="67">
        <f>'Historical VAR'!$G$7</f>
        <v>-3.1428916759065853E-2</v>
      </c>
      <c r="J328">
        <f t="shared" si="36"/>
        <v>0</v>
      </c>
      <c r="K328" s="67">
        <f ca="1">'Monte Carlo Stimulation'!$I$8</f>
        <v>-2.1559270710709389E-2</v>
      </c>
      <c r="L328">
        <f t="shared" ca="1" si="37"/>
        <v>0</v>
      </c>
      <c r="M328" s="67">
        <f ca="1">'Monte Carlo Stimulation'!$I$9</f>
        <v>-2.919314405717207E-2</v>
      </c>
      <c r="N328">
        <f t="shared" ca="1" si="38"/>
        <v>0</v>
      </c>
    </row>
    <row r="329" spans="1:14">
      <c r="A329" s="12">
        <v>45631</v>
      </c>
      <c r="B329" s="14">
        <v>7.1429424381711341E-3</v>
      </c>
      <c r="C329" s="67">
        <f>'Parametric VAR'!$F$12</f>
        <v>-2.023068247926026E-2</v>
      </c>
      <c r="D329">
        <f t="shared" si="33"/>
        <v>0</v>
      </c>
      <c r="E329" s="67">
        <f>'Parametric VAR'!$F$13</f>
        <v>-2.8682193012943492E-2</v>
      </c>
      <c r="F329">
        <f t="shared" si="34"/>
        <v>0</v>
      </c>
      <c r="G329" s="67">
        <f>'Historical VAR'!$G$6</f>
        <v>-1.9839729167757107E-2</v>
      </c>
      <c r="H329">
        <f t="shared" si="35"/>
        <v>0</v>
      </c>
      <c r="I329" s="67">
        <f>'Historical VAR'!$G$7</f>
        <v>-3.1428916759065853E-2</v>
      </c>
      <c r="J329">
        <f t="shared" si="36"/>
        <v>0</v>
      </c>
      <c r="K329" s="67">
        <f ca="1">'Monte Carlo Stimulation'!$I$8</f>
        <v>-2.1559270710709389E-2</v>
      </c>
      <c r="L329">
        <f t="shared" ca="1" si="37"/>
        <v>0</v>
      </c>
      <c r="M329" s="67">
        <f ca="1">'Monte Carlo Stimulation'!$I$9</f>
        <v>-2.919314405717207E-2</v>
      </c>
      <c r="N329">
        <f t="shared" ca="1" si="38"/>
        <v>0</v>
      </c>
    </row>
    <row r="330" spans="1:14">
      <c r="A330" s="12">
        <v>45630</v>
      </c>
      <c r="B330" s="14">
        <v>1.4382960725754046E-3</v>
      </c>
      <c r="C330" s="67">
        <f>'Parametric VAR'!$F$12</f>
        <v>-2.023068247926026E-2</v>
      </c>
      <c r="D330">
        <f t="shared" si="33"/>
        <v>0</v>
      </c>
      <c r="E330" s="67">
        <f>'Parametric VAR'!$F$13</f>
        <v>-2.8682193012943492E-2</v>
      </c>
      <c r="F330">
        <f t="shared" si="34"/>
        <v>0</v>
      </c>
      <c r="G330" s="67">
        <f>'Historical VAR'!$G$6</f>
        <v>-1.9839729167757107E-2</v>
      </c>
      <c r="H330">
        <f t="shared" si="35"/>
        <v>0</v>
      </c>
      <c r="I330" s="67">
        <f>'Historical VAR'!$G$7</f>
        <v>-3.1428916759065853E-2</v>
      </c>
      <c r="J330">
        <f t="shared" si="36"/>
        <v>0</v>
      </c>
      <c r="K330" s="67">
        <f ca="1">'Monte Carlo Stimulation'!$I$8</f>
        <v>-2.1559270710709389E-2</v>
      </c>
      <c r="L330">
        <f t="shared" ca="1" si="37"/>
        <v>0</v>
      </c>
      <c r="M330" s="67">
        <f ca="1">'Monte Carlo Stimulation'!$I$9</f>
        <v>-2.919314405717207E-2</v>
      </c>
      <c r="N330">
        <f t="shared" ca="1" si="38"/>
        <v>0</v>
      </c>
    </row>
    <row r="331" spans="1:14">
      <c r="A331" s="12">
        <v>45629</v>
      </c>
      <c r="B331" s="14">
        <v>4.9118219947636675E-3</v>
      </c>
      <c r="C331" s="67">
        <f>'Parametric VAR'!$F$12</f>
        <v>-2.023068247926026E-2</v>
      </c>
      <c r="D331">
        <f t="shared" si="33"/>
        <v>0</v>
      </c>
      <c r="E331" s="67">
        <f>'Parametric VAR'!$F$13</f>
        <v>-2.8682193012943492E-2</v>
      </c>
      <c r="F331">
        <f t="shared" si="34"/>
        <v>0</v>
      </c>
      <c r="G331" s="67">
        <f>'Historical VAR'!$G$6</f>
        <v>-1.9839729167757107E-2</v>
      </c>
      <c r="H331">
        <f t="shared" si="35"/>
        <v>0</v>
      </c>
      <c r="I331" s="67">
        <f>'Historical VAR'!$G$7</f>
        <v>-3.1428916759065853E-2</v>
      </c>
      <c r="J331">
        <f t="shared" si="36"/>
        <v>0</v>
      </c>
      <c r="K331" s="67">
        <f ca="1">'Monte Carlo Stimulation'!$I$8</f>
        <v>-2.1559270710709389E-2</v>
      </c>
      <c r="L331">
        <f t="shared" ca="1" si="37"/>
        <v>0</v>
      </c>
      <c r="M331" s="67">
        <f ca="1">'Monte Carlo Stimulation'!$I$9</f>
        <v>-2.919314405717207E-2</v>
      </c>
      <c r="N331">
        <f t="shared" ca="1" si="38"/>
        <v>0</v>
      </c>
    </row>
    <row r="332" spans="1:14">
      <c r="A332" s="12">
        <v>45628</v>
      </c>
      <c r="B332" s="14">
        <v>3.1732179938923667E-3</v>
      </c>
      <c r="C332" s="67">
        <f>'Parametric VAR'!$F$12</f>
        <v>-2.023068247926026E-2</v>
      </c>
      <c r="D332">
        <f t="shared" si="33"/>
        <v>0</v>
      </c>
      <c r="E332" s="67">
        <f>'Parametric VAR'!$F$13</f>
        <v>-2.8682193012943492E-2</v>
      </c>
      <c r="F332">
        <f t="shared" si="34"/>
        <v>0</v>
      </c>
      <c r="G332" s="67">
        <f>'Historical VAR'!$G$6</f>
        <v>-1.9839729167757107E-2</v>
      </c>
      <c r="H332">
        <f t="shared" si="35"/>
        <v>0</v>
      </c>
      <c r="I332" s="67">
        <f>'Historical VAR'!$G$7</f>
        <v>-3.1428916759065853E-2</v>
      </c>
      <c r="J332">
        <f t="shared" si="36"/>
        <v>0</v>
      </c>
      <c r="K332" s="67">
        <f ca="1">'Monte Carlo Stimulation'!$I$8</f>
        <v>-2.1559270710709389E-2</v>
      </c>
      <c r="L332">
        <f t="shared" ca="1" si="37"/>
        <v>0</v>
      </c>
      <c r="M332" s="67">
        <f ca="1">'Monte Carlo Stimulation'!$I$9</f>
        <v>-2.919314405717207E-2</v>
      </c>
      <c r="N332">
        <f t="shared" ca="1" si="38"/>
        <v>0</v>
      </c>
    </row>
    <row r="333" spans="1:14">
      <c r="A333" s="12">
        <v>45625</v>
      </c>
      <c r="B333" s="14">
        <v>3.2525845175031647E-3</v>
      </c>
      <c r="C333" s="67">
        <f>'Parametric VAR'!$F$12</f>
        <v>-2.023068247926026E-2</v>
      </c>
      <c r="D333">
        <f t="shared" si="33"/>
        <v>0</v>
      </c>
      <c r="E333" s="67">
        <f>'Parametric VAR'!$F$13</f>
        <v>-2.8682193012943492E-2</v>
      </c>
      <c r="F333">
        <f t="shared" si="34"/>
        <v>0</v>
      </c>
      <c r="G333" s="67">
        <f>'Historical VAR'!$G$6</f>
        <v>-1.9839729167757107E-2</v>
      </c>
      <c r="H333">
        <f t="shared" si="35"/>
        <v>0</v>
      </c>
      <c r="I333" s="67">
        <f>'Historical VAR'!$G$7</f>
        <v>-3.1428916759065853E-2</v>
      </c>
      <c r="J333">
        <f t="shared" si="36"/>
        <v>0</v>
      </c>
      <c r="K333" s="67">
        <f ca="1">'Monte Carlo Stimulation'!$I$8</f>
        <v>-2.1559270710709389E-2</v>
      </c>
      <c r="L333">
        <f t="shared" ca="1" si="37"/>
        <v>0</v>
      </c>
      <c r="M333" s="67">
        <f ca="1">'Monte Carlo Stimulation'!$I$9</f>
        <v>-2.919314405717207E-2</v>
      </c>
      <c r="N333">
        <f t="shared" ca="1" si="38"/>
        <v>0</v>
      </c>
    </row>
    <row r="334" spans="1:14">
      <c r="A334" s="12">
        <v>45624</v>
      </c>
      <c r="B334" s="14">
        <v>-8.7190865962197585E-3</v>
      </c>
      <c r="C334" s="67">
        <f>'Parametric VAR'!$F$12</f>
        <v>-2.023068247926026E-2</v>
      </c>
      <c r="D334">
        <f t="shared" si="33"/>
        <v>0</v>
      </c>
      <c r="E334" s="67">
        <f>'Parametric VAR'!$F$13</f>
        <v>-2.8682193012943492E-2</v>
      </c>
      <c r="F334">
        <f t="shared" si="34"/>
        <v>0</v>
      </c>
      <c r="G334" s="67">
        <f>'Historical VAR'!$G$6</f>
        <v>-1.9839729167757107E-2</v>
      </c>
      <c r="H334">
        <f t="shared" si="35"/>
        <v>0</v>
      </c>
      <c r="I334" s="67">
        <f>'Historical VAR'!$G$7</f>
        <v>-3.1428916759065853E-2</v>
      </c>
      <c r="J334">
        <f t="shared" si="36"/>
        <v>0</v>
      </c>
      <c r="K334" s="67">
        <f ca="1">'Monte Carlo Stimulation'!$I$8</f>
        <v>-2.1559270710709389E-2</v>
      </c>
      <c r="L334">
        <f t="shared" ca="1" si="37"/>
        <v>0</v>
      </c>
      <c r="M334" s="67">
        <f ca="1">'Monte Carlo Stimulation'!$I$9</f>
        <v>-2.919314405717207E-2</v>
      </c>
      <c r="N334">
        <f t="shared" ca="1" si="38"/>
        <v>0</v>
      </c>
    </row>
    <row r="335" spans="1:14">
      <c r="A335" s="12">
        <v>45623</v>
      </c>
      <c r="B335" s="14">
        <v>1.0336427023320301E-2</v>
      </c>
      <c r="C335" s="67">
        <f>'Parametric VAR'!$F$12</f>
        <v>-2.023068247926026E-2</v>
      </c>
      <c r="D335">
        <f t="shared" si="33"/>
        <v>0</v>
      </c>
      <c r="E335" s="67">
        <f>'Parametric VAR'!$F$13</f>
        <v>-2.8682193012943492E-2</v>
      </c>
      <c r="F335">
        <f t="shared" si="34"/>
        <v>0</v>
      </c>
      <c r="G335" s="67">
        <f>'Historical VAR'!$G$6</f>
        <v>-1.9839729167757107E-2</v>
      </c>
      <c r="H335">
        <f t="shared" si="35"/>
        <v>0</v>
      </c>
      <c r="I335" s="67">
        <f>'Historical VAR'!$G$7</f>
        <v>-3.1428916759065853E-2</v>
      </c>
      <c r="J335">
        <f t="shared" si="36"/>
        <v>0</v>
      </c>
      <c r="K335" s="67">
        <f ca="1">'Monte Carlo Stimulation'!$I$8</f>
        <v>-2.1559270710709389E-2</v>
      </c>
      <c r="L335">
        <f t="shared" ca="1" si="37"/>
        <v>0</v>
      </c>
      <c r="M335" s="67">
        <f ca="1">'Monte Carlo Stimulation'!$I$9</f>
        <v>-2.919314405717207E-2</v>
      </c>
      <c r="N335">
        <f t="shared" ca="1" si="38"/>
        <v>0</v>
      </c>
    </row>
    <row r="336" spans="1:14">
      <c r="A336" s="12">
        <v>45622</v>
      </c>
      <c r="B336" s="14">
        <v>1.2595138364939406E-3</v>
      </c>
      <c r="C336" s="67">
        <f>'Parametric VAR'!$F$12</f>
        <v>-2.023068247926026E-2</v>
      </c>
      <c r="D336">
        <f t="shared" si="33"/>
        <v>0</v>
      </c>
      <c r="E336" s="67">
        <f>'Parametric VAR'!$F$13</f>
        <v>-2.8682193012943492E-2</v>
      </c>
      <c r="F336">
        <f t="shared" si="34"/>
        <v>0</v>
      </c>
      <c r="G336" s="67">
        <f>'Historical VAR'!$G$6</f>
        <v>-1.9839729167757107E-2</v>
      </c>
      <c r="H336">
        <f t="shared" si="35"/>
        <v>0</v>
      </c>
      <c r="I336" s="67">
        <f>'Historical VAR'!$G$7</f>
        <v>-3.1428916759065853E-2</v>
      </c>
      <c r="J336">
        <f t="shared" si="36"/>
        <v>0</v>
      </c>
      <c r="K336" s="67">
        <f ca="1">'Monte Carlo Stimulation'!$I$8</f>
        <v>-2.1559270710709389E-2</v>
      </c>
      <c r="L336">
        <f t="shared" ca="1" si="37"/>
        <v>0</v>
      </c>
      <c r="M336" s="67">
        <f ca="1">'Monte Carlo Stimulation'!$I$9</f>
        <v>-2.919314405717207E-2</v>
      </c>
      <c r="N336">
        <f t="shared" ca="1" si="38"/>
        <v>0</v>
      </c>
    </row>
    <row r="337" spans="1:14">
      <c r="A337" s="12">
        <v>45621</v>
      </c>
      <c r="B337" s="14">
        <v>-1.8578511529837007E-2</v>
      </c>
      <c r="C337" s="67">
        <f>'Parametric VAR'!$F$12</f>
        <v>-2.023068247926026E-2</v>
      </c>
      <c r="D337">
        <f t="shared" si="33"/>
        <v>0</v>
      </c>
      <c r="E337" s="67">
        <f>'Parametric VAR'!$F$13</f>
        <v>-2.8682193012943492E-2</v>
      </c>
      <c r="F337">
        <f t="shared" si="34"/>
        <v>0</v>
      </c>
      <c r="G337" s="67">
        <f>'Historical VAR'!$G$6</f>
        <v>-1.9839729167757107E-2</v>
      </c>
      <c r="H337">
        <f t="shared" si="35"/>
        <v>0</v>
      </c>
      <c r="I337" s="67">
        <f>'Historical VAR'!$G$7</f>
        <v>-3.1428916759065853E-2</v>
      </c>
      <c r="J337">
        <f t="shared" si="36"/>
        <v>0</v>
      </c>
      <c r="K337" s="67">
        <f ca="1">'Monte Carlo Stimulation'!$I$8</f>
        <v>-2.1559270710709389E-2</v>
      </c>
      <c r="L337">
        <f t="shared" ca="1" si="37"/>
        <v>0</v>
      </c>
      <c r="M337" s="67">
        <f ca="1">'Monte Carlo Stimulation'!$I$9</f>
        <v>-2.919314405717207E-2</v>
      </c>
      <c r="N337">
        <f t="shared" ca="1" si="38"/>
        <v>0</v>
      </c>
    </row>
    <row r="338" spans="1:14">
      <c r="A338" s="12">
        <v>45618</v>
      </c>
      <c r="B338" s="14">
        <v>4.0930045581417567E-3</v>
      </c>
      <c r="C338" s="67">
        <f>'Parametric VAR'!$F$12</f>
        <v>-2.023068247926026E-2</v>
      </c>
      <c r="D338">
        <f t="shared" si="33"/>
        <v>0</v>
      </c>
      <c r="E338" s="67">
        <f>'Parametric VAR'!$F$13</f>
        <v>-2.8682193012943492E-2</v>
      </c>
      <c r="F338">
        <f t="shared" si="34"/>
        <v>0</v>
      </c>
      <c r="G338" s="67">
        <f>'Historical VAR'!$G$6</f>
        <v>-1.9839729167757107E-2</v>
      </c>
      <c r="H338">
        <f t="shared" si="35"/>
        <v>0</v>
      </c>
      <c r="I338" s="67">
        <f>'Historical VAR'!$G$7</f>
        <v>-3.1428916759065853E-2</v>
      </c>
      <c r="J338">
        <f t="shared" si="36"/>
        <v>0</v>
      </c>
      <c r="K338" s="67">
        <f ca="1">'Monte Carlo Stimulation'!$I$8</f>
        <v>-2.1559270710709389E-2</v>
      </c>
      <c r="L338">
        <f t="shared" ca="1" si="37"/>
        <v>0</v>
      </c>
      <c r="M338" s="67">
        <f ca="1">'Monte Carlo Stimulation'!$I$9</f>
        <v>-2.919314405717207E-2</v>
      </c>
      <c r="N338">
        <f t="shared" ca="1" si="38"/>
        <v>0</v>
      </c>
    </row>
    <row r="339" spans="1:14">
      <c r="A339" s="12">
        <v>45617</v>
      </c>
      <c r="B339" s="14">
        <v>-1.8937973415117736E-2</v>
      </c>
      <c r="C339" s="67">
        <f>'Parametric VAR'!$F$12</f>
        <v>-2.023068247926026E-2</v>
      </c>
      <c r="D339">
        <f t="shared" si="33"/>
        <v>0</v>
      </c>
      <c r="E339" s="67">
        <f>'Parametric VAR'!$F$13</f>
        <v>-2.8682193012943492E-2</v>
      </c>
      <c r="F339">
        <f t="shared" si="34"/>
        <v>0</v>
      </c>
      <c r="G339" s="67">
        <f>'Historical VAR'!$G$6</f>
        <v>-1.9839729167757107E-2</v>
      </c>
      <c r="H339">
        <f t="shared" si="35"/>
        <v>0</v>
      </c>
      <c r="I339" s="67">
        <f>'Historical VAR'!$G$7</f>
        <v>-3.1428916759065853E-2</v>
      </c>
      <c r="J339">
        <f t="shared" si="36"/>
        <v>0</v>
      </c>
      <c r="K339" s="67">
        <f ca="1">'Monte Carlo Stimulation'!$I$8</f>
        <v>-2.1559270710709389E-2</v>
      </c>
      <c r="L339">
        <f t="shared" ca="1" si="37"/>
        <v>0</v>
      </c>
      <c r="M339" s="67">
        <f ca="1">'Monte Carlo Stimulation'!$I$9</f>
        <v>-2.919314405717207E-2</v>
      </c>
      <c r="N339">
        <f t="shared" ca="1" si="38"/>
        <v>0</v>
      </c>
    </row>
    <row r="340" spans="1:14">
      <c r="A340" s="12">
        <v>45615</v>
      </c>
      <c r="B340" s="14">
        <v>2.1674102791144345E-2</v>
      </c>
      <c r="C340" s="67">
        <f>'Parametric VAR'!$F$12</f>
        <v>-2.023068247926026E-2</v>
      </c>
      <c r="D340">
        <f t="shared" si="33"/>
        <v>0</v>
      </c>
      <c r="E340" s="67">
        <f>'Parametric VAR'!$F$13</f>
        <v>-2.8682193012943492E-2</v>
      </c>
      <c r="F340">
        <f t="shared" si="34"/>
        <v>0</v>
      </c>
      <c r="G340" s="67">
        <f>'Historical VAR'!$G$6</f>
        <v>-1.9839729167757107E-2</v>
      </c>
      <c r="H340">
        <f t="shared" si="35"/>
        <v>0</v>
      </c>
      <c r="I340" s="67">
        <f>'Historical VAR'!$G$7</f>
        <v>-3.1428916759065853E-2</v>
      </c>
      <c r="J340">
        <f t="shared" si="36"/>
        <v>0</v>
      </c>
      <c r="K340" s="67">
        <f ca="1">'Monte Carlo Stimulation'!$I$8</f>
        <v>-2.1559270710709389E-2</v>
      </c>
      <c r="L340">
        <f t="shared" ca="1" si="37"/>
        <v>0</v>
      </c>
      <c r="M340" s="67">
        <f ca="1">'Monte Carlo Stimulation'!$I$9</f>
        <v>-2.919314405717207E-2</v>
      </c>
      <c r="N340">
        <f t="shared" ca="1" si="38"/>
        <v>0</v>
      </c>
    </row>
    <row r="341" spans="1:14">
      <c r="A341" s="12">
        <v>45614</v>
      </c>
      <c r="B341" s="14">
        <v>1.7056077310542298E-3</v>
      </c>
      <c r="C341" s="67">
        <f>'Parametric VAR'!$F$12</f>
        <v>-2.023068247926026E-2</v>
      </c>
      <c r="D341">
        <f t="shared" si="33"/>
        <v>0</v>
      </c>
      <c r="E341" s="67">
        <f>'Parametric VAR'!$F$13</f>
        <v>-2.8682193012943492E-2</v>
      </c>
      <c r="F341">
        <f t="shared" si="34"/>
        <v>0</v>
      </c>
      <c r="G341" s="67">
        <f>'Historical VAR'!$G$6</f>
        <v>-1.9839729167757107E-2</v>
      </c>
      <c r="H341">
        <f t="shared" si="35"/>
        <v>0</v>
      </c>
      <c r="I341" s="67">
        <f>'Historical VAR'!$G$7</f>
        <v>-3.1428916759065853E-2</v>
      </c>
      <c r="J341">
        <f t="shared" si="36"/>
        <v>0</v>
      </c>
      <c r="K341" s="67">
        <f ca="1">'Monte Carlo Stimulation'!$I$8</f>
        <v>-2.1559270710709389E-2</v>
      </c>
      <c r="L341">
        <f t="shared" ca="1" si="37"/>
        <v>0</v>
      </c>
      <c r="M341" s="67">
        <f ca="1">'Monte Carlo Stimulation'!$I$9</f>
        <v>-2.919314405717207E-2</v>
      </c>
      <c r="N341">
        <f t="shared" ca="1" si="38"/>
        <v>0</v>
      </c>
    </row>
    <row r="342" spans="1:14">
      <c r="A342" s="12">
        <v>45610</v>
      </c>
      <c r="B342" s="14">
        <v>3.3923444790869054E-3</v>
      </c>
      <c r="C342" s="67">
        <f>'Parametric VAR'!$F$12</f>
        <v>-2.023068247926026E-2</v>
      </c>
      <c r="D342">
        <f t="shared" si="33"/>
        <v>0</v>
      </c>
      <c r="E342" s="67">
        <f>'Parametric VAR'!$F$13</f>
        <v>-2.8682193012943492E-2</v>
      </c>
      <c r="F342">
        <f t="shared" si="34"/>
        <v>0</v>
      </c>
      <c r="G342" s="67">
        <f>'Historical VAR'!$G$6</f>
        <v>-1.9839729167757107E-2</v>
      </c>
      <c r="H342">
        <f t="shared" si="35"/>
        <v>0</v>
      </c>
      <c r="I342" s="67">
        <f>'Historical VAR'!$G$7</f>
        <v>-3.1428916759065853E-2</v>
      </c>
      <c r="J342">
        <f t="shared" si="36"/>
        <v>0</v>
      </c>
      <c r="K342" s="67">
        <f ca="1">'Monte Carlo Stimulation'!$I$8</f>
        <v>-2.1559270710709389E-2</v>
      </c>
      <c r="L342">
        <f t="shared" ca="1" si="37"/>
        <v>0</v>
      </c>
      <c r="M342" s="67">
        <f ca="1">'Monte Carlo Stimulation'!$I$9</f>
        <v>-2.919314405717207E-2</v>
      </c>
      <c r="N342">
        <f t="shared" ca="1" si="38"/>
        <v>0</v>
      </c>
    </row>
    <row r="343" spans="1:14">
      <c r="A343" s="12">
        <v>45609</v>
      </c>
      <c r="B343" s="14">
        <v>-3.6189335147490329E-3</v>
      </c>
      <c r="C343" s="67">
        <f>'Parametric VAR'!$F$12</f>
        <v>-2.023068247926026E-2</v>
      </c>
      <c r="D343">
        <f t="shared" si="33"/>
        <v>0</v>
      </c>
      <c r="E343" s="67">
        <f>'Parametric VAR'!$F$13</f>
        <v>-2.8682193012943492E-2</v>
      </c>
      <c r="F343">
        <f t="shared" si="34"/>
        <v>0</v>
      </c>
      <c r="G343" s="67">
        <f>'Historical VAR'!$G$6</f>
        <v>-1.9839729167757107E-2</v>
      </c>
      <c r="H343">
        <f t="shared" si="35"/>
        <v>0</v>
      </c>
      <c r="I343" s="67">
        <f>'Historical VAR'!$G$7</f>
        <v>-3.1428916759065853E-2</v>
      </c>
      <c r="J343">
        <f t="shared" si="36"/>
        <v>0</v>
      </c>
      <c r="K343" s="67">
        <f ca="1">'Monte Carlo Stimulation'!$I$8</f>
        <v>-2.1559270710709389E-2</v>
      </c>
      <c r="L343">
        <f t="shared" ca="1" si="37"/>
        <v>0</v>
      </c>
      <c r="M343" s="67">
        <f ca="1">'Monte Carlo Stimulation'!$I$9</f>
        <v>-2.919314405717207E-2</v>
      </c>
      <c r="N343">
        <f t="shared" ca="1" si="38"/>
        <v>0</v>
      </c>
    </row>
    <row r="344" spans="1:14">
      <c r="A344" s="12">
        <v>45608</v>
      </c>
      <c r="B344" s="14">
        <v>5.9740132237961173E-3</v>
      </c>
      <c r="C344" s="67">
        <f>'Parametric VAR'!$F$12</f>
        <v>-2.023068247926026E-2</v>
      </c>
      <c r="D344">
        <f t="shared" si="33"/>
        <v>0</v>
      </c>
      <c r="E344" s="67">
        <f>'Parametric VAR'!$F$13</f>
        <v>-2.8682193012943492E-2</v>
      </c>
      <c r="F344">
        <f t="shared" si="34"/>
        <v>0</v>
      </c>
      <c r="G344" s="67">
        <f>'Historical VAR'!$G$6</f>
        <v>-1.9839729167757107E-2</v>
      </c>
      <c r="H344">
        <f t="shared" si="35"/>
        <v>0</v>
      </c>
      <c r="I344" s="67">
        <f>'Historical VAR'!$G$7</f>
        <v>-3.1428916759065853E-2</v>
      </c>
      <c r="J344">
        <f t="shared" si="36"/>
        <v>0</v>
      </c>
      <c r="K344" s="67">
        <f ca="1">'Monte Carlo Stimulation'!$I$8</f>
        <v>-2.1559270710709389E-2</v>
      </c>
      <c r="L344">
        <f t="shared" ca="1" si="37"/>
        <v>0</v>
      </c>
      <c r="M344" s="67">
        <f ca="1">'Monte Carlo Stimulation'!$I$9</f>
        <v>-2.919314405717207E-2</v>
      </c>
      <c r="N344">
        <f t="shared" ca="1" si="38"/>
        <v>0</v>
      </c>
    </row>
    <row r="345" spans="1:14">
      <c r="A345" s="12">
        <v>45607</v>
      </c>
      <c r="B345" s="14">
        <v>1.8844758474211576E-2</v>
      </c>
      <c r="C345" s="67">
        <f>'Parametric VAR'!$F$12</f>
        <v>-2.023068247926026E-2</v>
      </c>
      <c r="D345">
        <f t="shared" si="33"/>
        <v>0</v>
      </c>
      <c r="E345" s="67">
        <f>'Parametric VAR'!$F$13</f>
        <v>-2.8682193012943492E-2</v>
      </c>
      <c r="F345">
        <f t="shared" si="34"/>
        <v>0</v>
      </c>
      <c r="G345" s="67">
        <f>'Historical VAR'!$G$6</f>
        <v>-1.9839729167757107E-2</v>
      </c>
      <c r="H345">
        <f t="shared" si="35"/>
        <v>0</v>
      </c>
      <c r="I345" s="67">
        <f>'Historical VAR'!$G$7</f>
        <v>-3.1428916759065853E-2</v>
      </c>
      <c r="J345">
        <f t="shared" si="36"/>
        <v>0</v>
      </c>
      <c r="K345" s="67">
        <f ca="1">'Monte Carlo Stimulation'!$I$8</f>
        <v>-2.1559270710709389E-2</v>
      </c>
      <c r="L345">
        <f t="shared" ca="1" si="37"/>
        <v>0</v>
      </c>
      <c r="M345" s="67">
        <f ca="1">'Monte Carlo Stimulation'!$I$9</f>
        <v>-2.919314405717207E-2</v>
      </c>
      <c r="N345">
        <f t="shared" ca="1" si="38"/>
        <v>0</v>
      </c>
    </row>
    <row r="346" spans="1:14">
      <c r="A346" s="12">
        <v>45604</v>
      </c>
      <c r="B346" s="14">
        <v>6.9338428869749502E-2</v>
      </c>
      <c r="C346" s="67">
        <f>'Parametric VAR'!$F$12</f>
        <v>-2.023068247926026E-2</v>
      </c>
      <c r="D346">
        <f t="shared" si="33"/>
        <v>0</v>
      </c>
      <c r="E346" s="67">
        <f>'Parametric VAR'!$F$13</f>
        <v>-2.8682193012943492E-2</v>
      </c>
      <c r="F346">
        <f t="shared" si="34"/>
        <v>0</v>
      </c>
      <c r="G346" s="67">
        <f>'Historical VAR'!$G$6</f>
        <v>-1.9839729167757107E-2</v>
      </c>
      <c r="H346">
        <f t="shared" si="35"/>
        <v>0</v>
      </c>
      <c r="I346" s="67">
        <f>'Historical VAR'!$G$7</f>
        <v>-3.1428916759065853E-2</v>
      </c>
      <c r="J346">
        <f t="shared" si="36"/>
        <v>0</v>
      </c>
      <c r="K346" s="67">
        <f ca="1">'Monte Carlo Stimulation'!$I$8</f>
        <v>-2.1559270710709389E-2</v>
      </c>
      <c r="L346">
        <f t="shared" ca="1" si="37"/>
        <v>0</v>
      </c>
      <c r="M346" s="67">
        <f ca="1">'Monte Carlo Stimulation'!$I$9</f>
        <v>-2.919314405717207E-2</v>
      </c>
      <c r="N346">
        <f t="shared" ca="1" si="38"/>
        <v>0</v>
      </c>
    </row>
    <row r="347" spans="1:14">
      <c r="A347" s="12">
        <v>45603</v>
      </c>
      <c r="B347" s="14">
        <v>2.6094359788636452E-2</v>
      </c>
      <c r="C347" s="67">
        <f>'Parametric VAR'!$F$12</f>
        <v>-2.023068247926026E-2</v>
      </c>
      <c r="D347">
        <f t="shared" si="33"/>
        <v>0</v>
      </c>
      <c r="E347" s="67">
        <f>'Parametric VAR'!$F$13</f>
        <v>-2.8682193012943492E-2</v>
      </c>
      <c r="F347">
        <f t="shared" si="34"/>
        <v>0</v>
      </c>
      <c r="G347" s="67">
        <f>'Historical VAR'!$G$6</f>
        <v>-1.9839729167757107E-2</v>
      </c>
      <c r="H347">
        <f t="shared" si="35"/>
        <v>0</v>
      </c>
      <c r="I347" s="67">
        <f>'Historical VAR'!$G$7</f>
        <v>-3.1428916759065853E-2</v>
      </c>
      <c r="J347">
        <f t="shared" si="36"/>
        <v>0</v>
      </c>
      <c r="K347" s="67">
        <f ca="1">'Monte Carlo Stimulation'!$I$8</f>
        <v>-2.1559270710709389E-2</v>
      </c>
      <c r="L347">
        <f t="shared" ca="1" si="37"/>
        <v>0</v>
      </c>
      <c r="M347" s="67">
        <f ca="1">'Monte Carlo Stimulation'!$I$9</f>
        <v>-2.919314405717207E-2</v>
      </c>
      <c r="N347">
        <f t="shared" ca="1" si="38"/>
        <v>0</v>
      </c>
    </row>
    <row r="348" spans="1:14">
      <c r="A348" s="12">
        <v>45602</v>
      </c>
      <c r="B348" s="14">
        <v>1.8287176642649752E-2</v>
      </c>
      <c r="C348" s="67">
        <f>'Parametric VAR'!$F$12</f>
        <v>-2.023068247926026E-2</v>
      </c>
      <c r="D348">
        <f t="shared" si="33"/>
        <v>0</v>
      </c>
      <c r="E348" s="67">
        <f>'Parametric VAR'!$F$13</f>
        <v>-2.8682193012943492E-2</v>
      </c>
      <c r="F348">
        <f t="shared" si="34"/>
        <v>0</v>
      </c>
      <c r="G348" s="67">
        <f>'Historical VAR'!$G$6</f>
        <v>-1.9839729167757107E-2</v>
      </c>
      <c r="H348">
        <f t="shared" si="35"/>
        <v>0</v>
      </c>
      <c r="I348" s="67">
        <f>'Historical VAR'!$G$7</f>
        <v>-3.1428916759065853E-2</v>
      </c>
      <c r="J348">
        <f t="shared" si="36"/>
        <v>0</v>
      </c>
      <c r="K348" s="67">
        <f ca="1">'Monte Carlo Stimulation'!$I$8</f>
        <v>-2.1559270710709389E-2</v>
      </c>
      <c r="L348">
        <f t="shared" ca="1" si="37"/>
        <v>0</v>
      </c>
      <c r="M348" s="67">
        <f ca="1">'Monte Carlo Stimulation'!$I$9</f>
        <v>-2.919314405717207E-2</v>
      </c>
      <c r="N348">
        <f t="shared" ca="1" si="38"/>
        <v>0</v>
      </c>
    </row>
    <row r="349" spans="1:14">
      <c r="A349" s="12">
        <v>45601</v>
      </c>
      <c r="B349" s="14">
        <v>-6.6794704955553006E-3</v>
      </c>
      <c r="C349" s="67">
        <f>'Parametric VAR'!$F$12</f>
        <v>-2.023068247926026E-2</v>
      </c>
      <c r="D349">
        <f t="shared" si="33"/>
        <v>0</v>
      </c>
      <c r="E349" s="67">
        <f>'Parametric VAR'!$F$13</f>
        <v>-2.8682193012943492E-2</v>
      </c>
      <c r="F349">
        <f t="shared" si="34"/>
        <v>0</v>
      </c>
      <c r="G349" s="67">
        <f>'Historical VAR'!$G$6</f>
        <v>-1.9839729167757107E-2</v>
      </c>
      <c r="H349">
        <f t="shared" si="35"/>
        <v>0</v>
      </c>
      <c r="I349" s="67">
        <f>'Historical VAR'!$G$7</f>
        <v>-3.1428916759065853E-2</v>
      </c>
      <c r="J349">
        <f t="shared" si="36"/>
        <v>0</v>
      </c>
      <c r="K349" s="67">
        <f ca="1">'Monte Carlo Stimulation'!$I$8</f>
        <v>-2.1559270710709389E-2</v>
      </c>
      <c r="L349">
        <f t="shared" ca="1" si="37"/>
        <v>0</v>
      </c>
      <c r="M349" s="67">
        <f ca="1">'Monte Carlo Stimulation'!$I$9</f>
        <v>-2.919314405717207E-2</v>
      </c>
      <c r="N349">
        <f t="shared" ca="1" si="38"/>
        <v>0</v>
      </c>
    </row>
    <row r="350" spans="1:14">
      <c r="A350" s="12">
        <v>45600</v>
      </c>
      <c r="B350" s="14">
        <v>1.1048988892430164E-2</v>
      </c>
      <c r="C350" s="67">
        <f>'Parametric VAR'!$F$12</f>
        <v>-2.023068247926026E-2</v>
      </c>
      <c r="D350">
        <f t="shared" si="33"/>
        <v>0</v>
      </c>
      <c r="E350" s="67">
        <f>'Parametric VAR'!$F$13</f>
        <v>-2.8682193012943492E-2</v>
      </c>
      <c r="F350">
        <f t="shared" si="34"/>
        <v>0</v>
      </c>
      <c r="G350" s="67">
        <f>'Historical VAR'!$G$6</f>
        <v>-1.9839729167757107E-2</v>
      </c>
      <c r="H350">
        <f t="shared" si="35"/>
        <v>0</v>
      </c>
      <c r="I350" s="67">
        <f>'Historical VAR'!$G$7</f>
        <v>-3.1428916759065853E-2</v>
      </c>
      <c r="J350">
        <f t="shared" si="36"/>
        <v>0</v>
      </c>
      <c r="K350" s="67">
        <f ca="1">'Monte Carlo Stimulation'!$I$8</f>
        <v>-2.1559270710709389E-2</v>
      </c>
      <c r="L350">
        <f t="shared" ca="1" si="37"/>
        <v>0</v>
      </c>
      <c r="M350" s="67">
        <f ca="1">'Monte Carlo Stimulation'!$I$9</f>
        <v>-2.919314405717207E-2</v>
      </c>
      <c r="N350">
        <f t="shared" ca="1" si="38"/>
        <v>0</v>
      </c>
    </row>
    <row r="351" spans="1:14">
      <c r="A351" s="12">
        <v>45597</v>
      </c>
      <c r="B351" s="14">
        <v>1.0857023765352957E-2</v>
      </c>
      <c r="C351" s="67">
        <f>'Parametric VAR'!$F$12</f>
        <v>-2.023068247926026E-2</v>
      </c>
      <c r="D351">
        <f t="shared" si="33"/>
        <v>0</v>
      </c>
      <c r="E351" s="67">
        <f>'Parametric VAR'!$F$13</f>
        <v>-2.8682193012943492E-2</v>
      </c>
      <c r="F351">
        <f t="shared" si="34"/>
        <v>0</v>
      </c>
      <c r="G351" s="67">
        <f>'Historical VAR'!$G$6</f>
        <v>-1.9839729167757107E-2</v>
      </c>
      <c r="H351">
        <f t="shared" si="35"/>
        <v>0</v>
      </c>
      <c r="I351" s="67">
        <f>'Historical VAR'!$G$7</f>
        <v>-3.1428916759065853E-2</v>
      </c>
      <c r="J351">
        <f t="shared" si="36"/>
        <v>0</v>
      </c>
      <c r="K351" s="67">
        <f ca="1">'Monte Carlo Stimulation'!$I$8</f>
        <v>-2.1559270710709389E-2</v>
      </c>
      <c r="L351">
        <f t="shared" ca="1" si="37"/>
        <v>0</v>
      </c>
      <c r="M351" s="67">
        <f ca="1">'Monte Carlo Stimulation'!$I$9</f>
        <v>-2.919314405717207E-2</v>
      </c>
      <c r="N351">
        <f t="shared" ca="1" si="38"/>
        <v>0</v>
      </c>
    </row>
    <row r="352" spans="1:14">
      <c r="A352" s="12">
        <v>45596</v>
      </c>
      <c r="B352" s="14">
        <v>-1.200311183664995E-3</v>
      </c>
      <c r="C352" s="67">
        <f>'Parametric VAR'!$F$12</f>
        <v>-2.023068247926026E-2</v>
      </c>
      <c r="D352">
        <f t="shared" si="33"/>
        <v>0</v>
      </c>
      <c r="E352" s="67">
        <f>'Parametric VAR'!$F$13</f>
        <v>-2.8682193012943492E-2</v>
      </c>
      <c r="F352">
        <f t="shared" si="34"/>
        <v>0</v>
      </c>
      <c r="G352" s="67">
        <f>'Historical VAR'!$G$6</f>
        <v>-1.9839729167757107E-2</v>
      </c>
      <c r="H352">
        <f t="shared" si="35"/>
        <v>0</v>
      </c>
      <c r="I352" s="67">
        <f>'Historical VAR'!$G$7</f>
        <v>-3.1428916759065853E-2</v>
      </c>
      <c r="J352">
        <f t="shared" si="36"/>
        <v>0</v>
      </c>
      <c r="K352" s="67">
        <f ca="1">'Monte Carlo Stimulation'!$I$8</f>
        <v>-2.1559270710709389E-2</v>
      </c>
      <c r="L352">
        <f t="shared" ca="1" si="37"/>
        <v>0</v>
      </c>
      <c r="M352" s="67">
        <f ca="1">'Monte Carlo Stimulation'!$I$9</f>
        <v>-2.919314405717207E-2</v>
      </c>
      <c r="N352">
        <f t="shared" ca="1" si="38"/>
        <v>0</v>
      </c>
    </row>
    <row r="353" spans="1:14">
      <c r="A353" s="12">
        <v>45595</v>
      </c>
      <c r="B353" s="14">
        <v>1.0698032209306632E-2</v>
      </c>
      <c r="C353" s="67">
        <f>'Parametric VAR'!$F$12</f>
        <v>-2.023068247926026E-2</v>
      </c>
      <c r="D353">
        <f t="shared" si="33"/>
        <v>0</v>
      </c>
      <c r="E353" s="67">
        <f>'Parametric VAR'!$F$13</f>
        <v>-2.8682193012943492E-2</v>
      </c>
      <c r="F353">
        <f t="shared" si="34"/>
        <v>0</v>
      </c>
      <c r="G353" s="67">
        <f>'Historical VAR'!$G$6</f>
        <v>-1.9839729167757107E-2</v>
      </c>
      <c r="H353">
        <f t="shared" si="35"/>
        <v>0</v>
      </c>
      <c r="I353" s="67">
        <f>'Historical VAR'!$G$7</f>
        <v>-3.1428916759065853E-2</v>
      </c>
      <c r="J353">
        <f t="shared" si="36"/>
        <v>0</v>
      </c>
      <c r="K353" s="67">
        <f ca="1">'Monte Carlo Stimulation'!$I$8</f>
        <v>-2.1559270710709389E-2</v>
      </c>
      <c r="L353">
        <f t="shared" ca="1" si="37"/>
        <v>0</v>
      </c>
      <c r="M353" s="67">
        <f ca="1">'Monte Carlo Stimulation'!$I$9</f>
        <v>-2.919314405717207E-2</v>
      </c>
      <c r="N353">
        <f t="shared" ca="1" si="38"/>
        <v>0</v>
      </c>
    </row>
    <row r="354" spans="1:14">
      <c r="A354" s="12">
        <v>45594</v>
      </c>
      <c r="B354" s="14">
        <v>-1.9438737230865158E-3</v>
      </c>
      <c r="C354" s="67">
        <f>'Parametric VAR'!$F$12</f>
        <v>-2.023068247926026E-2</v>
      </c>
      <c r="D354">
        <f t="shared" si="33"/>
        <v>0</v>
      </c>
      <c r="E354" s="67">
        <f>'Parametric VAR'!$F$13</f>
        <v>-2.8682193012943492E-2</v>
      </c>
      <c r="F354">
        <f t="shared" si="34"/>
        <v>0</v>
      </c>
      <c r="G354" s="67">
        <f>'Historical VAR'!$G$6</f>
        <v>-1.9839729167757107E-2</v>
      </c>
      <c r="H354">
        <f t="shared" si="35"/>
        <v>0</v>
      </c>
      <c r="I354" s="67">
        <f>'Historical VAR'!$G$7</f>
        <v>-3.1428916759065853E-2</v>
      </c>
      <c r="J354">
        <f t="shared" si="36"/>
        <v>0</v>
      </c>
      <c r="K354" s="67">
        <f ca="1">'Monte Carlo Stimulation'!$I$8</f>
        <v>-2.1559270710709389E-2</v>
      </c>
      <c r="L354">
        <f t="shared" ca="1" si="37"/>
        <v>0</v>
      </c>
      <c r="M354" s="67">
        <f ca="1">'Monte Carlo Stimulation'!$I$9</f>
        <v>-2.919314405717207E-2</v>
      </c>
      <c r="N354">
        <f t="shared" ca="1" si="38"/>
        <v>0</v>
      </c>
    </row>
    <row r="355" spans="1:14">
      <c r="A355" s="12">
        <v>45593</v>
      </c>
      <c r="B355" s="14">
        <v>-9.3892590232283208E-4</v>
      </c>
      <c r="C355" s="67">
        <f>'Parametric VAR'!$F$12</f>
        <v>-2.023068247926026E-2</v>
      </c>
      <c r="D355">
        <f t="shared" si="33"/>
        <v>0</v>
      </c>
      <c r="E355" s="67">
        <f>'Parametric VAR'!$F$13</f>
        <v>-2.8682193012943492E-2</v>
      </c>
      <c r="F355">
        <f t="shared" si="34"/>
        <v>0</v>
      </c>
      <c r="G355" s="67">
        <f>'Historical VAR'!$G$6</f>
        <v>-1.9839729167757107E-2</v>
      </c>
      <c r="H355">
        <f t="shared" si="35"/>
        <v>0</v>
      </c>
      <c r="I355" s="67">
        <f>'Historical VAR'!$G$7</f>
        <v>-3.1428916759065853E-2</v>
      </c>
      <c r="J355">
        <f t="shared" si="36"/>
        <v>0</v>
      </c>
      <c r="K355" s="67">
        <f ca="1">'Monte Carlo Stimulation'!$I$8</f>
        <v>-2.1559270710709389E-2</v>
      </c>
      <c r="L355">
        <f t="shared" ca="1" si="37"/>
        <v>0</v>
      </c>
      <c r="M355" s="67">
        <f ca="1">'Monte Carlo Stimulation'!$I$9</f>
        <v>-2.919314405717207E-2</v>
      </c>
      <c r="N355">
        <f t="shared" ca="1" si="38"/>
        <v>0</v>
      </c>
    </row>
    <row r="356" spans="1:14">
      <c r="A356" s="12">
        <v>45590</v>
      </c>
      <c r="B356" s="14">
        <v>-1.2763705501754645E-2</v>
      </c>
      <c r="C356" s="67">
        <f>'Parametric VAR'!$F$12</f>
        <v>-2.023068247926026E-2</v>
      </c>
      <c r="D356">
        <f t="shared" si="33"/>
        <v>0</v>
      </c>
      <c r="E356" s="67">
        <f>'Parametric VAR'!$F$13</f>
        <v>-2.8682193012943492E-2</v>
      </c>
      <c r="F356">
        <f t="shared" si="34"/>
        <v>0</v>
      </c>
      <c r="G356" s="67">
        <f>'Historical VAR'!$G$6</f>
        <v>-1.9839729167757107E-2</v>
      </c>
      <c r="H356">
        <f t="shared" si="35"/>
        <v>0</v>
      </c>
      <c r="I356" s="67">
        <f>'Historical VAR'!$G$7</f>
        <v>-3.1428916759065853E-2</v>
      </c>
      <c r="J356">
        <f t="shared" si="36"/>
        <v>0</v>
      </c>
      <c r="K356" s="67">
        <f ca="1">'Monte Carlo Stimulation'!$I$8</f>
        <v>-2.1559270710709389E-2</v>
      </c>
      <c r="L356">
        <f t="shared" ca="1" si="37"/>
        <v>0</v>
      </c>
      <c r="M356" s="67">
        <f ca="1">'Monte Carlo Stimulation'!$I$9</f>
        <v>-2.919314405717207E-2</v>
      </c>
      <c r="N356">
        <f t="shared" ca="1" si="38"/>
        <v>0</v>
      </c>
    </row>
    <row r="357" spans="1:14">
      <c r="A357" s="12">
        <v>45589</v>
      </c>
      <c r="B357" s="14">
        <v>4.712884911934825E-3</v>
      </c>
      <c r="C357" s="67">
        <f>'Parametric VAR'!$F$12</f>
        <v>-2.023068247926026E-2</v>
      </c>
      <c r="D357">
        <f t="shared" si="33"/>
        <v>0</v>
      </c>
      <c r="E357" s="67">
        <f>'Parametric VAR'!$F$13</f>
        <v>-2.8682193012943492E-2</v>
      </c>
      <c r="F357">
        <f t="shared" si="34"/>
        <v>0</v>
      </c>
      <c r="G357" s="67">
        <f>'Historical VAR'!$G$6</f>
        <v>-1.9839729167757107E-2</v>
      </c>
      <c r="H357">
        <f t="shared" si="35"/>
        <v>0</v>
      </c>
      <c r="I357" s="67">
        <f>'Historical VAR'!$G$7</f>
        <v>-3.1428916759065853E-2</v>
      </c>
      <c r="J357">
        <f t="shared" si="36"/>
        <v>0</v>
      </c>
      <c r="K357" s="67">
        <f ca="1">'Monte Carlo Stimulation'!$I$8</f>
        <v>-2.1559270710709389E-2</v>
      </c>
      <c r="L357">
        <f t="shared" ca="1" si="37"/>
        <v>0</v>
      </c>
      <c r="M357" s="67">
        <f ca="1">'Monte Carlo Stimulation'!$I$9</f>
        <v>-2.919314405717207E-2</v>
      </c>
      <c r="N357">
        <f t="shared" ca="1" si="38"/>
        <v>0</v>
      </c>
    </row>
    <row r="358" spans="1:14">
      <c r="A358" s="12">
        <v>45588</v>
      </c>
      <c r="B358" s="14">
        <v>1.8986557960936755E-3</v>
      </c>
      <c r="C358" s="67">
        <f>'Parametric VAR'!$F$12</f>
        <v>-2.023068247926026E-2</v>
      </c>
      <c r="D358">
        <f t="shared" si="33"/>
        <v>0</v>
      </c>
      <c r="E358" s="67">
        <f>'Parametric VAR'!$F$13</f>
        <v>-2.8682193012943492E-2</v>
      </c>
      <c r="F358">
        <f t="shared" si="34"/>
        <v>0</v>
      </c>
      <c r="G358" s="67">
        <f>'Historical VAR'!$G$6</f>
        <v>-1.9839729167757107E-2</v>
      </c>
      <c r="H358">
        <f t="shared" si="35"/>
        <v>0</v>
      </c>
      <c r="I358" s="67">
        <f>'Historical VAR'!$G$7</f>
        <v>-3.1428916759065853E-2</v>
      </c>
      <c r="J358">
        <f t="shared" si="36"/>
        <v>0</v>
      </c>
      <c r="K358" s="67">
        <f ca="1">'Monte Carlo Stimulation'!$I$8</f>
        <v>-2.1559270710709389E-2</v>
      </c>
      <c r="L358">
        <f t="shared" ca="1" si="37"/>
        <v>0</v>
      </c>
      <c r="M358" s="67">
        <f ca="1">'Monte Carlo Stimulation'!$I$9</f>
        <v>-2.919314405717207E-2</v>
      </c>
      <c r="N358">
        <f t="shared" ca="1" si="38"/>
        <v>0</v>
      </c>
    </row>
    <row r="359" spans="1:14">
      <c r="A359" s="12">
        <v>45587</v>
      </c>
      <c r="B359" s="14">
        <v>5.4624605552160196E-3</v>
      </c>
      <c r="C359" s="67">
        <f>'Parametric VAR'!$F$12</f>
        <v>-2.023068247926026E-2</v>
      </c>
      <c r="D359">
        <f t="shared" si="33"/>
        <v>0</v>
      </c>
      <c r="E359" s="67">
        <f>'Parametric VAR'!$F$13</f>
        <v>-2.8682193012943492E-2</v>
      </c>
      <c r="F359">
        <f t="shared" si="34"/>
        <v>0</v>
      </c>
      <c r="G359" s="67">
        <f>'Historical VAR'!$G$6</f>
        <v>-1.9839729167757107E-2</v>
      </c>
      <c r="H359">
        <f t="shared" si="35"/>
        <v>0</v>
      </c>
      <c r="I359" s="67">
        <f>'Historical VAR'!$G$7</f>
        <v>-3.1428916759065853E-2</v>
      </c>
      <c r="J359">
        <f t="shared" si="36"/>
        <v>0</v>
      </c>
      <c r="K359" s="67">
        <f ca="1">'Monte Carlo Stimulation'!$I$8</f>
        <v>-2.1559270710709389E-2</v>
      </c>
      <c r="L359">
        <f t="shared" ca="1" si="37"/>
        <v>0</v>
      </c>
      <c r="M359" s="67">
        <f ca="1">'Monte Carlo Stimulation'!$I$9</f>
        <v>-2.919314405717207E-2</v>
      </c>
      <c r="N359">
        <f t="shared" ca="1" si="38"/>
        <v>0</v>
      </c>
    </row>
    <row r="360" spans="1:14">
      <c r="A360" s="12">
        <v>45586</v>
      </c>
      <c r="B360" s="14">
        <v>1.8169708492425628E-2</v>
      </c>
      <c r="C360" s="67">
        <f>'Parametric VAR'!$F$12</f>
        <v>-2.023068247926026E-2</v>
      </c>
      <c r="D360">
        <f t="shared" si="33"/>
        <v>0</v>
      </c>
      <c r="E360" s="67">
        <f>'Parametric VAR'!$F$13</f>
        <v>-2.8682193012943492E-2</v>
      </c>
      <c r="F360">
        <f t="shared" si="34"/>
        <v>0</v>
      </c>
      <c r="G360" s="67">
        <f>'Historical VAR'!$G$6</f>
        <v>-1.9839729167757107E-2</v>
      </c>
      <c r="H360">
        <f t="shared" si="35"/>
        <v>0</v>
      </c>
      <c r="I360" s="67">
        <f>'Historical VAR'!$G$7</f>
        <v>-3.1428916759065853E-2</v>
      </c>
      <c r="J360">
        <f t="shared" si="36"/>
        <v>0</v>
      </c>
      <c r="K360" s="67">
        <f ca="1">'Monte Carlo Stimulation'!$I$8</f>
        <v>-2.1559270710709389E-2</v>
      </c>
      <c r="L360">
        <f t="shared" ca="1" si="37"/>
        <v>0</v>
      </c>
      <c r="M360" s="67">
        <f ca="1">'Monte Carlo Stimulation'!$I$9</f>
        <v>-2.919314405717207E-2</v>
      </c>
      <c r="N360">
        <f t="shared" ca="1" si="38"/>
        <v>0</v>
      </c>
    </row>
    <row r="361" spans="1:14">
      <c r="A361" s="12">
        <v>45583</v>
      </c>
      <c r="B361" s="14">
        <v>-1.171383672167961E-2</v>
      </c>
      <c r="C361" s="67">
        <f>'Parametric VAR'!$F$12</f>
        <v>-2.023068247926026E-2</v>
      </c>
      <c r="D361">
        <f t="shared" si="33"/>
        <v>0</v>
      </c>
      <c r="E361" s="67">
        <f>'Parametric VAR'!$F$13</f>
        <v>-2.8682193012943492E-2</v>
      </c>
      <c r="F361">
        <f t="shared" si="34"/>
        <v>0</v>
      </c>
      <c r="G361" s="67">
        <f>'Historical VAR'!$G$6</f>
        <v>-1.9839729167757107E-2</v>
      </c>
      <c r="H361">
        <f t="shared" si="35"/>
        <v>0</v>
      </c>
      <c r="I361" s="67">
        <f>'Historical VAR'!$G$7</f>
        <v>-3.1428916759065853E-2</v>
      </c>
      <c r="J361">
        <f t="shared" si="36"/>
        <v>0</v>
      </c>
      <c r="K361" s="67">
        <f ca="1">'Monte Carlo Stimulation'!$I$8</f>
        <v>-2.1559270710709389E-2</v>
      </c>
      <c r="L361">
        <f t="shared" ca="1" si="37"/>
        <v>0</v>
      </c>
      <c r="M361" s="67">
        <f ca="1">'Monte Carlo Stimulation'!$I$9</f>
        <v>-2.919314405717207E-2</v>
      </c>
      <c r="N361">
        <f t="shared" ca="1" si="38"/>
        <v>0</v>
      </c>
    </row>
    <row r="362" spans="1:14">
      <c r="A362" s="12">
        <v>45582</v>
      </c>
      <c r="B362" s="14">
        <v>1.6553933404282135E-2</v>
      </c>
      <c r="C362" s="67">
        <f>'Parametric VAR'!$F$12</f>
        <v>-2.023068247926026E-2</v>
      </c>
      <c r="D362">
        <f t="shared" si="33"/>
        <v>0</v>
      </c>
      <c r="E362" s="67">
        <f>'Parametric VAR'!$F$13</f>
        <v>-2.8682193012943492E-2</v>
      </c>
      <c r="F362">
        <f t="shared" si="34"/>
        <v>0</v>
      </c>
      <c r="G362" s="67">
        <f>'Historical VAR'!$G$6</f>
        <v>-1.9839729167757107E-2</v>
      </c>
      <c r="H362">
        <f t="shared" si="35"/>
        <v>0</v>
      </c>
      <c r="I362" s="67">
        <f>'Historical VAR'!$G$7</f>
        <v>-3.1428916759065853E-2</v>
      </c>
      <c r="J362">
        <f t="shared" si="36"/>
        <v>0</v>
      </c>
      <c r="K362" s="67">
        <f ca="1">'Monte Carlo Stimulation'!$I$8</f>
        <v>-2.1559270710709389E-2</v>
      </c>
      <c r="L362">
        <f t="shared" ca="1" si="37"/>
        <v>0</v>
      </c>
      <c r="M362" s="67">
        <f ca="1">'Monte Carlo Stimulation'!$I$9</f>
        <v>-2.919314405717207E-2</v>
      </c>
      <c r="N362">
        <f t="shared" ca="1" si="38"/>
        <v>0</v>
      </c>
    </row>
    <row r="363" spans="1:14">
      <c r="A363" s="12">
        <v>45581</v>
      </c>
      <c r="B363" s="14">
        <v>1.242007218168285E-2</v>
      </c>
      <c r="C363" s="67">
        <f>'Parametric VAR'!$F$12</f>
        <v>-2.023068247926026E-2</v>
      </c>
      <c r="D363">
        <f t="shared" si="33"/>
        <v>0</v>
      </c>
      <c r="E363" s="67">
        <f>'Parametric VAR'!$F$13</f>
        <v>-2.8682193012943492E-2</v>
      </c>
      <c r="F363">
        <f t="shared" si="34"/>
        <v>0</v>
      </c>
      <c r="G363" s="67">
        <f>'Historical VAR'!$G$6</f>
        <v>-1.9839729167757107E-2</v>
      </c>
      <c r="H363">
        <f t="shared" si="35"/>
        <v>0</v>
      </c>
      <c r="I363" s="67">
        <f>'Historical VAR'!$G$7</f>
        <v>-3.1428916759065853E-2</v>
      </c>
      <c r="J363">
        <f t="shared" si="36"/>
        <v>0</v>
      </c>
      <c r="K363" s="67">
        <f ca="1">'Monte Carlo Stimulation'!$I$8</f>
        <v>-2.1559270710709389E-2</v>
      </c>
      <c r="L363">
        <f t="shared" ca="1" si="37"/>
        <v>0</v>
      </c>
      <c r="M363" s="67">
        <f ca="1">'Monte Carlo Stimulation'!$I$9</f>
        <v>-2.919314405717207E-2</v>
      </c>
      <c r="N363">
        <f t="shared" ca="1" si="38"/>
        <v>0</v>
      </c>
    </row>
    <row r="364" spans="1:14">
      <c r="A364" s="12">
        <v>45580</v>
      </c>
      <c r="B364" s="14">
        <v>-1.0533422437275515E-3</v>
      </c>
      <c r="C364" s="67">
        <f>'Parametric VAR'!$F$12</f>
        <v>-2.023068247926026E-2</v>
      </c>
      <c r="D364">
        <f t="shared" si="33"/>
        <v>0</v>
      </c>
      <c r="E364" s="67">
        <f>'Parametric VAR'!$F$13</f>
        <v>-2.8682193012943492E-2</v>
      </c>
      <c r="F364">
        <f t="shared" si="34"/>
        <v>0</v>
      </c>
      <c r="G364" s="67">
        <f>'Historical VAR'!$G$6</f>
        <v>-1.9839729167757107E-2</v>
      </c>
      <c r="H364">
        <f t="shared" si="35"/>
        <v>0</v>
      </c>
      <c r="I364" s="67">
        <f>'Historical VAR'!$G$7</f>
        <v>-3.1428916759065853E-2</v>
      </c>
      <c r="J364">
        <f t="shared" si="36"/>
        <v>0</v>
      </c>
      <c r="K364" s="67">
        <f ca="1">'Monte Carlo Stimulation'!$I$8</f>
        <v>-2.1559270710709389E-2</v>
      </c>
      <c r="L364">
        <f t="shared" ca="1" si="37"/>
        <v>0</v>
      </c>
      <c r="M364" s="67">
        <f ca="1">'Monte Carlo Stimulation'!$I$9</f>
        <v>-2.919314405717207E-2</v>
      </c>
      <c r="N364">
        <f t="shared" ca="1" si="38"/>
        <v>0</v>
      </c>
    </row>
    <row r="365" spans="1:14">
      <c r="A365" s="12">
        <v>45579</v>
      </c>
      <c r="B365" s="14">
        <v>-1.1788401283847692E-2</v>
      </c>
      <c r="C365" s="67">
        <f>'Parametric VAR'!$F$12</f>
        <v>-2.023068247926026E-2</v>
      </c>
      <c r="D365">
        <f t="shared" si="33"/>
        <v>0</v>
      </c>
      <c r="E365" s="67">
        <f>'Parametric VAR'!$F$13</f>
        <v>-2.8682193012943492E-2</v>
      </c>
      <c r="F365">
        <f t="shared" si="34"/>
        <v>0</v>
      </c>
      <c r="G365" s="67">
        <f>'Historical VAR'!$G$6</f>
        <v>-1.9839729167757107E-2</v>
      </c>
      <c r="H365">
        <f t="shared" si="35"/>
        <v>0</v>
      </c>
      <c r="I365" s="67">
        <f>'Historical VAR'!$G$7</f>
        <v>-3.1428916759065853E-2</v>
      </c>
      <c r="J365">
        <f t="shared" si="36"/>
        <v>0</v>
      </c>
      <c r="K365" s="67">
        <f ca="1">'Monte Carlo Stimulation'!$I$8</f>
        <v>-2.1559270710709389E-2</v>
      </c>
      <c r="L365">
        <f t="shared" ca="1" si="37"/>
        <v>0</v>
      </c>
      <c r="M365" s="67">
        <f ca="1">'Monte Carlo Stimulation'!$I$9</f>
        <v>-2.919314405717207E-2</v>
      </c>
      <c r="N365">
        <f t="shared" ca="1" si="38"/>
        <v>0</v>
      </c>
    </row>
    <row r="366" spans="1:14">
      <c r="A366" s="12">
        <v>45576</v>
      </c>
      <c r="B366" s="14">
        <v>1.2870919439378938E-3</v>
      </c>
      <c r="C366" s="67">
        <f>'Parametric VAR'!$F$12</f>
        <v>-2.023068247926026E-2</v>
      </c>
      <c r="D366">
        <f t="shared" si="33"/>
        <v>0</v>
      </c>
      <c r="E366" s="67">
        <f>'Parametric VAR'!$F$13</f>
        <v>-2.8682193012943492E-2</v>
      </c>
      <c r="F366">
        <f t="shared" si="34"/>
        <v>0</v>
      </c>
      <c r="G366" s="67">
        <f>'Historical VAR'!$G$6</f>
        <v>-1.9839729167757107E-2</v>
      </c>
      <c r="H366">
        <f t="shared" si="35"/>
        <v>0</v>
      </c>
      <c r="I366" s="67">
        <f>'Historical VAR'!$G$7</f>
        <v>-3.1428916759065853E-2</v>
      </c>
      <c r="J366">
        <f t="shared" si="36"/>
        <v>0</v>
      </c>
      <c r="K366" s="67">
        <f ca="1">'Monte Carlo Stimulation'!$I$8</f>
        <v>-2.1559270710709389E-2</v>
      </c>
      <c r="L366">
        <f t="shared" ca="1" si="37"/>
        <v>0</v>
      </c>
      <c r="M366" s="67">
        <f ca="1">'Monte Carlo Stimulation'!$I$9</f>
        <v>-2.919314405717207E-2</v>
      </c>
      <c r="N366">
        <f t="shared" ca="1" si="38"/>
        <v>0</v>
      </c>
    </row>
    <row r="367" spans="1:14">
      <c r="A367" s="12">
        <v>45575</v>
      </c>
      <c r="B367" s="14">
        <v>6.9915357255774576E-3</v>
      </c>
      <c r="C367" s="67">
        <f>'Parametric VAR'!$F$12</f>
        <v>-2.023068247926026E-2</v>
      </c>
      <c r="D367">
        <f t="shared" si="33"/>
        <v>0</v>
      </c>
      <c r="E367" s="67">
        <f>'Parametric VAR'!$F$13</f>
        <v>-2.8682193012943492E-2</v>
      </c>
      <c r="F367">
        <f t="shared" si="34"/>
        <v>0</v>
      </c>
      <c r="G367" s="67">
        <f>'Historical VAR'!$G$6</f>
        <v>-1.9839729167757107E-2</v>
      </c>
      <c r="H367">
        <f t="shared" si="35"/>
        <v>0</v>
      </c>
      <c r="I367" s="67">
        <f>'Historical VAR'!$G$7</f>
        <v>-3.1428916759065853E-2</v>
      </c>
      <c r="J367">
        <f t="shared" si="36"/>
        <v>0</v>
      </c>
      <c r="K367" s="67">
        <f ca="1">'Monte Carlo Stimulation'!$I$8</f>
        <v>-2.1559270710709389E-2</v>
      </c>
      <c r="L367">
        <f t="shared" ca="1" si="37"/>
        <v>0</v>
      </c>
      <c r="M367" s="67">
        <f ca="1">'Monte Carlo Stimulation'!$I$9</f>
        <v>-2.919314405717207E-2</v>
      </c>
      <c r="N367">
        <f t="shared" ca="1" si="38"/>
        <v>0</v>
      </c>
    </row>
    <row r="368" spans="1:14">
      <c r="A368" s="12">
        <v>45574</v>
      </c>
      <c r="B368" s="14">
        <v>6.6812561529015812E-3</v>
      </c>
      <c r="C368" s="67">
        <f>'Parametric VAR'!$F$12</f>
        <v>-2.023068247926026E-2</v>
      </c>
      <c r="D368">
        <f t="shared" si="33"/>
        <v>0</v>
      </c>
      <c r="E368" s="67">
        <f>'Parametric VAR'!$F$13</f>
        <v>-2.8682193012943492E-2</v>
      </c>
      <c r="F368">
        <f t="shared" si="34"/>
        <v>0</v>
      </c>
      <c r="G368" s="67">
        <f>'Historical VAR'!$G$6</f>
        <v>-1.9839729167757107E-2</v>
      </c>
      <c r="H368">
        <f t="shared" si="35"/>
        <v>0</v>
      </c>
      <c r="I368" s="67">
        <f>'Historical VAR'!$G$7</f>
        <v>-3.1428916759065853E-2</v>
      </c>
      <c r="J368">
        <f t="shared" si="36"/>
        <v>0</v>
      </c>
      <c r="K368" s="67">
        <f ca="1">'Monte Carlo Stimulation'!$I$8</f>
        <v>-2.1559270710709389E-2</v>
      </c>
      <c r="L368">
        <f t="shared" ca="1" si="37"/>
        <v>0</v>
      </c>
      <c r="M368" s="67">
        <f ca="1">'Monte Carlo Stimulation'!$I$9</f>
        <v>-2.919314405717207E-2</v>
      </c>
      <c r="N368">
        <f t="shared" ca="1" si="38"/>
        <v>0</v>
      </c>
    </row>
    <row r="369" spans="1:14">
      <c r="A369" s="12">
        <v>45573</v>
      </c>
      <c r="B369" s="14">
        <v>-4.2365826398721813E-3</v>
      </c>
      <c r="C369" s="67">
        <f>'Parametric VAR'!$F$12</f>
        <v>-2.023068247926026E-2</v>
      </c>
      <c r="D369">
        <f t="shared" si="33"/>
        <v>0</v>
      </c>
      <c r="E369" s="67">
        <f>'Parametric VAR'!$F$13</f>
        <v>-2.8682193012943492E-2</v>
      </c>
      <c r="F369">
        <f t="shared" si="34"/>
        <v>0</v>
      </c>
      <c r="G369" s="67">
        <f>'Historical VAR'!$G$6</f>
        <v>-1.9839729167757107E-2</v>
      </c>
      <c r="H369">
        <f t="shared" si="35"/>
        <v>0</v>
      </c>
      <c r="I369" s="67">
        <f>'Historical VAR'!$G$7</f>
        <v>-3.1428916759065853E-2</v>
      </c>
      <c r="J369">
        <f t="shared" si="36"/>
        <v>0</v>
      </c>
      <c r="K369" s="67">
        <f ca="1">'Monte Carlo Stimulation'!$I$8</f>
        <v>-2.1559270710709389E-2</v>
      </c>
      <c r="L369">
        <f t="shared" ca="1" si="37"/>
        <v>0</v>
      </c>
      <c r="M369" s="67">
        <f ca="1">'Monte Carlo Stimulation'!$I$9</f>
        <v>-2.919314405717207E-2</v>
      </c>
      <c r="N369">
        <f t="shared" ca="1" si="38"/>
        <v>0</v>
      </c>
    </row>
    <row r="370" spans="1:14">
      <c r="A370" s="12">
        <v>45572</v>
      </c>
      <c r="B370" s="14">
        <v>-1.0648355914032874E-2</v>
      </c>
      <c r="C370" s="67">
        <f>'Parametric VAR'!$F$12</f>
        <v>-2.023068247926026E-2</v>
      </c>
      <c r="D370">
        <f t="shared" si="33"/>
        <v>0</v>
      </c>
      <c r="E370" s="67">
        <f>'Parametric VAR'!$F$13</f>
        <v>-2.8682193012943492E-2</v>
      </c>
      <c r="F370">
        <f t="shared" si="34"/>
        <v>0</v>
      </c>
      <c r="G370" s="67">
        <f>'Historical VAR'!$G$6</f>
        <v>-1.9839729167757107E-2</v>
      </c>
      <c r="H370">
        <f t="shared" si="35"/>
        <v>0</v>
      </c>
      <c r="I370" s="67">
        <f>'Historical VAR'!$G$7</f>
        <v>-3.1428916759065853E-2</v>
      </c>
      <c r="J370">
        <f t="shared" si="36"/>
        <v>0</v>
      </c>
      <c r="K370" s="67">
        <f ca="1">'Monte Carlo Stimulation'!$I$8</f>
        <v>-2.1559270710709389E-2</v>
      </c>
      <c r="L370">
        <f t="shared" ca="1" si="37"/>
        <v>0</v>
      </c>
      <c r="M370" s="67">
        <f ca="1">'Monte Carlo Stimulation'!$I$9</f>
        <v>-2.919314405717207E-2</v>
      </c>
      <c r="N370">
        <f t="shared" ca="1" si="38"/>
        <v>0</v>
      </c>
    </row>
    <row r="371" spans="1:14">
      <c r="A371" s="12">
        <v>45569</v>
      </c>
      <c r="B371" s="14">
        <v>7.9457652700749976E-3</v>
      </c>
      <c r="C371" s="67">
        <f>'Parametric VAR'!$F$12</f>
        <v>-2.023068247926026E-2</v>
      </c>
      <c r="D371">
        <f t="shared" si="33"/>
        <v>0</v>
      </c>
      <c r="E371" s="67">
        <f>'Parametric VAR'!$F$13</f>
        <v>-2.8682193012943492E-2</v>
      </c>
      <c r="F371">
        <f t="shared" si="34"/>
        <v>0</v>
      </c>
      <c r="G371" s="67">
        <f>'Historical VAR'!$G$6</f>
        <v>-1.9839729167757107E-2</v>
      </c>
      <c r="H371">
        <f t="shared" si="35"/>
        <v>0</v>
      </c>
      <c r="I371" s="67">
        <f>'Historical VAR'!$G$7</f>
        <v>-3.1428916759065853E-2</v>
      </c>
      <c r="J371">
        <f t="shared" si="36"/>
        <v>0</v>
      </c>
      <c r="K371" s="67">
        <f ca="1">'Monte Carlo Stimulation'!$I$8</f>
        <v>-2.1559270710709389E-2</v>
      </c>
      <c r="L371">
        <f t="shared" ca="1" si="37"/>
        <v>0</v>
      </c>
      <c r="M371" s="67">
        <f ca="1">'Monte Carlo Stimulation'!$I$9</f>
        <v>-2.919314405717207E-2</v>
      </c>
      <c r="N371">
        <f t="shared" ca="1" si="38"/>
        <v>0</v>
      </c>
    </row>
    <row r="372" spans="1:14">
      <c r="A372" s="12">
        <v>45568</v>
      </c>
      <c r="B372" s="14">
        <v>2.5303461224205334E-2</v>
      </c>
      <c r="C372" s="67">
        <f>'Parametric VAR'!$F$12</f>
        <v>-2.023068247926026E-2</v>
      </c>
      <c r="D372">
        <f t="shared" si="33"/>
        <v>0</v>
      </c>
      <c r="E372" s="67">
        <f>'Parametric VAR'!$F$13</f>
        <v>-2.8682193012943492E-2</v>
      </c>
      <c r="F372">
        <f t="shared" si="34"/>
        <v>0</v>
      </c>
      <c r="G372" s="67">
        <f>'Historical VAR'!$G$6</f>
        <v>-1.9839729167757107E-2</v>
      </c>
      <c r="H372">
        <f t="shared" si="35"/>
        <v>0</v>
      </c>
      <c r="I372" s="67">
        <f>'Historical VAR'!$G$7</f>
        <v>-3.1428916759065853E-2</v>
      </c>
      <c r="J372">
        <f t="shared" si="36"/>
        <v>0</v>
      </c>
      <c r="K372" s="67">
        <f ca="1">'Monte Carlo Stimulation'!$I$8</f>
        <v>-2.1559270710709389E-2</v>
      </c>
      <c r="L372">
        <f t="shared" ca="1" si="37"/>
        <v>0</v>
      </c>
      <c r="M372" s="67">
        <f ca="1">'Monte Carlo Stimulation'!$I$9</f>
        <v>-2.919314405717207E-2</v>
      </c>
      <c r="N372">
        <f t="shared" ca="1" si="38"/>
        <v>0</v>
      </c>
    </row>
    <row r="373" spans="1:14">
      <c r="A373" s="12">
        <v>45566</v>
      </c>
      <c r="B373" s="14">
        <v>3.799369508009167E-2</v>
      </c>
      <c r="C373" s="67">
        <f>'Parametric VAR'!$F$12</f>
        <v>-2.023068247926026E-2</v>
      </c>
      <c r="D373">
        <f t="shared" si="33"/>
        <v>0</v>
      </c>
      <c r="E373" s="67">
        <f>'Parametric VAR'!$F$13</f>
        <v>-2.8682193012943492E-2</v>
      </c>
      <c r="F373">
        <f t="shared" si="34"/>
        <v>0</v>
      </c>
      <c r="G373" s="67">
        <f>'Historical VAR'!$G$6</f>
        <v>-1.9839729167757107E-2</v>
      </c>
      <c r="H373">
        <f t="shared" si="35"/>
        <v>0</v>
      </c>
      <c r="I373" s="67">
        <f>'Historical VAR'!$G$7</f>
        <v>-3.1428916759065853E-2</v>
      </c>
      <c r="J373">
        <f t="shared" si="36"/>
        <v>0</v>
      </c>
      <c r="K373" s="67">
        <f ca="1">'Monte Carlo Stimulation'!$I$8</f>
        <v>-2.1559270710709389E-2</v>
      </c>
      <c r="L373">
        <f t="shared" ca="1" si="37"/>
        <v>0</v>
      </c>
      <c r="M373" s="67">
        <f ca="1">'Monte Carlo Stimulation'!$I$9</f>
        <v>-2.919314405717207E-2</v>
      </c>
      <c r="N373">
        <f t="shared" ca="1" si="38"/>
        <v>0</v>
      </c>
    </row>
    <row r="374" spans="1:14">
      <c r="A374" s="12">
        <v>45565</v>
      </c>
      <c r="B374" s="14">
        <v>9.051271196461019E-3</v>
      </c>
      <c r="C374" s="67">
        <f>'Parametric VAR'!$F$12</f>
        <v>-2.023068247926026E-2</v>
      </c>
      <c r="D374">
        <f t="shared" si="33"/>
        <v>0</v>
      </c>
      <c r="E374" s="67">
        <f>'Parametric VAR'!$F$13</f>
        <v>-2.8682193012943492E-2</v>
      </c>
      <c r="F374">
        <f t="shared" si="34"/>
        <v>0</v>
      </c>
      <c r="G374" s="67">
        <f>'Historical VAR'!$G$6</f>
        <v>-1.9839729167757107E-2</v>
      </c>
      <c r="H374">
        <f t="shared" si="35"/>
        <v>0</v>
      </c>
      <c r="I374" s="67">
        <f>'Historical VAR'!$G$7</f>
        <v>-3.1428916759065853E-2</v>
      </c>
      <c r="J374">
        <f t="shared" si="36"/>
        <v>0</v>
      </c>
      <c r="K374" s="67">
        <f ca="1">'Monte Carlo Stimulation'!$I$8</f>
        <v>-2.1559270710709389E-2</v>
      </c>
      <c r="L374">
        <f t="shared" ca="1" si="37"/>
        <v>0</v>
      </c>
      <c r="M374" s="67">
        <f ca="1">'Monte Carlo Stimulation'!$I$9</f>
        <v>-2.919314405717207E-2</v>
      </c>
      <c r="N374">
        <f t="shared" ca="1" si="38"/>
        <v>0</v>
      </c>
    </row>
    <row r="375" spans="1:14">
      <c r="A375" s="12">
        <v>45562</v>
      </c>
      <c r="B375" s="14">
        <v>-4.890696140893905E-3</v>
      </c>
      <c r="C375" s="67">
        <f>'Parametric VAR'!$F$12</f>
        <v>-2.023068247926026E-2</v>
      </c>
      <c r="D375">
        <f t="shared" si="33"/>
        <v>0</v>
      </c>
      <c r="E375" s="67">
        <f>'Parametric VAR'!$F$13</f>
        <v>-2.8682193012943492E-2</v>
      </c>
      <c r="F375">
        <f t="shared" si="34"/>
        <v>0</v>
      </c>
      <c r="G375" s="67">
        <f>'Historical VAR'!$G$6</f>
        <v>-1.9839729167757107E-2</v>
      </c>
      <c r="H375">
        <f t="shared" si="35"/>
        <v>0</v>
      </c>
      <c r="I375" s="67">
        <f>'Historical VAR'!$G$7</f>
        <v>-3.1428916759065853E-2</v>
      </c>
      <c r="J375">
        <f t="shared" si="36"/>
        <v>0</v>
      </c>
      <c r="K375" s="67">
        <f ca="1">'Monte Carlo Stimulation'!$I$8</f>
        <v>-2.1559270710709389E-2</v>
      </c>
      <c r="L375">
        <f t="shared" ca="1" si="37"/>
        <v>0</v>
      </c>
      <c r="M375" s="67">
        <f ca="1">'Monte Carlo Stimulation'!$I$9</f>
        <v>-2.919314405717207E-2</v>
      </c>
      <c r="N375">
        <f t="shared" ca="1" si="38"/>
        <v>0</v>
      </c>
    </row>
    <row r="376" spans="1:14">
      <c r="A376" s="12">
        <v>45561</v>
      </c>
      <c r="B376" s="14">
        <v>-1.0788165686197971E-2</v>
      </c>
      <c r="C376" s="67">
        <f>'Parametric VAR'!$F$12</f>
        <v>-2.023068247926026E-2</v>
      </c>
      <c r="D376">
        <f t="shared" si="33"/>
        <v>0</v>
      </c>
      <c r="E376" s="67">
        <f>'Parametric VAR'!$F$13</f>
        <v>-2.8682193012943492E-2</v>
      </c>
      <c r="F376">
        <f t="shared" si="34"/>
        <v>0</v>
      </c>
      <c r="G376" s="67">
        <f>'Historical VAR'!$G$6</f>
        <v>-1.9839729167757107E-2</v>
      </c>
      <c r="H376">
        <f t="shared" si="35"/>
        <v>0</v>
      </c>
      <c r="I376" s="67">
        <f>'Historical VAR'!$G$7</f>
        <v>-3.1428916759065853E-2</v>
      </c>
      <c r="J376">
        <f t="shared" si="36"/>
        <v>0</v>
      </c>
      <c r="K376" s="67">
        <f ca="1">'Monte Carlo Stimulation'!$I$8</f>
        <v>-2.1559270710709389E-2</v>
      </c>
      <c r="L376">
        <f t="shared" ca="1" si="37"/>
        <v>0</v>
      </c>
      <c r="M376" s="67">
        <f ca="1">'Monte Carlo Stimulation'!$I$9</f>
        <v>-2.919314405717207E-2</v>
      </c>
      <c r="N376">
        <f t="shared" ca="1" si="38"/>
        <v>0</v>
      </c>
    </row>
    <row r="377" spans="1:14">
      <c r="A377" s="12">
        <v>45560</v>
      </c>
      <c r="B377" s="14">
        <v>-5.3146263781347711E-3</v>
      </c>
      <c r="C377" s="67">
        <f>'Parametric VAR'!$F$12</f>
        <v>-2.023068247926026E-2</v>
      </c>
      <c r="D377">
        <f t="shared" si="33"/>
        <v>0</v>
      </c>
      <c r="E377" s="67">
        <f>'Parametric VAR'!$F$13</f>
        <v>-2.8682193012943492E-2</v>
      </c>
      <c r="F377">
        <f t="shared" si="34"/>
        <v>0</v>
      </c>
      <c r="G377" s="67">
        <f>'Historical VAR'!$G$6</f>
        <v>-1.9839729167757107E-2</v>
      </c>
      <c r="H377">
        <f t="shared" si="35"/>
        <v>0</v>
      </c>
      <c r="I377" s="67">
        <f>'Historical VAR'!$G$7</f>
        <v>-3.1428916759065853E-2</v>
      </c>
      <c r="J377">
        <f t="shared" si="36"/>
        <v>0</v>
      </c>
      <c r="K377" s="67">
        <f ca="1">'Monte Carlo Stimulation'!$I$8</f>
        <v>-2.1559270710709389E-2</v>
      </c>
      <c r="L377">
        <f t="shared" ca="1" si="37"/>
        <v>0</v>
      </c>
      <c r="M377" s="67">
        <f ca="1">'Monte Carlo Stimulation'!$I$9</f>
        <v>-2.919314405717207E-2</v>
      </c>
      <c r="N377">
        <f t="shared" ca="1" si="38"/>
        <v>0</v>
      </c>
    </row>
    <row r="378" spans="1:14">
      <c r="A378" s="12">
        <v>45559</v>
      </c>
      <c r="B378" s="14">
        <v>-8.9318268164170257E-4</v>
      </c>
      <c r="C378" s="67">
        <f>'Parametric VAR'!$F$12</f>
        <v>-2.023068247926026E-2</v>
      </c>
      <c r="D378">
        <f t="shared" si="33"/>
        <v>0</v>
      </c>
      <c r="E378" s="67">
        <f>'Parametric VAR'!$F$13</f>
        <v>-2.8682193012943492E-2</v>
      </c>
      <c r="F378">
        <f t="shared" si="34"/>
        <v>0</v>
      </c>
      <c r="G378" s="67">
        <f>'Historical VAR'!$G$6</f>
        <v>-1.9839729167757107E-2</v>
      </c>
      <c r="H378">
        <f t="shared" si="35"/>
        <v>0</v>
      </c>
      <c r="I378" s="67">
        <f>'Historical VAR'!$G$7</f>
        <v>-3.1428916759065853E-2</v>
      </c>
      <c r="J378">
        <f t="shared" si="36"/>
        <v>0</v>
      </c>
      <c r="K378" s="67">
        <f ca="1">'Monte Carlo Stimulation'!$I$8</f>
        <v>-2.1559270710709389E-2</v>
      </c>
      <c r="L378">
        <f t="shared" ca="1" si="37"/>
        <v>0</v>
      </c>
      <c r="M378" s="67">
        <f ca="1">'Monte Carlo Stimulation'!$I$9</f>
        <v>-2.919314405717207E-2</v>
      </c>
      <c r="N378">
        <f t="shared" ca="1" si="38"/>
        <v>0</v>
      </c>
    </row>
    <row r="379" spans="1:14">
      <c r="A379" s="12">
        <v>45558</v>
      </c>
      <c r="B379" s="14">
        <v>7.2131286496385175E-3</v>
      </c>
      <c r="C379" s="67">
        <f>'Parametric VAR'!$F$12</f>
        <v>-2.023068247926026E-2</v>
      </c>
      <c r="D379">
        <f t="shared" si="33"/>
        <v>0</v>
      </c>
      <c r="E379" s="67">
        <f>'Parametric VAR'!$F$13</f>
        <v>-2.8682193012943492E-2</v>
      </c>
      <c r="F379">
        <f t="shared" si="34"/>
        <v>0</v>
      </c>
      <c r="G379" s="67">
        <f>'Historical VAR'!$G$6</f>
        <v>-1.9839729167757107E-2</v>
      </c>
      <c r="H379">
        <f t="shared" si="35"/>
        <v>0</v>
      </c>
      <c r="I379" s="67">
        <f>'Historical VAR'!$G$7</f>
        <v>-3.1428916759065853E-2</v>
      </c>
      <c r="J379">
        <f t="shared" si="36"/>
        <v>0</v>
      </c>
      <c r="K379" s="67">
        <f ca="1">'Monte Carlo Stimulation'!$I$8</f>
        <v>-2.1559270710709389E-2</v>
      </c>
      <c r="L379">
        <f t="shared" ca="1" si="37"/>
        <v>0</v>
      </c>
      <c r="M379" s="67">
        <f ca="1">'Monte Carlo Stimulation'!$I$9</f>
        <v>-2.919314405717207E-2</v>
      </c>
      <c r="N379">
        <f t="shared" ca="1" si="38"/>
        <v>0</v>
      </c>
    </row>
    <row r="380" spans="1:14">
      <c r="A380" s="12">
        <v>45555</v>
      </c>
      <c r="B380" s="14">
        <v>8.5322678954042469E-3</v>
      </c>
      <c r="C380" s="67">
        <f>'Parametric VAR'!$F$12</f>
        <v>-2.023068247926026E-2</v>
      </c>
      <c r="D380">
        <f t="shared" si="33"/>
        <v>0</v>
      </c>
      <c r="E380" s="67">
        <f>'Parametric VAR'!$F$13</f>
        <v>-2.8682193012943492E-2</v>
      </c>
      <c r="F380">
        <f t="shared" si="34"/>
        <v>0</v>
      </c>
      <c r="G380" s="67">
        <f>'Historical VAR'!$G$6</f>
        <v>-1.9839729167757107E-2</v>
      </c>
      <c r="H380">
        <f t="shared" si="35"/>
        <v>0</v>
      </c>
      <c r="I380" s="67">
        <f>'Historical VAR'!$G$7</f>
        <v>-3.1428916759065853E-2</v>
      </c>
      <c r="J380">
        <f t="shared" si="36"/>
        <v>0</v>
      </c>
      <c r="K380" s="67">
        <f ca="1">'Monte Carlo Stimulation'!$I$8</f>
        <v>-2.1559270710709389E-2</v>
      </c>
      <c r="L380">
        <f t="shared" ca="1" si="37"/>
        <v>0</v>
      </c>
      <c r="M380" s="67">
        <f ca="1">'Monte Carlo Stimulation'!$I$9</f>
        <v>-2.919314405717207E-2</v>
      </c>
      <c r="N380">
        <f t="shared" ca="1" si="38"/>
        <v>0</v>
      </c>
    </row>
    <row r="381" spans="1:14">
      <c r="A381" s="12">
        <v>45554</v>
      </c>
      <c r="B381" s="14">
        <v>-3.3426287413834575E-3</v>
      </c>
      <c r="C381" s="67">
        <f>'Parametric VAR'!$F$12</f>
        <v>-2.023068247926026E-2</v>
      </c>
      <c r="D381">
        <f t="shared" si="33"/>
        <v>0</v>
      </c>
      <c r="E381" s="67">
        <f>'Parametric VAR'!$F$13</f>
        <v>-2.8682193012943492E-2</v>
      </c>
      <c r="F381">
        <f t="shared" si="34"/>
        <v>0</v>
      </c>
      <c r="G381" s="67">
        <f>'Historical VAR'!$G$6</f>
        <v>-1.9839729167757107E-2</v>
      </c>
      <c r="H381">
        <f t="shared" si="35"/>
        <v>0</v>
      </c>
      <c r="I381" s="67">
        <f>'Historical VAR'!$G$7</f>
        <v>-3.1428916759065853E-2</v>
      </c>
      <c r="J381">
        <f t="shared" si="36"/>
        <v>0</v>
      </c>
      <c r="K381" s="67">
        <f ca="1">'Monte Carlo Stimulation'!$I$8</f>
        <v>-2.1559270710709389E-2</v>
      </c>
      <c r="L381">
        <f t="shared" ca="1" si="37"/>
        <v>0</v>
      </c>
      <c r="M381" s="67">
        <f ca="1">'Monte Carlo Stimulation'!$I$9</f>
        <v>-2.919314405717207E-2</v>
      </c>
      <c r="N381">
        <f t="shared" ca="1" si="38"/>
        <v>0</v>
      </c>
    </row>
    <row r="382" spans="1:14">
      <c r="A382" s="12">
        <v>45553</v>
      </c>
      <c r="B382" s="14">
        <v>-3.2803847919542829E-3</v>
      </c>
      <c r="C382" s="67">
        <f>'Parametric VAR'!$F$12</f>
        <v>-2.023068247926026E-2</v>
      </c>
      <c r="D382">
        <f t="shared" si="33"/>
        <v>0</v>
      </c>
      <c r="E382" s="67">
        <f>'Parametric VAR'!$F$13</f>
        <v>-2.8682193012943492E-2</v>
      </c>
      <c r="F382">
        <f t="shared" si="34"/>
        <v>0</v>
      </c>
      <c r="G382" s="67">
        <f>'Historical VAR'!$G$6</f>
        <v>-1.9839729167757107E-2</v>
      </c>
      <c r="H382">
        <f t="shared" si="35"/>
        <v>0</v>
      </c>
      <c r="I382" s="67">
        <f>'Historical VAR'!$G$7</f>
        <v>-3.1428916759065853E-2</v>
      </c>
      <c r="J382">
        <f t="shared" si="36"/>
        <v>0</v>
      </c>
      <c r="K382" s="67">
        <f ca="1">'Monte Carlo Stimulation'!$I$8</f>
        <v>-2.1559270710709389E-2</v>
      </c>
      <c r="L382">
        <f t="shared" ca="1" si="37"/>
        <v>0</v>
      </c>
      <c r="M382" s="67">
        <f ca="1">'Monte Carlo Stimulation'!$I$9</f>
        <v>-2.919314405717207E-2</v>
      </c>
      <c r="N382">
        <f t="shared" ca="1" si="38"/>
        <v>0</v>
      </c>
    </row>
    <row r="383" spans="1:14">
      <c r="A383" s="12">
        <v>45552</v>
      </c>
      <c r="B383" s="14">
        <v>9.0126549261579352E-3</v>
      </c>
      <c r="C383" s="67">
        <f>'Parametric VAR'!$F$12</f>
        <v>-2.023068247926026E-2</v>
      </c>
      <c r="D383">
        <f t="shared" si="33"/>
        <v>0</v>
      </c>
      <c r="E383" s="67">
        <f>'Parametric VAR'!$F$13</f>
        <v>-2.8682193012943492E-2</v>
      </c>
      <c r="F383">
        <f t="shared" si="34"/>
        <v>0</v>
      </c>
      <c r="G383" s="67">
        <f>'Historical VAR'!$G$6</f>
        <v>-1.9839729167757107E-2</v>
      </c>
      <c r="H383">
        <f t="shared" si="35"/>
        <v>0</v>
      </c>
      <c r="I383" s="67">
        <f>'Historical VAR'!$G$7</f>
        <v>-3.1428916759065853E-2</v>
      </c>
      <c r="J383">
        <f t="shared" si="36"/>
        <v>0</v>
      </c>
      <c r="K383" s="67">
        <f ca="1">'Monte Carlo Stimulation'!$I$8</f>
        <v>-2.1559270710709389E-2</v>
      </c>
      <c r="L383">
        <f t="shared" ca="1" si="37"/>
        <v>0</v>
      </c>
      <c r="M383" s="67">
        <f ca="1">'Monte Carlo Stimulation'!$I$9</f>
        <v>-2.919314405717207E-2</v>
      </c>
      <c r="N383">
        <f t="shared" ca="1" si="38"/>
        <v>0</v>
      </c>
    </row>
    <row r="384" spans="1:14">
      <c r="A384" s="12">
        <v>45551</v>
      </c>
      <c r="B384" s="14">
        <v>5.5929438654089393E-3</v>
      </c>
      <c r="C384" s="67">
        <f>'Parametric VAR'!$F$12</f>
        <v>-2.023068247926026E-2</v>
      </c>
      <c r="D384">
        <f t="shared" si="33"/>
        <v>0</v>
      </c>
      <c r="E384" s="67">
        <f>'Parametric VAR'!$F$13</f>
        <v>-2.8682193012943492E-2</v>
      </c>
      <c r="F384">
        <f t="shared" si="34"/>
        <v>0</v>
      </c>
      <c r="G384" s="67">
        <f>'Historical VAR'!$G$6</f>
        <v>-1.9839729167757107E-2</v>
      </c>
      <c r="H384">
        <f t="shared" si="35"/>
        <v>0</v>
      </c>
      <c r="I384" s="67">
        <f>'Historical VAR'!$G$7</f>
        <v>-3.1428916759065853E-2</v>
      </c>
      <c r="J384">
        <f t="shared" si="36"/>
        <v>0</v>
      </c>
      <c r="K384" s="67">
        <f ca="1">'Monte Carlo Stimulation'!$I$8</f>
        <v>-2.1559270710709389E-2</v>
      </c>
      <c r="L384">
        <f t="shared" ca="1" si="37"/>
        <v>0</v>
      </c>
      <c r="M384" s="67">
        <f ca="1">'Monte Carlo Stimulation'!$I$9</f>
        <v>-2.919314405717207E-2</v>
      </c>
      <c r="N384">
        <f t="shared" ca="1" si="38"/>
        <v>0</v>
      </c>
    </row>
    <row r="385" spans="1:14">
      <c r="A385" s="12">
        <v>45548</v>
      </c>
      <c r="B385" s="14">
        <v>4.4535785489901933E-3</v>
      </c>
      <c r="C385" s="67">
        <f>'Parametric VAR'!$F$12</f>
        <v>-2.023068247926026E-2</v>
      </c>
      <c r="D385">
        <f t="shared" si="33"/>
        <v>0</v>
      </c>
      <c r="E385" s="67">
        <f>'Parametric VAR'!$F$13</f>
        <v>-2.8682193012943492E-2</v>
      </c>
      <c r="F385">
        <f t="shared" si="34"/>
        <v>0</v>
      </c>
      <c r="G385" s="67">
        <f>'Historical VAR'!$G$6</f>
        <v>-1.9839729167757107E-2</v>
      </c>
      <c r="H385">
        <f t="shared" si="35"/>
        <v>0</v>
      </c>
      <c r="I385" s="67">
        <f>'Historical VAR'!$G$7</f>
        <v>-3.1428916759065853E-2</v>
      </c>
      <c r="J385">
        <f t="shared" si="36"/>
        <v>0</v>
      </c>
      <c r="K385" s="67">
        <f ca="1">'Monte Carlo Stimulation'!$I$8</f>
        <v>-2.1559270710709389E-2</v>
      </c>
      <c r="L385">
        <f t="shared" ca="1" si="37"/>
        <v>0</v>
      </c>
      <c r="M385" s="67">
        <f ca="1">'Monte Carlo Stimulation'!$I$9</f>
        <v>-2.919314405717207E-2</v>
      </c>
      <c r="N385">
        <f t="shared" ca="1" si="38"/>
        <v>0</v>
      </c>
    </row>
    <row r="386" spans="1:14">
      <c r="A386" s="12">
        <v>45547</v>
      </c>
      <c r="B386" s="14">
        <v>6.8524264950428574E-3</v>
      </c>
      <c r="C386" s="67">
        <f>'Parametric VAR'!$F$12</f>
        <v>-2.023068247926026E-2</v>
      </c>
      <c r="D386">
        <f t="shared" si="33"/>
        <v>0</v>
      </c>
      <c r="E386" s="67">
        <f>'Parametric VAR'!$F$13</f>
        <v>-2.8682193012943492E-2</v>
      </c>
      <c r="F386">
        <f t="shared" si="34"/>
        <v>0</v>
      </c>
      <c r="G386" s="67">
        <f>'Historical VAR'!$G$6</f>
        <v>-1.9839729167757107E-2</v>
      </c>
      <c r="H386">
        <f t="shared" si="35"/>
        <v>0</v>
      </c>
      <c r="I386" s="67">
        <f>'Historical VAR'!$G$7</f>
        <v>-3.1428916759065853E-2</v>
      </c>
      <c r="J386">
        <f t="shared" si="36"/>
        <v>0</v>
      </c>
      <c r="K386" s="67">
        <f ca="1">'Monte Carlo Stimulation'!$I$8</f>
        <v>-2.1559270710709389E-2</v>
      </c>
      <c r="L386">
        <f t="shared" ca="1" si="37"/>
        <v>0</v>
      </c>
      <c r="M386" s="67">
        <f ca="1">'Monte Carlo Stimulation'!$I$9</f>
        <v>-2.919314405717207E-2</v>
      </c>
      <c r="N386">
        <f t="shared" ca="1" si="38"/>
        <v>0</v>
      </c>
    </row>
    <row r="387" spans="1:14">
      <c r="A387" s="12">
        <v>45546</v>
      </c>
      <c r="B387" s="14">
        <v>-4.4124594943645316E-3</v>
      </c>
      <c r="C387" s="67">
        <f>'Parametric VAR'!$F$12</f>
        <v>-2.023068247926026E-2</v>
      </c>
      <c r="D387">
        <f t="shared" si="33"/>
        <v>0</v>
      </c>
      <c r="E387" s="67">
        <f>'Parametric VAR'!$F$13</f>
        <v>-2.8682193012943492E-2</v>
      </c>
      <c r="F387">
        <f t="shared" si="34"/>
        <v>0</v>
      </c>
      <c r="G387" s="67">
        <f>'Historical VAR'!$G$6</f>
        <v>-1.9839729167757107E-2</v>
      </c>
      <c r="H387">
        <f t="shared" si="35"/>
        <v>0</v>
      </c>
      <c r="I387" s="67">
        <f>'Historical VAR'!$G$7</f>
        <v>-3.1428916759065853E-2</v>
      </c>
      <c r="J387">
        <f t="shared" si="36"/>
        <v>0</v>
      </c>
      <c r="K387" s="67">
        <f ca="1">'Monte Carlo Stimulation'!$I$8</f>
        <v>-2.1559270710709389E-2</v>
      </c>
      <c r="L387">
        <f t="shared" ca="1" si="37"/>
        <v>0</v>
      </c>
      <c r="M387" s="67">
        <f ca="1">'Monte Carlo Stimulation'!$I$9</f>
        <v>-2.919314405717207E-2</v>
      </c>
      <c r="N387">
        <f t="shared" ca="1" si="38"/>
        <v>0</v>
      </c>
    </row>
    <row r="388" spans="1:14">
      <c r="A388" s="12">
        <v>45545</v>
      </c>
      <c r="B388" s="14">
        <v>-2.0707584452982812E-2</v>
      </c>
      <c r="C388" s="67">
        <f>'Parametric VAR'!$F$12</f>
        <v>-2.023068247926026E-2</v>
      </c>
      <c r="D388">
        <f t="shared" ref="D388:D451" si="39">IF(B388&lt;C388,1,0)</f>
        <v>1</v>
      </c>
      <c r="E388" s="67">
        <f>'Parametric VAR'!$F$13</f>
        <v>-2.8682193012943492E-2</v>
      </c>
      <c r="F388">
        <f t="shared" ref="F388:F451" si="40">IF(B388&lt;E388,1,0)</f>
        <v>0</v>
      </c>
      <c r="G388" s="67">
        <f>'Historical VAR'!$G$6</f>
        <v>-1.9839729167757107E-2</v>
      </c>
      <c r="H388">
        <f t="shared" ref="H388:H451" si="41">IF(B388&lt;G388,1,0)</f>
        <v>1</v>
      </c>
      <c r="I388" s="67">
        <f>'Historical VAR'!$G$7</f>
        <v>-3.1428916759065853E-2</v>
      </c>
      <c r="J388">
        <f t="shared" ref="J388:J451" si="42">IF(B388&lt;I388,1,0)</f>
        <v>0</v>
      </c>
      <c r="K388" s="67">
        <f ca="1">'Monte Carlo Stimulation'!$I$8</f>
        <v>-2.1559270710709389E-2</v>
      </c>
      <c r="L388">
        <f t="shared" ref="L388:L451" ca="1" si="43">IF(B388&lt;K388,1,0)</f>
        <v>0</v>
      </c>
      <c r="M388" s="67">
        <f ca="1">'Monte Carlo Stimulation'!$I$9</f>
        <v>-2.919314405717207E-2</v>
      </c>
      <c r="N388">
        <f t="shared" ref="N388:N451" ca="1" si="44">IF(B388&lt;M388,1,0)</f>
        <v>0</v>
      </c>
    </row>
    <row r="389" spans="1:14">
      <c r="A389" s="12">
        <v>45544</v>
      </c>
      <c r="B389" s="14">
        <v>-4.7860592364464948E-3</v>
      </c>
      <c r="C389" s="67">
        <f>'Parametric VAR'!$F$12</f>
        <v>-2.023068247926026E-2</v>
      </c>
      <c r="D389">
        <f t="shared" si="39"/>
        <v>0</v>
      </c>
      <c r="E389" s="67">
        <f>'Parametric VAR'!$F$13</f>
        <v>-2.8682193012943492E-2</v>
      </c>
      <c r="F389">
        <f t="shared" si="40"/>
        <v>0</v>
      </c>
      <c r="G389" s="67">
        <f>'Historical VAR'!$G$6</f>
        <v>-1.9839729167757107E-2</v>
      </c>
      <c r="H389">
        <f t="shared" si="41"/>
        <v>0</v>
      </c>
      <c r="I389" s="67">
        <f>'Historical VAR'!$G$7</f>
        <v>-3.1428916759065853E-2</v>
      </c>
      <c r="J389">
        <f t="shared" si="42"/>
        <v>0</v>
      </c>
      <c r="K389" s="67">
        <f ca="1">'Monte Carlo Stimulation'!$I$8</f>
        <v>-2.1559270710709389E-2</v>
      </c>
      <c r="L389">
        <f t="shared" ca="1" si="43"/>
        <v>0</v>
      </c>
      <c r="M389" s="67">
        <f ca="1">'Monte Carlo Stimulation'!$I$9</f>
        <v>-2.919314405717207E-2</v>
      </c>
      <c r="N389">
        <f t="shared" ca="1" si="44"/>
        <v>0</v>
      </c>
    </row>
    <row r="390" spans="1:14">
      <c r="A390" s="12">
        <v>45541</v>
      </c>
      <c r="B390" s="14">
        <v>-2.9175911493676517E-3</v>
      </c>
      <c r="C390" s="67">
        <f>'Parametric VAR'!$F$12</f>
        <v>-2.023068247926026E-2</v>
      </c>
      <c r="D390">
        <f t="shared" si="39"/>
        <v>0</v>
      </c>
      <c r="E390" s="67">
        <f>'Parametric VAR'!$F$13</f>
        <v>-2.8682193012943492E-2</v>
      </c>
      <c r="F390">
        <f t="shared" si="40"/>
        <v>0</v>
      </c>
      <c r="G390" s="67">
        <f>'Historical VAR'!$G$6</f>
        <v>-1.9839729167757107E-2</v>
      </c>
      <c r="H390">
        <f t="shared" si="41"/>
        <v>0</v>
      </c>
      <c r="I390" s="67">
        <f>'Historical VAR'!$G$7</f>
        <v>-3.1428916759065853E-2</v>
      </c>
      <c r="J390">
        <f t="shared" si="42"/>
        <v>0</v>
      </c>
      <c r="K390" s="67">
        <f ca="1">'Monte Carlo Stimulation'!$I$8</f>
        <v>-2.1559270710709389E-2</v>
      </c>
      <c r="L390">
        <f t="shared" ca="1" si="43"/>
        <v>0</v>
      </c>
      <c r="M390" s="67">
        <f ca="1">'Monte Carlo Stimulation'!$I$9</f>
        <v>-2.919314405717207E-2</v>
      </c>
      <c r="N390">
        <f t="shared" ca="1" si="44"/>
        <v>0</v>
      </c>
    </row>
    <row r="391" spans="1:14">
      <c r="A391" s="12">
        <v>45540</v>
      </c>
      <c r="B391" s="14">
        <v>-7.642655180829707E-3</v>
      </c>
      <c r="C391" s="67">
        <f>'Parametric VAR'!$F$12</f>
        <v>-2.023068247926026E-2</v>
      </c>
      <c r="D391">
        <f t="shared" si="39"/>
        <v>0</v>
      </c>
      <c r="E391" s="67">
        <f>'Parametric VAR'!$F$13</f>
        <v>-2.8682193012943492E-2</v>
      </c>
      <c r="F391">
        <f t="shared" si="40"/>
        <v>0</v>
      </c>
      <c r="G391" s="67">
        <f>'Historical VAR'!$G$6</f>
        <v>-1.9839729167757107E-2</v>
      </c>
      <c r="H391">
        <f t="shared" si="41"/>
        <v>0</v>
      </c>
      <c r="I391" s="67">
        <f>'Historical VAR'!$G$7</f>
        <v>-3.1428916759065853E-2</v>
      </c>
      <c r="J391">
        <f t="shared" si="42"/>
        <v>0</v>
      </c>
      <c r="K391" s="67">
        <f ca="1">'Monte Carlo Stimulation'!$I$8</f>
        <v>-2.1559270710709389E-2</v>
      </c>
      <c r="L391">
        <f t="shared" ca="1" si="43"/>
        <v>0</v>
      </c>
      <c r="M391" s="67">
        <f ca="1">'Monte Carlo Stimulation'!$I$9</f>
        <v>-2.919314405717207E-2</v>
      </c>
      <c r="N391">
        <f t="shared" ca="1" si="44"/>
        <v>0</v>
      </c>
    </row>
    <row r="392" spans="1:14">
      <c r="A392" s="12">
        <v>45539</v>
      </c>
      <c r="B392" s="14">
        <v>-3.8348810980183175E-3</v>
      </c>
      <c r="C392" s="67">
        <f>'Parametric VAR'!$F$12</f>
        <v>-2.023068247926026E-2</v>
      </c>
      <c r="D392">
        <f t="shared" si="39"/>
        <v>0</v>
      </c>
      <c r="E392" s="67">
        <f>'Parametric VAR'!$F$13</f>
        <v>-2.8682193012943492E-2</v>
      </c>
      <c r="F392">
        <f t="shared" si="40"/>
        <v>0</v>
      </c>
      <c r="G392" s="67">
        <f>'Historical VAR'!$G$6</f>
        <v>-1.9839729167757107E-2</v>
      </c>
      <c r="H392">
        <f t="shared" si="41"/>
        <v>0</v>
      </c>
      <c r="I392" s="67">
        <f>'Historical VAR'!$G$7</f>
        <v>-3.1428916759065853E-2</v>
      </c>
      <c r="J392">
        <f t="shared" si="42"/>
        <v>0</v>
      </c>
      <c r="K392" s="67">
        <f ca="1">'Monte Carlo Stimulation'!$I$8</f>
        <v>-2.1559270710709389E-2</v>
      </c>
      <c r="L392">
        <f t="shared" ca="1" si="43"/>
        <v>0</v>
      </c>
      <c r="M392" s="67">
        <f ca="1">'Monte Carlo Stimulation'!$I$9</f>
        <v>-2.919314405717207E-2</v>
      </c>
      <c r="N392">
        <f t="shared" ca="1" si="44"/>
        <v>0</v>
      </c>
    </row>
    <row r="393" spans="1:14">
      <c r="A393" s="12">
        <v>45538</v>
      </c>
      <c r="B393" s="14">
        <v>-2.5853631771923246E-2</v>
      </c>
      <c r="C393" s="67">
        <f>'Parametric VAR'!$F$12</f>
        <v>-2.023068247926026E-2</v>
      </c>
      <c r="D393">
        <f t="shared" si="39"/>
        <v>1</v>
      </c>
      <c r="E393" s="67">
        <f>'Parametric VAR'!$F$13</f>
        <v>-2.8682193012943492E-2</v>
      </c>
      <c r="F393">
        <f t="shared" si="40"/>
        <v>0</v>
      </c>
      <c r="G393" s="67">
        <f>'Historical VAR'!$G$6</f>
        <v>-1.9839729167757107E-2</v>
      </c>
      <c r="H393">
        <f t="shared" si="41"/>
        <v>1</v>
      </c>
      <c r="I393" s="67">
        <f>'Historical VAR'!$G$7</f>
        <v>-3.1428916759065853E-2</v>
      </c>
      <c r="J393">
        <f t="shared" si="42"/>
        <v>0</v>
      </c>
      <c r="K393" s="67">
        <f ca="1">'Monte Carlo Stimulation'!$I$8</f>
        <v>-2.1559270710709389E-2</v>
      </c>
      <c r="L393">
        <f t="shared" ca="1" si="43"/>
        <v>1</v>
      </c>
      <c r="M393" s="67">
        <f ca="1">'Monte Carlo Stimulation'!$I$9</f>
        <v>-2.919314405717207E-2</v>
      </c>
      <c r="N393">
        <f t="shared" ca="1" si="44"/>
        <v>0</v>
      </c>
    </row>
    <row r="394" spans="1:14">
      <c r="A394" s="12">
        <v>45537</v>
      </c>
      <c r="B394" s="14">
        <v>-2.1911694682112703E-3</v>
      </c>
      <c r="C394" s="67">
        <f>'Parametric VAR'!$F$12</f>
        <v>-2.023068247926026E-2</v>
      </c>
      <c r="D394">
        <f t="shared" si="39"/>
        <v>0</v>
      </c>
      <c r="E394" s="67">
        <f>'Parametric VAR'!$F$13</f>
        <v>-2.8682193012943492E-2</v>
      </c>
      <c r="F394">
        <f t="shared" si="40"/>
        <v>0</v>
      </c>
      <c r="G394" s="67">
        <f>'Historical VAR'!$G$6</f>
        <v>-1.9839729167757107E-2</v>
      </c>
      <c r="H394">
        <f t="shared" si="41"/>
        <v>0</v>
      </c>
      <c r="I394" s="67">
        <f>'Historical VAR'!$G$7</f>
        <v>-3.1428916759065853E-2</v>
      </c>
      <c r="J394">
        <f t="shared" si="42"/>
        <v>0</v>
      </c>
      <c r="K394" s="67">
        <f ca="1">'Monte Carlo Stimulation'!$I$8</f>
        <v>-2.1559270710709389E-2</v>
      </c>
      <c r="L394">
        <f t="shared" ca="1" si="43"/>
        <v>0</v>
      </c>
      <c r="M394" s="67">
        <f ca="1">'Monte Carlo Stimulation'!$I$9</f>
        <v>-2.919314405717207E-2</v>
      </c>
      <c r="N394">
        <f t="shared" ca="1" si="44"/>
        <v>0</v>
      </c>
    </row>
    <row r="395" spans="1:14">
      <c r="A395" s="12">
        <v>45534</v>
      </c>
      <c r="B395" s="14">
        <v>-6.5741606979064331E-3</v>
      </c>
      <c r="C395" s="67">
        <f>'Parametric VAR'!$F$12</f>
        <v>-2.023068247926026E-2</v>
      </c>
      <c r="D395">
        <f t="shared" si="39"/>
        <v>0</v>
      </c>
      <c r="E395" s="67">
        <f>'Parametric VAR'!$F$13</f>
        <v>-2.8682193012943492E-2</v>
      </c>
      <c r="F395">
        <f t="shared" si="40"/>
        <v>0</v>
      </c>
      <c r="G395" s="67">
        <f>'Historical VAR'!$G$6</f>
        <v>-1.9839729167757107E-2</v>
      </c>
      <c r="H395">
        <f t="shared" si="41"/>
        <v>0</v>
      </c>
      <c r="I395" s="67">
        <f>'Historical VAR'!$G$7</f>
        <v>-3.1428916759065853E-2</v>
      </c>
      <c r="J395">
        <f t="shared" si="42"/>
        <v>0</v>
      </c>
      <c r="K395" s="67">
        <f ca="1">'Monte Carlo Stimulation'!$I$8</f>
        <v>-2.1559270710709389E-2</v>
      </c>
      <c r="L395">
        <f t="shared" ca="1" si="43"/>
        <v>0</v>
      </c>
      <c r="M395" s="67">
        <f ca="1">'Monte Carlo Stimulation'!$I$9</f>
        <v>-2.919314405717207E-2</v>
      </c>
      <c r="N395">
        <f t="shared" ca="1" si="44"/>
        <v>0</v>
      </c>
    </row>
    <row r="396" spans="1:14">
      <c r="A396" s="12">
        <v>45533</v>
      </c>
      <c r="B396" s="14">
        <v>-1.8508459483900224E-3</v>
      </c>
      <c r="C396" s="67">
        <f>'Parametric VAR'!$F$12</f>
        <v>-2.023068247926026E-2</v>
      </c>
      <c r="D396">
        <f t="shared" si="39"/>
        <v>0</v>
      </c>
      <c r="E396" s="67">
        <f>'Parametric VAR'!$F$13</f>
        <v>-2.8682193012943492E-2</v>
      </c>
      <c r="F396">
        <f t="shared" si="40"/>
        <v>0</v>
      </c>
      <c r="G396" s="67">
        <f>'Historical VAR'!$G$6</f>
        <v>-1.9839729167757107E-2</v>
      </c>
      <c r="H396">
        <f t="shared" si="41"/>
        <v>0</v>
      </c>
      <c r="I396" s="67">
        <f>'Historical VAR'!$G$7</f>
        <v>-3.1428916759065853E-2</v>
      </c>
      <c r="J396">
        <f t="shared" si="42"/>
        <v>0</v>
      </c>
      <c r="K396" s="67">
        <f ca="1">'Monte Carlo Stimulation'!$I$8</f>
        <v>-2.1559270710709389E-2</v>
      </c>
      <c r="L396">
        <f t="shared" ca="1" si="43"/>
        <v>0</v>
      </c>
      <c r="M396" s="67">
        <f ca="1">'Monte Carlo Stimulation'!$I$9</f>
        <v>-2.919314405717207E-2</v>
      </c>
      <c r="N396">
        <f t="shared" ca="1" si="44"/>
        <v>0</v>
      </c>
    </row>
    <row r="397" spans="1:14">
      <c r="A397" s="12">
        <v>45532</v>
      </c>
      <c r="B397" s="14">
        <v>3.8391722926160179E-3</v>
      </c>
      <c r="C397" s="67">
        <f>'Parametric VAR'!$F$12</f>
        <v>-2.023068247926026E-2</v>
      </c>
      <c r="D397">
        <f t="shared" si="39"/>
        <v>0</v>
      </c>
      <c r="E397" s="67">
        <f>'Parametric VAR'!$F$13</f>
        <v>-2.8682193012943492E-2</v>
      </c>
      <c r="F397">
        <f t="shared" si="40"/>
        <v>0</v>
      </c>
      <c r="G397" s="67">
        <f>'Historical VAR'!$G$6</f>
        <v>-1.9839729167757107E-2</v>
      </c>
      <c r="H397">
        <f t="shared" si="41"/>
        <v>0</v>
      </c>
      <c r="I397" s="67">
        <f>'Historical VAR'!$G$7</f>
        <v>-3.1428916759065853E-2</v>
      </c>
      <c r="J397">
        <f t="shared" si="42"/>
        <v>0</v>
      </c>
      <c r="K397" s="67">
        <f ca="1">'Monte Carlo Stimulation'!$I$8</f>
        <v>-2.1559270710709389E-2</v>
      </c>
      <c r="L397">
        <f t="shared" ca="1" si="43"/>
        <v>0</v>
      </c>
      <c r="M397" s="67">
        <f ca="1">'Monte Carlo Stimulation'!$I$9</f>
        <v>-2.919314405717207E-2</v>
      </c>
      <c r="N397">
        <f t="shared" ca="1" si="44"/>
        <v>0</v>
      </c>
    </row>
    <row r="398" spans="1:14">
      <c r="A398" s="12">
        <v>45531</v>
      </c>
      <c r="B398" s="14">
        <v>1.12284992974679E-2</v>
      </c>
      <c r="C398" s="67">
        <f>'Parametric VAR'!$F$12</f>
        <v>-2.023068247926026E-2</v>
      </c>
      <c r="D398">
        <f t="shared" si="39"/>
        <v>0</v>
      </c>
      <c r="E398" s="67">
        <f>'Parametric VAR'!$F$13</f>
        <v>-2.8682193012943492E-2</v>
      </c>
      <c r="F398">
        <f t="shared" si="40"/>
        <v>0</v>
      </c>
      <c r="G398" s="67">
        <f>'Historical VAR'!$G$6</f>
        <v>-1.9839729167757107E-2</v>
      </c>
      <c r="H398">
        <f t="shared" si="41"/>
        <v>0</v>
      </c>
      <c r="I398" s="67">
        <f>'Historical VAR'!$G$7</f>
        <v>-3.1428916759065853E-2</v>
      </c>
      <c r="J398">
        <f t="shared" si="42"/>
        <v>0</v>
      </c>
      <c r="K398" s="67">
        <f ca="1">'Monte Carlo Stimulation'!$I$8</f>
        <v>-2.1559270710709389E-2</v>
      </c>
      <c r="L398">
        <f t="shared" ca="1" si="43"/>
        <v>0</v>
      </c>
      <c r="M398" s="67">
        <f ca="1">'Monte Carlo Stimulation'!$I$9</f>
        <v>-2.919314405717207E-2</v>
      </c>
      <c r="N398">
        <f t="shared" ca="1" si="44"/>
        <v>0</v>
      </c>
    </row>
    <row r="399" spans="1:14">
      <c r="A399" s="12">
        <v>45530</v>
      </c>
      <c r="B399" s="14">
        <v>-5.7258350737961899E-3</v>
      </c>
      <c r="C399" s="67">
        <f>'Parametric VAR'!$F$12</f>
        <v>-2.023068247926026E-2</v>
      </c>
      <c r="D399">
        <f t="shared" si="39"/>
        <v>0</v>
      </c>
      <c r="E399" s="67">
        <f>'Parametric VAR'!$F$13</f>
        <v>-2.8682193012943492E-2</v>
      </c>
      <c r="F399">
        <f t="shared" si="40"/>
        <v>0</v>
      </c>
      <c r="G399" s="67">
        <f>'Historical VAR'!$G$6</f>
        <v>-1.9839729167757107E-2</v>
      </c>
      <c r="H399">
        <f t="shared" si="41"/>
        <v>0</v>
      </c>
      <c r="I399" s="67">
        <f>'Historical VAR'!$G$7</f>
        <v>-3.1428916759065853E-2</v>
      </c>
      <c r="J399">
        <f t="shared" si="42"/>
        <v>0</v>
      </c>
      <c r="K399" s="67">
        <f ca="1">'Monte Carlo Stimulation'!$I$8</f>
        <v>-2.1559270710709389E-2</v>
      </c>
      <c r="L399">
        <f t="shared" ca="1" si="43"/>
        <v>0</v>
      </c>
      <c r="M399" s="67">
        <f ca="1">'Monte Carlo Stimulation'!$I$9</f>
        <v>-2.919314405717207E-2</v>
      </c>
      <c r="N399">
        <f t="shared" ca="1" si="44"/>
        <v>0</v>
      </c>
    </row>
    <row r="400" spans="1:14">
      <c r="A400" s="12">
        <v>45527</v>
      </c>
      <c r="B400" s="14">
        <v>-5.4274430366975145E-3</v>
      </c>
      <c r="C400" s="67">
        <f>'Parametric VAR'!$F$12</f>
        <v>-2.023068247926026E-2</v>
      </c>
      <c r="D400">
        <f t="shared" si="39"/>
        <v>0</v>
      </c>
      <c r="E400" s="67">
        <f>'Parametric VAR'!$F$13</f>
        <v>-2.8682193012943492E-2</v>
      </c>
      <c r="F400">
        <f t="shared" si="40"/>
        <v>0</v>
      </c>
      <c r="G400" s="67">
        <f>'Historical VAR'!$G$6</f>
        <v>-1.9839729167757107E-2</v>
      </c>
      <c r="H400">
        <f t="shared" si="41"/>
        <v>0</v>
      </c>
      <c r="I400" s="67">
        <f>'Historical VAR'!$G$7</f>
        <v>-3.1428916759065853E-2</v>
      </c>
      <c r="J400">
        <f t="shared" si="42"/>
        <v>0</v>
      </c>
      <c r="K400" s="67">
        <f ca="1">'Monte Carlo Stimulation'!$I$8</f>
        <v>-2.1559270710709389E-2</v>
      </c>
      <c r="L400">
        <f t="shared" ca="1" si="43"/>
        <v>0</v>
      </c>
      <c r="M400" s="67">
        <f ca="1">'Monte Carlo Stimulation'!$I$9</f>
        <v>-2.919314405717207E-2</v>
      </c>
      <c r="N400">
        <f t="shared" ca="1" si="44"/>
        <v>0</v>
      </c>
    </row>
    <row r="401" spans="1:14">
      <c r="A401" s="12">
        <v>45526</v>
      </c>
      <c r="B401" s="14">
        <v>1.2895192219670717E-2</v>
      </c>
      <c r="C401" s="67">
        <f>'Parametric VAR'!$F$12</f>
        <v>-2.023068247926026E-2</v>
      </c>
      <c r="D401">
        <f t="shared" si="39"/>
        <v>0</v>
      </c>
      <c r="E401" s="67">
        <f>'Parametric VAR'!$F$13</f>
        <v>-2.8682193012943492E-2</v>
      </c>
      <c r="F401">
        <f t="shared" si="40"/>
        <v>0</v>
      </c>
      <c r="G401" s="67">
        <f>'Historical VAR'!$G$6</f>
        <v>-1.9839729167757107E-2</v>
      </c>
      <c r="H401">
        <f t="shared" si="41"/>
        <v>0</v>
      </c>
      <c r="I401" s="67">
        <f>'Historical VAR'!$G$7</f>
        <v>-3.1428916759065853E-2</v>
      </c>
      <c r="J401">
        <f t="shared" si="42"/>
        <v>0</v>
      </c>
      <c r="K401" s="67">
        <f ca="1">'Monte Carlo Stimulation'!$I$8</f>
        <v>-2.1559270710709389E-2</v>
      </c>
      <c r="L401">
        <f t="shared" ca="1" si="43"/>
        <v>0</v>
      </c>
      <c r="M401" s="67">
        <f ca="1">'Monte Carlo Stimulation'!$I$9</f>
        <v>-2.919314405717207E-2</v>
      </c>
      <c r="N401">
        <f t="shared" ca="1" si="44"/>
        <v>0</v>
      </c>
    </row>
    <row r="402" spans="1:14">
      <c r="A402" s="12">
        <v>45525</v>
      </c>
      <c r="B402" s="14">
        <v>-1.0818740452710331E-2</v>
      </c>
      <c r="C402" s="67">
        <f>'Parametric VAR'!$F$12</f>
        <v>-2.023068247926026E-2</v>
      </c>
      <c r="D402">
        <f t="shared" si="39"/>
        <v>0</v>
      </c>
      <c r="E402" s="67">
        <f>'Parametric VAR'!$F$13</f>
        <v>-2.8682193012943492E-2</v>
      </c>
      <c r="F402">
        <f t="shared" si="40"/>
        <v>0</v>
      </c>
      <c r="G402" s="67">
        <f>'Historical VAR'!$G$6</f>
        <v>-1.9839729167757107E-2</v>
      </c>
      <c r="H402">
        <f t="shared" si="41"/>
        <v>0</v>
      </c>
      <c r="I402" s="67">
        <f>'Historical VAR'!$G$7</f>
        <v>-3.1428916759065853E-2</v>
      </c>
      <c r="J402">
        <f t="shared" si="42"/>
        <v>0</v>
      </c>
      <c r="K402" s="67">
        <f ca="1">'Monte Carlo Stimulation'!$I$8</f>
        <v>-2.1559270710709389E-2</v>
      </c>
      <c r="L402">
        <f t="shared" ca="1" si="43"/>
        <v>0</v>
      </c>
      <c r="M402" s="67">
        <f ca="1">'Monte Carlo Stimulation'!$I$9</f>
        <v>-2.919314405717207E-2</v>
      </c>
      <c r="N402">
        <f t="shared" ca="1" si="44"/>
        <v>0</v>
      </c>
    </row>
    <row r="403" spans="1:14">
      <c r="A403" s="12">
        <v>45524</v>
      </c>
      <c r="B403" s="14">
        <v>-1.3886462231822432E-2</v>
      </c>
      <c r="C403" s="67">
        <f>'Parametric VAR'!$F$12</f>
        <v>-2.023068247926026E-2</v>
      </c>
      <c r="D403">
        <f t="shared" si="39"/>
        <v>0</v>
      </c>
      <c r="E403" s="67">
        <f>'Parametric VAR'!$F$13</f>
        <v>-2.8682193012943492E-2</v>
      </c>
      <c r="F403">
        <f t="shared" si="40"/>
        <v>0</v>
      </c>
      <c r="G403" s="67">
        <f>'Historical VAR'!$G$6</f>
        <v>-1.9839729167757107E-2</v>
      </c>
      <c r="H403">
        <f t="shared" si="41"/>
        <v>0</v>
      </c>
      <c r="I403" s="67">
        <f>'Historical VAR'!$G$7</f>
        <v>-3.1428916759065853E-2</v>
      </c>
      <c r="J403">
        <f t="shared" si="42"/>
        <v>0</v>
      </c>
      <c r="K403" s="67">
        <f ca="1">'Monte Carlo Stimulation'!$I$8</f>
        <v>-2.1559270710709389E-2</v>
      </c>
      <c r="L403">
        <f t="shared" ca="1" si="43"/>
        <v>0</v>
      </c>
      <c r="M403" s="67">
        <f ca="1">'Monte Carlo Stimulation'!$I$9</f>
        <v>-2.919314405717207E-2</v>
      </c>
      <c r="N403">
        <f t="shared" ca="1" si="44"/>
        <v>0</v>
      </c>
    </row>
    <row r="404" spans="1:14">
      <c r="A404" s="12">
        <v>45523</v>
      </c>
      <c r="B404" s="14">
        <v>-7.6307115341274333E-3</v>
      </c>
      <c r="C404" s="67">
        <f>'Parametric VAR'!$F$12</f>
        <v>-2.023068247926026E-2</v>
      </c>
      <c r="D404">
        <f t="shared" si="39"/>
        <v>0</v>
      </c>
      <c r="E404" s="67">
        <f>'Parametric VAR'!$F$13</f>
        <v>-2.8682193012943492E-2</v>
      </c>
      <c r="F404">
        <f t="shared" si="40"/>
        <v>0</v>
      </c>
      <c r="G404" s="67">
        <f>'Historical VAR'!$G$6</f>
        <v>-1.9839729167757107E-2</v>
      </c>
      <c r="H404">
        <f t="shared" si="41"/>
        <v>0</v>
      </c>
      <c r="I404" s="67">
        <f>'Historical VAR'!$G$7</f>
        <v>-3.1428916759065853E-2</v>
      </c>
      <c r="J404">
        <f t="shared" si="42"/>
        <v>0</v>
      </c>
      <c r="K404" s="67">
        <f ca="1">'Monte Carlo Stimulation'!$I$8</f>
        <v>-2.1559270710709389E-2</v>
      </c>
      <c r="L404">
        <f t="shared" ca="1" si="43"/>
        <v>0</v>
      </c>
      <c r="M404" s="67">
        <f ca="1">'Monte Carlo Stimulation'!$I$9</f>
        <v>-2.919314405717207E-2</v>
      </c>
      <c r="N404">
        <f t="shared" ca="1" si="44"/>
        <v>0</v>
      </c>
    </row>
    <row r="405" spans="1:14">
      <c r="A405" s="12">
        <v>45520</v>
      </c>
      <c r="B405" s="14">
        <v>-1.2175587863239594E-2</v>
      </c>
      <c r="C405" s="67">
        <f>'Parametric VAR'!$F$12</f>
        <v>-2.023068247926026E-2</v>
      </c>
      <c r="D405">
        <f t="shared" si="39"/>
        <v>0</v>
      </c>
      <c r="E405" s="67">
        <f>'Parametric VAR'!$F$13</f>
        <v>-2.8682193012943492E-2</v>
      </c>
      <c r="F405">
        <f t="shared" si="40"/>
        <v>0</v>
      </c>
      <c r="G405" s="67">
        <f>'Historical VAR'!$G$6</f>
        <v>-1.9839729167757107E-2</v>
      </c>
      <c r="H405">
        <f t="shared" si="41"/>
        <v>0</v>
      </c>
      <c r="I405" s="67">
        <f>'Historical VAR'!$G$7</f>
        <v>-3.1428916759065853E-2</v>
      </c>
      <c r="J405">
        <f t="shared" si="42"/>
        <v>0</v>
      </c>
      <c r="K405" s="67">
        <f ca="1">'Monte Carlo Stimulation'!$I$8</f>
        <v>-2.1559270710709389E-2</v>
      </c>
      <c r="L405">
        <f t="shared" ca="1" si="43"/>
        <v>0</v>
      </c>
      <c r="M405" s="67">
        <f ca="1">'Monte Carlo Stimulation'!$I$9</f>
        <v>-2.919314405717207E-2</v>
      </c>
      <c r="N405">
        <f t="shared" ca="1" si="44"/>
        <v>0</v>
      </c>
    </row>
    <row r="406" spans="1:14">
      <c r="A406" s="12">
        <v>45518</v>
      </c>
      <c r="B406" s="14">
        <v>-5.8161215562076681E-3</v>
      </c>
      <c r="C406" s="67">
        <f>'Parametric VAR'!$F$12</f>
        <v>-2.023068247926026E-2</v>
      </c>
      <c r="D406">
        <f t="shared" si="39"/>
        <v>0</v>
      </c>
      <c r="E406" s="67">
        <f>'Parametric VAR'!$F$13</f>
        <v>-2.8682193012943492E-2</v>
      </c>
      <c r="F406">
        <f t="shared" si="40"/>
        <v>0</v>
      </c>
      <c r="G406" s="67">
        <f>'Historical VAR'!$G$6</f>
        <v>-1.9839729167757107E-2</v>
      </c>
      <c r="H406">
        <f t="shared" si="41"/>
        <v>0</v>
      </c>
      <c r="I406" s="67">
        <f>'Historical VAR'!$G$7</f>
        <v>-3.1428916759065853E-2</v>
      </c>
      <c r="J406">
        <f t="shared" si="42"/>
        <v>0</v>
      </c>
      <c r="K406" s="67">
        <f ca="1">'Monte Carlo Stimulation'!$I$8</f>
        <v>-2.1559270710709389E-2</v>
      </c>
      <c r="L406">
        <f t="shared" ca="1" si="43"/>
        <v>0</v>
      </c>
      <c r="M406" s="67">
        <f ca="1">'Monte Carlo Stimulation'!$I$9</f>
        <v>-2.919314405717207E-2</v>
      </c>
      <c r="N406">
        <f t="shared" ca="1" si="44"/>
        <v>0</v>
      </c>
    </row>
    <row r="407" spans="1:14">
      <c r="A407" s="12">
        <v>45517</v>
      </c>
      <c r="B407" s="14">
        <v>-4.5859539002141405E-3</v>
      </c>
      <c r="C407" s="67">
        <f>'Parametric VAR'!$F$12</f>
        <v>-2.023068247926026E-2</v>
      </c>
      <c r="D407">
        <f t="shared" si="39"/>
        <v>0</v>
      </c>
      <c r="E407" s="67">
        <f>'Parametric VAR'!$F$13</f>
        <v>-2.8682193012943492E-2</v>
      </c>
      <c r="F407">
        <f t="shared" si="40"/>
        <v>0</v>
      </c>
      <c r="G407" s="67">
        <f>'Historical VAR'!$G$6</f>
        <v>-1.9839729167757107E-2</v>
      </c>
      <c r="H407">
        <f t="shared" si="41"/>
        <v>0</v>
      </c>
      <c r="I407" s="67">
        <f>'Historical VAR'!$G$7</f>
        <v>-3.1428916759065853E-2</v>
      </c>
      <c r="J407">
        <f t="shared" si="42"/>
        <v>0</v>
      </c>
      <c r="K407" s="67">
        <f ca="1">'Monte Carlo Stimulation'!$I$8</f>
        <v>-2.1559270710709389E-2</v>
      </c>
      <c r="L407">
        <f t="shared" ca="1" si="43"/>
        <v>0</v>
      </c>
      <c r="M407" s="67">
        <f ca="1">'Monte Carlo Stimulation'!$I$9</f>
        <v>-2.919314405717207E-2</v>
      </c>
      <c r="N407">
        <f t="shared" ca="1" si="44"/>
        <v>0</v>
      </c>
    </row>
    <row r="408" spans="1:14">
      <c r="A408" s="12">
        <v>45516</v>
      </c>
      <c r="B408" s="14">
        <v>6.9600669149521904E-3</v>
      </c>
      <c r="C408" s="67">
        <f>'Parametric VAR'!$F$12</f>
        <v>-2.023068247926026E-2</v>
      </c>
      <c r="D408">
        <f t="shared" si="39"/>
        <v>0</v>
      </c>
      <c r="E408" s="67">
        <f>'Parametric VAR'!$F$13</f>
        <v>-2.8682193012943492E-2</v>
      </c>
      <c r="F408">
        <f t="shared" si="40"/>
        <v>0</v>
      </c>
      <c r="G408" s="67">
        <f>'Historical VAR'!$G$6</f>
        <v>-1.9839729167757107E-2</v>
      </c>
      <c r="H408">
        <f t="shared" si="41"/>
        <v>0</v>
      </c>
      <c r="I408" s="67">
        <f>'Historical VAR'!$G$7</f>
        <v>-3.1428916759065853E-2</v>
      </c>
      <c r="J408">
        <f t="shared" si="42"/>
        <v>0</v>
      </c>
      <c r="K408" s="67">
        <f ca="1">'Monte Carlo Stimulation'!$I$8</f>
        <v>-2.1559270710709389E-2</v>
      </c>
      <c r="L408">
        <f t="shared" ca="1" si="43"/>
        <v>0</v>
      </c>
      <c r="M408" s="67">
        <f ca="1">'Monte Carlo Stimulation'!$I$9</f>
        <v>-2.919314405717207E-2</v>
      </c>
      <c r="N408">
        <f t="shared" ca="1" si="44"/>
        <v>0</v>
      </c>
    </row>
    <row r="409" spans="1:14">
      <c r="A409" s="12">
        <v>45513</v>
      </c>
      <c r="B409" s="14">
        <v>-8.0675732169957709E-4</v>
      </c>
      <c r="C409" s="67">
        <f>'Parametric VAR'!$F$12</f>
        <v>-2.023068247926026E-2</v>
      </c>
      <c r="D409">
        <f t="shared" si="39"/>
        <v>0</v>
      </c>
      <c r="E409" s="67">
        <f>'Parametric VAR'!$F$13</f>
        <v>-2.8682193012943492E-2</v>
      </c>
      <c r="F409">
        <f t="shared" si="40"/>
        <v>0</v>
      </c>
      <c r="G409" s="67">
        <f>'Historical VAR'!$G$6</f>
        <v>-1.9839729167757107E-2</v>
      </c>
      <c r="H409">
        <f t="shared" si="41"/>
        <v>0</v>
      </c>
      <c r="I409" s="67">
        <f>'Historical VAR'!$G$7</f>
        <v>-3.1428916759065853E-2</v>
      </c>
      <c r="J409">
        <f t="shared" si="42"/>
        <v>0</v>
      </c>
      <c r="K409" s="67">
        <f ca="1">'Monte Carlo Stimulation'!$I$8</f>
        <v>-2.1559270710709389E-2</v>
      </c>
      <c r="L409">
        <f t="shared" ca="1" si="43"/>
        <v>0</v>
      </c>
      <c r="M409" s="67">
        <f ca="1">'Monte Carlo Stimulation'!$I$9</f>
        <v>-2.919314405717207E-2</v>
      </c>
      <c r="N409">
        <f t="shared" ca="1" si="44"/>
        <v>0</v>
      </c>
    </row>
    <row r="410" spans="1:14">
      <c r="A410" s="12">
        <v>45512</v>
      </c>
      <c r="B410" s="14">
        <v>-1.3070601320269564E-2</v>
      </c>
      <c r="C410" s="67">
        <f>'Parametric VAR'!$F$12</f>
        <v>-2.023068247926026E-2</v>
      </c>
      <c r="D410">
        <f t="shared" si="39"/>
        <v>0</v>
      </c>
      <c r="E410" s="67">
        <f>'Parametric VAR'!$F$13</f>
        <v>-2.8682193012943492E-2</v>
      </c>
      <c r="F410">
        <f t="shared" si="40"/>
        <v>0</v>
      </c>
      <c r="G410" s="67">
        <f>'Historical VAR'!$G$6</f>
        <v>-1.9839729167757107E-2</v>
      </c>
      <c r="H410">
        <f t="shared" si="41"/>
        <v>0</v>
      </c>
      <c r="I410" s="67">
        <f>'Historical VAR'!$G$7</f>
        <v>-3.1428916759065853E-2</v>
      </c>
      <c r="J410">
        <f t="shared" si="42"/>
        <v>0</v>
      </c>
      <c r="K410" s="67">
        <f ca="1">'Monte Carlo Stimulation'!$I$8</f>
        <v>-2.1559270710709389E-2</v>
      </c>
      <c r="L410">
        <f t="shared" ca="1" si="43"/>
        <v>0</v>
      </c>
      <c r="M410" s="67">
        <f ca="1">'Monte Carlo Stimulation'!$I$9</f>
        <v>-2.919314405717207E-2</v>
      </c>
      <c r="N410">
        <f t="shared" ca="1" si="44"/>
        <v>0</v>
      </c>
    </row>
    <row r="411" spans="1:14">
      <c r="A411" s="12">
        <v>45511</v>
      </c>
      <c r="B411" s="14">
        <v>2.7431199116737828E-2</v>
      </c>
      <c r="C411" s="67">
        <f>'Parametric VAR'!$F$12</f>
        <v>-2.023068247926026E-2</v>
      </c>
      <c r="D411">
        <f t="shared" si="39"/>
        <v>0</v>
      </c>
      <c r="E411" s="67">
        <f>'Parametric VAR'!$F$13</f>
        <v>-2.8682193012943492E-2</v>
      </c>
      <c r="F411">
        <f t="shared" si="40"/>
        <v>0</v>
      </c>
      <c r="G411" s="67">
        <f>'Historical VAR'!$G$6</f>
        <v>-1.9839729167757107E-2</v>
      </c>
      <c r="H411">
        <f t="shared" si="41"/>
        <v>0</v>
      </c>
      <c r="I411" s="67">
        <f>'Historical VAR'!$G$7</f>
        <v>-3.1428916759065853E-2</v>
      </c>
      <c r="J411">
        <f t="shared" si="42"/>
        <v>0</v>
      </c>
      <c r="K411" s="67">
        <f ca="1">'Monte Carlo Stimulation'!$I$8</f>
        <v>-2.1559270710709389E-2</v>
      </c>
      <c r="L411">
        <f t="shared" ca="1" si="43"/>
        <v>0</v>
      </c>
      <c r="M411" s="67">
        <f ca="1">'Monte Carlo Stimulation'!$I$9</f>
        <v>-2.919314405717207E-2</v>
      </c>
      <c r="N411">
        <f t="shared" ca="1" si="44"/>
        <v>0</v>
      </c>
    </row>
    <row r="412" spans="1:14">
      <c r="A412" s="12">
        <v>45510</v>
      </c>
      <c r="B412" s="14">
        <v>2.7347921233157883E-4</v>
      </c>
      <c r="C412" s="67">
        <f>'Parametric VAR'!$F$12</f>
        <v>-2.023068247926026E-2</v>
      </c>
      <c r="D412">
        <f t="shared" si="39"/>
        <v>0</v>
      </c>
      <c r="E412" s="67">
        <f>'Parametric VAR'!$F$13</f>
        <v>-2.8682193012943492E-2</v>
      </c>
      <c r="F412">
        <f t="shared" si="40"/>
        <v>0</v>
      </c>
      <c r="G412" s="67">
        <f>'Historical VAR'!$G$6</f>
        <v>-1.9839729167757107E-2</v>
      </c>
      <c r="H412">
        <f t="shared" si="41"/>
        <v>0</v>
      </c>
      <c r="I412" s="67">
        <f>'Historical VAR'!$G$7</f>
        <v>-3.1428916759065853E-2</v>
      </c>
      <c r="J412">
        <f t="shared" si="42"/>
        <v>0</v>
      </c>
      <c r="K412" s="67">
        <f ca="1">'Monte Carlo Stimulation'!$I$8</f>
        <v>-2.1559270710709389E-2</v>
      </c>
      <c r="L412">
        <f t="shared" ca="1" si="43"/>
        <v>0</v>
      </c>
      <c r="M412" s="67">
        <f ca="1">'Monte Carlo Stimulation'!$I$9</f>
        <v>-2.919314405717207E-2</v>
      </c>
      <c r="N412">
        <f t="shared" ca="1" si="44"/>
        <v>0</v>
      </c>
    </row>
    <row r="413" spans="1:14">
      <c r="A413" s="12">
        <v>45509</v>
      </c>
      <c r="B413" s="14">
        <v>-1.0109743964413335E-3</v>
      </c>
      <c r="C413" s="67">
        <f>'Parametric VAR'!$F$12</f>
        <v>-2.023068247926026E-2</v>
      </c>
      <c r="D413">
        <f t="shared" si="39"/>
        <v>0</v>
      </c>
      <c r="E413" s="67">
        <f>'Parametric VAR'!$F$13</f>
        <v>-2.8682193012943492E-2</v>
      </c>
      <c r="F413">
        <f t="shared" si="40"/>
        <v>0</v>
      </c>
      <c r="G413" s="67">
        <f>'Historical VAR'!$G$6</f>
        <v>-1.9839729167757107E-2</v>
      </c>
      <c r="H413">
        <f t="shared" si="41"/>
        <v>0</v>
      </c>
      <c r="I413" s="67">
        <f>'Historical VAR'!$G$7</f>
        <v>-3.1428916759065853E-2</v>
      </c>
      <c r="J413">
        <f t="shared" si="42"/>
        <v>0</v>
      </c>
      <c r="K413" s="67">
        <f ca="1">'Monte Carlo Stimulation'!$I$8</f>
        <v>-2.1559270710709389E-2</v>
      </c>
      <c r="L413">
        <f t="shared" ca="1" si="43"/>
        <v>0</v>
      </c>
      <c r="M413" s="67">
        <f ca="1">'Monte Carlo Stimulation'!$I$9</f>
        <v>-2.919314405717207E-2</v>
      </c>
      <c r="N413">
        <f t="shared" ca="1" si="44"/>
        <v>0</v>
      </c>
    </row>
    <row r="414" spans="1:14">
      <c r="A414" s="12">
        <v>45506</v>
      </c>
      <c r="B414" s="14">
        <v>6.7039392033300766E-3</v>
      </c>
      <c r="C414" s="67">
        <f>'Parametric VAR'!$F$12</f>
        <v>-2.023068247926026E-2</v>
      </c>
      <c r="D414">
        <f t="shared" si="39"/>
        <v>0</v>
      </c>
      <c r="E414" s="67">
        <f>'Parametric VAR'!$F$13</f>
        <v>-2.8682193012943492E-2</v>
      </c>
      <c r="F414">
        <f t="shared" si="40"/>
        <v>0</v>
      </c>
      <c r="G414" s="67">
        <f>'Historical VAR'!$G$6</f>
        <v>-1.9839729167757107E-2</v>
      </c>
      <c r="H414">
        <f t="shared" si="41"/>
        <v>0</v>
      </c>
      <c r="I414" s="67">
        <f>'Historical VAR'!$G$7</f>
        <v>-3.1428916759065853E-2</v>
      </c>
      <c r="J414">
        <f t="shared" si="42"/>
        <v>0</v>
      </c>
      <c r="K414" s="67">
        <f ca="1">'Monte Carlo Stimulation'!$I$8</f>
        <v>-2.1559270710709389E-2</v>
      </c>
      <c r="L414">
        <f t="shared" ca="1" si="43"/>
        <v>0</v>
      </c>
      <c r="M414" s="67">
        <f ca="1">'Monte Carlo Stimulation'!$I$9</f>
        <v>-2.919314405717207E-2</v>
      </c>
      <c r="N414">
        <f t="shared" ca="1" si="44"/>
        <v>0</v>
      </c>
    </row>
    <row r="415" spans="1:14">
      <c r="A415" s="12">
        <v>45505</v>
      </c>
      <c r="B415" s="14">
        <v>-4.4301008201392238E-4</v>
      </c>
      <c r="C415" s="67">
        <f>'Parametric VAR'!$F$12</f>
        <v>-2.023068247926026E-2</v>
      </c>
      <c r="D415">
        <f t="shared" si="39"/>
        <v>0</v>
      </c>
      <c r="E415" s="67">
        <f>'Parametric VAR'!$F$13</f>
        <v>-2.8682193012943492E-2</v>
      </c>
      <c r="F415">
        <f t="shared" si="40"/>
        <v>0</v>
      </c>
      <c r="G415" s="67">
        <f>'Historical VAR'!$G$6</f>
        <v>-1.9839729167757107E-2</v>
      </c>
      <c r="H415">
        <f t="shared" si="41"/>
        <v>0</v>
      </c>
      <c r="I415" s="67">
        <f>'Historical VAR'!$G$7</f>
        <v>-3.1428916759065853E-2</v>
      </c>
      <c r="J415">
        <f t="shared" si="42"/>
        <v>0</v>
      </c>
      <c r="K415" s="67">
        <f ca="1">'Monte Carlo Stimulation'!$I$8</f>
        <v>-2.1559270710709389E-2</v>
      </c>
      <c r="L415">
        <f t="shared" ca="1" si="43"/>
        <v>0</v>
      </c>
      <c r="M415" s="67">
        <f ca="1">'Monte Carlo Stimulation'!$I$9</f>
        <v>-2.919314405717207E-2</v>
      </c>
      <c r="N415">
        <f t="shared" ca="1" si="44"/>
        <v>0</v>
      </c>
    </row>
    <row r="416" spans="1:14">
      <c r="A416" s="12">
        <v>45504</v>
      </c>
      <c r="B416" s="14">
        <v>-4.4726795485591853E-3</v>
      </c>
      <c r="C416" s="67">
        <f>'Parametric VAR'!$F$12</f>
        <v>-2.023068247926026E-2</v>
      </c>
      <c r="D416">
        <f t="shared" si="39"/>
        <v>0</v>
      </c>
      <c r="E416" s="67">
        <f>'Parametric VAR'!$F$13</f>
        <v>-2.8682193012943492E-2</v>
      </c>
      <c r="F416">
        <f t="shared" si="40"/>
        <v>0</v>
      </c>
      <c r="G416" s="67">
        <f>'Historical VAR'!$G$6</f>
        <v>-1.9839729167757107E-2</v>
      </c>
      <c r="H416">
        <f t="shared" si="41"/>
        <v>0</v>
      </c>
      <c r="I416" s="67">
        <f>'Historical VAR'!$G$7</f>
        <v>-3.1428916759065853E-2</v>
      </c>
      <c r="J416">
        <f t="shared" si="42"/>
        <v>0</v>
      </c>
      <c r="K416" s="67">
        <f ca="1">'Monte Carlo Stimulation'!$I$8</f>
        <v>-2.1559270710709389E-2</v>
      </c>
      <c r="L416">
        <f t="shared" ca="1" si="43"/>
        <v>0</v>
      </c>
      <c r="M416" s="67">
        <f ca="1">'Monte Carlo Stimulation'!$I$9</f>
        <v>-2.919314405717207E-2</v>
      </c>
      <c r="N416">
        <f t="shared" ca="1" si="44"/>
        <v>0</v>
      </c>
    </row>
    <row r="417" spans="1:14">
      <c r="A417" s="12">
        <v>45503</v>
      </c>
      <c r="B417" s="14">
        <v>-2.0590858204038082E-2</v>
      </c>
      <c r="C417" s="67">
        <f>'Parametric VAR'!$F$12</f>
        <v>-2.023068247926026E-2</v>
      </c>
      <c r="D417">
        <f t="shared" si="39"/>
        <v>1</v>
      </c>
      <c r="E417" s="67">
        <f>'Parametric VAR'!$F$13</f>
        <v>-2.8682193012943492E-2</v>
      </c>
      <c r="F417">
        <f t="shared" si="40"/>
        <v>0</v>
      </c>
      <c r="G417" s="67">
        <f>'Historical VAR'!$G$6</f>
        <v>-1.9839729167757107E-2</v>
      </c>
      <c r="H417">
        <f t="shared" si="41"/>
        <v>1</v>
      </c>
      <c r="I417" s="67">
        <f>'Historical VAR'!$G$7</f>
        <v>-3.1428916759065853E-2</v>
      </c>
      <c r="J417">
        <f t="shared" si="42"/>
        <v>0</v>
      </c>
      <c r="K417" s="67">
        <f ca="1">'Monte Carlo Stimulation'!$I$8</f>
        <v>-2.1559270710709389E-2</v>
      </c>
      <c r="L417">
        <f t="shared" ca="1" si="43"/>
        <v>0</v>
      </c>
      <c r="M417" s="67">
        <f ca="1">'Monte Carlo Stimulation'!$I$9</f>
        <v>-2.919314405717207E-2</v>
      </c>
      <c r="N417">
        <f t="shared" ca="1" si="44"/>
        <v>0</v>
      </c>
    </row>
    <row r="418" spans="1:14">
      <c r="A418" s="12">
        <v>45502</v>
      </c>
      <c r="B418" s="14">
        <v>-2.0107177189007841E-2</v>
      </c>
      <c r="C418" s="67">
        <f>'Parametric VAR'!$F$12</f>
        <v>-2.023068247926026E-2</v>
      </c>
      <c r="D418">
        <f t="shared" si="39"/>
        <v>0</v>
      </c>
      <c r="E418" s="67">
        <f>'Parametric VAR'!$F$13</f>
        <v>-2.8682193012943492E-2</v>
      </c>
      <c r="F418">
        <f t="shared" si="40"/>
        <v>0</v>
      </c>
      <c r="G418" s="67">
        <f>'Historical VAR'!$G$6</f>
        <v>-1.9839729167757107E-2</v>
      </c>
      <c r="H418">
        <f t="shared" si="41"/>
        <v>1</v>
      </c>
      <c r="I418" s="67">
        <f>'Historical VAR'!$G$7</f>
        <v>-3.1428916759065853E-2</v>
      </c>
      <c r="J418">
        <f t="shared" si="42"/>
        <v>0</v>
      </c>
      <c r="K418" s="67">
        <f ca="1">'Monte Carlo Stimulation'!$I$8</f>
        <v>-2.1559270710709389E-2</v>
      </c>
      <c r="L418">
        <f t="shared" ca="1" si="43"/>
        <v>0</v>
      </c>
      <c r="M418" s="67">
        <f ca="1">'Monte Carlo Stimulation'!$I$9</f>
        <v>-2.919314405717207E-2</v>
      </c>
      <c r="N418">
        <f t="shared" ca="1" si="44"/>
        <v>0</v>
      </c>
    </row>
    <row r="419" spans="1:14">
      <c r="A419" s="12">
        <v>45499</v>
      </c>
      <c r="B419" s="14">
        <v>-2.3464358516284288E-3</v>
      </c>
      <c r="C419" s="67">
        <f>'Parametric VAR'!$F$12</f>
        <v>-2.023068247926026E-2</v>
      </c>
      <c r="D419">
        <f t="shared" si="39"/>
        <v>0</v>
      </c>
      <c r="E419" s="67">
        <f>'Parametric VAR'!$F$13</f>
        <v>-2.8682193012943492E-2</v>
      </c>
      <c r="F419">
        <f t="shared" si="40"/>
        <v>0</v>
      </c>
      <c r="G419" s="67">
        <f>'Historical VAR'!$G$6</f>
        <v>-1.9839729167757107E-2</v>
      </c>
      <c r="H419">
        <f t="shared" si="41"/>
        <v>0</v>
      </c>
      <c r="I419" s="67">
        <f>'Historical VAR'!$G$7</f>
        <v>-3.1428916759065853E-2</v>
      </c>
      <c r="J419">
        <f t="shared" si="42"/>
        <v>0</v>
      </c>
      <c r="K419" s="67">
        <f ca="1">'Monte Carlo Stimulation'!$I$8</f>
        <v>-2.1559270710709389E-2</v>
      </c>
      <c r="L419">
        <f t="shared" ca="1" si="43"/>
        <v>0</v>
      </c>
      <c r="M419" s="67">
        <f ca="1">'Monte Carlo Stimulation'!$I$9</f>
        <v>-2.919314405717207E-2</v>
      </c>
      <c r="N419">
        <f t="shared" ca="1" si="44"/>
        <v>0</v>
      </c>
    </row>
    <row r="420" spans="1:14">
      <c r="A420" s="12">
        <v>45498</v>
      </c>
      <c r="B420" s="14">
        <v>-1.7015033704689757E-2</v>
      </c>
      <c r="C420" s="67">
        <f>'Parametric VAR'!$F$12</f>
        <v>-2.023068247926026E-2</v>
      </c>
      <c r="D420">
        <f t="shared" si="39"/>
        <v>0</v>
      </c>
      <c r="E420" s="67">
        <f>'Parametric VAR'!$F$13</f>
        <v>-2.8682193012943492E-2</v>
      </c>
      <c r="F420">
        <f t="shared" si="40"/>
        <v>0</v>
      </c>
      <c r="G420" s="67">
        <f>'Historical VAR'!$G$6</f>
        <v>-1.9839729167757107E-2</v>
      </c>
      <c r="H420">
        <f t="shared" si="41"/>
        <v>0</v>
      </c>
      <c r="I420" s="67">
        <f>'Historical VAR'!$G$7</f>
        <v>-3.1428916759065853E-2</v>
      </c>
      <c r="J420">
        <f t="shared" si="42"/>
        <v>0</v>
      </c>
      <c r="K420" s="67">
        <f ca="1">'Monte Carlo Stimulation'!$I$8</f>
        <v>-2.1559270710709389E-2</v>
      </c>
      <c r="L420">
        <f t="shared" ca="1" si="43"/>
        <v>0</v>
      </c>
      <c r="M420" s="67">
        <f ca="1">'Monte Carlo Stimulation'!$I$9</f>
        <v>-2.919314405717207E-2</v>
      </c>
      <c r="N420">
        <f t="shared" ca="1" si="44"/>
        <v>0</v>
      </c>
    </row>
    <row r="421" spans="1:14">
      <c r="A421" s="12">
        <v>45497</v>
      </c>
      <c r="B421" s="14">
        <v>3.3320035317252763E-3</v>
      </c>
      <c r="C421" s="67">
        <f>'Parametric VAR'!$F$12</f>
        <v>-2.023068247926026E-2</v>
      </c>
      <c r="D421">
        <f t="shared" si="39"/>
        <v>0</v>
      </c>
      <c r="E421" s="67">
        <f>'Parametric VAR'!$F$13</f>
        <v>-2.8682193012943492E-2</v>
      </c>
      <c r="F421">
        <f t="shared" si="40"/>
        <v>0</v>
      </c>
      <c r="G421" s="67">
        <f>'Historical VAR'!$G$6</f>
        <v>-1.9839729167757107E-2</v>
      </c>
      <c r="H421">
        <f t="shared" si="41"/>
        <v>0</v>
      </c>
      <c r="I421" s="67">
        <f>'Historical VAR'!$G$7</f>
        <v>-3.1428916759065853E-2</v>
      </c>
      <c r="J421">
        <f t="shared" si="42"/>
        <v>0</v>
      </c>
      <c r="K421" s="67">
        <f ca="1">'Monte Carlo Stimulation'!$I$8</f>
        <v>-2.1559270710709389E-2</v>
      </c>
      <c r="L421">
        <f t="shared" ca="1" si="43"/>
        <v>0</v>
      </c>
      <c r="M421" s="67">
        <f ca="1">'Monte Carlo Stimulation'!$I$9</f>
        <v>-2.919314405717207E-2</v>
      </c>
      <c r="N421">
        <f t="shared" ca="1" si="44"/>
        <v>0</v>
      </c>
    </row>
    <row r="422" spans="1:14">
      <c r="A422" s="12">
        <v>45496</v>
      </c>
      <c r="B422" s="14">
        <v>-5.9378925825895549E-3</v>
      </c>
      <c r="C422" s="67">
        <f>'Parametric VAR'!$F$12</f>
        <v>-2.023068247926026E-2</v>
      </c>
      <c r="D422">
        <f t="shared" si="39"/>
        <v>0</v>
      </c>
      <c r="E422" s="67">
        <f>'Parametric VAR'!$F$13</f>
        <v>-2.8682193012943492E-2</v>
      </c>
      <c r="F422">
        <f t="shared" si="40"/>
        <v>0</v>
      </c>
      <c r="G422" s="67">
        <f>'Historical VAR'!$G$6</f>
        <v>-1.9839729167757107E-2</v>
      </c>
      <c r="H422">
        <f t="shared" si="41"/>
        <v>0</v>
      </c>
      <c r="I422" s="67">
        <f>'Historical VAR'!$G$7</f>
        <v>-3.1428916759065853E-2</v>
      </c>
      <c r="J422">
        <f t="shared" si="42"/>
        <v>0</v>
      </c>
      <c r="K422" s="67">
        <f ca="1">'Monte Carlo Stimulation'!$I$8</f>
        <v>-2.1559270710709389E-2</v>
      </c>
      <c r="L422">
        <f t="shared" ca="1" si="43"/>
        <v>0</v>
      </c>
      <c r="M422" s="67">
        <f ca="1">'Monte Carlo Stimulation'!$I$9</f>
        <v>-2.919314405717207E-2</v>
      </c>
      <c r="N422">
        <f t="shared" ca="1" si="44"/>
        <v>0</v>
      </c>
    </row>
    <row r="423" spans="1:14">
      <c r="A423" s="12">
        <v>45495</v>
      </c>
      <c r="B423" s="14">
        <v>8.8260820157145033E-3</v>
      </c>
      <c r="C423" s="67">
        <f>'Parametric VAR'!$F$12</f>
        <v>-2.023068247926026E-2</v>
      </c>
      <c r="D423">
        <f t="shared" si="39"/>
        <v>0</v>
      </c>
      <c r="E423" s="67">
        <f>'Parametric VAR'!$F$13</f>
        <v>-2.8682193012943492E-2</v>
      </c>
      <c r="F423">
        <f t="shared" si="40"/>
        <v>0</v>
      </c>
      <c r="G423" s="67">
        <f>'Historical VAR'!$G$6</f>
        <v>-1.9839729167757107E-2</v>
      </c>
      <c r="H423">
        <f t="shared" si="41"/>
        <v>0</v>
      </c>
      <c r="I423" s="67">
        <f>'Historical VAR'!$G$7</f>
        <v>-3.1428916759065853E-2</v>
      </c>
      <c r="J423">
        <f t="shared" si="42"/>
        <v>0</v>
      </c>
      <c r="K423" s="67">
        <f ca="1">'Monte Carlo Stimulation'!$I$8</f>
        <v>-2.1559270710709389E-2</v>
      </c>
      <c r="L423">
        <f t="shared" ca="1" si="43"/>
        <v>0</v>
      </c>
      <c r="M423" s="67">
        <f ca="1">'Monte Carlo Stimulation'!$I$9</f>
        <v>-2.919314405717207E-2</v>
      </c>
      <c r="N423">
        <f t="shared" ca="1" si="44"/>
        <v>0</v>
      </c>
    </row>
    <row r="424" spans="1:14">
      <c r="A424" s="12">
        <v>45492</v>
      </c>
      <c r="B424" s="14">
        <v>2.5094628282483324E-3</v>
      </c>
      <c r="C424" s="67">
        <f>'Parametric VAR'!$F$12</f>
        <v>-2.023068247926026E-2</v>
      </c>
      <c r="D424">
        <f t="shared" si="39"/>
        <v>0</v>
      </c>
      <c r="E424" s="67">
        <f>'Parametric VAR'!$F$13</f>
        <v>-2.8682193012943492E-2</v>
      </c>
      <c r="F424">
        <f t="shared" si="40"/>
        <v>0</v>
      </c>
      <c r="G424" s="67">
        <f>'Historical VAR'!$G$6</f>
        <v>-1.9839729167757107E-2</v>
      </c>
      <c r="H424">
        <f t="shared" si="41"/>
        <v>0</v>
      </c>
      <c r="I424" s="67">
        <f>'Historical VAR'!$G$7</f>
        <v>-3.1428916759065853E-2</v>
      </c>
      <c r="J424">
        <f t="shared" si="42"/>
        <v>0</v>
      </c>
      <c r="K424" s="67">
        <f ca="1">'Monte Carlo Stimulation'!$I$8</f>
        <v>-2.1559270710709389E-2</v>
      </c>
      <c r="L424">
        <f t="shared" ca="1" si="43"/>
        <v>0</v>
      </c>
      <c r="M424" s="67">
        <f ca="1">'Monte Carlo Stimulation'!$I$9</f>
        <v>-2.919314405717207E-2</v>
      </c>
      <c r="N424">
        <f t="shared" ca="1" si="44"/>
        <v>0</v>
      </c>
    </row>
    <row r="425" spans="1:14">
      <c r="A425" s="12">
        <v>45491</v>
      </c>
      <c r="B425" s="14">
        <v>-1.5382285197743256E-3</v>
      </c>
      <c r="C425" s="67">
        <f>'Parametric VAR'!$F$12</f>
        <v>-2.023068247926026E-2</v>
      </c>
      <c r="D425">
        <f t="shared" si="39"/>
        <v>0</v>
      </c>
      <c r="E425" s="67">
        <f>'Parametric VAR'!$F$13</f>
        <v>-2.8682193012943492E-2</v>
      </c>
      <c r="F425">
        <f t="shared" si="40"/>
        <v>0</v>
      </c>
      <c r="G425" s="67">
        <f>'Historical VAR'!$G$6</f>
        <v>-1.9839729167757107E-2</v>
      </c>
      <c r="H425">
        <f t="shared" si="41"/>
        <v>0</v>
      </c>
      <c r="I425" s="67">
        <f>'Historical VAR'!$G$7</f>
        <v>-3.1428916759065853E-2</v>
      </c>
      <c r="J425">
        <f t="shared" si="42"/>
        <v>0</v>
      </c>
      <c r="K425" s="67">
        <f ca="1">'Monte Carlo Stimulation'!$I$8</f>
        <v>-2.1559270710709389E-2</v>
      </c>
      <c r="L425">
        <f t="shared" ca="1" si="43"/>
        <v>0</v>
      </c>
      <c r="M425" s="67">
        <f ca="1">'Monte Carlo Stimulation'!$I$9</f>
        <v>-2.919314405717207E-2</v>
      </c>
      <c r="N425">
        <f t="shared" ca="1" si="44"/>
        <v>0</v>
      </c>
    </row>
    <row r="426" spans="1:14">
      <c r="A426" s="12">
        <v>45489</v>
      </c>
      <c r="B426" s="14">
        <v>1.2367814148973961E-2</v>
      </c>
      <c r="C426" s="67">
        <f>'Parametric VAR'!$F$12</f>
        <v>-2.023068247926026E-2</v>
      </c>
      <c r="D426">
        <f t="shared" si="39"/>
        <v>0</v>
      </c>
      <c r="E426" s="67">
        <f>'Parametric VAR'!$F$13</f>
        <v>-2.8682193012943492E-2</v>
      </c>
      <c r="F426">
        <f t="shared" si="40"/>
        <v>0</v>
      </c>
      <c r="G426" s="67">
        <f>'Historical VAR'!$G$6</f>
        <v>-1.9839729167757107E-2</v>
      </c>
      <c r="H426">
        <f t="shared" si="41"/>
        <v>0</v>
      </c>
      <c r="I426" s="67">
        <f>'Historical VAR'!$G$7</f>
        <v>-3.1428916759065853E-2</v>
      </c>
      <c r="J426">
        <f t="shared" si="42"/>
        <v>0</v>
      </c>
      <c r="K426" s="67">
        <f ca="1">'Monte Carlo Stimulation'!$I$8</f>
        <v>-2.1559270710709389E-2</v>
      </c>
      <c r="L426">
        <f t="shared" ca="1" si="43"/>
        <v>0</v>
      </c>
      <c r="M426" s="67">
        <f ca="1">'Monte Carlo Stimulation'!$I$9</f>
        <v>-2.919314405717207E-2</v>
      </c>
      <c r="N426">
        <f t="shared" ca="1" si="44"/>
        <v>0</v>
      </c>
    </row>
    <row r="427" spans="1:14">
      <c r="A427" s="12">
        <v>45488</v>
      </c>
      <c r="B427" s="14">
        <v>-6.4502711702923076E-3</v>
      </c>
      <c r="C427" s="67">
        <f>'Parametric VAR'!$F$12</f>
        <v>-2.023068247926026E-2</v>
      </c>
      <c r="D427">
        <f t="shared" si="39"/>
        <v>0</v>
      </c>
      <c r="E427" s="67">
        <f>'Parametric VAR'!$F$13</f>
        <v>-2.8682193012943492E-2</v>
      </c>
      <c r="F427">
        <f t="shared" si="40"/>
        <v>0</v>
      </c>
      <c r="G427" s="67">
        <f>'Historical VAR'!$G$6</f>
        <v>-1.9839729167757107E-2</v>
      </c>
      <c r="H427">
        <f t="shared" si="41"/>
        <v>0</v>
      </c>
      <c r="I427" s="67">
        <f>'Historical VAR'!$G$7</f>
        <v>-3.1428916759065853E-2</v>
      </c>
      <c r="J427">
        <f t="shared" si="42"/>
        <v>0</v>
      </c>
      <c r="K427" s="67">
        <f ca="1">'Monte Carlo Stimulation'!$I$8</f>
        <v>-2.1559270710709389E-2</v>
      </c>
      <c r="L427">
        <f t="shared" ca="1" si="43"/>
        <v>0</v>
      </c>
      <c r="M427" s="67">
        <f ca="1">'Monte Carlo Stimulation'!$I$9</f>
        <v>-2.919314405717207E-2</v>
      </c>
      <c r="N427">
        <f t="shared" ca="1" si="44"/>
        <v>0</v>
      </c>
    </row>
    <row r="428" spans="1:14">
      <c r="A428" s="12">
        <v>45485</v>
      </c>
      <c r="B428" s="14">
        <v>1.1133857477659383E-2</v>
      </c>
      <c r="C428" s="67">
        <f>'Parametric VAR'!$F$12</f>
        <v>-2.023068247926026E-2</v>
      </c>
      <c r="D428">
        <f t="shared" si="39"/>
        <v>0</v>
      </c>
      <c r="E428" s="67">
        <f>'Parametric VAR'!$F$13</f>
        <v>-2.8682193012943492E-2</v>
      </c>
      <c r="F428">
        <f t="shared" si="40"/>
        <v>0</v>
      </c>
      <c r="G428" s="67">
        <f>'Historical VAR'!$G$6</f>
        <v>-1.9839729167757107E-2</v>
      </c>
      <c r="H428">
        <f t="shared" si="41"/>
        <v>0</v>
      </c>
      <c r="I428" s="67">
        <f>'Historical VAR'!$G$7</f>
        <v>-3.1428916759065853E-2</v>
      </c>
      <c r="J428">
        <f t="shared" si="42"/>
        <v>0</v>
      </c>
      <c r="K428" s="67">
        <f ca="1">'Monte Carlo Stimulation'!$I$8</f>
        <v>-2.1559270710709389E-2</v>
      </c>
      <c r="L428">
        <f t="shared" ca="1" si="43"/>
        <v>0</v>
      </c>
      <c r="M428" s="67">
        <f ca="1">'Monte Carlo Stimulation'!$I$9</f>
        <v>-2.919314405717207E-2</v>
      </c>
      <c r="N428">
        <f t="shared" ca="1" si="44"/>
        <v>0</v>
      </c>
    </row>
    <row r="429" spans="1:14">
      <c r="A429" s="12">
        <v>45484</v>
      </c>
      <c r="B429" s="14">
        <v>5.4562982370279017E-3</v>
      </c>
      <c r="C429" s="67">
        <f>'Parametric VAR'!$F$12</f>
        <v>-2.023068247926026E-2</v>
      </c>
      <c r="D429">
        <f t="shared" si="39"/>
        <v>0</v>
      </c>
      <c r="E429" s="67">
        <f>'Parametric VAR'!$F$13</f>
        <v>-2.8682193012943492E-2</v>
      </c>
      <c r="F429">
        <f t="shared" si="40"/>
        <v>0</v>
      </c>
      <c r="G429" s="67">
        <f>'Historical VAR'!$G$6</f>
        <v>-1.9839729167757107E-2</v>
      </c>
      <c r="H429">
        <f t="shared" si="41"/>
        <v>0</v>
      </c>
      <c r="I429" s="67">
        <f>'Historical VAR'!$G$7</f>
        <v>-3.1428916759065853E-2</v>
      </c>
      <c r="J429">
        <f t="shared" si="42"/>
        <v>0</v>
      </c>
      <c r="K429" s="67">
        <f ca="1">'Monte Carlo Stimulation'!$I$8</f>
        <v>-2.1559270710709389E-2</v>
      </c>
      <c r="L429">
        <f t="shared" ca="1" si="43"/>
        <v>0</v>
      </c>
      <c r="M429" s="67">
        <f ca="1">'Monte Carlo Stimulation'!$I$9</f>
        <v>-2.919314405717207E-2</v>
      </c>
      <c r="N429">
        <f t="shared" ca="1" si="44"/>
        <v>0</v>
      </c>
    </row>
    <row r="430" spans="1:14">
      <c r="A430" s="12">
        <v>45483</v>
      </c>
      <c r="B430" s="14">
        <v>-4.1701154220201752E-3</v>
      </c>
      <c r="C430" s="67">
        <f>'Parametric VAR'!$F$12</f>
        <v>-2.023068247926026E-2</v>
      </c>
      <c r="D430">
        <f t="shared" si="39"/>
        <v>0</v>
      </c>
      <c r="E430" s="67">
        <f>'Parametric VAR'!$F$13</f>
        <v>-2.8682193012943492E-2</v>
      </c>
      <c r="F430">
        <f t="shared" si="40"/>
        <v>0</v>
      </c>
      <c r="G430" s="67">
        <f>'Historical VAR'!$G$6</f>
        <v>-1.9839729167757107E-2</v>
      </c>
      <c r="H430">
        <f t="shared" si="41"/>
        <v>0</v>
      </c>
      <c r="I430" s="67">
        <f>'Historical VAR'!$G$7</f>
        <v>-3.1428916759065853E-2</v>
      </c>
      <c r="J430">
        <f t="shared" si="42"/>
        <v>0</v>
      </c>
      <c r="K430" s="67">
        <f ca="1">'Monte Carlo Stimulation'!$I$8</f>
        <v>-2.1559270710709389E-2</v>
      </c>
      <c r="L430">
        <f t="shared" ca="1" si="43"/>
        <v>0</v>
      </c>
      <c r="M430" s="67">
        <f ca="1">'Monte Carlo Stimulation'!$I$9</f>
        <v>-2.919314405717207E-2</v>
      </c>
      <c r="N430">
        <f t="shared" ca="1" si="44"/>
        <v>0</v>
      </c>
    </row>
    <row r="431" spans="1:14">
      <c r="A431" s="12">
        <v>45482</v>
      </c>
      <c r="B431" s="14">
        <v>-2.965057116884599E-2</v>
      </c>
      <c r="C431" s="67">
        <f>'Parametric VAR'!$F$12</f>
        <v>-2.023068247926026E-2</v>
      </c>
      <c r="D431">
        <f t="shared" si="39"/>
        <v>1</v>
      </c>
      <c r="E431" s="67">
        <f>'Parametric VAR'!$F$13</f>
        <v>-2.8682193012943492E-2</v>
      </c>
      <c r="F431">
        <f t="shared" si="40"/>
        <v>1</v>
      </c>
      <c r="G431" s="67">
        <f>'Historical VAR'!$G$6</f>
        <v>-1.9839729167757107E-2</v>
      </c>
      <c r="H431">
        <f t="shared" si="41"/>
        <v>1</v>
      </c>
      <c r="I431" s="67">
        <f>'Historical VAR'!$G$7</f>
        <v>-3.1428916759065853E-2</v>
      </c>
      <c r="J431">
        <f t="shared" si="42"/>
        <v>0</v>
      </c>
      <c r="K431" s="67">
        <f ca="1">'Monte Carlo Stimulation'!$I$8</f>
        <v>-2.1559270710709389E-2</v>
      </c>
      <c r="L431">
        <f t="shared" ca="1" si="43"/>
        <v>1</v>
      </c>
      <c r="M431" s="67">
        <f ca="1">'Monte Carlo Stimulation'!$I$9</f>
        <v>-2.919314405717207E-2</v>
      </c>
      <c r="N431">
        <f t="shared" ca="1" si="44"/>
        <v>1</v>
      </c>
    </row>
    <row r="432" spans="1:14">
      <c r="A432" s="12">
        <v>45481</v>
      </c>
      <c r="B432" s="14">
        <v>-4.1341587432808047E-3</v>
      </c>
      <c r="C432" s="67">
        <f>'Parametric VAR'!$F$12</f>
        <v>-2.023068247926026E-2</v>
      </c>
      <c r="D432">
        <f t="shared" si="39"/>
        <v>0</v>
      </c>
      <c r="E432" s="67">
        <f>'Parametric VAR'!$F$13</f>
        <v>-2.8682193012943492E-2</v>
      </c>
      <c r="F432">
        <f t="shared" si="40"/>
        <v>0</v>
      </c>
      <c r="G432" s="67">
        <f>'Historical VAR'!$G$6</f>
        <v>-1.9839729167757107E-2</v>
      </c>
      <c r="H432">
        <f t="shared" si="41"/>
        <v>0</v>
      </c>
      <c r="I432" s="67">
        <f>'Historical VAR'!$G$7</f>
        <v>-3.1428916759065853E-2</v>
      </c>
      <c r="J432">
        <f t="shared" si="42"/>
        <v>0</v>
      </c>
      <c r="K432" s="67">
        <f ca="1">'Monte Carlo Stimulation'!$I$8</f>
        <v>-2.1559270710709389E-2</v>
      </c>
      <c r="L432">
        <f t="shared" ca="1" si="43"/>
        <v>0</v>
      </c>
      <c r="M432" s="67">
        <f ca="1">'Monte Carlo Stimulation'!$I$9</f>
        <v>-2.919314405717207E-2</v>
      </c>
      <c r="N432">
        <f t="shared" ca="1" si="44"/>
        <v>0</v>
      </c>
    </row>
    <row r="433" spans="1:14">
      <c r="A433" s="12">
        <v>45478</v>
      </c>
      <c r="B433" s="14">
        <v>1.1601415016581261E-2</v>
      </c>
      <c r="C433" s="67">
        <f>'Parametric VAR'!$F$12</f>
        <v>-2.023068247926026E-2</v>
      </c>
      <c r="D433">
        <f t="shared" si="39"/>
        <v>0</v>
      </c>
      <c r="E433" s="67">
        <f>'Parametric VAR'!$F$13</f>
        <v>-2.8682193012943492E-2</v>
      </c>
      <c r="F433">
        <f t="shared" si="40"/>
        <v>0</v>
      </c>
      <c r="G433" s="67">
        <f>'Historical VAR'!$G$6</f>
        <v>-1.9839729167757107E-2</v>
      </c>
      <c r="H433">
        <f t="shared" si="41"/>
        <v>0</v>
      </c>
      <c r="I433" s="67">
        <f>'Historical VAR'!$G$7</f>
        <v>-3.1428916759065853E-2</v>
      </c>
      <c r="J433">
        <f t="shared" si="42"/>
        <v>0</v>
      </c>
      <c r="K433" s="67">
        <f ca="1">'Monte Carlo Stimulation'!$I$8</f>
        <v>-2.1559270710709389E-2</v>
      </c>
      <c r="L433">
        <f t="shared" ca="1" si="43"/>
        <v>0</v>
      </c>
      <c r="M433" s="67">
        <f ca="1">'Monte Carlo Stimulation'!$I$9</f>
        <v>-2.919314405717207E-2</v>
      </c>
      <c r="N433">
        <f t="shared" ca="1" si="44"/>
        <v>0</v>
      </c>
    </row>
    <row r="434" spans="1:14">
      <c r="A434" s="12">
        <v>45477</v>
      </c>
      <c r="B434" s="14">
        <v>-1.290772663366749E-3</v>
      </c>
      <c r="C434" s="67">
        <f>'Parametric VAR'!$F$12</f>
        <v>-2.023068247926026E-2</v>
      </c>
      <c r="D434">
        <f t="shared" si="39"/>
        <v>0</v>
      </c>
      <c r="E434" s="67">
        <f>'Parametric VAR'!$F$13</f>
        <v>-2.8682193012943492E-2</v>
      </c>
      <c r="F434">
        <f t="shared" si="40"/>
        <v>0</v>
      </c>
      <c r="G434" s="67">
        <f>'Historical VAR'!$G$6</f>
        <v>-1.9839729167757107E-2</v>
      </c>
      <c r="H434">
        <f t="shared" si="41"/>
        <v>0</v>
      </c>
      <c r="I434" s="67">
        <f>'Historical VAR'!$G$7</f>
        <v>-3.1428916759065853E-2</v>
      </c>
      <c r="J434">
        <f t="shared" si="42"/>
        <v>0</v>
      </c>
      <c r="K434" s="67">
        <f ca="1">'Monte Carlo Stimulation'!$I$8</f>
        <v>-2.1559270710709389E-2</v>
      </c>
      <c r="L434">
        <f t="shared" ca="1" si="43"/>
        <v>0</v>
      </c>
      <c r="M434" s="67">
        <f ca="1">'Monte Carlo Stimulation'!$I$9</f>
        <v>-2.919314405717207E-2</v>
      </c>
      <c r="N434">
        <f t="shared" ca="1" si="44"/>
        <v>0</v>
      </c>
    </row>
    <row r="435" spans="1:14">
      <c r="A435" s="12">
        <v>45476</v>
      </c>
      <c r="B435" s="14">
        <v>-3.787355187143451E-3</v>
      </c>
      <c r="C435" s="67">
        <f>'Parametric VAR'!$F$12</f>
        <v>-2.023068247926026E-2</v>
      </c>
      <c r="D435">
        <f t="shared" si="39"/>
        <v>0</v>
      </c>
      <c r="E435" s="67">
        <f>'Parametric VAR'!$F$13</f>
        <v>-2.8682193012943492E-2</v>
      </c>
      <c r="F435">
        <f t="shared" si="40"/>
        <v>0</v>
      </c>
      <c r="G435" s="67">
        <f>'Historical VAR'!$G$6</f>
        <v>-1.9839729167757107E-2</v>
      </c>
      <c r="H435">
        <f t="shared" si="41"/>
        <v>0</v>
      </c>
      <c r="I435" s="67">
        <f>'Historical VAR'!$G$7</f>
        <v>-3.1428916759065853E-2</v>
      </c>
      <c r="J435">
        <f t="shared" si="42"/>
        <v>0</v>
      </c>
      <c r="K435" s="67">
        <f ca="1">'Monte Carlo Stimulation'!$I$8</f>
        <v>-2.1559270710709389E-2</v>
      </c>
      <c r="L435">
        <f t="shared" ca="1" si="43"/>
        <v>0</v>
      </c>
      <c r="M435" s="67">
        <f ca="1">'Monte Carlo Stimulation'!$I$9</f>
        <v>-2.919314405717207E-2</v>
      </c>
      <c r="N435">
        <f t="shared" ca="1" si="44"/>
        <v>0</v>
      </c>
    </row>
    <row r="436" spans="1:14">
      <c r="A436" s="12">
        <v>45475</v>
      </c>
      <c r="B436" s="14">
        <v>-8.1704716348180036E-4</v>
      </c>
      <c r="C436" s="67">
        <f>'Parametric VAR'!$F$12</f>
        <v>-2.023068247926026E-2</v>
      </c>
      <c r="D436">
        <f t="shared" si="39"/>
        <v>0</v>
      </c>
      <c r="E436" s="67">
        <f>'Parametric VAR'!$F$13</f>
        <v>-2.8682193012943492E-2</v>
      </c>
      <c r="F436">
        <f t="shared" si="40"/>
        <v>0</v>
      </c>
      <c r="G436" s="67">
        <f>'Historical VAR'!$G$6</f>
        <v>-1.9839729167757107E-2</v>
      </c>
      <c r="H436">
        <f t="shared" si="41"/>
        <v>0</v>
      </c>
      <c r="I436" s="67">
        <f>'Historical VAR'!$G$7</f>
        <v>-3.1428916759065853E-2</v>
      </c>
      <c r="J436">
        <f t="shared" si="42"/>
        <v>0</v>
      </c>
      <c r="K436" s="67">
        <f ca="1">'Monte Carlo Stimulation'!$I$8</f>
        <v>-2.1559270710709389E-2</v>
      </c>
      <c r="L436">
        <f t="shared" ca="1" si="43"/>
        <v>0</v>
      </c>
      <c r="M436" s="67">
        <f ca="1">'Monte Carlo Stimulation'!$I$9</f>
        <v>-2.919314405717207E-2</v>
      </c>
      <c r="N436">
        <f t="shared" ca="1" si="44"/>
        <v>0</v>
      </c>
    </row>
    <row r="437" spans="1:14">
      <c r="A437" s="12">
        <v>45474</v>
      </c>
      <c r="B437" s="14">
        <v>1.1887604236530727E-4</v>
      </c>
      <c r="C437" s="67">
        <f>'Parametric VAR'!$F$12</f>
        <v>-2.023068247926026E-2</v>
      </c>
      <c r="D437">
        <f t="shared" si="39"/>
        <v>0</v>
      </c>
      <c r="E437" s="67">
        <f>'Parametric VAR'!$F$13</f>
        <v>-2.8682193012943492E-2</v>
      </c>
      <c r="F437">
        <f t="shared" si="40"/>
        <v>0</v>
      </c>
      <c r="G437" s="67">
        <f>'Historical VAR'!$G$6</f>
        <v>-1.9839729167757107E-2</v>
      </c>
      <c r="H437">
        <f t="shared" si="41"/>
        <v>0</v>
      </c>
      <c r="I437" s="67">
        <f>'Historical VAR'!$G$7</f>
        <v>-3.1428916759065853E-2</v>
      </c>
      <c r="J437">
        <f t="shared" si="42"/>
        <v>0</v>
      </c>
      <c r="K437" s="67">
        <f ca="1">'Monte Carlo Stimulation'!$I$8</f>
        <v>-2.1559270710709389E-2</v>
      </c>
      <c r="L437">
        <f t="shared" ca="1" si="43"/>
        <v>0</v>
      </c>
      <c r="M437" s="67">
        <f ca="1">'Monte Carlo Stimulation'!$I$9</f>
        <v>-2.919314405717207E-2</v>
      </c>
      <c r="N437">
        <f t="shared" ca="1" si="44"/>
        <v>0</v>
      </c>
    </row>
    <row r="438" spans="1:14">
      <c r="A438" s="12">
        <v>45471</v>
      </c>
      <c r="B438" s="14">
        <v>-4.3305305888356764E-3</v>
      </c>
      <c r="C438" s="67">
        <f>'Parametric VAR'!$F$12</f>
        <v>-2.023068247926026E-2</v>
      </c>
      <c r="D438">
        <f t="shared" si="39"/>
        <v>0</v>
      </c>
      <c r="E438" s="67">
        <f>'Parametric VAR'!$F$13</f>
        <v>-2.8682193012943492E-2</v>
      </c>
      <c r="F438">
        <f t="shared" si="40"/>
        <v>0</v>
      </c>
      <c r="G438" s="67">
        <f>'Historical VAR'!$G$6</f>
        <v>-1.9839729167757107E-2</v>
      </c>
      <c r="H438">
        <f t="shared" si="41"/>
        <v>0</v>
      </c>
      <c r="I438" s="67">
        <f>'Historical VAR'!$G$7</f>
        <v>-3.1428916759065853E-2</v>
      </c>
      <c r="J438">
        <f t="shared" si="42"/>
        <v>0</v>
      </c>
      <c r="K438" s="67">
        <f ca="1">'Monte Carlo Stimulation'!$I$8</f>
        <v>-2.1559270710709389E-2</v>
      </c>
      <c r="L438">
        <f t="shared" ca="1" si="43"/>
        <v>0</v>
      </c>
      <c r="M438" s="67">
        <f ca="1">'Monte Carlo Stimulation'!$I$9</f>
        <v>-2.919314405717207E-2</v>
      </c>
      <c r="N438">
        <f t="shared" ca="1" si="44"/>
        <v>0</v>
      </c>
    </row>
    <row r="439" spans="1:14">
      <c r="A439" s="12">
        <v>45470</v>
      </c>
      <c r="B439" s="14">
        <v>-9.0950205424342057E-3</v>
      </c>
      <c r="C439" s="67">
        <f>'Parametric VAR'!$F$12</f>
        <v>-2.023068247926026E-2</v>
      </c>
      <c r="D439">
        <f t="shared" si="39"/>
        <v>0</v>
      </c>
      <c r="E439" s="67">
        <f>'Parametric VAR'!$F$13</f>
        <v>-2.8682193012943492E-2</v>
      </c>
      <c r="F439">
        <f t="shared" si="40"/>
        <v>0</v>
      </c>
      <c r="G439" s="67">
        <f>'Historical VAR'!$G$6</f>
        <v>-1.9839729167757107E-2</v>
      </c>
      <c r="H439">
        <f t="shared" si="41"/>
        <v>0</v>
      </c>
      <c r="I439" s="67">
        <f>'Historical VAR'!$G$7</f>
        <v>-3.1428916759065853E-2</v>
      </c>
      <c r="J439">
        <f t="shared" si="42"/>
        <v>0</v>
      </c>
      <c r="K439" s="67">
        <f ca="1">'Monte Carlo Stimulation'!$I$8</f>
        <v>-2.1559270710709389E-2</v>
      </c>
      <c r="L439">
        <f t="shared" ca="1" si="43"/>
        <v>0</v>
      </c>
      <c r="M439" s="67">
        <f ca="1">'Monte Carlo Stimulation'!$I$9</f>
        <v>-2.919314405717207E-2</v>
      </c>
      <c r="N439">
        <f t="shared" ca="1" si="44"/>
        <v>0</v>
      </c>
    </row>
    <row r="440" spans="1:14">
      <c r="A440" s="12">
        <v>45469</v>
      </c>
      <c r="B440" s="14">
        <v>-6.0750439550662462E-3</v>
      </c>
      <c r="C440" s="67">
        <f>'Parametric VAR'!$F$12</f>
        <v>-2.023068247926026E-2</v>
      </c>
      <c r="D440">
        <f t="shared" si="39"/>
        <v>0</v>
      </c>
      <c r="E440" s="67">
        <f>'Parametric VAR'!$F$13</f>
        <v>-2.8682193012943492E-2</v>
      </c>
      <c r="F440">
        <f t="shared" si="40"/>
        <v>0</v>
      </c>
      <c r="G440" s="67">
        <f>'Historical VAR'!$G$6</f>
        <v>-1.9839729167757107E-2</v>
      </c>
      <c r="H440">
        <f t="shared" si="41"/>
        <v>0</v>
      </c>
      <c r="I440" s="67">
        <f>'Historical VAR'!$G$7</f>
        <v>-3.1428916759065853E-2</v>
      </c>
      <c r="J440">
        <f t="shared" si="42"/>
        <v>0</v>
      </c>
      <c r="K440" s="67">
        <f ca="1">'Monte Carlo Stimulation'!$I$8</f>
        <v>-2.1559270710709389E-2</v>
      </c>
      <c r="L440">
        <f t="shared" ca="1" si="43"/>
        <v>0</v>
      </c>
      <c r="M440" s="67">
        <f ca="1">'Monte Carlo Stimulation'!$I$9</f>
        <v>-2.919314405717207E-2</v>
      </c>
      <c r="N440">
        <f t="shared" ca="1" si="44"/>
        <v>0</v>
      </c>
    </row>
    <row r="441" spans="1:14">
      <c r="A441" s="12">
        <v>45468</v>
      </c>
      <c r="B441" s="14">
        <v>1.4587563194147994E-3</v>
      </c>
      <c r="C441" s="67">
        <f>'Parametric VAR'!$F$12</f>
        <v>-2.023068247926026E-2</v>
      </c>
      <c r="D441">
        <f t="shared" si="39"/>
        <v>0</v>
      </c>
      <c r="E441" s="67">
        <f>'Parametric VAR'!$F$13</f>
        <v>-2.8682193012943492E-2</v>
      </c>
      <c r="F441">
        <f t="shared" si="40"/>
        <v>0</v>
      </c>
      <c r="G441" s="67">
        <f>'Historical VAR'!$G$6</f>
        <v>-1.9839729167757107E-2</v>
      </c>
      <c r="H441">
        <f t="shared" si="41"/>
        <v>0</v>
      </c>
      <c r="I441" s="67">
        <f>'Historical VAR'!$G$7</f>
        <v>-3.1428916759065853E-2</v>
      </c>
      <c r="J441">
        <f t="shared" si="42"/>
        <v>0</v>
      </c>
      <c r="K441" s="67">
        <f ca="1">'Monte Carlo Stimulation'!$I$8</f>
        <v>-2.1559270710709389E-2</v>
      </c>
      <c r="L441">
        <f t="shared" ca="1" si="43"/>
        <v>0</v>
      </c>
      <c r="M441" s="67">
        <f ca="1">'Monte Carlo Stimulation'!$I$9</f>
        <v>-2.919314405717207E-2</v>
      </c>
      <c r="N441">
        <f t="shared" ca="1" si="44"/>
        <v>0</v>
      </c>
    </row>
    <row r="442" spans="1:14">
      <c r="A442" s="12">
        <v>45467</v>
      </c>
      <c r="B442" s="14">
        <v>1.1016298524970476E-2</v>
      </c>
      <c r="C442" s="67">
        <f>'Parametric VAR'!$F$12</f>
        <v>-2.023068247926026E-2</v>
      </c>
      <c r="D442">
        <f t="shared" si="39"/>
        <v>0</v>
      </c>
      <c r="E442" s="67">
        <f>'Parametric VAR'!$F$13</f>
        <v>-2.8682193012943492E-2</v>
      </c>
      <c r="F442">
        <f t="shared" si="40"/>
        <v>0</v>
      </c>
      <c r="G442" s="67">
        <f>'Historical VAR'!$G$6</f>
        <v>-1.9839729167757107E-2</v>
      </c>
      <c r="H442">
        <f t="shared" si="41"/>
        <v>0</v>
      </c>
      <c r="I442" s="67">
        <f>'Historical VAR'!$G$7</f>
        <v>-3.1428916759065853E-2</v>
      </c>
      <c r="J442">
        <f t="shared" si="42"/>
        <v>0</v>
      </c>
      <c r="K442" s="67">
        <f ca="1">'Monte Carlo Stimulation'!$I$8</f>
        <v>-2.1559270710709389E-2</v>
      </c>
      <c r="L442">
        <f t="shared" ca="1" si="43"/>
        <v>0</v>
      </c>
      <c r="M442" s="67">
        <f ca="1">'Monte Carlo Stimulation'!$I$9</f>
        <v>-2.919314405717207E-2</v>
      </c>
      <c r="N442">
        <f t="shared" ca="1" si="44"/>
        <v>0</v>
      </c>
    </row>
    <row r="443" spans="1:14">
      <c r="A443" s="12">
        <v>45464</v>
      </c>
      <c r="B443" s="14">
        <v>-2.2840059362317423E-3</v>
      </c>
      <c r="C443" s="67">
        <f>'Parametric VAR'!$F$12</f>
        <v>-2.023068247926026E-2</v>
      </c>
      <c r="D443">
        <f t="shared" si="39"/>
        <v>0</v>
      </c>
      <c r="E443" s="67">
        <f>'Parametric VAR'!$F$13</f>
        <v>-2.8682193012943492E-2</v>
      </c>
      <c r="F443">
        <f t="shared" si="40"/>
        <v>0</v>
      </c>
      <c r="G443" s="67">
        <f>'Historical VAR'!$G$6</f>
        <v>-1.9839729167757107E-2</v>
      </c>
      <c r="H443">
        <f t="shared" si="41"/>
        <v>0</v>
      </c>
      <c r="I443" s="67">
        <f>'Historical VAR'!$G$7</f>
        <v>-3.1428916759065853E-2</v>
      </c>
      <c r="J443">
        <f t="shared" si="42"/>
        <v>0</v>
      </c>
      <c r="K443" s="67">
        <f ca="1">'Monte Carlo Stimulation'!$I$8</f>
        <v>-2.1559270710709389E-2</v>
      </c>
      <c r="L443">
        <f t="shared" ca="1" si="43"/>
        <v>0</v>
      </c>
      <c r="M443" s="67">
        <f ca="1">'Monte Carlo Stimulation'!$I$9</f>
        <v>-2.919314405717207E-2</v>
      </c>
      <c r="N443">
        <f t="shared" ca="1" si="44"/>
        <v>0</v>
      </c>
    </row>
    <row r="444" spans="1:14">
      <c r="A444" s="12">
        <v>45463</v>
      </c>
      <c r="B444" s="14">
        <v>9.3762467866965859E-3</v>
      </c>
      <c r="C444" s="67">
        <f>'Parametric VAR'!$F$12</f>
        <v>-2.023068247926026E-2</v>
      </c>
      <c r="D444">
        <f t="shared" si="39"/>
        <v>0</v>
      </c>
      <c r="E444" s="67">
        <f>'Parametric VAR'!$F$13</f>
        <v>-2.8682193012943492E-2</v>
      </c>
      <c r="F444">
        <f t="shared" si="40"/>
        <v>0</v>
      </c>
      <c r="G444" s="67">
        <f>'Historical VAR'!$G$6</f>
        <v>-1.9839729167757107E-2</v>
      </c>
      <c r="H444">
        <f t="shared" si="41"/>
        <v>0</v>
      </c>
      <c r="I444" s="67">
        <f>'Historical VAR'!$G$7</f>
        <v>-3.1428916759065853E-2</v>
      </c>
      <c r="J444">
        <f t="shared" si="42"/>
        <v>0</v>
      </c>
      <c r="K444" s="67">
        <f ca="1">'Monte Carlo Stimulation'!$I$8</f>
        <v>-2.1559270710709389E-2</v>
      </c>
      <c r="L444">
        <f t="shared" ca="1" si="43"/>
        <v>0</v>
      </c>
      <c r="M444" s="67">
        <f ca="1">'Monte Carlo Stimulation'!$I$9</f>
        <v>-2.919314405717207E-2</v>
      </c>
      <c r="N444">
        <f t="shared" ca="1" si="44"/>
        <v>0</v>
      </c>
    </row>
    <row r="445" spans="1:14">
      <c r="A445" s="12">
        <v>45462</v>
      </c>
      <c r="B445" s="14">
        <v>-1.220483498220319E-2</v>
      </c>
      <c r="C445" s="67">
        <f>'Parametric VAR'!$F$12</f>
        <v>-2.023068247926026E-2</v>
      </c>
      <c r="D445">
        <f t="shared" si="39"/>
        <v>0</v>
      </c>
      <c r="E445" s="67">
        <f>'Parametric VAR'!$F$13</f>
        <v>-2.8682193012943492E-2</v>
      </c>
      <c r="F445">
        <f t="shared" si="40"/>
        <v>0</v>
      </c>
      <c r="G445" s="67">
        <f>'Historical VAR'!$G$6</f>
        <v>-1.9839729167757107E-2</v>
      </c>
      <c r="H445">
        <f t="shared" si="41"/>
        <v>0</v>
      </c>
      <c r="I445" s="67">
        <f>'Historical VAR'!$G$7</f>
        <v>-3.1428916759065853E-2</v>
      </c>
      <c r="J445">
        <f t="shared" si="42"/>
        <v>0</v>
      </c>
      <c r="K445" s="67">
        <f ca="1">'Monte Carlo Stimulation'!$I$8</f>
        <v>-2.1559270710709389E-2</v>
      </c>
      <c r="L445">
        <f t="shared" ca="1" si="43"/>
        <v>0</v>
      </c>
      <c r="M445" s="67">
        <f ca="1">'Monte Carlo Stimulation'!$I$9</f>
        <v>-2.919314405717207E-2</v>
      </c>
      <c r="N445">
        <f t="shared" ca="1" si="44"/>
        <v>0</v>
      </c>
    </row>
    <row r="446" spans="1:14">
      <c r="A446" s="12">
        <v>45461</v>
      </c>
      <c r="B446" s="14">
        <v>9.5980630769599076E-3</v>
      </c>
      <c r="C446" s="67">
        <f>'Parametric VAR'!$F$12</f>
        <v>-2.023068247926026E-2</v>
      </c>
      <c r="D446">
        <f t="shared" si="39"/>
        <v>0</v>
      </c>
      <c r="E446" s="67">
        <f>'Parametric VAR'!$F$13</f>
        <v>-2.8682193012943492E-2</v>
      </c>
      <c r="F446">
        <f t="shared" si="40"/>
        <v>0</v>
      </c>
      <c r="G446" s="67">
        <f>'Historical VAR'!$G$6</f>
        <v>-1.9839729167757107E-2</v>
      </c>
      <c r="H446">
        <f t="shared" si="41"/>
        <v>0</v>
      </c>
      <c r="I446" s="67">
        <f>'Historical VAR'!$G$7</f>
        <v>-3.1428916759065853E-2</v>
      </c>
      <c r="J446">
        <f t="shared" si="42"/>
        <v>0</v>
      </c>
      <c r="K446" s="67">
        <f ca="1">'Monte Carlo Stimulation'!$I$8</f>
        <v>-2.1559270710709389E-2</v>
      </c>
      <c r="L446">
        <f t="shared" ca="1" si="43"/>
        <v>0</v>
      </c>
      <c r="M446" s="67">
        <f ca="1">'Monte Carlo Stimulation'!$I$9</f>
        <v>-2.919314405717207E-2</v>
      </c>
      <c r="N446">
        <f t="shared" ca="1" si="44"/>
        <v>0</v>
      </c>
    </row>
    <row r="447" spans="1:14">
      <c r="A447" s="12">
        <v>45457</v>
      </c>
      <c r="B447" s="14">
        <v>1.4183449969238336E-3</v>
      </c>
      <c r="C447" s="67">
        <f>'Parametric VAR'!$F$12</f>
        <v>-2.023068247926026E-2</v>
      </c>
      <c r="D447">
        <f t="shared" si="39"/>
        <v>0</v>
      </c>
      <c r="E447" s="67">
        <f>'Parametric VAR'!$F$13</f>
        <v>-2.8682193012943492E-2</v>
      </c>
      <c r="F447">
        <f t="shared" si="40"/>
        <v>0</v>
      </c>
      <c r="G447" s="67">
        <f>'Historical VAR'!$G$6</f>
        <v>-1.9839729167757107E-2</v>
      </c>
      <c r="H447">
        <f t="shared" si="41"/>
        <v>0</v>
      </c>
      <c r="I447" s="67">
        <f>'Historical VAR'!$G$7</f>
        <v>-3.1428916759065853E-2</v>
      </c>
      <c r="J447">
        <f t="shared" si="42"/>
        <v>0</v>
      </c>
      <c r="K447" s="67">
        <f ca="1">'Monte Carlo Stimulation'!$I$8</f>
        <v>-2.1559270710709389E-2</v>
      </c>
      <c r="L447">
        <f t="shared" ca="1" si="43"/>
        <v>0</v>
      </c>
      <c r="M447" s="67">
        <f ca="1">'Monte Carlo Stimulation'!$I$9</f>
        <v>-2.919314405717207E-2</v>
      </c>
      <c r="N447">
        <f t="shared" ca="1" si="44"/>
        <v>0</v>
      </c>
    </row>
    <row r="448" spans="1:14">
      <c r="A448" s="12">
        <v>45456</v>
      </c>
      <c r="B448" s="14">
        <v>-3.9321037978812803E-3</v>
      </c>
      <c r="C448" s="67">
        <f>'Parametric VAR'!$F$12</f>
        <v>-2.023068247926026E-2</v>
      </c>
      <c r="D448">
        <f t="shared" si="39"/>
        <v>0</v>
      </c>
      <c r="E448" s="67">
        <f>'Parametric VAR'!$F$13</f>
        <v>-2.8682193012943492E-2</v>
      </c>
      <c r="F448">
        <f t="shared" si="40"/>
        <v>0</v>
      </c>
      <c r="G448" s="67">
        <f>'Historical VAR'!$G$6</f>
        <v>-1.9839729167757107E-2</v>
      </c>
      <c r="H448">
        <f t="shared" si="41"/>
        <v>0</v>
      </c>
      <c r="I448" s="67">
        <f>'Historical VAR'!$G$7</f>
        <v>-3.1428916759065853E-2</v>
      </c>
      <c r="J448">
        <f t="shared" si="42"/>
        <v>0</v>
      </c>
      <c r="K448" s="67">
        <f ca="1">'Monte Carlo Stimulation'!$I$8</f>
        <v>-2.1559270710709389E-2</v>
      </c>
      <c r="L448">
        <f t="shared" ca="1" si="43"/>
        <v>0</v>
      </c>
      <c r="M448" s="67">
        <f ca="1">'Monte Carlo Stimulation'!$I$9</f>
        <v>-2.919314405717207E-2</v>
      </c>
      <c r="N448">
        <f t="shared" ca="1" si="44"/>
        <v>0</v>
      </c>
    </row>
    <row r="449" spans="1:14">
      <c r="A449" s="12">
        <v>45455</v>
      </c>
      <c r="B449" s="14">
        <v>-1.7872985474082282E-3</v>
      </c>
      <c r="C449" s="67">
        <f>'Parametric VAR'!$F$12</f>
        <v>-2.023068247926026E-2</v>
      </c>
      <c r="D449">
        <f t="shared" si="39"/>
        <v>0</v>
      </c>
      <c r="E449" s="67">
        <f>'Parametric VAR'!$F$13</f>
        <v>-2.8682193012943492E-2</v>
      </c>
      <c r="F449">
        <f t="shared" si="40"/>
        <v>0</v>
      </c>
      <c r="G449" s="67">
        <f>'Historical VAR'!$G$6</f>
        <v>-1.9839729167757107E-2</v>
      </c>
      <c r="H449">
        <f t="shared" si="41"/>
        <v>0</v>
      </c>
      <c r="I449" s="67">
        <f>'Historical VAR'!$G$7</f>
        <v>-3.1428916759065853E-2</v>
      </c>
      <c r="J449">
        <f t="shared" si="42"/>
        <v>0</v>
      </c>
      <c r="K449" s="67">
        <f ca="1">'Monte Carlo Stimulation'!$I$8</f>
        <v>-2.1559270710709389E-2</v>
      </c>
      <c r="L449">
        <f t="shared" ca="1" si="43"/>
        <v>0</v>
      </c>
      <c r="M449" s="67">
        <f ca="1">'Monte Carlo Stimulation'!$I$9</f>
        <v>-2.919314405717207E-2</v>
      </c>
      <c r="N449">
        <f t="shared" ca="1" si="44"/>
        <v>0</v>
      </c>
    </row>
    <row r="450" spans="1:14">
      <c r="A450" s="12">
        <v>45454</v>
      </c>
      <c r="B450" s="14">
        <v>-4.3527185763601742E-3</v>
      </c>
      <c r="C450" s="67">
        <f>'Parametric VAR'!$F$12</f>
        <v>-2.023068247926026E-2</v>
      </c>
      <c r="D450">
        <f t="shared" si="39"/>
        <v>0</v>
      </c>
      <c r="E450" s="67">
        <f>'Parametric VAR'!$F$13</f>
        <v>-2.8682193012943492E-2</v>
      </c>
      <c r="F450">
        <f t="shared" si="40"/>
        <v>0</v>
      </c>
      <c r="G450" s="67">
        <f>'Historical VAR'!$G$6</f>
        <v>-1.9839729167757107E-2</v>
      </c>
      <c r="H450">
        <f t="shared" si="41"/>
        <v>0</v>
      </c>
      <c r="I450" s="67">
        <f>'Historical VAR'!$G$7</f>
        <v>-3.1428916759065853E-2</v>
      </c>
      <c r="J450">
        <f t="shared" si="42"/>
        <v>0</v>
      </c>
      <c r="K450" s="67">
        <f ca="1">'Monte Carlo Stimulation'!$I$8</f>
        <v>-2.1559270710709389E-2</v>
      </c>
      <c r="L450">
        <f t="shared" ca="1" si="43"/>
        <v>0</v>
      </c>
      <c r="M450" s="67">
        <f ca="1">'Monte Carlo Stimulation'!$I$9</f>
        <v>-2.919314405717207E-2</v>
      </c>
      <c r="N450">
        <f t="shared" ca="1" si="44"/>
        <v>0</v>
      </c>
    </row>
    <row r="451" spans="1:14">
      <c r="A451" s="12">
        <v>45453</v>
      </c>
      <c r="B451" s="14">
        <v>7.8495954883952678E-3</v>
      </c>
      <c r="C451" s="67">
        <f>'Parametric VAR'!$F$12</f>
        <v>-2.023068247926026E-2</v>
      </c>
      <c r="D451">
        <f t="shared" si="39"/>
        <v>0</v>
      </c>
      <c r="E451" s="67">
        <f>'Parametric VAR'!$F$13</f>
        <v>-2.8682193012943492E-2</v>
      </c>
      <c r="F451">
        <f t="shared" si="40"/>
        <v>0</v>
      </c>
      <c r="G451" s="67">
        <f>'Historical VAR'!$G$6</f>
        <v>-1.9839729167757107E-2</v>
      </c>
      <c r="H451">
        <f t="shared" si="41"/>
        <v>0</v>
      </c>
      <c r="I451" s="67">
        <f>'Historical VAR'!$G$7</f>
        <v>-3.1428916759065853E-2</v>
      </c>
      <c r="J451">
        <f t="shared" si="42"/>
        <v>0</v>
      </c>
      <c r="K451" s="67">
        <f ca="1">'Monte Carlo Stimulation'!$I$8</f>
        <v>-2.1559270710709389E-2</v>
      </c>
      <c r="L451">
        <f t="shared" ca="1" si="43"/>
        <v>0</v>
      </c>
      <c r="M451" s="67">
        <f ca="1">'Monte Carlo Stimulation'!$I$9</f>
        <v>-2.919314405717207E-2</v>
      </c>
      <c r="N451">
        <f t="shared" ca="1" si="44"/>
        <v>0</v>
      </c>
    </row>
    <row r="452" spans="1:14">
      <c r="A452" s="12">
        <v>45450</v>
      </c>
      <c r="B452" s="14">
        <v>-7.5132927332513663E-3</v>
      </c>
      <c r="C452" s="67">
        <f>'Parametric VAR'!$F$12</f>
        <v>-2.023068247926026E-2</v>
      </c>
      <c r="D452">
        <f t="shared" ref="D452:D515" si="45">IF(B452&lt;C452,1,0)</f>
        <v>0</v>
      </c>
      <c r="E452" s="67">
        <f>'Parametric VAR'!$F$13</f>
        <v>-2.8682193012943492E-2</v>
      </c>
      <c r="F452">
        <f t="shared" ref="F452:F515" si="46">IF(B452&lt;E452,1,0)</f>
        <v>0</v>
      </c>
      <c r="G452" s="67">
        <f>'Historical VAR'!$G$6</f>
        <v>-1.9839729167757107E-2</v>
      </c>
      <c r="H452">
        <f t="shared" ref="H452:H515" si="47">IF(B452&lt;G452,1,0)</f>
        <v>0</v>
      </c>
      <c r="I452" s="67">
        <f>'Historical VAR'!$G$7</f>
        <v>-3.1428916759065853E-2</v>
      </c>
      <c r="J452">
        <f t="shared" ref="J452:J515" si="48">IF(B452&lt;I452,1,0)</f>
        <v>0</v>
      </c>
      <c r="K452" s="67">
        <f ca="1">'Monte Carlo Stimulation'!$I$8</f>
        <v>-2.1559270710709389E-2</v>
      </c>
      <c r="L452">
        <f t="shared" ref="L452:L515" ca="1" si="49">IF(B452&lt;K452,1,0)</f>
        <v>0</v>
      </c>
      <c r="M452" s="67">
        <f ca="1">'Monte Carlo Stimulation'!$I$9</f>
        <v>-2.919314405717207E-2</v>
      </c>
      <c r="N452">
        <f t="shared" ref="N452:N515" ca="1" si="50">IF(B452&lt;M452,1,0)</f>
        <v>0</v>
      </c>
    </row>
    <row r="453" spans="1:14">
      <c r="A453" s="12">
        <v>45449</v>
      </c>
      <c r="B453" s="14">
        <v>-8.6484062526653999E-3</v>
      </c>
      <c r="C453" s="67">
        <f>'Parametric VAR'!$F$12</f>
        <v>-2.023068247926026E-2</v>
      </c>
      <c r="D453">
        <f t="shared" si="45"/>
        <v>0</v>
      </c>
      <c r="E453" s="67">
        <f>'Parametric VAR'!$F$13</f>
        <v>-2.8682193012943492E-2</v>
      </c>
      <c r="F453">
        <f t="shared" si="46"/>
        <v>0</v>
      </c>
      <c r="G453" s="67">
        <f>'Historical VAR'!$G$6</f>
        <v>-1.9839729167757107E-2</v>
      </c>
      <c r="H453">
        <f t="shared" si="47"/>
        <v>0</v>
      </c>
      <c r="I453" s="67">
        <f>'Historical VAR'!$G$7</f>
        <v>-3.1428916759065853E-2</v>
      </c>
      <c r="J453">
        <f t="shared" si="48"/>
        <v>0</v>
      </c>
      <c r="K453" s="67">
        <f ca="1">'Monte Carlo Stimulation'!$I$8</f>
        <v>-2.1559270710709389E-2</v>
      </c>
      <c r="L453">
        <f t="shared" ca="1" si="49"/>
        <v>0</v>
      </c>
      <c r="M453" s="67">
        <f ca="1">'Monte Carlo Stimulation'!$I$9</f>
        <v>-2.919314405717207E-2</v>
      </c>
      <c r="N453">
        <f t="shared" ca="1" si="50"/>
        <v>0</v>
      </c>
    </row>
    <row r="454" spans="1:14">
      <c r="A454" s="12">
        <v>45448</v>
      </c>
      <c r="B454" s="14">
        <v>1.2051926069563245E-2</v>
      </c>
      <c r="C454" s="67">
        <f>'Parametric VAR'!$F$12</f>
        <v>-2.023068247926026E-2</v>
      </c>
      <c r="D454">
        <f t="shared" si="45"/>
        <v>0</v>
      </c>
      <c r="E454" s="67">
        <f>'Parametric VAR'!$F$13</f>
        <v>-2.8682193012943492E-2</v>
      </c>
      <c r="F454">
        <f t="shared" si="46"/>
        <v>0</v>
      </c>
      <c r="G454" s="67">
        <f>'Historical VAR'!$G$6</f>
        <v>-1.9839729167757107E-2</v>
      </c>
      <c r="H454">
        <f t="shared" si="47"/>
        <v>0</v>
      </c>
      <c r="I454" s="67">
        <f>'Historical VAR'!$G$7</f>
        <v>-3.1428916759065853E-2</v>
      </c>
      <c r="J454">
        <f t="shared" si="48"/>
        <v>0</v>
      </c>
      <c r="K454" s="67">
        <f ca="1">'Monte Carlo Stimulation'!$I$8</f>
        <v>-2.1559270710709389E-2</v>
      </c>
      <c r="L454">
        <f t="shared" ca="1" si="49"/>
        <v>0</v>
      </c>
      <c r="M454" s="67">
        <f ca="1">'Monte Carlo Stimulation'!$I$9</f>
        <v>-2.919314405717207E-2</v>
      </c>
      <c r="N454">
        <f t="shared" ca="1" si="50"/>
        <v>0</v>
      </c>
    </row>
    <row r="455" spans="1:14">
      <c r="A455" s="12">
        <v>45447</v>
      </c>
      <c r="B455" s="14">
        <v>-3.6574195860402094E-2</v>
      </c>
      <c r="C455" s="67">
        <f>'Parametric VAR'!$F$12</f>
        <v>-2.023068247926026E-2</v>
      </c>
      <c r="D455">
        <f t="shared" si="45"/>
        <v>1</v>
      </c>
      <c r="E455" s="67">
        <f>'Parametric VAR'!$F$13</f>
        <v>-2.8682193012943492E-2</v>
      </c>
      <c r="F455">
        <f t="shared" si="46"/>
        <v>1</v>
      </c>
      <c r="G455" s="67">
        <f>'Historical VAR'!$G$6</f>
        <v>-1.9839729167757107E-2</v>
      </c>
      <c r="H455">
        <f t="shared" si="47"/>
        <v>1</v>
      </c>
      <c r="I455" s="67">
        <f>'Historical VAR'!$G$7</f>
        <v>-3.1428916759065853E-2</v>
      </c>
      <c r="J455">
        <f t="shared" si="48"/>
        <v>1</v>
      </c>
      <c r="K455" s="67">
        <f ca="1">'Monte Carlo Stimulation'!$I$8</f>
        <v>-2.1559270710709389E-2</v>
      </c>
      <c r="L455">
        <f t="shared" ca="1" si="49"/>
        <v>1</v>
      </c>
      <c r="M455" s="67">
        <f ca="1">'Monte Carlo Stimulation'!$I$9</f>
        <v>-2.919314405717207E-2</v>
      </c>
      <c r="N455">
        <f t="shared" ca="1" si="50"/>
        <v>1</v>
      </c>
    </row>
    <row r="456" spans="1:14">
      <c r="A456" s="12">
        <v>45446</v>
      </c>
      <c r="B456" s="14">
        <v>1.1559320975314886E-2</v>
      </c>
      <c r="C456" s="67">
        <f>'Parametric VAR'!$F$12</f>
        <v>-2.023068247926026E-2</v>
      </c>
      <c r="D456">
        <f t="shared" si="45"/>
        <v>0</v>
      </c>
      <c r="E456" s="67">
        <f>'Parametric VAR'!$F$13</f>
        <v>-2.8682193012943492E-2</v>
      </c>
      <c r="F456">
        <f t="shared" si="46"/>
        <v>0</v>
      </c>
      <c r="G456" s="67">
        <f>'Historical VAR'!$G$6</f>
        <v>-1.9839729167757107E-2</v>
      </c>
      <c r="H456">
        <f t="shared" si="47"/>
        <v>0</v>
      </c>
      <c r="I456" s="67">
        <f>'Historical VAR'!$G$7</f>
        <v>-3.1428916759065853E-2</v>
      </c>
      <c r="J456">
        <f t="shared" si="48"/>
        <v>0</v>
      </c>
      <c r="K456" s="67">
        <f ca="1">'Monte Carlo Stimulation'!$I$8</f>
        <v>-2.1559270710709389E-2</v>
      </c>
      <c r="L456">
        <f t="shared" ca="1" si="49"/>
        <v>0</v>
      </c>
      <c r="M456" s="67">
        <f ca="1">'Monte Carlo Stimulation'!$I$9</f>
        <v>-2.919314405717207E-2</v>
      </c>
      <c r="N456">
        <f t="shared" ca="1" si="50"/>
        <v>0</v>
      </c>
    </row>
    <row r="457" spans="1:14">
      <c r="A457" s="12">
        <v>45443</v>
      </c>
      <c r="B457" s="14">
        <v>-1.558222218237288E-3</v>
      </c>
      <c r="C457" s="67">
        <f>'Parametric VAR'!$F$12</f>
        <v>-2.023068247926026E-2</v>
      </c>
      <c r="D457">
        <f t="shared" si="45"/>
        <v>0</v>
      </c>
      <c r="E457" s="67">
        <f>'Parametric VAR'!$F$13</f>
        <v>-2.8682193012943492E-2</v>
      </c>
      <c r="F457">
        <f t="shared" si="46"/>
        <v>0</v>
      </c>
      <c r="G457" s="67">
        <f>'Historical VAR'!$G$6</f>
        <v>-1.9839729167757107E-2</v>
      </c>
      <c r="H457">
        <f t="shared" si="47"/>
        <v>0</v>
      </c>
      <c r="I457" s="67">
        <f>'Historical VAR'!$G$7</f>
        <v>-3.1428916759065853E-2</v>
      </c>
      <c r="J457">
        <f t="shared" si="48"/>
        <v>0</v>
      </c>
      <c r="K457" s="67">
        <f ca="1">'Monte Carlo Stimulation'!$I$8</f>
        <v>-2.1559270710709389E-2</v>
      </c>
      <c r="L457">
        <f t="shared" ca="1" si="49"/>
        <v>0</v>
      </c>
      <c r="M457" s="67">
        <f ca="1">'Monte Carlo Stimulation'!$I$9</f>
        <v>-2.919314405717207E-2</v>
      </c>
      <c r="N457">
        <f t="shared" ca="1" si="50"/>
        <v>0</v>
      </c>
    </row>
    <row r="458" spans="1:14">
      <c r="A458" s="12">
        <v>45442</v>
      </c>
      <c r="B458" s="14">
        <v>6.7035043498784534E-3</v>
      </c>
      <c r="C458" s="67">
        <f>'Parametric VAR'!$F$12</f>
        <v>-2.023068247926026E-2</v>
      </c>
      <c r="D458">
        <f t="shared" si="45"/>
        <v>0</v>
      </c>
      <c r="E458" s="67">
        <f>'Parametric VAR'!$F$13</f>
        <v>-2.8682193012943492E-2</v>
      </c>
      <c r="F458">
        <f t="shared" si="46"/>
        <v>0</v>
      </c>
      <c r="G458" s="67">
        <f>'Historical VAR'!$G$6</f>
        <v>-1.9839729167757107E-2</v>
      </c>
      <c r="H458">
        <f t="shared" si="47"/>
        <v>0</v>
      </c>
      <c r="I458" s="67">
        <f>'Historical VAR'!$G$7</f>
        <v>-3.1428916759065853E-2</v>
      </c>
      <c r="J458">
        <f t="shared" si="48"/>
        <v>0</v>
      </c>
      <c r="K458" s="67">
        <f ca="1">'Monte Carlo Stimulation'!$I$8</f>
        <v>-2.1559270710709389E-2</v>
      </c>
      <c r="L458">
        <f t="shared" ca="1" si="49"/>
        <v>0</v>
      </c>
      <c r="M458" s="67">
        <f ca="1">'Monte Carlo Stimulation'!$I$9</f>
        <v>-2.919314405717207E-2</v>
      </c>
      <c r="N458">
        <f t="shared" ca="1" si="50"/>
        <v>0</v>
      </c>
    </row>
    <row r="459" spans="1:14">
      <c r="A459" s="12">
        <v>45441</v>
      </c>
      <c r="B459" s="14">
        <v>1.0259796042697495E-2</v>
      </c>
      <c r="C459" s="67">
        <f>'Parametric VAR'!$F$12</f>
        <v>-2.023068247926026E-2</v>
      </c>
      <c r="D459">
        <f t="shared" si="45"/>
        <v>0</v>
      </c>
      <c r="E459" s="67">
        <f>'Parametric VAR'!$F$13</f>
        <v>-2.8682193012943492E-2</v>
      </c>
      <c r="F459">
        <f t="shared" si="46"/>
        <v>0</v>
      </c>
      <c r="G459" s="67">
        <f>'Historical VAR'!$G$6</f>
        <v>-1.9839729167757107E-2</v>
      </c>
      <c r="H459">
        <f t="shared" si="47"/>
        <v>0</v>
      </c>
      <c r="I459" s="67">
        <f>'Historical VAR'!$G$7</f>
        <v>-3.1428916759065853E-2</v>
      </c>
      <c r="J459">
        <f t="shared" si="48"/>
        <v>0</v>
      </c>
      <c r="K459" s="67">
        <f ca="1">'Monte Carlo Stimulation'!$I$8</f>
        <v>-2.1559270710709389E-2</v>
      </c>
      <c r="L459">
        <f t="shared" ca="1" si="49"/>
        <v>0</v>
      </c>
      <c r="M459" s="67">
        <f ca="1">'Monte Carlo Stimulation'!$I$9</f>
        <v>-2.919314405717207E-2</v>
      </c>
      <c r="N459">
        <f t="shared" ca="1" si="50"/>
        <v>0</v>
      </c>
    </row>
    <row r="460" spans="1:14">
      <c r="A460" s="12">
        <v>45440</v>
      </c>
      <c r="B460" s="14">
        <v>4.0402933143276016E-3</v>
      </c>
      <c r="C460" s="67">
        <f>'Parametric VAR'!$F$12</f>
        <v>-2.023068247926026E-2</v>
      </c>
      <c r="D460">
        <f t="shared" si="45"/>
        <v>0</v>
      </c>
      <c r="E460" s="67">
        <f>'Parametric VAR'!$F$13</f>
        <v>-2.8682193012943492E-2</v>
      </c>
      <c r="F460">
        <f t="shared" si="46"/>
        <v>0</v>
      </c>
      <c r="G460" s="67">
        <f>'Historical VAR'!$G$6</f>
        <v>-1.9839729167757107E-2</v>
      </c>
      <c r="H460">
        <f t="shared" si="47"/>
        <v>0</v>
      </c>
      <c r="I460" s="67">
        <f>'Historical VAR'!$G$7</f>
        <v>-3.1428916759065853E-2</v>
      </c>
      <c r="J460">
        <f t="shared" si="48"/>
        <v>0</v>
      </c>
      <c r="K460" s="67">
        <f ca="1">'Monte Carlo Stimulation'!$I$8</f>
        <v>-2.1559270710709389E-2</v>
      </c>
      <c r="L460">
        <f t="shared" ca="1" si="49"/>
        <v>0</v>
      </c>
      <c r="M460" s="67">
        <f ca="1">'Monte Carlo Stimulation'!$I$9</f>
        <v>-2.919314405717207E-2</v>
      </c>
      <c r="N460">
        <f t="shared" ca="1" si="50"/>
        <v>0</v>
      </c>
    </row>
    <row r="461" spans="1:14">
      <c r="A461" s="12">
        <v>45439</v>
      </c>
      <c r="B461" s="14">
        <v>-1.3074563078975553E-2</v>
      </c>
      <c r="C461" s="67">
        <f>'Parametric VAR'!$F$12</f>
        <v>-2.023068247926026E-2</v>
      </c>
      <c r="D461">
        <f t="shared" si="45"/>
        <v>0</v>
      </c>
      <c r="E461" s="67">
        <f>'Parametric VAR'!$F$13</f>
        <v>-2.8682193012943492E-2</v>
      </c>
      <c r="F461">
        <f t="shared" si="46"/>
        <v>0</v>
      </c>
      <c r="G461" s="67">
        <f>'Historical VAR'!$G$6</f>
        <v>-1.9839729167757107E-2</v>
      </c>
      <c r="H461">
        <f t="shared" si="47"/>
        <v>0</v>
      </c>
      <c r="I461" s="67">
        <f>'Historical VAR'!$G$7</f>
        <v>-3.1428916759065853E-2</v>
      </c>
      <c r="J461">
        <f t="shared" si="48"/>
        <v>0</v>
      </c>
      <c r="K461" s="67">
        <f ca="1">'Monte Carlo Stimulation'!$I$8</f>
        <v>-2.1559270710709389E-2</v>
      </c>
      <c r="L461">
        <f t="shared" ca="1" si="49"/>
        <v>0</v>
      </c>
      <c r="M461" s="67">
        <f ca="1">'Monte Carlo Stimulation'!$I$9</f>
        <v>-2.919314405717207E-2</v>
      </c>
      <c r="N461">
        <f t="shared" ca="1" si="50"/>
        <v>0</v>
      </c>
    </row>
    <row r="462" spans="1:14">
      <c r="A462" s="12">
        <v>45436</v>
      </c>
      <c r="B462" s="14">
        <v>1.6905438896627836E-3</v>
      </c>
      <c r="C462" s="67">
        <f>'Parametric VAR'!$F$12</f>
        <v>-2.023068247926026E-2</v>
      </c>
      <c r="D462">
        <f t="shared" si="45"/>
        <v>0</v>
      </c>
      <c r="E462" s="67">
        <f>'Parametric VAR'!$F$13</f>
        <v>-2.8682193012943492E-2</v>
      </c>
      <c r="F462">
        <f t="shared" si="46"/>
        <v>0</v>
      </c>
      <c r="G462" s="67">
        <f>'Historical VAR'!$G$6</f>
        <v>-1.9839729167757107E-2</v>
      </c>
      <c r="H462">
        <f t="shared" si="47"/>
        <v>0</v>
      </c>
      <c r="I462" s="67">
        <f>'Historical VAR'!$G$7</f>
        <v>-3.1428916759065853E-2</v>
      </c>
      <c r="J462">
        <f t="shared" si="48"/>
        <v>0</v>
      </c>
      <c r="K462" s="67">
        <f ca="1">'Monte Carlo Stimulation'!$I$8</f>
        <v>-2.1559270710709389E-2</v>
      </c>
      <c r="L462">
        <f t="shared" ca="1" si="49"/>
        <v>0</v>
      </c>
      <c r="M462" s="67">
        <f ca="1">'Monte Carlo Stimulation'!$I$9</f>
        <v>-2.919314405717207E-2</v>
      </c>
      <c r="N462">
        <f t="shared" ca="1" si="50"/>
        <v>0</v>
      </c>
    </row>
    <row r="463" spans="1:14">
      <c r="A463" s="12">
        <v>45435</v>
      </c>
      <c r="B463" s="14">
        <v>7.6852660577333646E-3</v>
      </c>
      <c r="C463" s="67">
        <f>'Parametric VAR'!$F$12</f>
        <v>-2.023068247926026E-2</v>
      </c>
      <c r="D463">
        <f t="shared" si="45"/>
        <v>0</v>
      </c>
      <c r="E463" s="67">
        <f>'Parametric VAR'!$F$13</f>
        <v>-2.8682193012943492E-2</v>
      </c>
      <c r="F463">
        <f t="shared" si="46"/>
        <v>0</v>
      </c>
      <c r="G463" s="67">
        <f>'Historical VAR'!$G$6</f>
        <v>-1.9839729167757107E-2</v>
      </c>
      <c r="H463">
        <f t="shared" si="47"/>
        <v>0</v>
      </c>
      <c r="I463" s="67">
        <f>'Historical VAR'!$G$7</f>
        <v>-3.1428916759065853E-2</v>
      </c>
      <c r="J463">
        <f t="shared" si="48"/>
        <v>0</v>
      </c>
      <c r="K463" s="67">
        <f ca="1">'Monte Carlo Stimulation'!$I$8</f>
        <v>-2.1559270710709389E-2</v>
      </c>
      <c r="L463">
        <f t="shared" ca="1" si="49"/>
        <v>0</v>
      </c>
      <c r="M463" s="67">
        <f ca="1">'Monte Carlo Stimulation'!$I$9</f>
        <v>-2.919314405717207E-2</v>
      </c>
      <c r="N463">
        <f t="shared" ca="1" si="50"/>
        <v>0</v>
      </c>
    </row>
    <row r="464" spans="1:14">
      <c r="A464" s="12">
        <v>45434</v>
      </c>
      <c r="B464" s="14">
        <v>-4.1589422294837702E-3</v>
      </c>
      <c r="C464" s="67">
        <f>'Parametric VAR'!$F$12</f>
        <v>-2.023068247926026E-2</v>
      </c>
      <c r="D464">
        <f t="shared" si="45"/>
        <v>0</v>
      </c>
      <c r="E464" s="67">
        <f>'Parametric VAR'!$F$13</f>
        <v>-2.8682193012943492E-2</v>
      </c>
      <c r="F464">
        <f t="shared" si="46"/>
        <v>0</v>
      </c>
      <c r="G464" s="67">
        <f>'Historical VAR'!$G$6</f>
        <v>-1.9839729167757107E-2</v>
      </c>
      <c r="H464">
        <f t="shared" si="47"/>
        <v>0</v>
      </c>
      <c r="I464" s="67">
        <f>'Historical VAR'!$G$7</f>
        <v>-3.1428916759065853E-2</v>
      </c>
      <c r="J464">
        <f t="shared" si="48"/>
        <v>0</v>
      </c>
      <c r="K464" s="67">
        <f ca="1">'Monte Carlo Stimulation'!$I$8</f>
        <v>-2.1559270710709389E-2</v>
      </c>
      <c r="L464">
        <f t="shared" ca="1" si="49"/>
        <v>0</v>
      </c>
      <c r="M464" s="67">
        <f ca="1">'Monte Carlo Stimulation'!$I$9</f>
        <v>-2.919314405717207E-2</v>
      </c>
      <c r="N464">
        <f t="shared" ca="1" si="50"/>
        <v>0</v>
      </c>
    </row>
    <row r="465" spans="1:14">
      <c r="A465" s="12">
        <v>45433</v>
      </c>
      <c r="B465" s="14">
        <v>-7.4888418936965061E-3</v>
      </c>
      <c r="C465" s="67">
        <f>'Parametric VAR'!$F$12</f>
        <v>-2.023068247926026E-2</v>
      </c>
      <c r="D465">
        <f t="shared" si="45"/>
        <v>0</v>
      </c>
      <c r="E465" s="67">
        <f>'Parametric VAR'!$F$13</f>
        <v>-2.8682193012943492E-2</v>
      </c>
      <c r="F465">
        <f t="shared" si="46"/>
        <v>0</v>
      </c>
      <c r="G465" s="67">
        <f>'Historical VAR'!$G$6</f>
        <v>-1.9839729167757107E-2</v>
      </c>
      <c r="H465">
        <f t="shared" si="47"/>
        <v>0</v>
      </c>
      <c r="I465" s="67">
        <f>'Historical VAR'!$G$7</f>
        <v>-3.1428916759065853E-2</v>
      </c>
      <c r="J465">
        <f t="shared" si="48"/>
        <v>0</v>
      </c>
      <c r="K465" s="67">
        <f ca="1">'Monte Carlo Stimulation'!$I$8</f>
        <v>-2.1559270710709389E-2</v>
      </c>
      <c r="L465">
        <f t="shared" ca="1" si="49"/>
        <v>0</v>
      </c>
      <c r="M465" s="67">
        <f ca="1">'Monte Carlo Stimulation'!$I$9</f>
        <v>-2.919314405717207E-2</v>
      </c>
      <c r="N465">
        <f t="shared" ca="1" si="50"/>
        <v>0</v>
      </c>
    </row>
    <row r="466" spans="1:14">
      <c r="A466" s="12">
        <v>45430</v>
      </c>
      <c r="B466" s="14">
        <v>-6.630082449779728E-3</v>
      </c>
      <c r="C466" s="67">
        <f>'Parametric VAR'!$F$12</f>
        <v>-2.023068247926026E-2</v>
      </c>
      <c r="D466">
        <f t="shared" si="45"/>
        <v>0</v>
      </c>
      <c r="E466" s="67">
        <f>'Parametric VAR'!$F$13</f>
        <v>-2.8682193012943492E-2</v>
      </c>
      <c r="F466">
        <f t="shared" si="46"/>
        <v>0</v>
      </c>
      <c r="G466" s="67">
        <f>'Historical VAR'!$G$6</f>
        <v>-1.9839729167757107E-2</v>
      </c>
      <c r="H466">
        <f t="shared" si="47"/>
        <v>0</v>
      </c>
      <c r="I466" s="67">
        <f>'Historical VAR'!$G$7</f>
        <v>-3.1428916759065853E-2</v>
      </c>
      <c r="J466">
        <f t="shared" si="48"/>
        <v>0</v>
      </c>
      <c r="K466" s="67">
        <f ca="1">'Monte Carlo Stimulation'!$I$8</f>
        <v>-2.1559270710709389E-2</v>
      </c>
      <c r="L466">
        <f t="shared" ca="1" si="49"/>
        <v>0</v>
      </c>
      <c r="M466" s="67">
        <f ca="1">'Monte Carlo Stimulation'!$I$9</f>
        <v>-2.919314405717207E-2</v>
      </c>
      <c r="N466">
        <f t="shared" ca="1" si="50"/>
        <v>0</v>
      </c>
    </row>
    <row r="467" spans="1:14">
      <c r="A467" s="12">
        <v>45429</v>
      </c>
      <c r="B467" s="14">
        <v>-2.7670892683043882E-3</v>
      </c>
      <c r="C467" s="67">
        <f>'Parametric VAR'!$F$12</f>
        <v>-2.023068247926026E-2</v>
      </c>
      <c r="D467">
        <f t="shared" si="45"/>
        <v>0</v>
      </c>
      <c r="E467" s="67">
        <f>'Parametric VAR'!$F$13</f>
        <v>-2.8682193012943492E-2</v>
      </c>
      <c r="F467">
        <f t="shared" si="46"/>
        <v>0</v>
      </c>
      <c r="G467" s="67">
        <f>'Historical VAR'!$G$6</f>
        <v>-1.9839729167757107E-2</v>
      </c>
      <c r="H467">
        <f t="shared" si="47"/>
        <v>0</v>
      </c>
      <c r="I467" s="67">
        <f>'Historical VAR'!$G$7</f>
        <v>-3.1428916759065853E-2</v>
      </c>
      <c r="J467">
        <f t="shared" si="48"/>
        <v>0</v>
      </c>
      <c r="K467" s="67">
        <f ca="1">'Monte Carlo Stimulation'!$I$8</f>
        <v>-2.1559270710709389E-2</v>
      </c>
      <c r="L467">
        <f t="shared" ca="1" si="49"/>
        <v>0</v>
      </c>
      <c r="M467" s="67">
        <f ca="1">'Monte Carlo Stimulation'!$I$9</f>
        <v>-2.919314405717207E-2</v>
      </c>
      <c r="N467">
        <f t="shared" ca="1" si="50"/>
        <v>0</v>
      </c>
    </row>
    <row r="468" spans="1:14">
      <c r="A468" s="12">
        <v>45428</v>
      </c>
      <c r="B468" s="14">
        <v>-1.8971858798470869E-3</v>
      </c>
      <c r="C468" s="67">
        <f>'Parametric VAR'!$F$12</f>
        <v>-2.023068247926026E-2</v>
      </c>
      <c r="D468">
        <f t="shared" si="45"/>
        <v>0</v>
      </c>
      <c r="E468" s="67">
        <f>'Parametric VAR'!$F$13</f>
        <v>-2.8682193012943492E-2</v>
      </c>
      <c r="F468">
        <f t="shared" si="46"/>
        <v>0</v>
      </c>
      <c r="G468" s="67">
        <f>'Historical VAR'!$G$6</f>
        <v>-1.9839729167757107E-2</v>
      </c>
      <c r="H468">
        <f t="shared" si="47"/>
        <v>0</v>
      </c>
      <c r="I468" s="67">
        <f>'Historical VAR'!$G$7</f>
        <v>-3.1428916759065853E-2</v>
      </c>
      <c r="J468">
        <f t="shared" si="48"/>
        <v>0</v>
      </c>
      <c r="K468" s="67">
        <f ca="1">'Monte Carlo Stimulation'!$I$8</f>
        <v>-2.1559270710709389E-2</v>
      </c>
      <c r="L468">
        <f t="shared" ca="1" si="49"/>
        <v>0</v>
      </c>
      <c r="M468" s="67">
        <f ca="1">'Monte Carlo Stimulation'!$I$9</f>
        <v>-2.919314405717207E-2</v>
      </c>
      <c r="N468">
        <f t="shared" ca="1" si="50"/>
        <v>0</v>
      </c>
    </row>
    <row r="469" spans="1:14">
      <c r="A469" s="12">
        <v>45427</v>
      </c>
      <c r="B469" s="14">
        <v>-1.5435908345701943E-3</v>
      </c>
      <c r="C469" s="67">
        <f>'Parametric VAR'!$F$12</f>
        <v>-2.023068247926026E-2</v>
      </c>
      <c r="D469">
        <f t="shared" si="45"/>
        <v>0</v>
      </c>
      <c r="E469" s="67">
        <f>'Parametric VAR'!$F$13</f>
        <v>-2.8682193012943492E-2</v>
      </c>
      <c r="F469">
        <f t="shared" si="46"/>
        <v>0</v>
      </c>
      <c r="G469" s="67">
        <f>'Historical VAR'!$G$6</f>
        <v>-1.9839729167757107E-2</v>
      </c>
      <c r="H469">
        <f t="shared" si="47"/>
        <v>0</v>
      </c>
      <c r="I469" s="67">
        <f>'Historical VAR'!$G$7</f>
        <v>-3.1428916759065853E-2</v>
      </c>
      <c r="J469">
        <f t="shared" si="48"/>
        <v>0</v>
      </c>
      <c r="K469" s="67">
        <f ca="1">'Monte Carlo Stimulation'!$I$8</f>
        <v>-2.1559270710709389E-2</v>
      </c>
      <c r="L469">
        <f t="shared" ca="1" si="49"/>
        <v>0</v>
      </c>
      <c r="M469" s="67">
        <f ca="1">'Monte Carlo Stimulation'!$I$9</f>
        <v>-2.919314405717207E-2</v>
      </c>
      <c r="N469">
        <f t="shared" ca="1" si="50"/>
        <v>0</v>
      </c>
    </row>
    <row r="470" spans="1:14">
      <c r="A470" s="12">
        <v>45426</v>
      </c>
      <c r="B470" s="14">
        <v>1.5900244820197258E-2</v>
      </c>
      <c r="C470" s="67">
        <f>'Parametric VAR'!$F$12</f>
        <v>-2.023068247926026E-2</v>
      </c>
      <c r="D470">
        <f t="shared" si="45"/>
        <v>0</v>
      </c>
      <c r="E470" s="67">
        <f>'Parametric VAR'!$F$13</f>
        <v>-2.8682193012943492E-2</v>
      </c>
      <c r="F470">
        <f t="shared" si="46"/>
        <v>0</v>
      </c>
      <c r="G470" s="67">
        <f>'Historical VAR'!$G$6</f>
        <v>-1.9839729167757107E-2</v>
      </c>
      <c r="H470">
        <f t="shared" si="47"/>
        <v>0</v>
      </c>
      <c r="I470" s="67">
        <f>'Historical VAR'!$G$7</f>
        <v>-3.1428916759065853E-2</v>
      </c>
      <c r="J470">
        <f t="shared" si="48"/>
        <v>0</v>
      </c>
      <c r="K470" s="67">
        <f ca="1">'Monte Carlo Stimulation'!$I$8</f>
        <v>-2.1559270710709389E-2</v>
      </c>
      <c r="L470">
        <f t="shared" ca="1" si="49"/>
        <v>0</v>
      </c>
      <c r="M470" s="67">
        <f ca="1">'Monte Carlo Stimulation'!$I$9</f>
        <v>-2.919314405717207E-2</v>
      </c>
      <c r="N470">
        <f t="shared" ca="1" si="50"/>
        <v>0</v>
      </c>
    </row>
    <row r="471" spans="1:14">
      <c r="A471" s="12">
        <v>45425</v>
      </c>
      <c r="B471" s="14">
        <v>2.8886536679026413E-3</v>
      </c>
      <c r="C471" s="67">
        <f>'Parametric VAR'!$F$12</f>
        <v>-2.023068247926026E-2</v>
      </c>
      <c r="D471">
        <f t="shared" si="45"/>
        <v>0</v>
      </c>
      <c r="E471" s="67">
        <f>'Parametric VAR'!$F$13</f>
        <v>-2.8682193012943492E-2</v>
      </c>
      <c r="F471">
        <f t="shared" si="46"/>
        <v>0</v>
      </c>
      <c r="G471" s="67">
        <f>'Historical VAR'!$G$6</f>
        <v>-1.9839729167757107E-2</v>
      </c>
      <c r="H471">
        <f t="shared" si="47"/>
        <v>0</v>
      </c>
      <c r="I471" s="67">
        <f>'Historical VAR'!$G$7</f>
        <v>-3.1428916759065853E-2</v>
      </c>
      <c r="J471">
        <f t="shared" si="48"/>
        <v>0</v>
      </c>
      <c r="K471" s="67">
        <f ca="1">'Monte Carlo Stimulation'!$I$8</f>
        <v>-2.1559270710709389E-2</v>
      </c>
      <c r="L471">
        <f t="shared" ca="1" si="49"/>
        <v>0</v>
      </c>
      <c r="M471" s="67">
        <f ca="1">'Monte Carlo Stimulation'!$I$9</f>
        <v>-2.919314405717207E-2</v>
      </c>
      <c r="N471">
        <f t="shared" ca="1" si="50"/>
        <v>0</v>
      </c>
    </row>
    <row r="472" spans="1:14">
      <c r="A472" s="12">
        <v>45422</v>
      </c>
      <c r="B472" s="14">
        <v>-2.8085075838798105E-2</v>
      </c>
      <c r="C472" s="67">
        <f>'Parametric VAR'!$F$12</f>
        <v>-2.023068247926026E-2</v>
      </c>
      <c r="D472">
        <f t="shared" si="45"/>
        <v>1</v>
      </c>
      <c r="E472" s="67">
        <f>'Parametric VAR'!$F$13</f>
        <v>-2.8682193012943492E-2</v>
      </c>
      <c r="F472">
        <f t="shared" si="46"/>
        <v>0</v>
      </c>
      <c r="G472" s="67">
        <f>'Historical VAR'!$G$6</f>
        <v>-1.9839729167757107E-2</v>
      </c>
      <c r="H472">
        <f t="shared" si="47"/>
        <v>1</v>
      </c>
      <c r="I472" s="67">
        <f>'Historical VAR'!$G$7</f>
        <v>-3.1428916759065853E-2</v>
      </c>
      <c r="J472">
        <f t="shared" si="48"/>
        <v>0</v>
      </c>
      <c r="K472" s="67">
        <f ca="1">'Monte Carlo Stimulation'!$I$8</f>
        <v>-2.1559270710709389E-2</v>
      </c>
      <c r="L472">
        <f t="shared" ca="1" si="49"/>
        <v>1</v>
      </c>
      <c r="M472" s="67">
        <f ca="1">'Monte Carlo Stimulation'!$I$9</f>
        <v>-2.919314405717207E-2</v>
      </c>
      <c r="N472">
        <f t="shared" ca="1" si="50"/>
        <v>0</v>
      </c>
    </row>
    <row r="473" spans="1:14">
      <c r="A473" s="12">
        <v>45421</v>
      </c>
      <c r="B473" s="14">
        <v>-1.9837563449258688E-2</v>
      </c>
      <c r="C473" s="67">
        <f>'Parametric VAR'!$F$12</f>
        <v>-2.023068247926026E-2</v>
      </c>
      <c r="D473">
        <f t="shared" si="45"/>
        <v>0</v>
      </c>
      <c r="E473" s="67">
        <f>'Parametric VAR'!$F$13</f>
        <v>-2.8682193012943492E-2</v>
      </c>
      <c r="F473">
        <f t="shared" si="46"/>
        <v>0</v>
      </c>
      <c r="G473" s="67">
        <f>'Historical VAR'!$G$6</f>
        <v>-1.9839729167757107E-2</v>
      </c>
      <c r="H473">
        <f t="shared" si="47"/>
        <v>0</v>
      </c>
      <c r="I473" s="67">
        <f>'Historical VAR'!$G$7</f>
        <v>-3.1428916759065853E-2</v>
      </c>
      <c r="J473">
        <f t="shared" si="48"/>
        <v>0</v>
      </c>
      <c r="K473" s="67">
        <f ca="1">'Monte Carlo Stimulation'!$I$8</f>
        <v>-2.1559270710709389E-2</v>
      </c>
      <c r="L473">
        <f t="shared" ca="1" si="49"/>
        <v>0</v>
      </c>
      <c r="M473" s="67">
        <f ca="1">'Monte Carlo Stimulation'!$I$9</f>
        <v>-2.919314405717207E-2</v>
      </c>
      <c r="N473">
        <f t="shared" ca="1" si="50"/>
        <v>0</v>
      </c>
    </row>
    <row r="474" spans="1:14">
      <c r="A474" s="12">
        <v>45420</v>
      </c>
      <c r="B474" s="14">
        <v>4.2344171305067096E-2</v>
      </c>
      <c r="C474" s="67">
        <f>'Parametric VAR'!$F$12</f>
        <v>-2.023068247926026E-2</v>
      </c>
      <c r="D474">
        <f t="shared" si="45"/>
        <v>0</v>
      </c>
      <c r="E474" s="67">
        <f>'Parametric VAR'!$F$13</f>
        <v>-2.8682193012943492E-2</v>
      </c>
      <c r="F474">
        <f t="shared" si="46"/>
        <v>0</v>
      </c>
      <c r="G474" s="67">
        <f>'Historical VAR'!$G$6</f>
        <v>-1.9839729167757107E-2</v>
      </c>
      <c r="H474">
        <f t="shared" si="47"/>
        <v>0</v>
      </c>
      <c r="I474" s="67">
        <f>'Historical VAR'!$G$7</f>
        <v>-3.1428916759065853E-2</v>
      </c>
      <c r="J474">
        <f t="shared" si="48"/>
        <v>0</v>
      </c>
      <c r="K474" s="67">
        <f ca="1">'Monte Carlo Stimulation'!$I$8</f>
        <v>-2.1559270710709389E-2</v>
      </c>
      <c r="L474">
        <f t="shared" ca="1" si="49"/>
        <v>0</v>
      </c>
      <c r="M474" s="67">
        <f ca="1">'Monte Carlo Stimulation'!$I$9</f>
        <v>-2.919314405717207E-2</v>
      </c>
      <c r="N474">
        <f t="shared" ca="1" si="50"/>
        <v>0</v>
      </c>
    </row>
    <row r="475" spans="1:14">
      <c r="A475" s="12">
        <v>45419</v>
      </c>
      <c r="B475" s="14">
        <v>2.1849404780745769E-2</v>
      </c>
      <c r="C475" s="67">
        <f>'Parametric VAR'!$F$12</f>
        <v>-2.023068247926026E-2</v>
      </c>
      <c r="D475">
        <f t="shared" si="45"/>
        <v>0</v>
      </c>
      <c r="E475" s="67">
        <f>'Parametric VAR'!$F$13</f>
        <v>-2.8682193012943492E-2</v>
      </c>
      <c r="F475">
        <f t="shared" si="46"/>
        <v>0</v>
      </c>
      <c r="G475" s="67">
        <f>'Historical VAR'!$G$6</f>
        <v>-1.9839729167757107E-2</v>
      </c>
      <c r="H475">
        <f t="shared" si="47"/>
        <v>0</v>
      </c>
      <c r="I475" s="67">
        <f>'Historical VAR'!$G$7</f>
        <v>-3.1428916759065853E-2</v>
      </c>
      <c r="J475">
        <f t="shared" si="48"/>
        <v>0</v>
      </c>
      <c r="K475" s="67">
        <f ca="1">'Monte Carlo Stimulation'!$I$8</f>
        <v>-2.1559270710709389E-2</v>
      </c>
      <c r="L475">
        <f t="shared" ca="1" si="49"/>
        <v>0</v>
      </c>
      <c r="M475" s="67">
        <f ca="1">'Monte Carlo Stimulation'!$I$9</f>
        <v>-2.919314405717207E-2</v>
      </c>
      <c r="N475">
        <f t="shared" ca="1" si="50"/>
        <v>0</v>
      </c>
    </row>
    <row r="476" spans="1:14">
      <c r="A476" s="12">
        <v>45418</v>
      </c>
      <c r="B476" s="14">
        <v>4.334850457916292E-3</v>
      </c>
      <c r="C476" s="67">
        <f>'Parametric VAR'!$F$12</f>
        <v>-2.023068247926026E-2</v>
      </c>
      <c r="D476">
        <f t="shared" si="45"/>
        <v>0</v>
      </c>
      <c r="E476" s="67">
        <f>'Parametric VAR'!$F$13</f>
        <v>-2.8682193012943492E-2</v>
      </c>
      <c r="F476">
        <f t="shared" si="46"/>
        <v>0</v>
      </c>
      <c r="G476" s="67">
        <f>'Historical VAR'!$G$6</f>
        <v>-1.9839729167757107E-2</v>
      </c>
      <c r="H476">
        <f t="shared" si="47"/>
        <v>0</v>
      </c>
      <c r="I476" s="67">
        <f>'Historical VAR'!$G$7</f>
        <v>-3.1428916759065853E-2</v>
      </c>
      <c r="J476">
        <f t="shared" si="48"/>
        <v>0</v>
      </c>
      <c r="K476" s="67">
        <f ca="1">'Monte Carlo Stimulation'!$I$8</f>
        <v>-2.1559270710709389E-2</v>
      </c>
      <c r="L476">
        <f t="shared" ca="1" si="49"/>
        <v>0</v>
      </c>
      <c r="M476" s="67">
        <f ca="1">'Monte Carlo Stimulation'!$I$9</f>
        <v>-2.919314405717207E-2</v>
      </c>
      <c r="N476">
        <f t="shared" ca="1" si="50"/>
        <v>0</v>
      </c>
    </row>
    <row r="477" spans="1:14">
      <c r="A477" s="12">
        <v>45415</v>
      </c>
      <c r="B477" s="14">
        <v>4.3370842569836771E-3</v>
      </c>
      <c r="C477" s="67">
        <f>'Parametric VAR'!$F$12</f>
        <v>-2.023068247926026E-2</v>
      </c>
      <c r="D477">
        <f t="shared" si="45"/>
        <v>0</v>
      </c>
      <c r="E477" s="67">
        <f>'Parametric VAR'!$F$13</f>
        <v>-2.8682193012943492E-2</v>
      </c>
      <c r="F477">
        <f t="shared" si="46"/>
        <v>0</v>
      </c>
      <c r="G477" s="67">
        <f>'Historical VAR'!$G$6</f>
        <v>-1.9839729167757107E-2</v>
      </c>
      <c r="H477">
        <f t="shared" si="47"/>
        <v>0</v>
      </c>
      <c r="I477" s="67">
        <f>'Historical VAR'!$G$7</f>
        <v>-3.1428916759065853E-2</v>
      </c>
      <c r="J477">
        <f t="shared" si="48"/>
        <v>0</v>
      </c>
      <c r="K477" s="67">
        <f ca="1">'Monte Carlo Stimulation'!$I$8</f>
        <v>-2.1559270710709389E-2</v>
      </c>
      <c r="L477">
        <f t="shared" ca="1" si="49"/>
        <v>0</v>
      </c>
      <c r="M477" s="67">
        <f ca="1">'Monte Carlo Stimulation'!$I$9</f>
        <v>-2.919314405717207E-2</v>
      </c>
      <c r="N477">
        <f t="shared" ca="1" si="50"/>
        <v>0</v>
      </c>
    </row>
    <row r="478" spans="1:14">
      <c r="A478" s="12">
        <v>45414</v>
      </c>
      <c r="B478" s="14">
        <v>1.0717235423126151E-2</v>
      </c>
      <c r="C478" s="67">
        <f>'Parametric VAR'!$F$12</f>
        <v>-2.023068247926026E-2</v>
      </c>
      <c r="D478">
        <f t="shared" si="45"/>
        <v>0</v>
      </c>
      <c r="E478" s="67">
        <f>'Parametric VAR'!$F$13</f>
        <v>-2.8682193012943492E-2</v>
      </c>
      <c r="F478">
        <f t="shared" si="46"/>
        <v>0</v>
      </c>
      <c r="G478" s="67">
        <f>'Historical VAR'!$G$6</f>
        <v>-1.9839729167757107E-2</v>
      </c>
      <c r="H478">
        <f t="shared" si="47"/>
        <v>0</v>
      </c>
      <c r="I478" s="67">
        <f>'Historical VAR'!$G$7</f>
        <v>-3.1428916759065853E-2</v>
      </c>
      <c r="J478">
        <f t="shared" si="48"/>
        <v>0</v>
      </c>
      <c r="K478" s="67">
        <f ca="1">'Monte Carlo Stimulation'!$I$8</f>
        <v>-2.1559270710709389E-2</v>
      </c>
      <c r="L478">
        <f t="shared" ca="1" si="49"/>
        <v>0</v>
      </c>
      <c r="M478" s="67">
        <f ca="1">'Monte Carlo Stimulation'!$I$9</f>
        <v>-2.919314405717207E-2</v>
      </c>
      <c r="N478">
        <f t="shared" ca="1" si="50"/>
        <v>0</v>
      </c>
    </row>
    <row r="479" spans="1:14">
      <c r="A479" s="12">
        <v>45412</v>
      </c>
      <c r="B479" s="14">
        <v>-3.1400130684750664E-2</v>
      </c>
      <c r="C479" s="67">
        <f>'Parametric VAR'!$F$12</f>
        <v>-2.023068247926026E-2</v>
      </c>
      <c r="D479">
        <f t="shared" si="45"/>
        <v>1</v>
      </c>
      <c r="E479" s="67">
        <f>'Parametric VAR'!$F$13</f>
        <v>-2.8682193012943492E-2</v>
      </c>
      <c r="F479">
        <f t="shared" si="46"/>
        <v>1</v>
      </c>
      <c r="G479" s="67">
        <f>'Historical VAR'!$G$6</f>
        <v>-1.9839729167757107E-2</v>
      </c>
      <c r="H479">
        <f t="shared" si="47"/>
        <v>1</v>
      </c>
      <c r="I479" s="67">
        <f>'Historical VAR'!$G$7</f>
        <v>-3.1428916759065853E-2</v>
      </c>
      <c r="J479">
        <f t="shared" si="48"/>
        <v>0</v>
      </c>
      <c r="K479" s="67">
        <f ca="1">'Monte Carlo Stimulation'!$I$8</f>
        <v>-2.1559270710709389E-2</v>
      </c>
      <c r="L479">
        <f t="shared" ca="1" si="49"/>
        <v>1</v>
      </c>
      <c r="M479" s="67">
        <f ca="1">'Monte Carlo Stimulation'!$I$9</f>
        <v>-2.919314405717207E-2</v>
      </c>
      <c r="N479">
        <f t="shared" ca="1" si="50"/>
        <v>1</v>
      </c>
    </row>
    <row r="480" spans="1:14">
      <c r="A480" s="12">
        <v>45411</v>
      </c>
      <c r="B480" s="14">
        <v>-3.2316593353257945E-3</v>
      </c>
      <c r="C480" s="67">
        <f>'Parametric VAR'!$F$12</f>
        <v>-2.023068247926026E-2</v>
      </c>
      <c r="D480">
        <f t="shared" si="45"/>
        <v>0</v>
      </c>
      <c r="E480" s="67">
        <f>'Parametric VAR'!$F$13</f>
        <v>-2.8682193012943492E-2</v>
      </c>
      <c r="F480">
        <f t="shared" si="46"/>
        <v>0</v>
      </c>
      <c r="G480" s="67">
        <f>'Historical VAR'!$G$6</f>
        <v>-1.9839729167757107E-2</v>
      </c>
      <c r="H480">
        <f t="shared" si="47"/>
        <v>0</v>
      </c>
      <c r="I480" s="67">
        <f>'Historical VAR'!$G$7</f>
        <v>-3.1428916759065853E-2</v>
      </c>
      <c r="J480">
        <f t="shared" si="48"/>
        <v>0</v>
      </c>
      <c r="K480" s="67">
        <f ca="1">'Monte Carlo Stimulation'!$I$8</f>
        <v>-2.1559270710709389E-2</v>
      </c>
      <c r="L480">
        <f t="shared" ca="1" si="49"/>
        <v>0</v>
      </c>
      <c r="M480" s="67">
        <f ca="1">'Monte Carlo Stimulation'!$I$9</f>
        <v>-2.919314405717207E-2</v>
      </c>
      <c r="N480">
        <f t="shared" ca="1" si="50"/>
        <v>0</v>
      </c>
    </row>
    <row r="481" spans="1:14">
      <c r="A481" s="12">
        <v>45408</v>
      </c>
      <c r="B481" s="14">
        <v>-7.0454634083390692E-3</v>
      </c>
      <c r="C481" s="67">
        <f>'Parametric VAR'!$F$12</f>
        <v>-2.023068247926026E-2</v>
      </c>
      <c r="D481">
        <f t="shared" si="45"/>
        <v>0</v>
      </c>
      <c r="E481" s="67">
        <f>'Parametric VAR'!$F$13</f>
        <v>-2.8682193012943492E-2</v>
      </c>
      <c r="F481">
        <f t="shared" si="46"/>
        <v>0</v>
      </c>
      <c r="G481" s="67">
        <f>'Historical VAR'!$G$6</f>
        <v>-1.9839729167757107E-2</v>
      </c>
      <c r="H481">
        <f t="shared" si="47"/>
        <v>0</v>
      </c>
      <c r="I481" s="67">
        <f>'Historical VAR'!$G$7</f>
        <v>-3.1428916759065853E-2</v>
      </c>
      <c r="J481">
        <f t="shared" si="48"/>
        <v>0</v>
      </c>
      <c r="K481" s="67">
        <f ca="1">'Monte Carlo Stimulation'!$I$8</f>
        <v>-2.1559270710709389E-2</v>
      </c>
      <c r="L481">
        <f t="shared" ca="1" si="49"/>
        <v>0</v>
      </c>
      <c r="M481" s="67">
        <f ca="1">'Monte Carlo Stimulation'!$I$9</f>
        <v>-2.919314405717207E-2</v>
      </c>
      <c r="N481">
        <f t="shared" ca="1" si="50"/>
        <v>0</v>
      </c>
    </row>
    <row r="482" spans="1:14">
      <c r="A482" s="12">
        <v>45407</v>
      </c>
      <c r="B482" s="14">
        <v>4.9485666835844804E-3</v>
      </c>
      <c r="C482" s="67">
        <f>'Parametric VAR'!$F$12</f>
        <v>-2.023068247926026E-2</v>
      </c>
      <c r="D482">
        <f t="shared" si="45"/>
        <v>0</v>
      </c>
      <c r="E482" s="67">
        <f>'Parametric VAR'!$F$13</f>
        <v>-2.8682193012943492E-2</v>
      </c>
      <c r="F482">
        <f t="shared" si="46"/>
        <v>0</v>
      </c>
      <c r="G482" s="67">
        <f>'Historical VAR'!$G$6</f>
        <v>-1.9839729167757107E-2</v>
      </c>
      <c r="H482">
        <f t="shared" si="47"/>
        <v>0</v>
      </c>
      <c r="I482" s="67">
        <f>'Historical VAR'!$G$7</f>
        <v>-3.1428916759065853E-2</v>
      </c>
      <c r="J482">
        <f t="shared" si="48"/>
        <v>0</v>
      </c>
      <c r="K482" s="67">
        <f ca="1">'Monte Carlo Stimulation'!$I$8</f>
        <v>-2.1559270710709389E-2</v>
      </c>
      <c r="L482">
        <f t="shared" ca="1" si="49"/>
        <v>0</v>
      </c>
      <c r="M482" s="67">
        <f ca="1">'Monte Carlo Stimulation'!$I$9</f>
        <v>-2.919314405717207E-2</v>
      </c>
      <c r="N482">
        <f t="shared" ca="1" si="50"/>
        <v>0</v>
      </c>
    </row>
    <row r="483" spans="1:14">
      <c r="A483" s="12">
        <v>45406</v>
      </c>
      <c r="B483" s="14">
        <v>2.045832859230066E-3</v>
      </c>
      <c r="C483" s="67">
        <f>'Parametric VAR'!$F$12</f>
        <v>-2.023068247926026E-2</v>
      </c>
      <c r="D483">
        <f t="shared" si="45"/>
        <v>0</v>
      </c>
      <c r="E483" s="67">
        <f>'Parametric VAR'!$F$13</f>
        <v>-2.8682193012943492E-2</v>
      </c>
      <c r="F483">
        <f t="shared" si="46"/>
        <v>0</v>
      </c>
      <c r="G483" s="67">
        <f>'Historical VAR'!$G$6</f>
        <v>-1.9839729167757107E-2</v>
      </c>
      <c r="H483">
        <f t="shared" si="47"/>
        <v>0</v>
      </c>
      <c r="I483" s="67">
        <f>'Historical VAR'!$G$7</f>
        <v>-3.1428916759065853E-2</v>
      </c>
      <c r="J483">
        <f t="shared" si="48"/>
        <v>0</v>
      </c>
      <c r="K483" s="67">
        <f ca="1">'Monte Carlo Stimulation'!$I$8</f>
        <v>-2.1559270710709389E-2</v>
      </c>
      <c r="L483">
        <f t="shared" ca="1" si="49"/>
        <v>0</v>
      </c>
      <c r="M483" s="67">
        <f ca="1">'Monte Carlo Stimulation'!$I$9</f>
        <v>-2.919314405717207E-2</v>
      </c>
      <c r="N483">
        <f t="shared" ca="1" si="50"/>
        <v>0</v>
      </c>
    </row>
    <row r="484" spans="1:14">
      <c r="A484" s="12">
        <v>45405</v>
      </c>
      <c r="B484" s="14">
        <v>1.2164168395021064E-3</v>
      </c>
      <c r="C484" s="67">
        <f>'Parametric VAR'!$F$12</f>
        <v>-2.023068247926026E-2</v>
      </c>
      <c r="D484">
        <f t="shared" si="45"/>
        <v>0</v>
      </c>
      <c r="E484" s="67">
        <f>'Parametric VAR'!$F$13</f>
        <v>-2.8682193012943492E-2</v>
      </c>
      <c r="F484">
        <f t="shared" si="46"/>
        <v>0</v>
      </c>
      <c r="G484" s="67">
        <f>'Historical VAR'!$G$6</f>
        <v>-1.9839729167757107E-2</v>
      </c>
      <c r="H484">
        <f t="shared" si="47"/>
        <v>0</v>
      </c>
      <c r="I484" s="67">
        <f>'Historical VAR'!$G$7</f>
        <v>-3.1428916759065853E-2</v>
      </c>
      <c r="J484">
        <f t="shared" si="48"/>
        <v>0</v>
      </c>
      <c r="K484" s="67">
        <f ca="1">'Monte Carlo Stimulation'!$I$8</f>
        <v>-2.1559270710709389E-2</v>
      </c>
      <c r="L484">
        <f t="shared" ca="1" si="49"/>
        <v>0</v>
      </c>
      <c r="M484" s="67">
        <f ca="1">'Monte Carlo Stimulation'!$I$9</f>
        <v>-2.919314405717207E-2</v>
      </c>
      <c r="N484">
        <f t="shared" ca="1" si="50"/>
        <v>0</v>
      </c>
    </row>
    <row r="485" spans="1:14">
      <c r="A485" s="12">
        <v>45404</v>
      </c>
      <c r="B485" s="14">
        <v>-9.3080402331340503E-3</v>
      </c>
      <c r="C485" s="67">
        <f>'Parametric VAR'!$F$12</f>
        <v>-2.023068247926026E-2</v>
      </c>
      <c r="D485">
        <f t="shared" si="45"/>
        <v>0</v>
      </c>
      <c r="E485" s="67">
        <f>'Parametric VAR'!$F$13</f>
        <v>-2.8682193012943492E-2</v>
      </c>
      <c r="F485">
        <f t="shared" si="46"/>
        <v>0</v>
      </c>
      <c r="G485" s="67">
        <f>'Historical VAR'!$G$6</f>
        <v>-1.9839729167757107E-2</v>
      </c>
      <c r="H485">
        <f t="shared" si="47"/>
        <v>0</v>
      </c>
      <c r="I485" s="67">
        <f>'Historical VAR'!$G$7</f>
        <v>-3.1428916759065853E-2</v>
      </c>
      <c r="J485">
        <f t="shared" si="48"/>
        <v>0</v>
      </c>
      <c r="K485" s="67">
        <f ca="1">'Monte Carlo Stimulation'!$I$8</f>
        <v>-2.1559270710709389E-2</v>
      </c>
      <c r="L485">
        <f t="shared" ca="1" si="49"/>
        <v>0</v>
      </c>
      <c r="M485" s="67">
        <f ca="1">'Monte Carlo Stimulation'!$I$9</f>
        <v>-2.919314405717207E-2</v>
      </c>
      <c r="N485">
        <f t="shared" ca="1" si="50"/>
        <v>0</v>
      </c>
    </row>
    <row r="486" spans="1:14">
      <c r="A486" s="12">
        <v>45401</v>
      </c>
      <c r="B486" s="14">
        <v>-9.325094724347175E-3</v>
      </c>
      <c r="C486" s="67">
        <f>'Parametric VAR'!$F$12</f>
        <v>-2.023068247926026E-2</v>
      </c>
      <c r="D486">
        <f t="shared" si="45"/>
        <v>0</v>
      </c>
      <c r="E486" s="67">
        <f>'Parametric VAR'!$F$13</f>
        <v>-2.8682193012943492E-2</v>
      </c>
      <c r="F486">
        <f t="shared" si="46"/>
        <v>0</v>
      </c>
      <c r="G486" s="67">
        <f>'Historical VAR'!$G$6</f>
        <v>-1.9839729167757107E-2</v>
      </c>
      <c r="H486">
        <f t="shared" si="47"/>
        <v>0</v>
      </c>
      <c r="I486" s="67">
        <f>'Historical VAR'!$G$7</f>
        <v>-3.1428916759065853E-2</v>
      </c>
      <c r="J486">
        <f t="shared" si="48"/>
        <v>0</v>
      </c>
      <c r="K486" s="67">
        <f ca="1">'Monte Carlo Stimulation'!$I$8</f>
        <v>-2.1559270710709389E-2</v>
      </c>
      <c r="L486">
        <f t="shared" ca="1" si="49"/>
        <v>0</v>
      </c>
      <c r="M486" s="67">
        <f ca="1">'Monte Carlo Stimulation'!$I$9</f>
        <v>-2.919314405717207E-2</v>
      </c>
      <c r="N486">
        <f t="shared" ca="1" si="50"/>
        <v>0</v>
      </c>
    </row>
    <row r="487" spans="1:14">
      <c r="A487" s="12">
        <v>45400</v>
      </c>
      <c r="B487" s="14">
        <v>3.9142128619486984E-3</v>
      </c>
      <c r="C487" s="67">
        <f>'Parametric VAR'!$F$12</f>
        <v>-2.023068247926026E-2</v>
      </c>
      <c r="D487">
        <f t="shared" si="45"/>
        <v>0</v>
      </c>
      <c r="E487" s="67">
        <f>'Parametric VAR'!$F$13</f>
        <v>-2.8682193012943492E-2</v>
      </c>
      <c r="F487">
        <f t="shared" si="46"/>
        <v>0</v>
      </c>
      <c r="G487" s="67">
        <f>'Historical VAR'!$G$6</f>
        <v>-1.9839729167757107E-2</v>
      </c>
      <c r="H487">
        <f t="shared" si="47"/>
        <v>0</v>
      </c>
      <c r="I487" s="67">
        <f>'Historical VAR'!$G$7</f>
        <v>-3.1428916759065853E-2</v>
      </c>
      <c r="J487">
        <f t="shared" si="48"/>
        <v>0</v>
      </c>
      <c r="K487" s="67">
        <f ca="1">'Monte Carlo Stimulation'!$I$8</f>
        <v>-2.1559270710709389E-2</v>
      </c>
      <c r="L487">
        <f t="shared" ca="1" si="49"/>
        <v>0</v>
      </c>
      <c r="M487" s="67">
        <f ca="1">'Monte Carlo Stimulation'!$I$9</f>
        <v>-2.919314405717207E-2</v>
      </c>
      <c r="N487">
        <f t="shared" ca="1" si="50"/>
        <v>0</v>
      </c>
    </row>
    <row r="488" spans="1:14">
      <c r="A488" s="12">
        <v>45398</v>
      </c>
      <c r="B488" s="14">
        <v>1.1299493485958108E-2</v>
      </c>
      <c r="C488" s="67">
        <f>'Parametric VAR'!$F$12</f>
        <v>-2.023068247926026E-2</v>
      </c>
      <c r="D488">
        <f t="shared" si="45"/>
        <v>0</v>
      </c>
      <c r="E488" s="67">
        <f>'Parametric VAR'!$F$13</f>
        <v>-2.8682193012943492E-2</v>
      </c>
      <c r="F488">
        <f t="shared" si="46"/>
        <v>0</v>
      </c>
      <c r="G488" s="67">
        <f>'Historical VAR'!$G$6</f>
        <v>-1.9839729167757107E-2</v>
      </c>
      <c r="H488">
        <f t="shared" si="47"/>
        <v>0</v>
      </c>
      <c r="I488" s="67">
        <f>'Historical VAR'!$G$7</f>
        <v>-3.1428916759065853E-2</v>
      </c>
      <c r="J488">
        <f t="shared" si="48"/>
        <v>0</v>
      </c>
      <c r="K488" s="67">
        <f ca="1">'Monte Carlo Stimulation'!$I$8</f>
        <v>-2.1559270710709389E-2</v>
      </c>
      <c r="L488">
        <f t="shared" ca="1" si="49"/>
        <v>0</v>
      </c>
      <c r="M488" s="67">
        <f ca="1">'Monte Carlo Stimulation'!$I$9</f>
        <v>-2.919314405717207E-2</v>
      </c>
      <c r="N488">
        <f t="shared" ca="1" si="50"/>
        <v>0</v>
      </c>
    </row>
    <row r="489" spans="1:14">
      <c r="A489" s="12">
        <v>45397</v>
      </c>
      <c r="B489" s="14">
        <v>8.0572136410157445E-3</v>
      </c>
      <c r="C489" s="67">
        <f>'Parametric VAR'!$F$12</f>
        <v>-2.023068247926026E-2</v>
      </c>
      <c r="D489">
        <f t="shared" si="45"/>
        <v>0</v>
      </c>
      <c r="E489" s="67">
        <f>'Parametric VAR'!$F$13</f>
        <v>-2.8682193012943492E-2</v>
      </c>
      <c r="F489">
        <f t="shared" si="46"/>
        <v>0</v>
      </c>
      <c r="G489" s="67">
        <f>'Historical VAR'!$G$6</f>
        <v>-1.9839729167757107E-2</v>
      </c>
      <c r="H489">
        <f t="shared" si="47"/>
        <v>0</v>
      </c>
      <c r="I489" s="67">
        <f>'Historical VAR'!$G$7</f>
        <v>-3.1428916759065853E-2</v>
      </c>
      <c r="J489">
        <f t="shared" si="48"/>
        <v>0</v>
      </c>
      <c r="K489" s="67">
        <f ca="1">'Monte Carlo Stimulation'!$I$8</f>
        <v>-2.1559270710709389E-2</v>
      </c>
      <c r="L489">
        <f t="shared" ca="1" si="49"/>
        <v>0</v>
      </c>
      <c r="M489" s="67">
        <f ca="1">'Monte Carlo Stimulation'!$I$9</f>
        <v>-2.919314405717207E-2</v>
      </c>
      <c r="N489">
        <f t="shared" ca="1" si="50"/>
        <v>0</v>
      </c>
    </row>
    <row r="490" spans="1:14">
      <c r="A490" s="12">
        <v>45394</v>
      </c>
      <c r="B490" s="14">
        <v>7.8766506949579547E-3</v>
      </c>
      <c r="C490" s="67">
        <f>'Parametric VAR'!$F$12</f>
        <v>-2.023068247926026E-2</v>
      </c>
      <c r="D490">
        <f t="shared" si="45"/>
        <v>0</v>
      </c>
      <c r="E490" s="67">
        <f>'Parametric VAR'!$F$13</f>
        <v>-2.8682193012943492E-2</v>
      </c>
      <c r="F490">
        <f t="shared" si="46"/>
        <v>0</v>
      </c>
      <c r="G490" s="67">
        <f>'Historical VAR'!$G$6</f>
        <v>-1.9839729167757107E-2</v>
      </c>
      <c r="H490">
        <f t="shared" si="47"/>
        <v>0</v>
      </c>
      <c r="I490" s="67">
        <f>'Historical VAR'!$G$7</f>
        <v>-3.1428916759065853E-2</v>
      </c>
      <c r="J490">
        <f t="shared" si="48"/>
        <v>0</v>
      </c>
      <c r="K490" s="67">
        <f ca="1">'Monte Carlo Stimulation'!$I$8</f>
        <v>-2.1559270710709389E-2</v>
      </c>
      <c r="L490">
        <f t="shared" ca="1" si="49"/>
        <v>0</v>
      </c>
      <c r="M490" s="67">
        <f ca="1">'Monte Carlo Stimulation'!$I$9</f>
        <v>-2.919314405717207E-2</v>
      </c>
      <c r="N490">
        <f t="shared" ca="1" si="50"/>
        <v>0</v>
      </c>
    </row>
    <row r="491" spans="1:14">
      <c r="A491" s="12">
        <v>45392</v>
      </c>
      <c r="B491" s="14">
        <v>1.2280111208780945E-2</v>
      </c>
      <c r="C491" s="67">
        <f>'Parametric VAR'!$F$12</f>
        <v>-2.023068247926026E-2</v>
      </c>
      <c r="D491">
        <f t="shared" si="45"/>
        <v>0</v>
      </c>
      <c r="E491" s="67">
        <f>'Parametric VAR'!$F$13</f>
        <v>-2.8682193012943492E-2</v>
      </c>
      <c r="F491">
        <f t="shared" si="46"/>
        <v>0</v>
      </c>
      <c r="G491" s="67">
        <f>'Historical VAR'!$G$6</f>
        <v>-1.9839729167757107E-2</v>
      </c>
      <c r="H491">
        <f t="shared" si="47"/>
        <v>0</v>
      </c>
      <c r="I491" s="67">
        <f>'Historical VAR'!$G$7</f>
        <v>-3.1428916759065853E-2</v>
      </c>
      <c r="J491">
        <f t="shared" si="48"/>
        <v>0</v>
      </c>
      <c r="K491" s="67">
        <f ca="1">'Monte Carlo Stimulation'!$I$8</f>
        <v>-2.1559270710709389E-2</v>
      </c>
      <c r="L491">
        <f t="shared" ca="1" si="49"/>
        <v>0</v>
      </c>
      <c r="M491" s="67">
        <f ca="1">'Monte Carlo Stimulation'!$I$9</f>
        <v>-2.919314405717207E-2</v>
      </c>
      <c r="N491">
        <f t="shared" ca="1" si="50"/>
        <v>0</v>
      </c>
    </row>
    <row r="492" spans="1:14">
      <c r="A492" s="12">
        <v>45391</v>
      </c>
      <c r="B492" s="14">
        <v>-1.2244794703321536E-2</v>
      </c>
      <c r="C492" s="67">
        <f>'Parametric VAR'!$F$12</f>
        <v>-2.023068247926026E-2</v>
      </c>
      <c r="D492">
        <f t="shared" si="45"/>
        <v>0</v>
      </c>
      <c r="E492" s="67">
        <f>'Parametric VAR'!$F$13</f>
        <v>-2.8682193012943492E-2</v>
      </c>
      <c r="F492">
        <f t="shared" si="46"/>
        <v>0</v>
      </c>
      <c r="G492" s="67">
        <f>'Historical VAR'!$G$6</f>
        <v>-1.9839729167757107E-2</v>
      </c>
      <c r="H492">
        <f t="shared" si="47"/>
        <v>0</v>
      </c>
      <c r="I492" s="67">
        <f>'Historical VAR'!$G$7</f>
        <v>-3.1428916759065853E-2</v>
      </c>
      <c r="J492">
        <f t="shared" si="48"/>
        <v>0</v>
      </c>
      <c r="K492" s="67">
        <f ca="1">'Monte Carlo Stimulation'!$I$8</f>
        <v>-2.1559270710709389E-2</v>
      </c>
      <c r="L492">
        <f t="shared" ca="1" si="49"/>
        <v>0</v>
      </c>
      <c r="M492" s="67">
        <f ca="1">'Monte Carlo Stimulation'!$I$9</f>
        <v>-2.919314405717207E-2</v>
      </c>
      <c r="N492">
        <f t="shared" ca="1" si="50"/>
        <v>0</v>
      </c>
    </row>
    <row r="493" spans="1:14">
      <c r="A493" s="12">
        <v>45390</v>
      </c>
      <c r="B493" s="14">
        <v>1.0570925464520731E-2</v>
      </c>
      <c r="C493" s="67">
        <f>'Parametric VAR'!$F$12</f>
        <v>-2.023068247926026E-2</v>
      </c>
      <c r="D493">
        <f t="shared" si="45"/>
        <v>0</v>
      </c>
      <c r="E493" s="67">
        <f>'Parametric VAR'!$F$13</f>
        <v>-2.8682193012943492E-2</v>
      </c>
      <c r="F493">
        <f t="shared" si="46"/>
        <v>0</v>
      </c>
      <c r="G493" s="67">
        <f>'Historical VAR'!$G$6</f>
        <v>-1.9839729167757107E-2</v>
      </c>
      <c r="H493">
        <f t="shared" si="47"/>
        <v>0</v>
      </c>
      <c r="I493" s="67">
        <f>'Historical VAR'!$G$7</f>
        <v>-3.1428916759065853E-2</v>
      </c>
      <c r="J493">
        <f t="shared" si="48"/>
        <v>0</v>
      </c>
      <c r="K493" s="67">
        <f ca="1">'Monte Carlo Stimulation'!$I$8</f>
        <v>-2.1559270710709389E-2</v>
      </c>
      <c r="L493">
        <f t="shared" ca="1" si="49"/>
        <v>0</v>
      </c>
      <c r="M493" s="67">
        <f ca="1">'Monte Carlo Stimulation'!$I$9</f>
        <v>-2.919314405717207E-2</v>
      </c>
      <c r="N493">
        <f t="shared" ca="1" si="50"/>
        <v>0</v>
      </c>
    </row>
    <row r="494" spans="1:14">
      <c r="A494" s="12">
        <v>45387</v>
      </c>
      <c r="B494" s="14">
        <v>2.0378064437888774E-4</v>
      </c>
      <c r="C494" s="67">
        <f>'Parametric VAR'!$F$12</f>
        <v>-2.023068247926026E-2</v>
      </c>
      <c r="D494">
        <f t="shared" si="45"/>
        <v>0</v>
      </c>
      <c r="E494" s="67">
        <f>'Parametric VAR'!$F$13</f>
        <v>-2.8682193012943492E-2</v>
      </c>
      <c r="F494">
        <f t="shared" si="46"/>
        <v>0</v>
      </c>
      <c r="G494" s="67">
        <f>'Historical VAR'!$G$6</f>
        <v>-1.9839729167757107E-2</v>
      </c>
      <c r="H494">
        <f t="shared" si="47"/>
        <v>0</v>
      </c>
      <c r="I494" s="67">
        <f>'Historical VAR'!$G$7</f>
        <v>-3.1428916759065853E-2</v>
      </c>
      <c r="J494">
        <f t="shared" si="48"/>
        <v>0</v>
      </c>
      <c r="K494" s="67">
        <f ca="1">'Monte Carlo Stimulation'!$I$8</f>
        <v>-2.1559270710709389E-2</v>
      </c>
      <c r="L494">
        <f t="shared" ca="1" si="49"/>
        <v>0</v>
      </c>
      <c r="M494" s="67">
        <f ca="1">'Monte Carlo Stimulation'!$I$9</f>
        <v>-2.919314405717207E-2</v>
      </c>
      <c r="N494">
        <f t="shared" ca="1" si="50"/>
        <v>0</v>
      </c>
    </row>
    <row r="495" spans="1:14">
      <c r="A495" s="12">
        <v>45386</v>
      </c>
      <c r="B495" s="14">
        <v>7.2539842074111627E-3</v>
      </c>
      <c r="C495" s="67">
        <f>'Parametric VAR'!$F$12</f>
        <v>-2.023068247926026E-2</v>
      </c>
      <c r="D495">
        <f t="shared" si="45"/>
        <v>0</v>
      </c>
      <c r="E495" s="67">
        <f>'Parametric VAR'!$F$13</f>
        <v>-2.8682193012943492E-2</v>
      </c>
      <c r="F495">
        <f t="shared" si="46"/>
        <v>0</v>
      </c>
      <c r="G495" s="67">
        <f>'Historical VAR'!$G$6</f>
        <v>-1.9839729167757107E-2</v>
      </c>
      <c r="H495">
        <f t="shared" si="47"/>
        <v>0</v>
      </c>
      <c r="I495" s="67">
        <f>'Historical VAR'!$G$7</f>
        <v>-3.1428916759065853E-2</v>
      </c>
      <c r="J495">
        <f t="shared" si="48"/>
        <v>0</v>
      </c>
      <c r="K495" s="67">
        <f ca="1">'Monte Carlo Stimulation'!$I$8</f>
        <v>-2.1559270710709389E-2</v>
      </c>
      <c r="L495">
        <f t="shared" ca="1" si="49"/>
        <v>0</v>
      </c>
      <c r="M495" s="67">
        <f ca="1">'Monte Carlo Stimulation'!$I$9</f>
        <v>-2.919314405717207E-2</v>
      </c>
      <c r="N495">
        <f t="shared" ca="1" si="50"/>
        <v>0</v>
      </c>
    </row>
    <row r="496" spans="1:14">
      <c r="A496" s="12">
        <v>45385</v>
      </c>
      <c r="B496" s="14">
        <v>-1.2148816077436685E-2</v>
      </c>
      <c r="C496" s="67">
        <f>'Parametric VAR'!$F$12</f>
        <v>-2.023068247926026E-2</v>
      </c>
      <c r="D496">
        <f t="shared" si="45"/>
        <v>0</v>
      </c>
      <c r="E496" s="67">
        <f>'Parametric VAR'!$F$13</f>
        <v>-2.8682193012943492E-2</v>
      </c>
      <c r="F496">
        <f t="shared" si="46"/>
        <v>0</v>
      </c>
      <c r="G496" s="67">
        <f>'Historical VAR'!$G$6</f>
        <v>-1.9839729167757107E-2</v>
      </c>
      <c r="H496">
        <f t="shared" si="47"/>
        <v>0</v>
      </c>
      <c r="I496" s="67">
        <f>'Historical VAR'!$G$7</f>
        <v>-3.1428916759065853E-2</v>
      </c>
      <c r="J496">
        <f t="shared" si="48"/>
        <v>0</v>
      </c>
      <c r="K496" s="67">
        <f ca="1">'Monte Carlo Stimulation'!$I$8</f>
        <v>-2.1559270710709389E-2</v>
      </c>
      <c r="L496">
        <f t="shared" ca="1" si="49"/>
        <v>0</v>
      </c>
      <c r="M496" s="67">
        <f ca="1">'Monte Carlo Stimulation'!$I$9</f>
        <v>-2.919314405717207E-2</v>
      </c>
      <c r="N496">
        <f t="shared" ca="1" si="50"/>
        <v>0</v>
      </c>
    </row>
    <row r="497" spans="1:14">
      <c r="A497" s="12">
        <v>45384</v>
      </c>
      <c r="B497" s="14">
        <v>2.9062733123964759E-3</v>
      </c>
      <c r="C497" s="67">
        <f>'Parametric VAR'!$F$12</f>
        <v>-2.023068247926026E-2</v>
      </c>
      <c r="D497">
        <f t="shared" si="45"/>
        <v>0</v>
      </c>
      <c r="E497" s="67">
        <f>'Parametric VAR'!$F$13</f>
        <v>-2.8682193012943492E-2</v>
      </c>
      <c r="F497">
        <f t="shared" si="46"/>
        <v>0</v>
      </c>
      <c r="G497" s="67">
        <f>'Historical VAR'!$G$6</f>
        <v>-1.9839729167757107E-2</v>
      </c>
      <c r="H497">
        <f t="shared" si="47"/>
        <v>0</v>
      </c>
      <c r="I497" s="67">
        <f>'Historical VAR'!$G$7</f>
        <v>-3.1428916759065853E-2</v>
      </c>
      <c r="J497">
        <f t="shared" si="48"/>
        <v>0</v>
      </c>
      <c r="K497" s="67">
        <f ca="1">'Monte Carlo Stimulation'!$I$8</f>
        <v>-2.1559270710709389E-2</v>
      </c>
      <c r="L497">
        <f t="shared" ca="1" si="49"/>
        <v>0</v>
      </c>
      <c r="M497" s="67">
        <f ca="1">'Monte Carlo Stimulation'!$I$9</f>
        <v>-2.919314405717207E-2</v>
      </c>
      <c r="N497">
        <f t="shared" ca="1" si="50"/>
        <v>0</v>
      </c>
    </row>
    <row r="498" spans="1:14">
      <c r="A498" s="12">
        <v>45383</v>
      </c>
      <c r="B498" s="14">
        <v>-4.881990152372331E-3</v>
      </c>
      <c r="C498" s="67">
        <f>'Parametric VAR'!$F$12</f>
        <v>-2.023068247926026E-2</v>
      </c>
      <c r="D498">
        <f t="shared" si="45"/>
        <v>0</v>
      </c>
      <c r="E498" s="67">
        <f>'Parametric VAR'!$F$13</f>
        <v>-2.8682193012943492E-2</v>
      </c>
      <c r="F498">
        <f t="shared" si="46"/>
        <v>0</v>
      </c>
      <c r="G498" s="67">
        <f>'Historical VAR'!$G$6</f>
        <v>-1.9839729167757107E-2</v>
      </c>
      <c r="H498">
        <f t="shared" si="47"/>
        <v>0</v>
      </c>
      <c r="I498" s="67">
        <f>'Historical VAR'!$G$7</f>
        <v>-3.1428916759065853E-2</v>
      </c>
      <c r="J498">
        <f t="shared" si="48"/>
        <v>0</v>
      </c>
      <c r="K498" s="67">
        <f ca="1">'Monte Carlo Stimulation'!$I$8</f>
        <v>-2.1559270710709389E-2</v>
      </c>
      <c r="L498">
        <f t="shared" ca="1" si="49"/>
        <v>0</v>
      </c>
      <c r="M498" s="67">
        <f ca="1">'Monte Carlo Stimulation'!$I$9</f>
        <v>-2.919314405717207E-2</v>
      </c>
      <c r="N498">
        <f t="shared" ca="1" si="50"/>
        <v>0</v>
      </c>
    </row>
    <row r="499" spans="1:14">
      <c r="A499" s="12">
        <v>45379</v>
      </c>
      <c r="B499" s="14">
        <v>-7.9858206259706133E-3</v>
      </c>
      <c r="C499" s="67">
        <f>'Parametric VAR'!$F$12</f>
        <v>-2.023068247926026E-2</v>
      </c>
      <c r="D499">
        <f t="shared" si="45"/>
        <v>0</v>
      </c>
      <c r="E499" s="67">
        <f>'Parametric VAR'!$F$13</f>
        <v>-2.8682193012943492E-2</v>
      </c>
      <c r="F499">
        <f t="shared" si="46"/>
        <v>0</v>
      </c>
      <c r="G499" s="67">
        <f>'Historical VAR'!$G$6</f>
        <v>-1.9839729167757107E-2</v>
      </c>
      <c r="H499">
        <f t="shared" si="47"/>
        <v>0</v>
      </c>
      <c r="I499" s="67">
        <f>'Historical VAR'!$G$7</f>
        <v>-3.1428916759065853E-2</v>
      </c>
      <c r="J499">
        <f t="shared" si="48"/>
        <v>0</v>
      </c>
      <c r="K499" s="67">
        <f ca="1">'Monte Carlo Stimulation'!$I$8</f>
        <v>-2.1559270710709389E-2</v>
      </c>
      <c r="L499">
        <f t="shared" ca="1" si="49"/>
        <v>0</v>
      </c>
      <c r="M499" s="67">
        <f ca="1">'Monte Carlo Stimulation'!$I$9</f>
        <v>-2.919314405717207E-2</v>
      </c>
      <c r="N499">
        <f t="shared" ca="1" si="50"/>
        <v>0</v>
      </c>
    </row>
    <row r="500" spans="1:14">
      <c r="A500" s="12">
        <v>45378</v>
      </c>
      <c r="B500" s="14">
        <v>-4.5762403943511347E-3</v>
      </c>
      <c r="C500" s="67">
        <f>'Parametric VAR'!$F$12</f>
        <v>-2.023068247926026E-2</v>
      </c>
      <c r="D500">
        <f t="shared" si="45"/>
        <v>0</v>
      </c>
      <c r="E500" s="67">
        <f>'Parametric VAR'!$F$13</f>
        <v>-2.8682193012943492E-2</v>
      </c>
      <c r="F500">
        <f t="shared" si="46"/>
        <v>0</v>
      </c>
      <c r="G500" s="67">
        <f>'Historical VAR'!$G$6</f>
        <v>-1.9839729167757107E-2</v>
      </c>
      <c r="H500">
        <f t="shared" si="47"/>
        <v>0</v>
      </c>
      <c r="I500" s="67">
        <f>'Historical VAR'!$G$7</f>
        <v>-3.1428916759065853E-2</v>
      </c>
      <c r="J500">
        <f t="shared" si="48"/>
        <v>0</v>
      </c>
      <c r="K500" s="67">
        <f ca="1">'Monte Carlo Stimulation'!$I$8</f>
        <v>-2.1559270710709389E-2</v>
      </c>
      <c r="L500">
        <f t="shared" ca="1" si="49"/>
        <v>0</v>
      </c>
      <c r="M500" s="67">
        <f ca="1">'Monte Carlo Stimulation'!$I$9</f>
        <v>-2.919314405717207E-2</v>
      </c>
      <c r="N500">
        <f t="shared" ca="1" si="50"/>
        <v>0</v>
      </c>
    </row>
    <row r="501" spans="1:14">
      <c r="A501" s="12">
        <v>45377</v>
      </c>
      <c r="B501" s="14">
        <v>-5.7359712432514046E-3</v>
      </c>
      <c r="C501" s="67">
        <f>'Parametric VAR'!$F$12</f>
        <v>-2.023068247926026E-2</v>
      </c>
      <c r="D501">
        <f t="shared" si="45"/>
        <v>0</v>
      </c>
      <c r="E501" s="67">
        <f>'Parametric VAR'!$F$13</f>
        <v>-2.8682193012943492E-2</v>
      </c>
      <c r="F501">
        <f t="shared" si="46"/>
        <v>0</v>
      </c>
      <c r="G501" s="67">
        <f>'Historical VAR'!$G$6</f>
        <v>-1.9839729167757107E-2</v>
      </c>
      <c r="H501">
        <f t="shared" si="47"/>
        <v>0</v>
      </c>
      <c r="I501" s="67">
        <f>'Historical VAR'!$G$7</f>
        <v>-3.1428916759065853E-2</v>
      </c>
      <c r="J501">
        <f t="shared" si="48"/>
        <v>0</v>
      </c>
      <c r="K501" s="67">
        <f ca="1">'Monte Carlo Stimulation'!$I$8</f>
        <v>-2.1559270710709389E-2</v>
      </c>
      <c r="L501">
        <f t="shared" ca="1" si="49"/>
        <v>0</v>
      </c>
      <c r="M501" s="67">
        <f ca="1">'Monte Carlo Stimulation'!$I$9</f>
        <v>-2.919314405717207E-2</v>
      </c>
      <c r="N501">
        <f t="shared" ca="1" si="50"/>
        <v>0</v>
      </c>
    </row>
    <row r="502" spans="1:14">
      <c r="A502" s="12">
        <v>45373</v>
      </c>
      <c r="B502" s="14">
        <v>8.329490427395024E-3</v>
      </c>
      <c r="C502" s="67">
        <f>'Parametric VAR'!$F$12</f>
        <v>-2.023068247926026E-2</v>
      </c>
      <c r="D502">
        <f t="shared" si="45"/>
        <v>0</v>
      </c>
      <c r="E502" s="67">
        <f>'Parametric VAR'!$F$13</f>
        <v>-2.8682193012943492E-2</v>
      </c>
      <c r="F502">
        <f t="shared" si="46"/>
        <v>0</v>
      </c>
      <c r="G502" s="67">
        <f>'Historical VAR'!$G$6</f>
        <v>-1.9839729167757107E-2</v>
      </c>
      <c r="H502">
        <f t="shared" si="47"/>
        <v>0</v>
      </c>
      <c r="I502" s="67">
        <f>'Historical VAR'!$G$7</f>
        <v>-3.1428916759065853E-2</v>
      </c>
      <c r="J502">
        <f t="shared" si="48"/>
        <v>0</v>
      </c>
      <c r="K502" s="67">
        <f ca="1">'Monte Carlo Stimulation'!$I$8</f>
        <v>-2.1559270710709389E-2</v>
      </c>
      <c r="L502">
        <f t="shared" ca="1" si="49"/>
        <v>0</v>
      </c>
      <c r="M502" s="67">
        <f ca="1">'Monte Carlo Stimulation'!$I$9</f>
        <v>-2.919314405717207E-2</v>
      </c>
      <c r="N502">
        <f t="shared" ca="1" si="50"/>
        <v>0</v>
      </c>
    </row>
    <row r="503" spans="1:14">
      <c r="A503" s="12">
        <v>45372</v>
      </c>
      <c r="B503" s="14">
        <v>-6.7480729894745855E-3</v>
      </c>
      <c r="C503" s="67">
        <f>'Parametric VAR'!$F$12</f>
        <v>-2.023068247926026E-2</v>
      </c>
      <c r="D503">
        <f t="shared" si="45"/>
        <v>0</v>
      </c>
      <c r="E503" s="67">
        <f>'Parametric VAR'!$F$13</f>
        <v>-2.8682193012943492E-2</v>
      </c>
      <c r="F503">
        <f t="shared" si="46"/>
        <v>0</v>
      </c>
      <c r="G503" s="67">
        <f>'Historical VAR'!$G$6</f>
        <v>-1.9839729167757107E-2</v>
      </c>
      <c r="H503">
        <f t="shared" si="47"/>
        <v>0</v>
      </c>
      <c r="I503" s="67">
        <f>'Historical VAR'!$G$7</f>
        <v>-3.1428916759065853E-2</v>
      </c>
      <c r="J503">
        <f t="shared" si="48"/>
        <v>0</v>
      </c>
      <c r="K503" s="67">
        <f ca="1">'Monte Carlo Stimulation'!$I$8</f>
        <v>-2.1559270710709389E-2</v>
      </c>
      <c r="L503">
        <f t="shared" ca="1" si="49"/>
        <v>0</v>
      </c>
      <c r="M503" s="67">
        <f ca="1">'Monte Carlo Stimulation'!$I$9</f>
        <v>-2.919314405717207E-2</v>
      </c>
      <c r="N503">
        <f t="shared" ca="1" si="50"/>
        <v>0</v>
      </c>
    </row>
    <row r="504" spans="1:14">
      <c r="A504" s="12">
        <v>45371</v>
      </c>
      <c r="B504" s="14">
        <v>-1.9239790935658087E-3</v>
      </c>
      <c r="C504" s="67">
        <f>'Parametric VAR'!$F$12</f>
        <v>-2.023068247926026E-2</v>
      </c>
      <c r="D504">
        <f t="shared" si="45"/>
        <v>0</v>
      </c>
      <c r="E504" s="67">
        <f>'Parametric VAR'!$F$13</f>
        <v>-2.8682193012943492E-2</v>
      </c>
      <c r="F504">
        <f t="shared" si="46"/>
        <v>0</v>
      </c>
      <c r="G504" s="67">
        <f>'Historical VAR'!$G$6</f>
        <v>-1.9839729167757107E-2</v>
      </c>
      <c r="H504">
        <f t="shared" si="47"/>
        <v>0</v>
      </c>
      <c r="I504" s="67">
        <f>'Historical VAR'!$G$7</f>
        <v>-3.1428916759065853E-2</v>
      </c>
      <c r="J504">
        <f t="shared" si="48"/>
        <v>0</v>
      </c>
      <c r="K504" s="67">
        <f ca="1">'Monte Carlo Stimulation'!$I$8</f>
        <v>-2.1559270710709389E-2</v>
      </c>
      <c r="L504">
        <f t="shared" ca="1" si="49"/>
        <v>0</v>
      </c>
      <c r="M504" s="67">
        <f ca="1">'Monte Carlo Stimulation'!$I$9</f>
        <v>-2.919314405717207E-2</v>
      </c>
      <c r="N504">
        <f t="shared" ca="1" si="50"/>
        <v>0</v>
      </c>
    </row>
    <row r="505" spans="1:14">
      <c r="A505" s="12">
        <v>45370</v>
      </c>
      <c r="B505" s="14">
        <v>-7.4157627392797316E-4</v>
      </c>
      <c r="C505" s="67">
        <f>'Parametric VAR'!$F$12</f>
        <v>-2.023068247926026E-2</v>
      </c>
      <c r="D505">
        <f t="shared" si="45"/>
        <v>0</v>
      </c>
      <c r="E505" s="67">
        <f>'Parametric VAR'!$F$13</f>
        <v>-2.8682193012943492E-2</v>
      </c>
      <c r="F505">
        <f t="shared" si="46"/>
        <v>0</v>
      </c>
      <c r="G505" s="67">
        <f>'Historical VAR'!$G$6</f>
        <v>-1.9839729167757107E-2</v>
      </c>
      <c r="H505">
        <f t="shared" si="47"/>
        <v>0</v>
      </c>
      <c r="I505" s="67">
        <f>'Historical VAR'!$G$7</f>
        <v>-3.1428916759065853E-2</v>
      </c>
      <c r="J505">
        <f t="shared" si="48"/>
        <v>0</v>
      </c>
      <c r="K505" s="67">
        <f ca="1">'Monte Carlo Stimulation'!$I$8</f>
        <v>-2.1559270710709389E-2</v>
      </c>
      <c r="L505">
        <f t="shared" ca="1" si="49"/>
        <v>0</v>
      </c>
      <c r="M505" s="67">
        <f ca="1">'Monte Carlo Stimulation'!$I$9</f>
        <v>-2.919314405717207E-2</v>
      </c>
      <c r="N505">
        <f t="shared" ca="1" si="50"/>
        <v>0</v>
      </c>
    </row>
    <row r="506" spans="1:14">
      <c r="A506" s="12">
        <v>45369</v>
      </c>
      <c r="B506" s="14">
        <v>1.1561087828848798E-2</v>
      </c>
      <c r="C506" s="67">
        <f>'Parametric VAR'!$F$12</f>
        <v>-2.023068247926026E-2</v>
      </c>
      <c r="D506">
        <f t="shared" si="45"/>
        <v>0</v>
      </c>
      <c r="E506" s="67">
        <f>'Parametric VAR'!$F$13</f>
        <v>-2.8682193012943492E-2</v>
      </c>
      <c r="F506">
        <f t="shared" si="46"/>
        <v>0</v>
      </c>
      <c r="G506" s="67">
        <f>'Historical VAR'!$G$6</f>
        <v>-1.9839729167757107E-2</v>
      </c>
      <c r="H506">
        <f t="shared" si="47"/>
        <v>0</v>
      </c>
      <c r="I506" s="67">
        <f>'Historical VAR'!$G$7</f>
        <v>-3.1428916759065853E-2</v>
      </c>
      <c r="J506">
        <f t="shared" si="48"/>
        <v>0</v>
      </c>
      <c r="K506" s="67">
        <f ca="1">'Monte Carlo Stimulation'!$I$8</f>
        <v>-2.1559270710709389E-2</v>
      </c>
      <c r="L506">
        <f t="shared" ca="1" si="49"/>
        <v>0</v>
      </c>
      <c r="M506" s="67">
        <f ca="1">'Monte Carlo Stimulation'!$I$9</f>
        <v>-2.919314405717207E-2</v>
      </c>
      <c r="N506">
        <f t="shared" ca="1" si="50"/>
        <v>0</v>
      </c>
    </row>
    <row r="507" spans="1:14">
      <c r="A507" s="12">
        <v>45366</v>
      </c>
      <c r="B507" s="14">
        <v>3.6851827783810579E-3</v>
      </c>
      <c r="C507" s="67">
        <f>'Parametric VAR'!$F$12</f>
        <v>-2.023068247926026E-2</v>
      </c>
      <c r="D507">
        <f t="shared" si="45"/>
        <v>0</v>
      </c>
      <c r="E507" s="67">
        <f>'Parametric VAR'!$F$13</f>
        <v>-2.8682193012943492E-2</v>
      </c>
      <c r="F507">
        <f t="shared" si="46"/>
        <v>0</v>
      </c>
      <c r="G507" s="67">
        <f>'Historical VAR'!$G$6</f>
        <v>-1.9839729167757107E-2</v>
      </c>
      <c r="H507">
        <f t="shared" si="47"/>
        <v>0</v>
      </c>
      <c r="I507" s="67">
        <f>'Historical VAR'!$G$7</f>
        <v>-3.1428916759065853E-2</v>
      </c>
      <c r="J507">
        <f t="shared" si="48"/>
        <v>0</v>
      </c>
      <c r="K507" s="67">
        <f ca="1">'Monte Carlo Stimulation'!$I$8</f>
        <v>-2.1559270710709389E-2</v>
      </c>
      <c r="L507">
        <f t="shared" ca="1" si="49"/>
        <v>0</v>
      </c>
      <c r="M507" s="67">
        <f ca="1">'Monte Carlo Stimulation'!$I$9</f>
        <v>-2.919314405717207E-2</v>
      </c>
      <c r="N507">
        <f t="shared" ca="1" si="50"/>
        <v>0</v>
      </c>
    </row>
    <row r="508" spans="1:14">
      <c r="A508" s="12">
        <v>45365</v>
      </c>
      <c r="B508" s="14">
        <v>6.2767223438889115E-3</v>
      </c>
      <c r="C508" s="67">
        <f>'Parametric VAR'!$F$12</f>
        <v>-2.023068247926026E-2</v>
      </c>
      <c r="D508">
        <f t="shared" si="45"/>
        <v>0</v>
      </c>
      <c r="E508" s="67">
        <f>'Parametric VAR'!$F$13</f>
        <v>-2.8682193012943492E-2</v>
      </c>
      <c r="F508">
        <f t="shared" si="46"/>
        <v>0</v>
      </c>
      <c r="G508" s="67">
        <f>'Historical VAR'!$G$6</f>
        <v>-1.9839729167757107E-2</v>
      </c>
      <c r="H508">
        <f t="shared" si="47"/>
        <v>0</v>
      </c>
      <c r="I508" s="67">
        <f>'Historical VAR'!$G$7</f>
        <v>-3.1428916759065853E-2</v>
      </c>
      <c r="J508">
        <f t="shared" si="48"/>
        <v>0</v>
      </c>
      <c r="K508" s="67">
        <f ca="1">'Monte Carlo Stimulation'!$I$8</f>
        <v>-2.1559270710709389E-2</v>
      </c>
      <c r="L508">
        <f t="shared" ca="1" si="49"/>
        <v>0</v>
      </c>
      <c r="M508" s="67">
        <f ca="1">'Monte Carlo Stimulation'!$I$9</f>
        <v>-2.919314405717207E-2</v>
      </c>
      <c r="N508">
        <f t="shared" ca="1" si="50"/>
        <v>0</v>
      </c>
    </row>
    <row r="509" spans="1:14">
      <c r="A509" s="12">
        <v>45364</v>
      </c>
      <c r="B509" s="14">
        <v>-1.3374470550790879E-2</v>
      </c>
      <c r="C509" s="67">
        <f>'Parametric VAR'!$F$12</f>
        <v>-2.023068247926026E-2</v>
      </c>
      <c r="D509">
        <f t="shared" si="45"/>
        <v>0</v>
      </c>
      <c r="E509" s="67">
        <f>'Parametric VAR'!$F$13</f>
        <v>-2.8682193012943492E-2</v>
      </c>
      <c r="F509">
        <f t="shared" si="46"/>
        <v>0</v>
      </c>
      <c r="G509" s="67">
        <f>'Historical VAR'!$G$6</f>
        <v>-1.9839729167757107E-2</v>
      </c>
      <c r="H509">
        <f t="shared" si="47"/>
        <v>0</v>
      </c>
      <c r="I509" s="67">
        <f>'Historical VAR'!$G$7</f>
        <v>-3.1428916759065853E-2</v>
      </c>
      <c r="J509">
        <f t="shared" si="48"/>
        <v>0</v>
      </c>
      <c r="K509" s="67">
        <f ca="1">'Monte Carlo Stimulation'!$I$8</f>
        <v>-2.1559270710709389E-2</v>
      </c>
      <c r="L509">
        <f t="shared" ca="1" si="49"/>
        <v>0</v>
      </c>
      <c r="M509" s="67">
        <f ca="1">'Monte Carlo Stimulation'!$I$9</f>
        <v>-2.919314405717207E-2</v>
      </c>
      <c r="N509">
        <f t="shared" ca="1" si="50"/>
        <v>0</v>
      </c>
    </row>
    <row r="510" spans="1:14">
      <c r="A510" s="12">
        <v>45363</v>
      </c>
      <c r="B510" s="14">
        <v>1.1208814193587191E-2</v>
      </c>
      <c r="C510" s="67">
        <f>'Parametric VAR'!$F$12</f>
        <v>-2.023068247926026E-2</v>
      </c>
      <c r="D510">
        <f t="shared" si="45"/>
        <v>0</v>
      </c>
      <c r="E510" s="67">
        <f>'Parametric VAR'!$F$13</f>
        <v>-2.8682193012943492E-2</v>
      </c>
      <c r="F510">
        <f t="shared" si="46"/>
        <v>0</v>
      </c>
      <c r="G510" s="67">
        <f>'Historical VAR'!$G$6</f>
        <v>-1.9839729167757107E-2</v>
      </c>
      <c r="H510">
        <f t="shared" si="47"/>
        <v>0</v>
      </c>
      <c r="I510" s="67">
        <f>'Historical VAR'!$G$7</f>
        <v>-3.1428916759065853E-2</v>
      </c>
      <c r="J510">
        <f t="shared" si="48"/>
        <v>0</v>
      </c>
      <c r="K510" s="67">
        <f ca="1">'Monte Carlo Stimulation'!$I$8</f>
        <v>-2.1559270710709389E-2</v>
      </c>
      <c r="L510">
        <f t="shared" ca="1" si="49"/>
        <v>0</v>
      </c>
      <c r="M510" s="67">
        <f ca="1">'Monte Carlo Stimulation'!$I$9</f>
        <v>-2.919314405717207E-2</v>
      </c>
      <c r="N510">
        <f t="shared" ca="1" si="50"/>
        <v>0</v>
      </c>
    </row>
    <row r="511" spans="1:14">
      <c r="A511" s="12">
        <v>45362</v>
      </c>
      <c r="B511" s="14">
        <v>6.0374437046248333E-3</v>
      </c>
      <c r="C511" s="67">
        <f>'Parametric VAR'!$F$12</f>
        <v>-2.023068247926026E-2</v>
      </c>
      <c r="D511">
        <f t="shared" si="45"/>
        <v>0</v>
      </c>
      <c r="E511" s="67">
        <f>'Parametric VAR'!$F$13</f>
        <v>-2.8682193012943492E-2</v>
      </c>
      <c r="F511">
        <f t="shared" si="46"/>
        <v>0</v>
      </c>
      <c r="G511" s="67">
        <f>'Historical VAR'!$G$6</f>
        <v>-1.9839729167757107E-2</v>
      </c>
      <c r="H511">
        <f t="shared" si="47"/>
        <v>0</v>
      </c>
      <c r="I511" s="67">
        <f>'Historical VAR'!$G$7</f>
        <v>-3.1428916759065853E-2</v>
      </c>
      <c r="J511">
        <f t="shared" si="48"/>
        <v>0</v>
      </c>
      <c r="K511" s="67">
        <f ca="1">'Monte Carlo Stimulation'!$I$8</f>
        <v>-2.1559270710709389E-2</v>
      </c>
      <c r="L511">
        <f t="shared" ca="1" si="49"/>
        <v>0</v>
      </c>
      <c r="M511" s="67">
        <f ca="1">'Monte Carlo Stimulation'!$I$9</f>
        <v>-2.919314405717207E-2</v>
      </c>
      <c r="N511">
        <f t="shared" ca="1" si="50"/>
        <v>0</v>
      </c>
    </row>
    <row r="512" spans="1:14">
      <c r="A512" s="12">
        <v>45358</v>
      </c>
      <c r="B512" s="14">
        <v>-8.9274205270941341E-4</v>
      </c>
      <c r="C512" s="67">
        <f>'Parametric VAR'!$F$12</f>
        <v>-2.023068247926026E-2</v>
      </c>
      <c r="D512">
        <f t="shared" si="45"/>
        <v>0</v>
      </c>
      <c r="E512" s="67">
        <f>'Parametric VAR'!$F$13</f>
        <v>-2.8682193012943492E-2</v>
      </c>
      <c r="F512">
        <f t="shared" si="46"/>
        <v>0</v>
      </c>
      <c r="G512" s="67">
        <f>'Historical VAR'!$G$6</f>
        <v>-1.9839729167757107E-2</v>
      </c>
      <c r="H512">
        <f t="shared" si="47"/>
        <v>0</v>
      </c>
      <c r="I512" s="67">
        <f>'Historical VAR'!$G$7</f>
        <v>-3.1428916759065853E-2</v>
      </c>
      <c r="J512">
        <f t="shared" si="48"/>
        <v>0</v>
      </c>
      <c r="K512" s="67">
        <f ca="1">'Monte Carlo Stimulation'!$I$8</f>
        <v>-2.1559270710709389E-2</v>
      </c>
      <c r="L512">
        <f t="shared" ca="1" si="49"/>
        <v>0</v>
      </c>
      <c r="M512" s="67">
        <f ca="1">'Monte Carlo Stimulation'!$I$9</f>
        <v>-2.919314405717207E-2</v>
      </c>
      <c r="N512">
        <f t="shared" ca="1" si="50"/>
        <v>0</v>
      </c>
    </row>
    <row r="513" spans="1:14">
      <c r="A513" s="12">
        <v>45357</v>
      </c>
      <c r="B513" s="14">
        <v>-8.7236913294085269E-3</v>
      </c>
      <c r="C513" s="67">
        <f>'Parametric VAR'!$F$12</f>
        <v>-2.023068247926026E-2</v>
      </c>
      <c r="D513">
        <f t="shared" si="45"/>
        <v>0</v>
      </c>
      <c r="E513" s="67">
        <f>'Parametric VAR'!$F$13</f>
        <v>-2.8682193012943492E-2</v>
      </c>
      <c r="F513">
        <f t="shared" si="46"/>
        <v>0</v>
      </c>
      <c r="G513" s="67">
        <f>'Historical VAR'!$G$6</f>
        <v>-1.9839729167757107E-2</v>
      </c>
      <c r="H513">
        <f t="shared" si="47"/>
        <v>0</v>
      </c>
      <c r="I513" s="67">
        <f>'Historical VAR'!$G$7</f>
        <v>-3.1428916759065853E-2</v>
      </c>
      <c r="J513">
        <f t="shared" si="48"/>
        <v>0</v>
      </c>
      <c r="K513" s="67">
        <f ca="1">'Monte Carlo Stimulation'!$I$8</f>
        <v>-2.1559270710709389E-2</v>
      </c>
      <c r="L513">
        <f t="shared" ca="1" si="49"/>
        <v>0</v>
      </c>
      <c r="M513" s="67">
        <f ca="1">'Monte Carlo Stimulation'!$I$9</f>
        <v>-2.919314405717207E-2</v>
      </c>
      <c r="N513">
        <f t="shared" ca="1" si="50"/>
        <v>0</v>
      </c>
    </row>
    <row r="514" spans="1:14">
      <c r="A514" s="12">
        <v>45356</v>
      </c>
      <c r="B514" s="14">
        <v>-1.4030344020178572E-3</v>
      </c>
      <c r="C514" s="67">
        <f>'Parametric VAR'!$F$12</f>
        <v>-2.023068247926026E-2</v>
      </c>
      <c r="D514">
        <f t="shared" si="45"/>
        <v>0</v>
      </c>
      <c r="E514" s="67">
        <f>'Parametric VAR'!$F$13</f>
        <v>-2.8682193012943492E-2</v>
      </c>
      <c r="F514">
        <f t="shared" si="46"/>
        <v>0</v>
      </c>
      <c r="G514" s="67">
        <f>'Historical VAR'!$G$6</f>
        <v>-1.9839729167757107E-2</v>
      </c>
      <c r="H514">
        <f t="shared" si="47"/>
        <v>0</v>
      </c>
      <c r="I514" s="67">
        <f>'Historical VAR'!$G$7</f>
        <v>-3.1428916759065853E-2</v>
      </c>
      <c r="J514">
        <f t="shared" si="48"/>
        <v>0</v>
      </c>
      <c r="K514" s="67">
        <f ca="1">'Monte Carlo Stimulation'!$I$8</f>
        <v>-2.1559270710709389E-2</v>
      </c>
      <c r="L514">
        <f t="shared" ca="1" si="49"/>
        <v>0</v>
      </c>
      <c r="M514" s="67">
        <f ca="1">'Monte Carlo Stimulation'!$I$9</f>
        <v>-2.919314405717207E-2</v>
      </c>
      <c r="N514">
        <f t="shared" ca="1" si="50"/>
        <v>0</v>
      </c>
    </row>
    <row r="515" spans="1:14">
      <c r="A515" s="12">
        <v>45355</v>
      </c>
      <c r="B515" s="14">
        <v>4.786216041326511E-3</v>
      </c>
      <c r="C515" s="67">
        <f>'Parametric VAR'!$F$12</f>
        <v>-2.023068247926026E-2</v>
      </c>
      <c r="D515">
        <f t="shared" si="45"/>
        <v>0</v>
      </c>
      <c r="E515" s="67">
        <f>'Parametric VAR'!$F$13</f>
        <v>-2.8682193012943492E-2</v>
      </c>
      <c r="F515">
        <f t="shared" si="46"/>
        <v>0</v>
      </c>
      <c r="G515" s="67">
        <f>'Historical VAR'!$G$6</f>
        <v>-1.9839729167757107E-2</v>
      </c>
      <c r="H515">
        <f t="shared" si="47"/>
        <v>0</v>
      </c>
      <c r="I515" s="67">
        <f>'Historical VAR'!$G$7</f>
        <v>-3.1428916759065853E-2</v>
      </c>
      <c r="J515">
        <f t="shared" si="48"/>
        <v>0</v>
      </c>
      <c r="K515" s="67">
        <f ca="1">'Monte Carlo Stimulation'!$I$8</f>
        <v>-2.1559270710709389E-2</v>
      </c>
      <c r="L515">
        <f t="shared" ca="1" si="49"/>
        <v>0</v>
      </c>
      <c r="M515" s="67">
        <f ca="1">'Monte Carlo Stimulation'!$I$9</f>
        <v>-2.919314405717207E-2</v>
      </c>
      <c r="N515">
        <f t="shared" ca="1" si="50"/>
        <v>0</v>
      </c>
    </row>
    <row r="516" spans="1:14">
      <c r="A516" s="12">
        <v>45353</v>
      </c>
      <c r="B516" s="14">
        <v>1.0417861574917569E-2</v>
      </c>
      <c r="C516" s="67">
        <f>'Parametric VAR'!$F$12</f>
        <v>-2.023068247926026E-2</v>
      </c>
      <c r="D516">
        <f t="shared" ref="D516:D579" si="51">IF(B516&lt;C516,1,0)</f>
        <v>0</v>
      </c>
      <c r="E516" s="67">
        <f>'Parametric VAR'!$F$13</f>
        <v>-2.8682193012943492E-2</v>
      </c>
      <c r="F516">
        <f t="shared" ref="F516:F579" si="52">IF(B516&lt;E516,1,0)</f>
        <v>0</v>
      </c>
      <c r="G516" s="67">
        <f>'Historical VAR'!$G$6</f>
        <v>-1.9839729167757107E-2</v>
      </c>
      <c r="H516">
        <f t="shared" ref="H516:H579" si="53">IF(B516&lt;G516,1,0)</f>
        <v>0</v>
      </c>
      <c r="I516" s="67">
        <f>'Historical VAR'!$G$7</f>
        <v>-3.1428916759065853E-2</v>
      </c>
      <c r="J516">
        <f t="shared" ref="J516:J579" si="54">IF(B516&lt;I516,1,0)</f>
        <v>0</v>
      </c>
      <c r="K516" s="67">
        <f ca="1">'Monte Carlo Stimulation'!$I$8</f>
        <v>-2.1559270710709389E-2</v>
      </c>
      <c r="L516">
        <f t="shared" ref="L516:L579" ca="1" si="55">IF(B516&lt;K516,1,0)</f>
        <v>0</v>
      </c>
      <c r="M516" s="67">
        <f ca="1">'Monte Carlo Stimulation'!$I$9</f>
        <v>-2.919314405717207E-2</v>
      </c>
      <c r="N516">
        <f t="shared" ref="N516:N579" ca="1" si="56">IF(B516&lt;M516,1,0)</f>
        <v>0</v>
      </c>
    </row>
    <row r="517" spans="1:14">
      <c r="A517" s="12">
        <v>45352</v>
      </c>
      <c r="B517" s="14">
        <v>-7.0916721425035587E-3</v>
      </c>
      <c r="C517" s="67">
        <f>'Parametric VAR'!$F$12</f>
        <v>-2.023068247926026E-2</v>
      </c>
      <c r="D517">
        <f t="shared" si="51"/>
        <v>0</v>
      </c>
      <c r="E517" s="67">
        <f>'Parametric VAR'!$F$13</f>
        <v>-2.8682193012943492E-2</v>
      </c>
      <c r="F517">
        <f t="shared" si="52"/>
        <v>0</v>
      </c>
      <c r="G517" s="67">
        <f>'Historical VAR'!$G$6</f>
        <v>-1.9839729167757107E-2</v>
      </c>
      <c r="H517">
        <f t="shared" si="53"/>
        <v>0</v>
      </c>
      <c r="I517" s="67">
        <f>'Historical VAR'!$G$7</f>
        <v>-3.1428916759065853E-2</v>
      </c>
      <c r="J517">
        <f t="shared" si="54"/>
        <v>0</v>
      </c>
      <c r="K517" s="67">
        <f ca="1">'Monte Carlo Stimulation'!$I$8</f>
        <v>-2.1559270710709389E-2</v>
      </c>
      <c r="L517">
        <f t="shared" ca="1" si="55"/>
        <v>0</v>
      </c>
      <c r="M517" s="67">
        <f ca="1">'Monte Carlo Stimulation'!$I$9</f>
        <v>-2.919314405717207E-2</v>
      </c>
      <c r="N517">
        <f t="shared" ca="1" si="56"/>
        <v>0</v>
      </c>
    </row>
    <row r="518" spans="1:14">
      <c r="A518" s="12">
        <v>45351</v>
      </c>
      <c r="B518" s="14">
        <v>2.7256554389200492E-3</v>
      </c>
      <c r="C518" s="67">
        <f>'Parametric VAR'!$F$12</f>
        <v>-2.023068247926026E-2</v>
      </c>
      <c r="D518">
        <f t="shared" si="51"/>
        <v>0</v>
      </c>
      <c r="E518" s="67">
        <f>'Parametric VAR'!$F$13</f>
        <v>-2.8682193012943492E-2</v>
      </c>
      <c r="F518">
        <f t="shared" si="52"/>
        <v>0</v>
      </c>
      <c r="G518" s="67">
        <f>'Historical VAR'!$G$6</f>
        <v>-1.9839729167757107E-2</v>
      </c>
      <c r="H518">
        <f t="shared" si="53"/>
        <v>0</v>
      </c>
      <c r="I518" s="67">
        <f>'Historical VAR'!$G$7</f>
        <v>-3.1428916759065853E-2</v>
      </c>
      <c r="J518">
        <f t="shared" si="54"/>
        <v>0</v>
      </c>
      <c r="K518" s="67">
        <f ca="1">'Monte Carlo Stimulation'!$I$8</f>
        <v>-2.1559270710709389E-2</v>
      </c>
      <c r="L518">
        <f t="shared" ca="1" si="55"/>
        <v>0</v>
      </c>
      <c r="M518" s="67">
        <f ca="1">'Monte Carlo Stimulation'!$I$9</f>
        <v>-2.919314405717207E-2</v>
      </c>
      <c r="N518">
        <f t="shared" ca="1" si="56"/>
        <v>0</v>
      </c>
    </row>
    <row r="519" spans="1:14">
      <c r="A519" s="12">
        <v>45350</v>
      </c>
      <c r="B519" s="14">
        <v>-1.7972586323412882E-2</v>
      </c>
      <c r="C519" s="67">
        <f>'Parametric VAR'!$F$12</f>
        <v>-2.023068247926026E-2</v>
      </c>
      <c r="D519">
        <f t="shared" si="51"/>
        <v>0</v>
      </c>
      <c r="E519" s="67">
        <f>'Parametric VAR'!$F$13</f>
        <v>-2.8682193012943492E-2</v>
      </c>
      <c r="F519">
        <f t="shared" si="52"/>
        <v>0</v>
      </c>
      <c r="G519" s="67">
        <f>'Historical VAR'!$G$6</f>
        <v>-1.9839729167757107E-2</v>
      </c>
      <c r="H519">
        <f t="shared" si="53"/>
        <v>0</v>
      </c>
      <c r="I519" s="67">
        <f>'Historical VAR'!$G$7</f>
        <v>-3.1428916759065853E-2</v>
      </c>
      <c r="J519">
        <f t="shared" si="54"/>
        <v>0</v>
      </c>
      <c r="K519" s="67">
        <f ca="1">'Monte Carlo Stimulation'!$I$8</f>
        <v>-2.1559270710709389E-2</v>
      </c>
      <c r="L519">
        <f t="shared" ca="1" si="55"/>
        <v>0</v>
      </c>
      <c r="M519" s="67">
        <f ca="1">'Monte Carlo Stimulation'!$I$9</f>
        <v>-2.919314405717207E-2</v>
      </c>
      <c r="N519">
        <f t="shared" ca="1" si="56"/>
        <v>0</v>
      </c>
    </row>
    <row r="520" spans="1:14">
      <c r="A520" s="12">
        <v>45349</v>
      </c>
      <c r="B520" s="14">
        <v>1.8501945943063685E-2</v>
      </c>
      <c r="C520" s="67">
        <f>'Parametric VAR'!$F$12</f>
        <v>-2.023068247926026E-2</v>
      </c>
      <c r="D520">
        <f t="shared" si="51"/>
        <v>0</v>
      </c>
      <c r="E520" s="67">
        <f>'Parametric VAR'!$F$13</f>
        <v>-2.8682193012943492E-2</v>
      </c>
      <c r="F520">
        <f t="shared" si="52"/>
        <v>0</v>
      </c>
      <c r="G520" s="67">
        <f>'Historical VAR'!$G$6</f>
        <v>-1.9839729167757107E-2</v>
      </c>
      <c r="H520">
        <f t="shared" si="53"/>
        <v>0</v>
      </c>
      <c r="I520" s="67">
        <f>'Historical VAR'!$G$7</f>
        <v>-3.1428916759065853E-2</v>
      </c>
      <c r="J520">
        <f t="shared" si="54"/>
        <v>0</v>
      </c>
      <c r="K520" s="67">
        <f ca="1">'Monte Carlo Stimulation'!$I$8</f>
        <v>-2.1559270710709389E-2</v>
      </c>
      <c r="L520">
        <f t="shared" ca="1" si="55"/>
        <v>0</v>
      </c>
      <c r="M520" s="67">
        <f ca="1">'Monte Carlo Stimulation'!$I$9</f>
        <v>-2.919314405717207E-2</v>
      </c>
      <c r="N520">
        <f t="shared" ca="1" si="56"/>
        <v>0</v>
      </c>
    </row>
    <row r="521" spans="1:14">
      <c r="A521" s="12">
        <v>45348</v>
      </c>
      <c r="B521" s="14">
        <v>4.8035828306183396E-3</v>
      </c>
      <c r="C521" s="67">
        <f>'Parametric VAR'!$F$12</f>
        <v>-2.023068247926026E-2</v>
      </c>
      <c r="D521">
        <f t="shared" si="51"/>
        <v>0</v>
      </c>
      <c r="E521" s="67">
        <f>'Parametric VAR'!$F$13</f>
        <v>-2.8682193012943492E-2</v>
      </c>
      <c r="F521">
        <f t="shared" si="52"/>
        <v>0</v>
      </c>
      <c r="G521" s="67">
        <f>'Historical VAR'!$G$6</f>
        <v>-1.9839729167757107E-2</v>
      </c>
      <c r="H521">
        <f t="shared" si="53"/>
        <v>0</v>
      </c>
      <c r="I521" s="67">
        <f>'Historical VAR'!$G$7</f>
        <v>-3.1428916759065853E-2</v>
      </c>
      <c r="J521">
        <f t="shared" si="54"/>
        <v>0</v>
      </c>
      <c r="K521" s="67">
        <f ca="1">'Monte Carlo Stimulation'!$I$8</f>
        <v>-2.1559270710709389E-2</v>
      </c>
      <c r="L521">
        <f t="shared" ca="1" si="55"/>
        <v>0</v>
      </c>
      <c r="M521" s="67">
        <f ca="1">'Monte Carlo Stimulation'!$I$9</f>
        <v>-2.919314405717207E-2</v>
      </c>
      <c r="N521">
        <f t="shared" ca="1" si="56"/>
        <v>0</v>
      </c>
    </row>
    <row r="522" spans="1:14">
      <c r="A522" s="12">
        <v>45345</v>
      </c>
      <c r="B522" s="14">
        <v>3.1879186781693436E-2</v>
      </c>
      <c r="C522" s="67">
        <f>'Parametric VAR'!$F$12</f>
        <v>-2.023068247926026E-2</v>
      </c>
      <c r="D522">
        <f t="shared" si="51"/>
        <v>0</v>
      </c>
      <c r="E522" s="67">
        <f>'Parametric VAR'!$F$13</f>
        <v>-2.8682193012943492E-2</v>
      </c>
      <c r="F522">
        <f t="shared" si="52"/>
        <v>0</v>
      </c>
      <c r="G522" s="67">
        <f>'Historical VAR'!$G$6</f>
        <v>-1.9839729167757107E-2</v>
      </c>
      <c r="H522">
        <f t="shared" si="53"/>
        <v>0</v>
      </c>
      <c r="I522" s="67">
        <f>'Historical VAR'!$G$7</f>
        <v>-3.1428916759065853E-2</v>
      </c>
      <c r="J522">
        <f t="shared" si="54"/>
        <v>0</v>
      </c>
      <c r="K522" s="67">
        <f ca="1">'Monte Carlo Stimulation'!$I$8</f>
        <v>-2.1559270710709389E-2</v>
      </c>
      <c r="L522">
        <f t="shared" ca="1" si="55"/>
        <v>0</v>
      </c>
      <c r="M522" s="67">
        <f ca="1">'Monte Carlo Stimulation'!$I$9</f>
        <v>-2.919314405717207E-2</v>
      </c>
      <c r="N522">
        <f t="shared" ca="1" si="56"/>
        <v>0</v>
      </c>
    </row>
    <row r="523" spans="1:14">
      <c r="A523" s="12">
        <v>45344</v>
      </c>
      <c r="B523" s="14">
        <v>9.1940116954326127E-3</v>
      </c>
      <c r="C523" s="67">
        <f>'Parametric VAR'!$F$12</f>
        <v>-2.023068247926026E-2</v>
      </c>
      <c r="D523">
        <f t="shared" si="51"/>
        <v>0</v>
      </c>
      <c r="E523" s="67">
        <f>'Parametric VAR'!$F$13</f>
        <v>-2.8682193012943492E-2</v>
      </c>
      <c r="F523">
        <f t="shared" si="52"/>
        <v>0</v>
      </c>
      <c r="G523" s="67">
        <f>'Historical VAR'!$G$6</f>
        <v>-1.9839729167757107E-2</v>
      </c>
      <c r="H523">
        <f t="shared" si="53"/>
        <v>0</v>
      </c>
      <c r="I523" s="67">
        <f>'Historical VAR'!$G$7</f>
        <v>-3.1428916759065853E-2</v>
      </c>
      <c r="J523">
        <f t="shared" si="54"/>
        <v>0</v>
      </c>
      <c r="K523" s="67">
        <f ca="1">'Monte Carlo Stimulation'!$I$8</f>
        <v>-2.1559270710709389E-2</v>
      </c>
      <c r="L523">
        <f t="shared" ca="1" si="55"/>
        <v>0</v>
      </c>
      <c r="M523" s="67">
        <f ca="1">'Monte Carlo Stimulation'!$I$9</f>
        <v>-2.919314405717207E-2</v>
      </c>
      <c r="N523">
        <f t="shared" ca="1" si="56"/>
        <v>0</v>
      </c>
    </row>
    <row r="524" spans="1:14">
      <c r="A524" s="12">
        <v>45343</v>
      </c>
      <c r="B524" s="14">
        <v>-2.7347314696827009E-3</v>
      </c>
      <c r="C524" s="67">
        <f>'Parametric VAR'!$F$12</f>
        <v>-2.023068247926026E-2</v>
      </c>
      <c r="D524">
        <f t="shared" si="51"/>
        <v>0</v>
      </c>
      <c r="E524" s="67">
        <f>'Parametric VAR'!$F$13</f>
        <v>-2.8682193012943492E-2</v>
      </c>
      <c r="F524">
        <f t="shared" si="52"/>
        <v>0</v>
      </c>
      <c r="G524" s="67">
        <f>'Historical VAR'!$G$6</f>
        <v>-1.9839729167757107E-2</v>
      </c>
      <c r="H524">
        <f t="shared" si="53"/>
        <v>0</v>
      </c>
      <c r="I524" s="67">
        <f>'Historical VAR'!$G$7</f>
        <v>-3.1428916759065853E-2</v>
      </c>
      <c r="J524">
        <f t="shared" si="54"/>
        <v>0</v>
      </c>
      <c r="K524" s="67">
        <f ca="1">'Monte Carlo Stimulation'!$I$8</f>
        <v>-2.1559270710709389E-2</v>
      </c>
      <c r="L524">
        <f t="shared" ca="1" si="55"/>
        <v>0</v>
      </c>
      <c r="M524" s="67">
        <f ca="1">'Monte Carlo Stimulation'!$I$9</f>
        <v>-2.919314405717207E-2</v>
      </c>
      <c r="N524">
        <f t="shared" ca="1" si="56"/>
        <v>0</v>
      </c>
    </row>
    <row r="525" spans="1:14">
      <c r="A525" s="12">
        <v>45342</v>
      </c>
      <c r="B525" s="14">
        <v>8.3819850020613851E-4</v>
      </c>
      <c r="C525" s="67">
        <f>'Parametric VAR'!$F$12</f>
        <v>-2.023068247926026E-2</v>
      </c>
      <c r="D525">
        <f t="shared" si="51"/>
        <v>0</v>
      </c>
      <c r="E525" s="67">
        <f>'Parametric VAR'!$F$13</f>
        <v>-2.8682193012943492E-2</v>
      </c>
      <c r="F525">
        <f t="shared" si="52"/>
        <v>0</v>
      </c>
      <c r="G525" s="67">
        <f>'Historical VAR'!$G$6</f>
        <v>-1.9839729167757107E-2</v>
      </c>
      <c r="H525">
        <f t="shared" si="53"/>
        <v>0</v>
      </c>
      <c r="I525" s="67">
        <f>'Historical VAR'!$G$7</f>
        <v>-3.1428916759065853E-2</v>
      </c>
      <c r="J525">
        <f t="shared" si="54"/>
        <v>0</v>
      </c>
      <c r="K525" s="67">
        <f ca="1">'Monte Carlo Stimulation'!$I$8</f>
        <v>-2.1559270710709389E-2</v>
      </c>
      <c r="L525">
        <f t="shared" ca="1" si="55"/>
        <v>0</v>
      </c>
      <c r="M525" s="67">
        <f ca="1">'Monte Carlo Stimulation'!$I$9</f>
        <v>-2.919314405717207E-2</v>
      </c>
      <c r="N525">
        <f t="shared" ca="1" si="56"/>
        <v>0</v>
      </c>
    </row>
    <row r="526" spans="1:14">
      <c r="A526" s="12">
        <v>45341</v>
      </c>
      <c r="B526" s="14">
        <v>-5.6618732800081352E-3</v>
      </c>
      <c r="C526" s="67">
        <f>'Parametric VAR'!$F$12</f>
        <v>-2.023068247926026E-2</v>
      </c>
      <c r="D526">
        <f t="shared" si="51"/>
        <v>0</v>
      </c>
      <c r="E526" s="67">
        <f>'Parametric VAR'!$F$13</f>
        <v>-2.8682193012943492E-2</v>
      </c>
      <c r="F526">
        <f t="shared" si="52"/>
        <v>0</v>
      </c>
      <c r="G526" s="67">
        <f>'Historical VAR'!$G$6</f>
        <v>-1.9839729167757107E-2</v>
      </c>
      <c r="H526">
        <f t="shared" si="53"/>
        <v>0</v>
      </c>
      <c r="I526" s="67">
        <f>'Historical VAR'!$G$7</f>
        <v>-3.1428916759065853E-2</v>
      </c>
      <c r="J526">
        <f t="shared" si="54"/>
        <v>0</v>
      </c>
      <c r="K526" s="67">
        <f ca="1">'Monte Carlo Stimulation'!$I$8</f>
        <v>-2.1559270710709389E-2</v>
      </c>
      <c r="L526">
        <f t="shared" ca="1" si="55"/>
        <v>0</v>
      </c>
      <c r="M526" s="67">
        <f ca="1">'Monte Carlo Stimulation'!$I$9</f>
        <v>-2.919314405717207E-2</v>
      </c>
      <c r="N526">
        <f t="shared" ca="1" si="56"/>
        <v>0</v>
      </c>
    </row>
    <row r="527" spans="1:14">
      <c r="A527" s="12">
        <v>45338</v>
      </c>
      <c r="B527" s="14">
        <v>3.6462588848410016E-3</v>
      </c>
      <c r="C527" s="67">
        <f>'Parametric VAR'!$F$12</f>
        <v>-2.023068247926026E-2</v>
      </c>
      <c r="D527">
        <f t="shared" si="51"/>
        <v>0</v>
      </c>
      <c r="E527" s="67">
        <f>'Parametric VAR'!$F$13</f>
        <v>-2.8682193012943492E-2</v>
      </c>
      <c r="F527">
        <f t="shared" si="52"/>
        <v>0</v>
      </c>
      <c r="G527" s="67">
        <f>'Historical VAR'!$G$6</f>
        <v>-1.9839729167757107E-2</v>
      </c>
      <c r="H527">
        <f t="shared" si="53"/>
        <v>0</v>
      </c>
      <c r="I527" s="67">
        <f>'Historical VAR'!$G$7</f>
        <v>-3.1428916759065853E-2</v>
      </c>
      <c r="J527">
        <f t="shared" si="54"/>
        <v>0</v>
      </c>
      <c r="K527" s="67">
        <f ca="1">'Monte Carlo Stimulation'!$I$8</f>
        <v>-2.1559270710709389E-2</v>
      </c>
      <c r="L527">
        <f t="shared" ca="1" si="55"/>
        <v>0</v>
      </c>
      <c r="M527" s="67">
        <f ca="1">'Monte Carlo Stimulation'!$I$9</f>
        <v>-2.919314405717207E-2</v>
      </c>
      <c r="N527">
        <f t="shared" ca="1" si="56"/>
        <v>0</v>
      </c>
    </row>
    <row r="528" spans="1:14">
      <c r="A528" s="12">
        <v>45337</v>
      </c>
      <c r="B528" s="14">
        <v>-1.2894045890450797E-3</v>
      </c>
      <c r="C528" s="67">
        <f>'Parametric VAR'!$F$12</f>
        <v>-2.023068247926026E-2</v>
      </c>
      <c r="D528">
        <f t="shared" si="51"/>
        <v>0</v>
      </c>
      <c r="E528" s="67">
        <f>'Parametric VAR'!$F$13</f>
        <v>-2.8682193012943492E-2</v>
      </c>
      <c r="F528">
        <f t="shared" si="52"/>
        <v>0</v>
      </c>
      <c r="G528" s="67">
        <f>'Historical VAR'!$G$6</f>
        <v>-1.9839729167757107E-2</v>
      </c>
      <c r="H528">
        <f t="shared" si="53"/>
        <v>0</v>
      </c>
      <c r="I528" s="67">
        <f>'Historical VAR'!$G$7</f>
        <v>-3.1428916759065853E-2</v>
      </c>
      <c r="J528">
        <f t="shared" si="54"/>
        <v>0</v>
      </c>
      <c r="K528" s="67">
        <f ca="1">'Monte Carlo Stimulation'!$I$8</f>
        <v>-2.1559270710709389E-2</v>
      </c>
      <c r="L528">
        <f t="shared" ca="1" si="55"/>
        <v>0</v>
      </c>
      <c r="M528" s="67">
        <f ca="1">'Monte Carlo Stimulation'!$I$9</f>
        <v>-2.919314405717207E-2</v>
      </c>
      <c r="N528">
        <f t="shared" ca="1" si="56"/>
        <v>0</v>
      </c>
    </row>
    <row r="529" spans="1:14">
      <c r="A529" s="12">
        <v>45336</v>
      </c>
      <c r="B529" s="14">
        <v>-7.7686014419820586E-3</v>
      </c>
      <c r="C529" s="67">
        <f>'Parametric VAR'!$F$12</f>
        <v>-2.023068247926026E-2</v>
      </c>
      <c r="D529">
        <f t="shared" si="51"/>
        <v>0</v>
      </c>
      <c r="E529" s="67">
        <f>'Parametric VAR'!$F$13</f>
        <v>-2.8682193012943492E-2</v>
      </c>
      <c r="F529">
        <f t="shared" si="52"/>
        <v>0</v>
      </c>
      <c r="G529" s="67">
        <f>'Historical VAR'!$G$6</f>
        <v>-1.9839729167757107E-2</v>
      </c>
      <c r="H529">
        <f t="shared" si="53"/>
        <v>0</v>
      </c>
      <c r="I529" s="67">
        <f>'Historical VAR'!$G$7</f>
        <v>-3.1428916759065853E-2</v>
      </c>
      <c r="J529">
        <f t="shared" si="54"/>
        <v>0</v>
      </c>
      <c r="K529" s="67">
        <f ca="1">'Monte Carlo Stimulation'!$I$8</f>
        <v>-2.1559270710709389E-2</v>
      </c>
      <c r="L529">
        <f t="shared" ca="1" si="55"/>
        <v>0</v>
      </c>
      <c r="M529" s="67">
        <f ca="1">'Monte Carlo Stimulation'!$I$9</f>
        <v>-2.919314405717207E-2</v>
      </c>
      <c r="N529">
        <f t="shared" ca="1" si="56"/>
        <v>0</v>
      </c>
    </row>
    <row r="530" spans="1:14">
      <c r="A530" s="12">
        <v>45335</v>
      </c>
      <c r="B530" s="14">
        <v>-1.2009669068738101E-3</v>
      </c>
      <c r="C530" s="67">
        <f>'Parametric VAR'!$F$12</f>
        <v>-2.023068247926026E-2</v>
      </c>
      <c r="D530">
        <f t="shared" si="51"/>
        <v>0</v>
      </c>
      <c r="E530" s="67">
        <f>'Parametric VAR'!$F$13</f>
        <v>-2.8682193012943492E-2</v>
      </c>
      <c r="F530">
        <f t="shared" si="52"/>
        <v>0</v>
      </c>
      <c r="G530" s="67">
        <f>'Historical VAR'!$G$6</f>
        <v>-1.9839729167757107E-2</v>
      </c>
      <c r="H530">
        <f t="shared" si="53"/>
        <v>0</v>
      </c>
      <c r="I530" s="67">
        <f>'Historical VAR'!$G$7</f>
        <v>-3.1428916759065853E-2</v>
      </c>
      <c r="J530">
        <f t="shared" si="54"/>
        <v>0</v>
      </c>
      <c r="K530" s="67">
        <f ca="1">'Monte Carlo Stimulation'!$I$8</f>
        <v>-2.1559270710709389E-2</v>
      </c>
      <c r="L530">
        <f t="shared" ca="1" si="55"/>
        <v>0</v>
      </c>
      <c r="M530" s="67">
        <f ca="1">'Monte Carlo Stimulation'!$I$9</f>
        <v>-2.919314405717207E-2</v>
      </c>
      <c r="N530">
        <f t="shared" ca="1" si="56"/>
        <v>0</v>
      </c>
    </row>
    <row r="531" spans="1:14">
      <c r="A531" s="12">
        <v>45334</v>
      </c>
      <c r="B531" s="14">
        <v>-7.7139305850852597E-3</v>
      </c>
      <c r="C531" s="67">
        <f>'Parametric VAR'!$F$12</f>
        <v>-2.023068247926026E-2</v>
      </c>
      <c r="D531">
        <f t="shared" si="51"/>
        <v>0</v>
      </c>
      <c r="E531" s="67">
        <f>'Parametric VAR'!$F$13</f>
        <v>-2.8682193012943492E-2</v>
      </c>
      <c r="F531">
        <f t="shared" si="52"/>
        <v>0</v>
      </c>
      <c r="G531" s="67">
        <f>'Historical VAR'!$G$6</f>
        <v>-1.9839729167757107E-2</v>
      </c>
      <c r="H531">
        <f t="shared" si="53"/>
        <v>0</v>
      </c>
      <c r="I531" s="67">
        <f>'Historical VAR'!$G$7</f>
        <v>-3.1428916759065853E-2</v>
      </c>
      <c r="J531">
        <f t="shared" si="54"/>
        <v>0</v>
      </c>
      <c r="K531" s="67">
        <f ca="1">'Monte Carlo Stimulation'!$I$8</f>
        <v>-2.1559270710709389E-2</v>
      </c>
      <c r="L531">
        <f t="shared" ca="1" si="55"/>
        <v>0</v>
      </c>
      <c r="M531" s="67">
        <f ca="1">'Monte Carlo Stimulation'!$I$9</f>
        <v>-2.919314405717207E-2</v>
      </c>
      <c r="N531">
        <f t="shared" ca="1" si="56"/>
        <v>0</v>
      </c>
    </row>
    <row r="532" spans="1:14">
      <c r="A532" s="12">
        <v>45331</v>
      </c>
      <c r="B532" s="14">
        <v>3.9409962841339555E-3</v>
      </c>
      <c r="C532" s="67">
        <f>'Parametric VAR'!$F$12</f>
        <v>-2.023068247926026E-2</v>
      </c>
      <c r="D532">
        <f t="shared" si="51"/>
        <v>0</v>
      </c>
      <c r="E532" s="67">
        <f>'Parametric VAR'!$F$13</f>
        <v>-2.8682193012943492E-2</v>
      </c>
      <c r="F532">
        <f t="shared" si="52"/>
        <v>0</v>
      </c>
      <c r="G532" s="67">
        <f>'Historical VAR'!$G$6</f>
        <v>-1.9839729167757107E-2</v>
      </c>
      <c r="H532">
        <f t="shared" si="53"/>
        <v>0</v>
      </c>
      <c r="I532" s="67">
        <f>'Historical VAR'!$G$7</f>
        <v>-3.1428916759065853E-2</v>
      </c>
      <c r="J532">
        <f t="shared" si="54"/>
        <v>0</v>
      </c>
      <c r="K532" s="67">
        <f ca="1">'Monte Carlo Stimulation'!$I$8</f>
        <v>-2.1559270710709389E-2</v>
      </c>
      <c r="L532">
        <f t="shared" ca="1" si="55"/>
        <v>0</v>
      </c>
      <c r="M532" s="67">
        <f ca="1">'Monte Carlo Stimulation'!$I$9</f>
        <v>-2.919314405717207E-2</v>
      </c>
      <c r="N532">
        <f t="shared" ca="1" si="56"/>
        <v>0</v>
      </c>
    </row>
    <row r="533" spans="1:14">
      <c r="A533" s="12">
        <v>45330</v>
      </c>
      <c r="B533" s="14">
        <v>-7.3358117429135443E-3</v>
      </c>
      <c r="C533" s="67">
        <f>'Parametric VAR'!$F$12</f>
        <v>-2.023068247926026E-2</v>
      </c>
      <c r="D533">
        <f t="shared" si="51"/>
        <v>0</v>
      </c>
      <c r="E533" s="67">
        <f>'Parametric VAR'!$F$13</f>
        <v>-2.8682193012943492E-2</v>
      </c>
      <c r="F533">
        <f t="shared" si="52"/>
        <v>0</v>
      </c>
      <c r="G533" s="67">
        <f>'Historical VAR'!$G$6</f>
        <v>-1.9839729167757107E-2</v>
      </c>
      <c r="H533">
        <f t="shared" si="53"/>
        <v>0</v>
      </c>
      <c r="I533" s="67">
        <f>'Historical VAR'!$G$7</f>
        <v>-3.1428916759065853E-2</v>
      </c>
      <c r="J533">
        <f t="shared" si="54"/>
        <v>0</v>
      </c>
      <c r="K533" s="67">
        <f ca="1">'Monte Carlo Stimulation'!$I$8</f>
        <v>-2.1559270710709389E-2</v>
      </c>
      <c r="L533">
        <f t="shared" ca="1" si="55"/>
        <v>0</v>
      </c>
      <c r="M533" s="67">
        <f ca="1">'Monte Carlo Stimulation'!$I$9</f>
        <v>-2.919314405717207E-2</v>
      </c>
      <c r="N533">
        <f t="shared" ca="1" si="56"/>
        <v>0</v>
      </c>
    </row>
    <row r="534" spans="1:14">
      <c r="A534" s="12">
        <v>45329</v>
      </c>
      <c r="B534" s="14">
        <v>1.5061330894817534E-2</v>
      </c>
      <c r="C534" s="67">
        <f>'Parametric VAR'!$F$12</f>
        <v>-2.023068247926026E-2</v>
      </c>
      <c r="D534">
        <f t="shared" si="51"/>
        <v>0</v>
      </c>
      <c r="E534" s="67">
        <f>'Parametric VAR'!$F$13</f>
        <v>-2.8682193012943492E-2</v>
      </c>
      <c r="F534">
        <f t="shared" si="52"/>
        <v>0</v>
      </c>
      <c r="G534" s="67">
        <f>'Historical VAR'!$G$6</f>
        <v>-1.9839729167757107E-2</v>
      </c>
      <c r="H534">
        <f t="shared" si="53"/>
        <v>0</v>
      </c>
      <c r="I534" s="67">
        <f>'Historical VAR'!$G$7</f>
        <v>-3.1428916759065853E-2</v>
      </c>
      <c r="J534">
        <f t="shared" si="54"/>
        <v>0</v>
      </c>
      <c r="K534" s="67">
        <f ca="1">'Monte Carlo Stimulation'!$I$8</f>
        <v>-2.1559270710709389E-2</v>
      </c>
      <c r="L534">
        <f t="shared" ca="1" si="55"/>
        <v>0</v>
      </c>
      <c r="M534" s="67">
        <f ca="1">'Monte Carlo Stimulation'!$I$9</f>
        <v>-2.919314405717207E-2</v>
      </c>
      <c r="N534">
        <f t="shared" ca="1" si="56"/>
        <v>0</v>
      </c>
    </row>
    <row r="535" spans="1:14">
      <c r="A535" s="12">
        <v>45328</v>
      </c>
      <c r="B535" s="14">
        <v>-9.0743443100981449E-3</v>
      </c>
      <c r="C535" s="67">
        <f>'Parametric VAR'!$F$12</f>
        <v>-2.023068247926026E-2</v>
      </c>
      <c r="D535">
        <f t="shared" si="51"/>
        <v>0</v>
      </c>
      <c r="E535" s="67">
        <f>'Parametric VAR'!$F$13</f>
        <v>-2.8682193012943492E-2</v>
      </c>
      <c r="F535">
        <f t="shared" si="52"/>
        <v>0</v>
      </c>
      <c r="G535" s="67">
        <f>'Historical VAR'!$G$6</f>
        <v>-1.9839729167757107E-2</v>
      </c>
      <c r="H535">
        <f t="shared" si="53"/>
        <v>0</v>
      </c>
      <c r="I535" s="67">
        <f>'Historical VAR'!$G$7</f>
        <v>-3.1428916759065853E-2</v>
      </c>
      <c r="J535">
        <f t="shared" si="54"/>
        <v>0</v>
      </c>
      <c r="K535" s="67">
        <f ca="1">'Monte Carlo Stimulation'!$I$8</f>
        <v>-2.1559270710709389E-2</v>
      </c>
      <c r="L535">
        <f t="shared" ca="1" si="55"/>
        <v>0</v>
      </c>
      <c r="M535" s="67">
        <f ca="1">'Monte Carlo Stimulation'!$I$9</f>
        <v>-2.919314405717207E-2</v>
      </c>
      <c r="N535">
        <f t="shared" ca="1" si="56"/>
        <v>0</v>
      </c>
    </row>
    <row r="536" spans="1:14">
      <c r="A536" s="12">
        <v>45327</v>
      </c>
      <c r="B536" s="14">
        <v>-1.4802539003920081E-3</v>
      </c>
      <c r="C536" s="67">
        <f>'Parametric VAR'!$F$12</f>
        <v>-2.023068247926026E-2</v>
      </c>
      <c r="D536">
        <f t="shared" si="51"/>
        <v>0</v>
      </c>
      <c r="E536" s="67">
        <f>'Parametric VAR'!$F$13</f>
        <v>-2.8682193012943492E-2</v>
      </c>
      <c r="F536">
        <f t="shared" si="52"/>
        <v>0</v>
      </c>
      <c r="G536" s="67">
        <f>'Historical VAR'!$G$6</f>
        <v>-1.9839729167757107E-2</v>
      </c>
      <c r="H536">
        <f t="shared" si="53"/>
        <v>0</v>
      </c>
      <c r="I536" s="67">
        <f>'Historical VAR'!$G$7</f>
        <v>-3.1428916759065853E-2</v>
      </c>
      <c r="J536">
        <f t="shared" si="54"/>
        <v>0</v>
      </c>
      <c r="K536" s="67">
        <f ca="1">'Monte Carlo Stimulation'!$I$8</f>
        <v>-2.1559270710709389E-2</v>
      </c>
      <c r="L536">
        <f t="shared" ca="1" si="55"/>
        <v>0</v>
      </c>
      <c r="M536" s="67">
        <f ca="1">'Monte Carlo Stimulation'!$I$9</f>
        <v>-2.919314405717207E-2</v>
      </c>
      <c r="N536">
        <f t="shared" ca="1" si="56"/>
        <v>0</v>
      </c>
    </row>
    <row r="537" spans="1:14">
      <c r="A537" s="12">
        <v>45324</v>
      </c>
      <c r="B537" s="14">
        <v>4.0612546098562673E-3</v>
      </c>
      <c r="C537" s="67">
        <f>'Parametric VAR'!$F$12</f>
        <v>-2.023068247926026E-2</v>
      </c>
      <c r="D537">
        <f t="shared" si="51"/>
        <v>0</v>
      </c>
      <c r="E537" s="67">
        <f>'Parametric VAR'!$F$13</f>
        <v>-2.8682193012943492E-2</v>
      </c>
      <c r="F537">
        <f t="shared" si="52"/>
        <v>0</v>
      </c>
      <c r="G537" s="67">
        <f>'Historical VAR'!$G$6</f>
        <v>-1.9839729167757107E-2</v>
      </c>
      <c r="H537">
        <f t="shared" si="53"/>
        <v>0</v>
      </c>
      <c r="I537" s="67">
        <f>'Historical VAR'!$G$7</f>
        <v>-3.1428916759065853E-2</v>
      </c>
      <c r="J537">
        <f t="shared" si="54"/>
        <v>0</v>
      </c>
      <c r="K537" s="67">
        <f ca="1">'Monte Carlo Stimulation'!$I$8</f>
        <v>-2.1559270710709389E-2</v>
      </c>
      <c r="L537">
        <f t="shared" ca="1" si="55"/>
        <v>0</v>
      </c>
      <c r="M537" s="67">
        <f ca="1">'Monte Carlo Stimulation'!$I$9</f>
        <v>-2.919314405717207E-2</v>
      </c>
      <c r="N537">
        <f t="shared" ca="1" si="56"/>
        <v>0</v>
      </c>
    </row>
    <row r="538" spans="1:14">
      <c r="A538" s="12">
        <v>45323</v>
      </c>
      <c r="B538" s="14">
        <v>-4.1183369868587538E-3</v>
      </c>
      <c r="C538" s="67">
        <f>'Parametric VAR'!$F$12</f>
        <v>-2.023068247926026E-2</v>
      </c>
      <c r="D538">
        <f t="shared" si="51"/>
        <v>0</v>
      </c>
      <c r="E538" s="67">
        <f>'Parametric VAR'!$F$13</f>
        <v>-2.8682193012943492E-2</v>
      </c>
      <c r="F538">
        <f t="shared" si="52"/>
        <v>0</v>
      </c>
      <c r="G538" s="67">
        <f>'Historical VAR'!$G$6</f>
        <v>-1.9839729167757107E-2</v>
      </c>
      <c r="H538">
        <f t="shared" si="53"/>
        <v>0</v>
      </c>
      <c r="I538" s="67">
        <f>'Historical VAR'!$G$7</f>
        <v>-3.1428916759065853E-2</v>
      </c>
      <c r="J538">
        <f t="shared" si="54"/>
        <v>0</v>
      </c>
      <c r="K538" s="67">
        <f ca="1">'Monte Carlo Stimulation'!$I$8</f>
        <v>-2.1559270710709389E-2</v>
      </c>
      <c r="L538">
        <f t="shared" ca="1" si="55"/>
        <v>0</v>
      </c>
      <c r="M538" s="67">
        <f ca="1">'Monte Carlo Stimulation'!$I$9</f>
        <v>-2.919314405717207E-2</v>
      </c>
      <c r="N538">
        <f t="shared" ca="1" si="56"/>
        <v>0</v>
      </c>
    </row>
    <row r="539" spans="1:14">
      <c r="A539" s="12">
        <v>45322</v>
      </c>
      <c r="B539" s="14">
        <v>7.3050954325621729E-3</v>
      </c>
      <c r="C539" s="67">
        <f>'Parametric VAR'!$F$12</f>
        <v>-2.023068247926026E-2</v>
      </c>
      <c r="D539">
        <f t="shared" si="51"/>
        <v>0</v>
      </c>
      <c r="E539" s="67">
        <f>'Parametric VAR'!$F$13</f>
        <v>-2.8682193012943492E-2</v>
      </c>
      <c r="F539">
        <f t="shared" si="52"/>
        <v>0</v>
      </c>
      <c r="G539" s="67">
        <f>'Historical VAR'!$G$6</f>
        <v>-1.9839729167757107E-2</v>
      </c>
      <c r="H539">
        <f t="shared" si="53"/>
        <v>0</v>
      </c>
      <c r="I539" s="67">
        <f>'Historical VAR'!$G$7</f>
        <v>-3.1428916759065853E-2</v>
      </c>
      <c r="J539">
        <f t="shared" si="54"/>
        <v>0</v>
      </c>
      <c r="K539" s="67">
        <f ca="1">'Monte Carlo Stimulation'!$I$8</f>
        <v>-2.1559270710709389E-2</v>
      </c>
      <c r="L539">
        <f t="shared" ca="1" si="55"/>
        <v>0</v>
      </c>
      <c r="M539" s="67">
        <f ca="1">'Monte Carlo Stimulation'!$I$9</f>
        <v>-2.919314405717207E-2</v>
      </c>
      <c r="N539">
        <f t="shared" ca="1" si="56"/>
        <v>0</v>
      </c>
    </row>
    <row r="540" spans="1:14">
      <c r="A540" s="12">
        <v>45321</v>
      </c>
      <c r="B540" s="14">
        <v>-1.928795767899993E-3</v>
      </c>
      <c r="C540" s="67">
        <f>'Parametric VAR'!$F$12</f>
        <v>-2.023068247926026E-2</v>
      </c>
      <c r="D540">
        <f t="shared" si="51"/>
        <v>0</v>
      </c>
      <c r="E540" s="67">
        <f>'Parametric VAR'!$F$13</f>
        <v>-2.8682193012943492E-2</v>
      </c>
      <c r="F540">
        <f t="shared" si="52"/>
        <v>0</v>
      </c>
      <c r="G540" s="67">
        <f>'Historical VAR'!$G$6</f>
        <v>-1.9839729167757107E-2</v>
      </c>
      <c r="H540">
        <f t="shared" si="53"/>
        <v>0</v>
      </c>
      <c r="I540" s="67">
        <f>'Historical VAR'!$G$7</f>
        <v>-3.1428916759065853E-2</v>
      </c>
      <c r="J540">
        <f t="shared" si="54"/>
        <v>0</v>
      </c>
      <c r="K540" s="67">
        <f ca="1">'Monte Carlo Stimulation'!$I$8</f>
        <v>-2.1559270710709389E-2</v>
      </c>
      <c r="L540">
        <f t="shared" ca="1" si="55"/>
        <v>0</v>
      </c>
      <c r="M540" s="67">
        <f ca="1">'Monte Carlo Stimulation'!$I$9</f>
        <v>-2.919314405717207E-2</v>
      </c>
      <c r="N540">
        <f t="shared" ca="1" si="56"/>
        <v>0</v>
      </c>
    </row>
    <row r="541" spans="1:14">
      <c r="A541" s="12">
        <v>45320</v>
      </c>
      <c r="B541" s="14">
        <v>4.5734493462337034E-3</v>
      </c>
      <c r="C541" s="67">
        <f>'Parametric VAR'!$F$12</f>
        <v>-2.023068247926026E-2</v>
      </c>
      <c r="D541">
        <f t="shared" si="51"/>
        <v>0</v>
      </c>
      <c r="E541" s="67">
        <f>'Parametric VAR'!$F$13</f>
        <v>-2.8682193012943492E-2</v>
      </c>
      <c r="F541">
        <f t="shared" si="52"/>
        <v>0</v>
      </c>
      <c r="G541" s="67">
        <f>'Historical VAR'!$G$6</f>
        <v>-1.9839729167757107E-2</v>
      </c>
      <c r="H541">
        <f t="shared" si="53"/>
        <v>0</v>
      </c>
      <c r="I541" s="67">
        <f>'Historical VAR'!$G$7</f>
        <v>-3.1428916759065853E-2</v>
      </c>
      <c r="J541">
        <f t="shared" si="54"/>
        <v>0</v>
      </c>
      <c r="K541" s="67">
        <f ca="1">'Monte Carlo Stimulation'!$I$8</f>
        <v>-2.1559270710709389E-2</v>
      </c>
      <c r="L541">
        <f t="shared" ca="1" si="55"/>
        <v>0</v>
      </c>
      <c r="M541" s="67">
        <f ca="1">'Monte Carlo Stimulation'!$I$9</f>
        <v>-2.919314405717207E-2</v>
      </c>
      <c r="N541">
        <f t="shared" ca="1" si="56"/>
        <v>0</v>
      </c>
    </row>
    <row r="542" spans="1:14">
      <c r="A542" s="12">
        <v>45316</v>
      </c>
      <c r="B542" s="14">
        <v>-9.3304161806987158E-3</v>
      </c>
      <c r="C542" s="67">
        <f>'Parametric VAR'!$F$12</f>
        <v>-2.023068247926026E-2</v>
      </c>
      <c r="D542">
        <f t="shared" si="51"/>
        <v>0</v>
      </c>
      <c r="E542" s="67">
        <f>'Parametric VAR'!$F$13</f>
        <v>-2.8682193012943492E-2</v>
      </c>
      <c r="F542">
        <f t="shared" si="52"/>
        <v>0</v>
      </c>
      <c r="G542" s="67">
        <f>'Historical VAR'!$G$6</f>
        <v>-1.9839729167757107E-2</v>
      </c>
      <c r="H542">
        <f t="shared" si="53"/>
        <v>0</v>
      </c>
      <c r="I542" s="67">
        <f>'Historical VAR'!$G$7</f>
        <v>-3.1428916759065853E-2</v>
      </c>
      <c r="J542">
        <f t="shared" si="54"/>
        <v>0</v>
      </c>
      <c r="K542" s="67">
        <f ca="1">'Monte Carlo Stimulation'!$I$8</f>
        <v>-2.1559270710709389E-2</v>
      </c>
      <c r="L542">
        <f t="shared" ca="1" si="55"/>
        <v>0</v>
      </c>
      <c r="M542" s="67">
        <f ca="1">'Monte Carlo Stimulation'!$I$9</f>
        <v>-2.919314405717207E-2</v>
      </c>
      <c r="N542">
        <f t="shared" ca="1" si="56"/>
        <v>0</v>
      </c>
    </row>
    <row r="543" spans="1:14">
      <c r="A543" s="12">
        <v>45315</v>
      </c>
      <c r="B543" s="14">
        <v>1.5761673368194572E-2</v>
      </c>
      <c r="C543" s="67">
        <f>'Parametric VAR'!$F$12</f>
        <v>-2.023068247926026E-2</v>
      </c>
      <c r="D543">
        <f t="shared" si="51"/>
        <v>0</v>
      </c>
      <c r="E543" s="67">
        <f>'Parametric VAR'!$F$13</f>
        <v>-2.8682193012943492E-2</v>
      </c>
      <c r="F543">
        <f t="shared" si="52"/>
        <v>0</v>
      </c>
      <c r="G543" s="67">
        <f>'Historical VAR'!$G$6</f>
        <v>-1.9839729167757107E-2</v>
      </c>
      <c r="H543">
        <f t="shared" si="53"/>
        <v>0</v>
      </c>
      <c r="I543" s="67">
        <f>'Historical VAR'!$G$7</f>
        <v>-3.1428916759065853E-2</v>
      </c>
      <c r="J543">
        <f t="shared" si="54"/>
        <v>0</v>
      </c>
      <c r="K543" s="67">
        <f ca="1">'Monte Carlo Stimulation'!$I$8</f>
        <v>-2.1559270710709389E-2</v>
      </c>
      <c r="L543">
        <f t="shared" ca="1" si="55"/>
        <v>0</v>
      </c>
      <c r="M543" s="67">
        <f ca="1">'Monte Carlo Stimulation'!$I$9</f>
        <v>-2.919314405717207E-2</v>
      </c>
      <c r="N543">
        <f t="shared" ca="1" si="56"/>
        <v>0</v>
      </c>
    </row>
    <row r="544" spans="1:14">
      <c r="A544" s="12">
        <v>45314</v>
      </c>
      <c r="B544" s="14">
        <v>7.7794452954939204E-3</v>
      </c>
      <c r="C544" s="67">
        <f>'Parametric VAR'!$F$12</f>
        <v>-2.023068247926026E-2</v>
      </c>
      <c r="D544">
        <f t="shared" si="51"/>
        <v>0</v>
      </c>
      <c r="E544" s="67">
        <f>'Parametric VAR'!$F$13</f>
        <v>-2.8682193012943492E-2</v>
      </c>
      <c r="F544">
        <f t="shared" si="52"/>
        <v>0</v>
      </c>
      <c r="G544" s="67">
        <f>'Historical VAR'!$G$6</f>
        <v>-1.9839729167757107E-2</v>
      </c>
      <c r="H544">
        <f t="shared" si="53"/>
        <v>0</v>
      </c>
      <c r="I544" s="67">
        <f>'Historical VAR'!$G$7</f>
        <v>-3.1428916759065853E-2</v>
      </c>
      <c r="J544">
        <f t="shared" si="54"/>
        <v>0</v>
      </c>
      <c r="K544" s="67">
        <f ca="1">'Monte Carlo Stimulation'!$I$8</f>
        <v>-2.1559270710709389E-2</v>
      </c>
      <c r="L544">
        <f t="shared" ca="1" si="55"/>
        <v>0</v>
      </c>
      <c r="M544" s="67">
        <f ca="1">'Monte Carlo Stimulation'!$I$9</f>
        <v>-2.919314405717207E-2</v>
      </c>
      <c r="N544">
        <f t="shared" ca="1" si="56"/>
        <v>0</v>
      </c>
    </row>
    <row r="545" spans="1:14">
      <c r="A545" s="12">
        <v>45311</v>
      </c>
      <c r="B545" s="14">
        <v>3.0744489447482003E-2</v>
      </c>
      <c r="C545" s="67">
        <f>'Parametric VAR'!$F$12</f>
        <v>-2.023068247926026E-2</v>
      </c>
      <c r="D545">
        <f t="shared" si="51"/>
        <v>0</v>
      </c>
      <c r="E545" s="67">
        <f>'Parametric VAR'!$F$13</f>
        <v>-2.8682193012943492E-2</v>
      </c>
      <c r="F545">
        <f t="shared" si="52"/>
        <v>0</v>
      </c>
      <c r="G545" s="67">
        <f>'Historical VAR'!$G$6</f>
        <v>-1.9839729167757107E-2</v>
      </c>
      <c r="H545">
        <f t="shared" si="53"/>
        <v>0</v>
      </c>
      <c r="I545" s="67">
        <f>'Historical VAR'!$G$7</f>
        <v>-3.1428916759065853E-2</v>
      </c>
      <c r="J545">
        <f t="shared" si="54"/>
        <v>0</v>
      </c>
      <c r="K545" s="67">
        <f ca="1">'Monte Carlo Stimulation'!$I$8</f>
        <v>-2.1559270710709389E-2</v>
      </c>
      <c r="L545">
        <f t="shared" ca="1" si="55"/>
        <v>0</v>
      </c>
      <c r="M545" s="67">
        <f ca="1">'Monte Carlo Stimulation'!$I$9</f>
        <v>-2.919314405717207E-2</v>
      </c>
      <c r="N545">
        <f t="shared" ca="1" si="56"/>
        <v>0</v>
      </c>
    </row>
    <row r="546" spans="1:14">
      <c r="A546" s="12">
        <v>45310</v>
      </c>
      <c r="B546" s="14">
        <v>7.7814686428344017E-3</v>
      </c>
      <c r="C546" s="67">
        <f>'Parametric VAR'!$F$12</f>
        <v>-2.023068247926026E-2</v>
      </c>
      <c r="D546">
        <f t="shared" si="51"/>
        <v>0</v>
      </c>
      <c r="E546" s="67">
        <f>'Parametric VAR'!$F$13</f>
        <v>-2.8682193012943492E-2</v>
      </c>
      <c r="F546">
        <f t="shared" si="52"/>
        <v>0</v>
      </c>
      <c r="G546" s="67">
        <f>'Historical VAR'!$G$6</f>
        <v>-1.9839729167757107E-2</v>
      </c>
      <c r="H546">
        <f t="shared" si="53"/>
        <v>0</v>
      </c>
      <c r="I546" s="67">
        <f>'Historical VAR'!$G$7</f>
        <v>-3.1428916759065853E-2</v>
      </c>
      <c r="J546">
        <f t="shared" si="54"/>
        <v>0</v>
      </c>
      <c r="K546" s="67">
        <f ca="1">'Monte Carlo Stimulation'!$I$8</f>
        <v>-2.1559270710709389E-2</v>
      </c>
      <c r="L546">
        <f t="shared" ca="1" si="55"/>
        <v>0</v>
      </c>
      <c r="M546" s="67">
        <f ca="1">'Monte Carlo Stimulation'!$I$9</f>
        <v>-2.919314405717207E-2</v>
      </c>
      <c r="N546">
        <f t="shared" ca="1" si="56"/>
        <v>0</v>
      </c>
    </row>
    <row r="547" spans="1:14">
      <c r="A547" s="12">
        <v>45309</v>
      </c>
      <c r="B547" s="14">
        <v>-1.675208615542007E-3</v>
      </c>
      <c r="C547" s="67">
        <f>'Parametric VAR'!$F$12</f>
        <v>-2.023068247926026E-2</v>
      </c>
      <c r="D547">
        <f t="shared" si="51"/>
        <v>0</v>
      </c>
      <c r="E547" s="67">
        <f>'Parametric VAR'!$F$13</f>
        <v>-2.8682193012943492E-2</v>
      </c>
      <c r="F547">
        <f t="shared" si="52"/>
        <v>0</v>
      </c>
      <c r="G547" s="67">
        <f>'Historical VAR'!$G$6</f>
        <v>-1.9839729167757107E-2</v>
      </c>
      <c r="H547">
        <f t="shared" si="53"/>
        <v>0</v>
      </c>
      <c r="I547" s="67">
        <f>'Historical VAR'!$G$7</f>
        <v>-3.1428916759065853E-2</v>
      </c>
      <c r="J547">
        <f t="shared" si="54"/>
        <v>0</v>
      </c>
      <c r="K547" s="67">
        <f ca="1">'Monte Carlo Stimulation'!$I$8</f>
        <v>-2.1559270710709389E-2</v>
      </c>
      <c r="L547">
        <f t="shared" ca="1" si="55"/>
        <v>0</v>
      </c>
      <c r="M547" s="67">
        <f ca="1">'Monte Carlo Stimulation'!$I$9</f>
        <v>-2.919314405717207E-2</v>
      </c>
      <c r="N547">
        <f t="shared" ca="1" si="56"/>
        <v>0</v>
      </c>
    </row>
    <row r="548" spans="1:14">
      <c r="A548" s="12">
        <v>45308</v>
      </c>
      <c r="B548" s="14">
        <v>2.283500354449132E-2</v>
      </c>
      <c r="C548" s="67">
        <f>'Parametric VAR'!$F$12</f>
        <v>-2.023068247926026E-2</v>
      </c>
      <c r="D548">
        <f t="shared" si="51"/>
        <v>0</v>
      </c>
      <c r="E548" s="67">
        <f>'Parametric VAR'!$F$13</f>
        <v>-2.8682193012943492E-2</v>
      </c>
      <c r="F548">
        <f t="shared" si="52"/>
        <v>0</v>
      </c>
      <c r="G548" s="67">
        <f>'Historical VAR'!$G$6</f>
        <v>-1.9839729167757107E-2</v>
      </c>
      <c r="H548">
        <f t="shared" si="53"/>
        <v>0</v>
      </c>
      <c r="I548" s="67">
        <f>'Historical VAR'!$G$7</f>
        <v>-3.1428916759065853E-2</v>
      </c>
      <c r="J548">
        <f t="shared" si="54"/>
        <v>0</v>
      </c>
      <c r="K548" s="67">
        <f ca="1">'Monte Carlo Stimulation'!$I$8</f>
        <v>-2.1559270710709389E-2</v>
      </c>
      <c r="L548">
        <f t="shared" ca="1" si="55"/>
        <v>0</v>
      </c>
      <c r="M548" s="67">
        <f ca="1">'Monte Carlo Stimulation'!$I$9</f>
        <v>-2.919314405717207E-2</v>
      </c>
      <c r="N548">
        <f t="shared" ca="1" si="56"/>
        <v>0</v>
      </c>
    </row>
    <row r="549" spans="1:14">
      <c r="A549" s="12">
        <v>45307</v>
      </c>
      <c r="B549" s="14">
        <v>1.5465977802324676E-2</v>
      </c>
      <c r="C549" s="67">
        <f>'Parametric VAR'!$F$12</f>
        <v>-2.023068247926026E-2</v>
      </c>
      <c r="D549">
        <f t="shared" si="51"/>
        <v>0</v>
      </c>
      <c r="E549" s="67">
        <f>'Parametric VAR'!$F$13</f>
        <v>-2.8682193012943492E-2</v>
      </c>
      <c r="F549">
        <f t="shared" si="52"/>
        <v>0</v>
      </c>
      <c r="G549" s="67">
        <f>'Historical VAR'!$G$6</f>
        <v>-1.9839729167757107E-2</v>
      </c>
      <c r="H549">
        <f t="shared" si="53"/>
        <v>0</v>
      </c>
      <c r="I549" s="67">
        <f>'Historical VAR'!$G$7</f>
        <v>-3.1428916759065853E-2</v>
      </c>
      <c r="J549">
        <f t="shared" si="54"/>
        <v>0</v>
      </c>
      <c r="K549" s="67">
        <f ca="1">'Monte Carlo Stimulation'!$I$8</f>
        <v>-2.1559270710709389E-2</v>
      </c>
      <c r="L549">
        <f t="shared" ca="1" si="55"/>
        <v>0</v>
      </c>
      <c r="M549" s="67">
        <f ca="1">'Monte Carlo Stimulation'!$I$9</f>
        <v>-2.919314405717207E-2</v>
      </c>
      <c r="N549">
        <f t="shared" ca="1" si="56"/>
        <v>0</v>
      </c>
    </row>
    <row r="550" spans="1:14">
      <c r="A550" s="12">
        <v>45306</v>
      </c>
      <c r="B550" s="14">
        <v>-6.0675353888313991E-3</v>
      </c>
      <c r="C550" s="67">
        <f>'Parametric VAR'!$F$12</f>
        <v>-2.023068247926026E-2</v>
      </c>
      <c r="D550">
        <f t="shared" si="51"/>
        <v>0</v>
      </c>
      <c r="E550" s="67">
        <f>'Parametric VAR'!$F$13</f>
        <v>-2.8682193012943492E-2</v>
      </c>
      <c r="F550">
        <f t="shared" si="52"/>
        <v>0</v>
      </c>
      <c r="G550" s="67">
        <f>'Historical VAR'!$G$6</f>
        <v>-1.9839729167757107E-2</v>
      </c>
      <c r="H550">
        <f t="shared" si="53"/>
        <v>0</v>
      </c>
      <c r="I550" s="67">
        <f>'Historical VAR'!$G$7</f>
        <v>-3.1428916759065853E-2</v>
      </c>
      <c r="J550">
        <f t="shared" si="54"/>
        <v>0</v>
      </c>
      <c r="K550" s="67">
        <f ca="1">'Monte Carlo Stimulation'!$I$8</f>
        <v>-2.1559270710709389E-2</v>
      </c>
      <c r="L550">
        <f t="shared" ca="1" si="55"/>
        <v>0</v>
      </c>
      <c r="M550" s="67">
        <f ca="1">'Monte Carlo Stimulation'!$I$9</f>
        <v>-2.919314405717207E-2</v>
      </c>
      <c r="N550">
        <f t="shared" ca="1" si="56"/>
        <v>0</v>
      </c>
    </row>
    <row r="551" spans="1:14">
      <c r="A551" s="12">
        <v>45303</v>
      </c>
      <c r="B551" s="14">
        <v>-2.0146518750636302E-3</v>
      </c>
      <c r="C551" s="67">
        <f>'Parametric VAR'!$F$12</f>
        <v>-2.023068247926026E-2</v>
      </c>
      <c r="D551">
        <f t="shared" si="51"/>
        <v>0</v>
      </c>
      <c r="E551" s="67">
        <f>'Parametric VAR'!$F$13</f>
        <v>-2.8682193012943492E-2</v>
      </c>
      <c r="F551">
        <f t="shared" si="52"/>
        <v>0</v>
      </c>
      <c r="G551" s="67">
        <f>'Historical VAR'!$G$6</f>
        <v>-1.9839729167757107E-2</v>
      </c>
      <c r="H551">
        <f t="shared" si="53"/>
        <v>0</v>
      </c>
      <c r="I551" s="67">
        <f>'Historical VAR'!$G$7</f>
        <v>-3.1428916759065853E-2</v>
      </c>
      <c r="J551">
        <f t="shared" si="54"/>
        <v>0</v>
      </c>
      <c r="K551" s="67">
        <f ca="1">'Monte Carlo Stimulation'!$I$8</f>
        <v>-2.1559270710709389E-2</v>
      </c>
      <c r="L551">
        <f t="shared" ca="1" si="55"/>
        <v>0</v>
      </c>
      <c r="M551" s="67">
        <f ca="1">'Monte Carlo Stimulation'!$I$9</f>
        <v>-2.919314405717207E-2</v>
      </c>
      <c r="N551">
        <f t="shared" ca="1" si="56"/>
        <v>0</v>
      </c>
    </row>
    <row r="552" spans="1:14">
      <c r="A552" s="12">
        <v>45302</v>
      </c>
      <c r="B552" s="14">
        <v>1.8062242425709112E-3</v>
      </c>
      <c r="C552" s="67">
        <f>'Parametric VAR'!$F$12</f>
        <v>-2.023068247926026E-2</v>
      </c>
      <c r="D552">
        <f t="shared" si="51"/>
        <v>0</v>
      </c>
      <c r="E552" s="67">
        <f>'Parametric VAR'!$F$13</f>
        <v>-2.8682193012943492E-2</v>
      </c>
      <c r="F552">
        <f t="shared" si="52"/>
        <v>0</v>
      </c>
      <c r="G552" s="67">
        <f>'Historical VAR'!$G$6</f>
        <v>-1.9839729167757107E-2</v>
      </c>
      <c r="H552">
        <f t="shared" si="53"/>
        <v>0</v>
      </c>
      <c r="I552" s="67">
        <f>'Historical VAR'!$G$7</f>
        <v>-3.1428916759065853E-2</v>
      </c>
      <c r="J552">
        <f t="shared" si="54"/>
        <v>0</v>
      </c>
      <c r="K552" s="67">
        <f ca="1">'Monte Carlo Stimulation'!$I$8</f>
        <v>-2.1559270710709389E-2</v>
      </c>
      <c r="L552">
        <f t="shared" ca="1" si="55"/>
        <v>0</v>
      </c>
      <c r="M552" s="67">
        <f ca="1">'Monte Carlo Stimulation'!$I$9</f>
        <v>-2.919314405717207E-2</v>
      </c>
      <c r="N552">
        <f t="shared" ca="1" si="56"/>
        <v>0</v>
      </c>
    </row>
    <row r="553" spans="1:14">
      <c r="A553" s="12">
        <v>45301</v>
      </c>
      <c r="B553" s="14">
        <v>-2.6962904512033226E-3</v>
      </c>
      <c r="C553" s="67">
        <f>'Parametric VAR'!$F$12</f>
        <v>-2.023068247926026E-2</v>
      </c>
      <c r="D553">
        <f t="shared" si="51"/>
        <v>0</v>
      </c>
      <c r="E553" s="67">
        <f>'Parametric VAR'!$F$13</f>
        <v>-2.8682193012943492E-2</v>
      </c>
      <c r="F553">
        <f t="shared" si="52"/>
        <v>0</v>
      </c>
      <c r="G553" s="67">
        <f>'Historical VAR'!$G$6</f>
        <v>-1.9839729167757107E-2</v>
      </c>
      <c r="H553">
        <f t="shared" si="53"/>
        <v>0</v>
      </c>
      <c r="I553" s="67">
        <f>'Historical VAR'!$G$7</f>
        <v>-3.1428916759065853E-2</v>
      </c>
      <c r="J553">
        <f t="shared" si="54"/>
        <v>0</v>
      </c>
      <c r="K553" s="67">
        <f ca="1">'Monte Carlo Stimulation'!$I$8</f>
        <v>-2.1559270710709389E-2</v>
      </c>
      <c r="L553">
        <f t="shared" ca="1" si="55"/>
        <v>0</v>
      </c>
      <c r="M553" s="67">
        <f ca="1">'Monte Carlo Stimulation'!$I$9</f>
        <v>-2.919314405717207E-2</v>
      </c>
      <c r="N553">
        <f t="shared" ca="1" si="56"/>
        <v>0</v>
      </c>
    </row>
    <row r="554" spans="1:14">
      <c r="A554" s="12">
        <v>45300</v>
      </c>
      <c r="B554" s="14">
        <v>-5.0530763869128144E-3</v>
      </c>
      <c r="C554" s="67">
        <f>'Parametric VAR'!$F$12</f>
        <v>-2.023068247926026E-2</v>
      </c>
      <c r="D554">
        <f t="shared" si="51"/>
        <v>0</v>
      </c>
      <c r="E554" s="67">
        <f>'Parametric VAR'!$F$13</f>
        <v>-2.8682193012943492E-2</v>
      </c>
      <c r="F554">
        <f t="shared" si="52"/>
        <v>0</v>
      </c>
      <c r="G554" s="67">
        <f>'Historical VAR'!$G$6</f>
        <v>-1.9839729167757107E-2</v>
      </c>
      <c r="H554">
        <f t="shared" si="53"/>
        <v>0</v>
      </c>
      <c r="I554" s="67">
        <f>'Historical VAR'!$G$7</f>
        <v>-3.1428916759065853E-2</v>
      </c>
      <c r="J554">
        <f t="shared" si="54"/>
        <v>0</v>
      </c>
      <c r="K554" s="67">
        <f ca="1">'Monte Carlo Stimulation'!$I$8</f>
        <v>-2.1559270710709389E-2</v>
      </c>
      <c r="L554">
        <f t="shared" ca="1" si="55"/>
        <v>0</v>
      </c>
      <c r="M554" s="67">
        <f ca="1">'Monte Carlo Stimulation'!$I$9</f>
        <v>-2.919314405717207E-2</v>
      </c>
      <c r="N554">
        <f t="shared" ca="1" si="56"/>
        <v>0</v>
      </c>
    </row>
    <row r="555" spans="1:14">
      <c r="A555" s="12">
        <v>45299</v>
      </c>
      <c r="B555" s="14">
        <v>3.791955037791657E-3</v>
      </c>
      <c r="C555" s="67">
        <f>'Parametric VAR'!$F$12</f>
        <v>-2.023068247926026E-2</v>
      </c>
      <c r="D555">
        <f t="shared" si="51"/>
        <v>0</v>
      </c>
      <c r="E555" s="67">
        <f>'Parametric VAR'!$F$13</f>
        <v>-2.8682193012943492E-2</v>
      </c>
      <c r="F555">
        <f t="shared" si="52"/>
        <v>0</v>
      </c>
      <c r="G555" s="67">
        <f>'Historical VAR'!$G$6</f>
        <v>-1.9839729167757107E-2</v>
      </c>
      <c r="H555">
        <f t="shared" si="53"/>
        <v>0</v>
      </c>
      <c r="I555" s="67">
        <f>'Historical VAR'!$G$7</f>
        <v>-3.1428916759065853E-2</v>
      </c>
      <c r="J555">
        <f t="shared" si="54"/>
        <v>0</v>
      </c>
      <c r="K555" s="67">
        <f ca="1">'Monte Carlo Stimulation'!$I$8</f>
        <v>-2.1559270710709389E-2</v>
      </c>
      <c r="L555">
        <f t="shared" ca="1" si="55"/>
        <v>0</v>
      </c>
      <c r="M555" s="67">
        <f ca="1">'Monte Carlo Stimulation'!$I$9</f>
        <v>-2.919314405717207E-2</v>
      </c>
      <c r="N555">
        <f t="shared" ca="1" si="56"/>
        <v>0</v>
      </c>
    </row>
    <row r="556" spans="1:14">
      <c r="A556" s="12">
        <v>45296</v>
      </c>
      <c r="B556" s="14">
        <v>1.865276176699587E-2</v>
      </c>
      <c r="C556" s="67">
        <f>'Parametric VAR'!$F$12</f>
        <v>-2.023068247926026E-2</v>
      </c>
      <c r="D556">
        <f t="shared" si="51"/>
        <v>0</v>
      </c>
      <c r="E556" s="67">
        <f>'Parametric VAR'!$F$13</f>
        <v>-2.8682193012943492E-2</v>
      </c>
      <c r="F556">
        <f t="shared" si="52"/>
        <v>0</v>
      </c>
      <c r="G556" s="67">
        <f>'Historical VAR'!$G$6</f>
        <v>-1.9839729167757107E-2</v>
      </c>
      <c r="H556">
        <f t="shared" si="53"/>
        <v>0</v>
      </c>
      <c r="I556" s="67">
        <f>'Historical VAR'!$G$7</f>
        <v>-3.1428916759065853E-2</v>
      </c>
      <c r="J556">
        <f t="shared" si="54"/>
        <v>0</v>
      </c>
      <c r="K556" s="67">
        <f ca="1">'Monte Carlo Stimulation'!$I$8</f>
        <v>-2.1559270710709389E-2</v>
      </c>
      <c r="L556">
        <f t="shared" ca="1" si="55"/>
        <v>0</v>
      </c>
      <c r="M556" s="67">
        <f ca="1">'Monte Carlo Stimulation'!$I$9</f>
        <v>-2.919314405717207E-2</v>
      </c>
      <c r="N556">
        <f t="shared" ca="1" si="56"/>
        <v>0</v>
      </c>
    </row>
    <row r="557" spans="1:14">
      <c r="A557" s="12">
        <v>45295</v>
      </c>
      <c r="B557" s="14">
        <v>4.7985294017985824E-3</v>
      </c>
      <c r="C557" s="67">
        <f>'Parametric VAR'!$F$12</f>
        <v>-2.023068247926026E-2</v>
      </c>
      <c r="D557">
        <f t="shared" si="51"/>
        <v>0</v>
      </c>
      <c r="E557" s="67">
        <f>'Parametric VAR'!$F$13</f>
        <v>-2.8682193012943492E-2</v>
      </c>
      <c r="F557">
        <f t="shared" si="52"/>
        <v>0</v>
      </c>
      <c r="G557" s="67">
        <f>'Historical VAR'!$G$6</f>
        <v>-1.9839729167757107E-2</v>
      </c>
      <c r="H557">
        <f t="shared" si="53"/>
        <v>0</v>
      </c>
      <c r="I557" s="67">
        <f>'Historical VAR'!$G$7</f>
        <v>-3.1428916759065853E-2</v>
      </c>
      <c r="J557">
        <f t="shared" si="54"/>
        <v>0</v>
      </c>
      <c r="K557" s="67">
        <f ca="1">'Monte Carlo Stimulation'!$I$8</f>
        <v>-2.1559270710709389E-2</v>
      </c>
      <c r="L557">
        <f t="shared" ca="1" si="55"/>
        <v>0</v>
      </c>
      <c r="M557" s="67">
        <f ca="1">'Monte Carlo Stimulation'!$I$9</f>
        <v>-2.919314405717207E-2</v>
      </c>
      <c r="N557">
        <f t="shared" ca="1" si="56"/>
        <v>0</v>
      </c>
    </row>
    <row r="558" spans="1:14">
      <c r="A558" s="12">
        <v>45294</v>
      </c>
      <c r="B558" s="14">
        <v>-1.2136527095882557E-3</v>
      </c>
      <c r="C558" s="67">
        <f>'Parametric VAR'!$F$12</f>
        <v>-2.023068247926026E-2</v>
      </c>
      <c r="D558">
        <f t="shared" si="51"/>
        <v>0</v>
      </c>
      <c r="E558" s="67">
        <f>'Parametric VAR'!$F$13</f>
        <v>-2.8682193012943492E-2</v>
      </c>
      <c r="F558">
        <f t="shared" si="52"/>
        <v>0</v>
      </c>
      <c r="G558" s="67">
        <f>'Historical VAR'!$G$6</f>
        <v>-1.9839729167757107E-2</v>
      </c>
      <c r="H558">
        <f t="shared" si="53"/>
        <v>0</v>
      </c>
      <c r="I558" s="67">
        <f>'Historical VAR'!$G$7</f>
        <v>-3.1428916759065853E-2</v>
      </c>
      <c r="J558">
        <f t="shared" si="54"/>
        <v>0</v>
      </c>
      <c r="K558" s="67">
        <f ca="1">'Monte Carlo Stimulation'!$I$8</f>
        <v>-2.1559270710709389E-2</v>
      </c>
      <c r="L558">
        <f t="shared" ca="1" si="55"/>
        <v>0</v>
      </c>
      <c r="M558" s="67">
        <f ca="1">'Monte Carlo Stimulation'!$I$9</f>
        <v>-2.919314405717207E-2</v>
      </c>
      <c r="N558">
        <f t="shared" ca="1" si="56"/>
        <v>0</v>
      </c>
    </row>
    <row r="559" spans="1:14">
      <c r="A559" s="12">
        <v>45293</v>
      </c>
      <c r="B559" s="14">
        <v>5.1534289927662969E-3</v>
      </c>
      <c r="C559" s="67">
        <f>'Parametric VAR'!$F$12</f>
        <v>-2.023068247926026E-2</v>
      </c>
      <c r="D559">
        <f t="shared" si="51"/>
        <v>0</v>
      </c>
      <c r="E559" s="67">
        <f>'Parametric VAR'!$F$13</f>
        <v>-2.8682193012943492E-2</v>
      </c>
      <c r="F559">
        <f t="shared" si="52"/>
        <v>0</v>
      </c>
      <c r="G559" s="67">
        <f>'Historical VAR'!$G$6</f>
        <v>-1.9839729167757107E-2</v>
      </c>
      <c r="H559">
        <f t="shared" si="53"/>
        <v>0</v>
      </c>
      <c r="I559" s="67">
        <f>'Historical VAR'!$G$7</f>
        <v>-3.1428916759065853E-2</v>
      </c>
      <c r="J559">
        <f t="shared" si="54"/>
        <v>0</v>
      </c>
      <c r="K559" s="67">
        <f ca="1">'Monte Carlo Stimulation'!$I$8</f>
        <v>-2.1559270710709389E-2</v>
      </c>
      <c r="L559">
        <f t="shared" ca="1" si="55"/>
        <v>0</v>
      </c>
      <c r="M559" s="67">
        <f ca="1">'Monte Carlo Stimulation'!$I$9</f>
        <v>-2.919314405717207E-2</v>
      </c>
      <c r="N559">
        <f t="shared" ca="1" si="56"/>
        <v>0</v>
      </c>
    </row>
    <row r="560" spans="1:14">
      <c r="A560" s="12">
        <v>45292</v>
      </c>
      <c r="B560" s="14">
        <v>-3.4419602730027728E-4</v>
      </c>
      <c r="C560" s="67">
        <f>'Parametric VAR'!$F$12</f>
        <v>-2.023068247926026E-2</v>
      </c>
      <c r="D560">
        <f t="shared" si="51"/>
        <v>0</v>
      </c>
      <c r="E560" s="67">
        <f>'Parametric VAR'!$F$13</f>
        <v>-2.8682193012943492E-2</v>
      </c>
      <c r="F560">
        <f t="shared" si="52"/>
        <v>0</v>
      </c>
      <c r="G560" s="67">
        <f>'Historical VAR'!$G$6</f>
        <v>-1.9839729167757107E-2</v>
      </c>
      <c r="H560">
        <f t="shared" si="53"/>
        <v>0</v>
      </c>
      <c r="I560" s="67">
        <f>'Historical VAR'!$G$7</f>
        <v>-3.1428916759065853E-2</v>
      </c>
      <c r="J560">
        <f t="shared" si="54"/>
        <v>0</v>
      </c>
      <c r="K560" s="67">
        <f ca="1">'Monte Carlo Stimulation'!$I$8</f>
        <v>-2.1559270710709389E-2</v>
      </c>
      <c r="L560">
        <f t="shared" ca="1" si="55"/>
        <v>0</v>
      </c>
      <c r="M560" s="67">
        <f ca="1">'Monte Carlo Stimulation'!$I$9</f>
        <v>-2.919314405717207E-2</v>
      </c>
      <c r="N560">
        <f t="shared" ca="1" si="56"/>
        <v>0</v>
      </c>
    </row>
    <row r="561" spans="1:14">
      <c r="A561" s="12">
        <v>45289</v>
      </c>
      <c r="B561" s="14">
        <v>1.9378104680544102E-3</v>
      </c>
      <c r="C561" s="67">
        <f>'Parametric VAR'!$F$12</f>
        <v>-2.023068247926026E-2</v>
      </c>
      <c r="D561">
        <f t="shared" si="51"/>
        <v>0</v>
      </c>
      <c r="E561" s="67">
        <f>'Parametric VAR'!$F$13</f>
        <v>-2.8682193012943492E-2</v>
      </c>
      <c r="F561">
        <f t="shared" si="52"/>
        <v>0</v>
      </c>
      <c r="G561" s="67">
        <f>'Historical VAR'!$G$6</f>
        <v>-1.9839729167757107E-2</v>
      </c>
      <c r="H561">
        <f t="shared" si="53"/>
        <v>0</v>
      </c>
      <c r="I561" s="67">
        <f>'Historical VAR'!$G$7</f>
        <v>-3.1428916759065853E-2</v>
      </c>
      <c r="J561">
        <f t="shared" si="54"/>
        <v>0</v>
      </c>
      <c r="K561" s="67">
        <f ca="1">'Monte Carlo Stimulation'!$I$8</f>
        <v>-2.1559270710709389E-2</v>
      </c>
      <c r="L561">
        <f t="shared" ca="1" si="55"/>
        <v>0</v>
      </c>
      <c r="M561" s="67">
        <f ca="1">'Monte Carlo Stimulation'!$I$9</f>
        <v>-2.919314405717207E-2</v>
      </c>
      <c r="N561">
        <f t="shared" ca="1" si="56"/>
        <v>0</v>
      </c>
    </row>
    <row r="562" spans="1:14">
      <c r="A562" s="12">
        <v>45288</v>
      </c>
      <c r="B562" s="14">
        <v>-4.11141654901734E-3</v>
      </c>
      <c r="C562" s="67">
        <f>'Parametric VAR'!$F$12</f>
        <v>-2.023068247926026E-2</v>
      </c>
      <c r="D562">
        <f t="shared" si="51"/>
        <v>0</v>
      </c>
      <c r="E562" s="67">
        <f>'Parametric VAR'!$F$13</f>
        <v>-2.8682193012943492E-2</v>
      </c>
      <c r="F562">
        <f t="shared" si="52"/>
        <v>0</v>
      </c>
      <c r="G562" s="67">
        <f>'Historical VAR'!$G$6</f>
        <v>-1.9839729167757107E-2</v>
      </c>
      <c r="H562">
        <f t="shared" si="53"/>
        <v>0</v>
      </c>
      <c r="I562" s="67">
        <f>'Historical VAR'!$G$7</f>
        <v>-3.1428916759065853E-2</v>
      </c>
      <c r="J562">
        <f t="shared" si="54"/>
        <v>0</v>
      </c>
      <c r="K562" s="67">
        <f ca="1">'Monte Carlo Stimulation'!$I$8</f>
        <v>-2.1559270710709389E-2</v>
      </c>
      <c r="L562">
        <f t="shared" ca="1" si="55"/>
        <v>0</v>
      </c>
      <c r="M562" s="67">
        <f ca="1">'Monte Carlo Stimulation'!$I$9</f>
        <v>-2.919314405717207E-2</v>
      </c>
      <c r="N562">
        <f t="shared" ca="1" si="56"/>
        <v>0</v>
      </c>
    </row>
    <row r="563" spans="1:14">
      <c r="A563" s="12">
        <v>45287</v>
      </c>
      <c r="B563" s="14">
        <v>-9.3863077308961097E-4</v>
      </c>
      <c r="C563" s="67">
        <f>'Parametric VAR'!$F$12</f>
        <v>-2.023068247926026E-2</v>
      </c>
      <c r="D563">
        <f t="shared" si="51"/>
        <v>0</v>
      </c>
      <c r="E563" s="67">
        <f>'Parametric VAR'!$F$13</f>
        <v>-2.8682193012943492E-2</v>
      </c>
      <c r="F563">
        <f t="shared" si="52"/>
        <v>0</v>
      </c>
      <c r="G563" s="67">
        <f>'Historical VAR'!$G$6</f>
        <v>-1.9839729167757107E-2</v>
      </c>
      <c r="H563">
        <f t="shared" si="53"/>
        <v>0</v>
      </c>
      <c r="I563" s="67">
        <f>'Historical VAR'!$G$7</f>
        <v>-3.1428916759065853E-2</v>
      </c>
      <c r="J563">
        <f t="shared" si="54"/>
        <v>0</v>
      </c>
      <c r="K563" s="67">
        <f ca="1">'Monte Carlo Stimulation'!$I$8</f>
        <v>-2.1559270710709389E-2</v>
      </c>
      <c r="L563">
        <f t="shared" ca="1" si="55"/>
        <v>0</v>
      </c>
      <c r="M563" s="67">
        <f ca="1">'Monte Carlo Stimulation'!$I$9</f>
        <v>-2.919314405717207E-2</v>
      </c>
      <c r="N563">
        <f t="shared" ca="1" si="56"/>
        <v>0</v>
      </c>
    </row>
    <row r="564" spans="1:14">
      <c r="A564" s="12">
        <v>45286</v>
      </c>
      <c r="B564" s="14">
        <v>-5.9780031425822767E-3</v>
      </c>
      <c r="C564" s="67">
        <f>'Parametric VAR'!$F$12</f>
        <v>-2.023068247926026E-2</v>
      </c>
      <c r="D564">
        <f t="shared" si="51"/>
        <v>0</v>
      </c>
      <c r="E564" s="67">
        <f>'Parametric VAR'!$F$13</f>
        <v>-2.8682193012943492E-2</v>
      </c>
      <c r="F564">
        <f t="shared" si="52"/>
        <v>0</v>
      </c>
      <c r="G564" s="67">
        <f>'Historical VAR'!$G$6</f>
        <v>-1.9839729167757107E-2</v>
      </c>
      <c r="H564">
        <f t="shared" si="53"/>
        <v>0</v>
      </c>
      <c r="I564" s="67">
        <f>'Historical VAR'!$G$7</f>
        <v>-3.1428916759065853E-2</v>
      </c>
      <c r="J564">
        <f t="shared" si="54"/>
        <v>0</v>
      </c>
      <c r="K564" s="67">
        <f ca="1">'Monte Carlo Stimulation'!$I$8</f>
        <v>-2.1559270710709389E-2</v>
      </c>
      <c r="L564">
        <f t="shared" ca="1" si="55"/>
        <v>0</v>
      </c>
      <c r="M564" s="67">
        <f ca="1">'Monte Carlo Stimulation'!$I$9</f>
        <v>-2.919314405717207E-2</v>
      </c>
      <c r="N564">
        <f t="shared" ca="1" si="56"/>
        <v>0</v>
      </c>
    </row>
    <row r="565" spans="1:14">
      <c r="A565" s="12">
        <v>45282</v>
      </c>
      <c r="B565" s="14">
        <v>-1.0784760169151704E-2</v>
      </c>
      <c r="C565" s="67">
        <f>'Parametric VAR'!$F$12</f>
        <v>-2.023068247926026E-2</v>
      </c>
      <c r="D565">
        <f t="shared" si="51"/>
        <v>0</v>
      </c>
      <c r="E565" s="67">
        <f>'Parametric VAR'!$F$13</f>
        <v>-2.8682193012943492E-2</v>
      </c>
      <c r="F565">
        <f t="shared" si="52"/>
        <v>0</v>
      </c>
      <c r="G565" s="67">
        <f>'Historical VAR'!$G$6</f>
        <v>-1.9839729167757107E-2</v>
      </c>
      <c r="H565">
        <f t="shared" si="53"/>
        <v>0</v>
      </c>
      <c r="I565" s="67">
        <f>'Historical VAR'!$G$7</f>
        <v>-3.1428916759065853E-2</v>
      </c>
      <c r="J565">
        <f t="shared" si="54"/>
        <v>0</v>
      </c>
      <c r="K565" s="67">
        <f ca="1">'Monte Carlo Stimulation'!$I$8</f>
        <v>-2.1559270710709389E-2</v>
      </c>
      <c r="L565">
        <f t="shared" ca="1" si="55"/>
        <v>0</v>
      </c>
      <c r="M565" s="67">
        <f ca="1">'Monte Carlo Stimulation'!$I$9</f>
        <v>-2.919314405717207E-2</v>
      </c>
      <c r="N565">
        <f t="shared" ca="1" si="56"/>
        <v>0</v>
      </c>
    </row>
    <row r="566" spans="1:14">
      <c r="A566" s="12">
        <v>45281</v>
      </c>
      <c r="B566" s="14">
        <v>-1.0474926805580638E-2</v>
      </c>
      <c r="C566" s="67">
        <f>'Parametric VAR'!$F$12</f>
        <v>-2.023068247926026E-2</v>
      </c>
      <c r="D566">
        <f t="shared" si="51"/>
        <v>0</v>
      </c>
      <c r="E566" s="67">
        <f>'Parametric VAR'!$F$13</f>
        <v>-2.8682193012943492E-2</v>
      </c>
      <c r="F566">
        <f t="shared" si="52"/>
        <v>0</v>
      </c>
      <c r="G566" s="67">
        <f>'Historical VAR'!$G$6</f>
        <v>-1.9839729167757107E-2</v>
      </c>
      <c r="H566">
        <f t="shared" si="53"/>
        <v>0</v>
      </c>
      <c r="I566" s="67">
        <f>'Historical VAR'!$G$7</f>
        <v>-3.1428916759065853E-2</v>
      </c>
      <c r="J566">
        <f t="shared" si="54"/>
        <v>0</v>
      </c>
      <c r="K566" s="67">
        <f ca="1">'Monte Carlo Stimulation'!$I$8</f>
        <v>-2.1559270710709389E-2</v>
      </c>
      <c r="L566">
        <f t="shared" ca="1" si="55"/>
        <v>0</v>
      </c>
      <c r="M566" s="67">
        <f ca="1">'Monte Carlo Stimulation'!$I$9</f>
        <v>-2.919314405717207E-2</v>
      </c>
      <c r="N566">
        <f t="shared" ca="1" si="56"/>
        <v>0</v>
      </c>
    </row>
    <row r="567" spans="1:14">
      <c r="A567" s="12">
        <v>45280</v>
      </c>
      <c r="B567" s="14">
        <v>-2.1721501143426411E-3</v>
      </c>
      <c r="C567" s="67">
        <f>'Parametric VAR'!$F$12</f>
        <v>-2.023068247926026E-2</v>
      </c>
      <c r="D567">
        <f t="shared" si="51"/>
        <v>0</v>
      </c>
      <c r="E567" s="67">
        <f>'Parametric VAR'!$F$13</f>
        <v>-2.8682193012943492E-2</v>
      </c>
      <c r="F567">
        <f t="shared" si="52"/>
        <v>0</v>
      </c>
      <c r="G567" s="67">
        <f>'Historical VAR'!$G$6</f>
        <v>-1.9839729167757107E-2</v>
      </c>
      <c r="H567">
        <f t="shared" si="53"/>
        <v>0</v>
      </c>
      <c r="I567" s="67">
        <f>'Historical VAR'!$G$7</f>
        <v>-3.1428916759065853E-2</v>
      </c>
      <c r="J567">
        <f t="shared" si="54"/>
        <v>0</v>
      </c>
      <c r="K567" s="67">
        <f ca="1">'Monte Carlo Stimulation'!$I$8</f>
        <v>-2.1559270710709389E-2</v>
      </c>
      <c r="L567">
        <f t="shared" ca="1" si="55"/>
        <v>0</v>
      </c>
      <c r="M567" s="67">
        <f ca="1">'Monte Carlo Stimulation'!$I$9</f>
        <v>-2.919314405717207E-2</v>
      </c>
      <c r="N567">
        <f t="shared" ca="1" si="56"/>
        <v>0</v>
      </c>
    </row>
    <row r="568" spans="1:14">
      <c r="A568" s="12">
        <v>45279</v>
      </c>
      <c r="B568" s="14">
        <v>1.6838593732223763E-2</v>
      </c>
      <c r="C568" s="67">
        <f>'Parametric VAR'!$F$12</f>
        <v>-2.023068247926026E-2</v>
      </c>
      <c r="D568">
        <f t="shared" si="51"/>
        <v>0</v>
      </c>
      <c r="E568" s="67">
        <f>'Parametric VAR'!$F$13</f>
        <v>-2.8682193012943492E-2</v>
      </c>
      <c r="F568">
        <f t="shared" si="52"/>
        <v>0</v>
      </c>
      <c r="G568" s="67">
        <f>'Historical VAR'!$G$6</f>
        <v>-1.9839729167757107E-2</v>
      </c>
      <c r="H568">
        <f t="shared" si="53"/>
        <v>0</v>
      </c>
      <c r="I568" s="67">
        <f>'Historical VAR'!$G$7</f>
        <v>-3.1428916759065853E-2</v>
      </c>
      <c r="J568">
        <f t="shared" si="54"/>
        <v>0</v>
      </c>
      <c r="K568" s="67">
        <f ca="1">'Monte Carlo Stimulation'!$I$8</f>
        <v>-2.1559270710709389E-2</v>
      </c>
      <c r="L568">
        <f t="shared" ca="1" si="55"/>
        <v>0</v>
      </c>
      <c r="M568" s="67">
        <f ca="1">'Monte Carlo Stimulation'!$I$9</f>
        <v>-2.919314405717207E-2</v>
      </c>
      <c r="N568">
        <f t="shared" ca="1" si="56"/>
        <v>0</v>
      </c>
    </row>
    <row r="569" spans="1:14">
      <c r="A569" s="12">
        <v>45278</v>
      </c>
      <c r="B569" s="14">
        <v>-1.8227953499425908E-3</v>
      </c>
      <c r="C569" s="67">
        <f>'Parametric VAR'!$F$12</f>
        <v>-2.023068247926026E-2</v>
      </c>
      <c r="D569">
        <f t="shared" si="51"/>
        <v>0</v>
      </c>
      <c r="E569" s="67">
        <f>'Parametric VAR'!$F$13</f>
        <v>-2.8682193012943492E-2</v>
      </c>
      <c r="F569">
        <f t="shared" si="52"/>
        <v>0</v>
      </c>
      <c r="G569" s="67">
        <f>'Historical VAR'!$G$6</f>
        <v>-1.9839729167757107E-2</v>
      </c>
      <c r="H569">
        <f t="shared" si="53"/>
        <v>0</v>
      </c>
      <c r="I569" s="67">
        <f>'Historical VAR'!$G$7</f>
        <v>-3.1428916759065853E-2</v>
      </c>
      <c r="J569">
        <f t="shared" si="54"/>
        <v>0</v>
      </c>
      <c r="K569" s="67">
        <f ca="1">'Monte Carlo Stimulation'!$I$8</f>
        <v>-2.1559270710709389E-2</v>
      </c>
      <c r="L569">
        <f t="shared" ca="1" si="55"/>
        <v>0</v>
      </c>
      <c r="M569" s="67">
        <f ca="1">'Monte Carlo Stimulation'!$I$9</f>
        <v>-2.919314405717207E-2</v>
      </c>
      <c r="N569">
        <f t="shared" ca="1" si="56"/>
        <v>0</v>
      </c>
    </row>
    <row r="570" spans="1:14">
      <c r="A570" s="12">
        <v>45275</v>
      </c>
      <c r="B570" s="14">
        <v>-6.1789308254774347E-3</v>
      </c>
      <c r="C570" s="67">
        <f>'Parametric VAR'!$F$12</f>
        <v>-2.023068247926026E-2</v>
      </c>
      <c r="D570">
        <f t="shared" si="51"/>
        <v>0</v>
      </c>
      <c r="E570" s="67">
        <f>'Parametric VAR'!$F$13</f>
        <v>-2.8682193012943492E-2</v>
      </c>
      <c r="F570">
        <f t="shared" si="52"/>
        <v>0</v>
      </c>
      <c r="G570" s="67">
        <f>'Historical VAR'!$G$6</f>
        <v>-1.9839729167757107E-2</v>
      </c>
      <c r="H570">
        <f t="shared" si="53"/>
        <v>0</v>
      </c>
      <c r="I570" s="67">
        <f>'Historical VAR'!$G$7</f>
        <v>-3.1428916759065853E-2</v>
      </c>
      <c r="J570">
        <f t="shared" si="54"/>
        <v>0</v>
      </c>
      <c r="K570" s="67">
        <f ca="1">'Monte Carlo Stimulation'!$I$8</f>
        <v>-2.1559270710709389E-2</v>
      </c>
      <c r="L570">
        <f t="shared" ca="1" si="55"/>
        <v>0</v>
      </c>
      <c r="M570" s="67">
        <f ca="1">'Monte Carlo Stimulation'!$I$9</f>
        <v>-2.919314405717207E-2</v>
      </c>
      <c r="N570">
        <f t="shared" ca="1" si="56"/>
        <v>0</v>
      </c>
    </row>
    <row r="571" spans="1:14">
      <c r="A571" s="12">
        <v>45274</v>
      </c>
      <c r="B571" s="14">
        <v>-1.898025231229182E-2</v>
      </c>
      <c r="C571" s="67">
        <f>'Parametric VAR'!$F$12</f>
        <v>-2.023068247926026E-2</v>
      </c>
      <c r="D571">
        <f t="shared" si="51"/>
        <v>0</v>
      </c>
      <c r="E571" s="67">
        <f>'Parametric VAR'!$F$13</f>
        <v>-2.8682193012943492E-2</v>
      </c>
      <c r="F571">
        <f t="shared" si="52"/>
        <v>0</v>
      </c>
      <c r="G571" s="67">
        <f>'Historical VAR'!$G$6</f>
        <v>-1.9839729167757107E-2</v>
      </c>
      <c r="H571">
        <f t="shared" si="53"/>
        <v>0</v>
      </c>
      <c r="I571" s="67">
        <f>'Historical VAR'!$G$7</f>
        <v>-3.1428916759065853E-2</v>
      </c>
      <c r="J571">
        <f t="shared" si="54"/>
        <v>0</v>
      </c>
      <c r="K571" s="67">
        <f ca="1">'Monte Carlo Stimulation'!$I$8</f>
        <v>-2.1559270710709389E-2</v>
      </c>
      <c r="L571">
        <f t="shared" ca="1" si="55"/>
        <v>0</v>
      </c>
      <c r="M571" s="67">
        <f ca="1">'Monte Carlo Stimulation'!$I$9</f>
        <v>-2.919314405717207E-2</v>
      </c>
      <c r="N571">
        <f t="shared" ca="1" si="56"/>
        <v>0</v>
      </c>
    </row>
    <row r="572" spans="1:14">
      <c r="A572" s="12">
        <v>45273</v>
      </c>
      <c r="B572" s="14">
        <v>-2.3621787268795903E-3</v>
      </c>
      <c r="C572" s="67">
        <f>'Parametric VAR'!$F$12</f>
        <v>-2.023068247926026E-2</v>
      </c>
      <c r="D572">
        <f t="shared" si="51"/>
        <v>0</v>
      </c>
      <c r="E572" s="67">
        <f>'Parametric VAR'!$F$13</f>
        <v>-2.8682193012943492E-2</v>
      </c>
      <c r="F572">
        <f t="shared" si="52"/>
        <v>0</v>
      </c>
      <c r="G572" s="67">
        <f>'Historical VAR'!$G$6</f>
        <v>-1.9839729167757107E-2</v>
      </c>
      <c r="H572">
        <f t="shared" si="53"/>
        <v>0</v>
      </c>
      <c r="I572" s="67">
        <f>'Historical VAR'!$G$7</f>
        <v>-3.1428916759065853E-2</v>
      </c>
      <c r="J572">
        <f t="shared" si="54"/>
        <v>0</v>
      </c>
      <c r="K572" s="67">
        <f ca="1">'Monte Carlo Stimulation'!$I$8</f>
        <v>-2.1559270710709389E-2</v>
      </c>
      <c r="L572">
        <f t="shared" ca="1" si="55"/>
        <v>0</v>
      </c>
      <c r="M572" s="67">
        <f ca="1">'Monte Carlo Stimulation'!$I$9</f>
        <v>-2.919314405717207E-2</v>
      </c>
      <c r="N572">
        <f t="shared" ca="1" si="56"/>
        <v>0</v>
      </c>
    </row>
    <row r="573" spans="1:14">
      <c r="A573" s="12">
        <v>45272</v>
      </c>
      <c r="B573" s="14">
        <v>-3.978802398847953E-3</v>
      </c>
      <c r="C573" s="67">
        <f>'Parametric VAR'!$F$12</f>
        <v>-2.023068247926026E-2</v>
      </c>
      <c r="D573">
        <f t="shared" si="51"/>
        <v>0</v>
      </c>
      <c r="E573" s="67">
        <f>'Parametric VAR'!$F$13</f>
        <v>-2.8682193012943492E-2</v>
      </c>
      <c r="F573">
        <f t="shared" si="52"/>
        <v>0</v>
      </c>
      <c r="G573" s="67">
        <f>'Historical VAR'!$G$6</f>
        <v>-1.9839729167757107E-2</v>
      </c>
      <c r="H573">
        <f t="shared" si="53"/>
        <v>0</v>
      </c>
      <c r="I573" s="67">
        <f>'Historical VAR'!$G$7</f>
        <v>-3.1428916759065853E-2</v>
      </c>
      <c r="J573">
        <f t="shared" si="54"/>
        <v>0</v>
      </c>
      <c r="K573" s="67">
        <f ca="1">'Monte Carlo Stimulation'!$I$8</f>
        <v>-2.1559270710709389E-2</v>
      </c>
      <c r="L573">
        <f t="shared" ca="1" si="55"/>
        <v>0</v>
      </c>
      <c r="M573" s="67">
        <f ca="1">'Monte Carlo Stimulation'!$I$9</f>
        <v>-2.919314405717207E-2</v>
      </c>
      <c r="N573">
        <f t="shared" ca="1" si="56"/>
        <v>0</v>
      </c>
    </row>
    <row r="574" spans="1:14">
      <c r="A574" s="12">
        <v>45271</v>
      </c>
      <c r="B574" s="14">
        <v>3.9709404762078527E-3</v>
      </c>
      <c r="C574" s="67">
        <f>'Parametric VAR'!$F$12</f>
        <v>-2.023068247926026E-2</v>
      </c>
      <c r="D574">
        <f t="shared" si="51"/>
        <v>0</v>
      </c>
      <c r="E574" s="67">
        <f>'Parametric VAR'!$F$13</f>
        <v>-2.8682193012943492E-2</v>
      </c>
      <c r="F574">
        <f t="shared" si="52"/>
        <v>0</v>
      </c>
      <c r="G574" s="67">
        <f>'Historical VAR'!$G$6</f>
        <v>-1.9839729167757107E-2</v>
      </c>
      <c r="H574">
        <f t="shared" si="53"/>
        <v>0</v>
      </c>
      <c r="I574" s="67">
        <f>'Historical VAR'!$G$7</f>
        <v>-3.1428916759065853E-2</v>
      </c>
      <c r="J574">
        <f t="shared" si="54"/>
        <v>0</v>
      </c>
      <c r="K574" s="67">
        <f ca="1">'Monte Carlo Stimulation'!$I$8</f>
        <v>-2.1559270710709389E-2</v>
      </c>
      <c r="L574">
        <f t="shared" ca="1" si="55"/>
        <v>0</v>
      </c>
      <c r="M574" s="67">
        <f ca="1">'Monte Carlo Stimulation'!$I$9</f>
        <v>-2.919314405717207E-2</v>
      </c>
      <c r="N574">
        <f t="shared" ca="1" si="56"/>
        <v>0</v>
      </c>
    </row>
    <row r="575" spans="1:14">
      <c r="A575" s="12">
        <v>45268</v>
      </c>
      <c r="B575" s="14">
        <v>1.3970515473469077E-3</v>
      </c>
      <c r="C575" s="67">
        <f>'Parametric VAR'!$F$12</f>
        <v>-2.023068247926026E-2</v>
      </c>
      <c r="D575">
        <f t="shared" si="51"/>
        <v>0</v>
      </c>
      <c r="E575" s="67">
        <f>'Parametric VAR'!$F$13</f>
        <v>-2.8682193012943492E-2</v>
      </c>
      <c r="F575">
        <f t="shared" si="52"/>
        <v>0</v>
      </c>
      <c r="G575" s="67">
        <f>'Historical VAR'!$G$6</f>
        <v>-1.9839729167757107E-2</v>
      </c>
      <c r="H575">
        <f t="shared" si="53"/>
        <v>0</v>
      </c>
      <c r="I575" s="67">
        <f>'Historical VAR'!$G$7</f>
        <v>-3.1428916759065853E-2</v>
      </c>
      <c r="J575">
        <f t="shared" si="54"/>
        <v>0</v>
      </c>
      <c r="K575" s="67">
        <f ca="1">'Monte Carlo Stimulation'!$I$8</f>
        <v>-2.1559270710709389E-2</v>
      </c>
      <c r="L575">
        <f t="shared" ca="1" si="55"/>
        <v>0</v>
      </c>
      <c r="M575" s="67">
        <f ca="1">'Monte Carlo Stimulation'!$I$9</f>
        <v>-2.919314405717207E-2</v>
      </c>
      <c r="N575">
        <f t="shared" ca="1" si="56"/>
        <v>0</v>
      </c>
    </row>
    <row r="576" spans="1:14">
      <c r="A576" s="12">
        <v>45267</v>
      </c>
      <c r="B576" s="14">
        <v>8.1813626807846224E-3</v>
      </c>
      <c r="C576" s="67">
        <f>'Parametric VAR'!$F$12</f>
        <v>-2.023068247926026E-2</v>
      </c>
      <c r="D576">
        <f t="shared" si="51"/>
        <v>0</v>
      </c>
      <c r="E576" s="67">
        <f>'Parametric VAR'!$F$13</f>
        <v>-2.8682193012943492E-2</v>
      </c>
      <c r="F576">
        <f t="shared" si="52"/>
        <v>0</v>
      </c>
      <c r="G576" s="67">
        <f>'Historical VAR'!$G$6</f>
        <v>-1.9839729167757107E-2</v>
      </c>
      <c r="H576">
        <f t="shared" si="53"/>
        <v>0</v>
      </c>
      <c r="I576" s="67">
        <f>'Historical VAR'!$G$7</f>
        <v>-3.1428916759065853E-2</v>
      </c>
      <c r="J576">
        <f t="shared" si="54"/>
        <v>0</v>
      </c>
      <c r="K576" s="67">
        <f ca="1">'Monte Carlo Stimulation'!$I$8</f>
        <v>-2.1559270710709389E-2</v>
      </c>
      <c r="L576">
        <f t="shared" ca="1" si="55"/>
        <v>0</v>
      </c>
      <c r="M576" s="67">
        <f ca="1">'Monte Carlo Stimulation'!$I$9</f>
        <v>-2.919314405717207E-2</v>
      </c>
      <c r="N576">
        <f t="shared" ca="1" si="56"/>
        <v>0</v>
      </c>
    </row>
    <row r="577" spans="1:14">
      <c r="A577" s="12">
        <v>45266</v>
      </c>
      <c r="B577" s="14">
        <v>-4.6835472202105257E-3</v>
      </c>
      <c r="C577" s="67">
        <f>'Parametric VAR'!$F$12</f>
        <v>-2.023068247926026E-2</v>
      </c>
      <c r="D577">
        <f t="shared" si="51"/>
        <v>0</v>
      </c>
      <c r="E577" s="67">
        <f>'Parametric VAR'!$F$13</f>
        <v>-2.8682193012943492E-2</v>
      </c>
      <c r="F577">
        <f t="shared" si="52"/>
        <v>0</v>
      </c>
      <c r="G577" s="67">
        <f>'Historical VAR'!$G$6</f>
        <v>-1.9839729167757107E-2</v>
      </c>
      <c r="H577">
        <f t="shared" si="53"/>
        <v>0</v>
      </c>
      <c r="I577" s="67">
        <f>'Historical VAR'!$G$7</f>
        <v>-3.1428916759065853E-2</v>
      </c>
      <c r="J577">
        <f t="shared" si="54"/>
        <v>0</v>
      </c>
      <c r="K577" s="67">
        <f ca="1">'Monte Carlo Stimulation'!$I$8</f>
        <v>-2.1559270710709389E-2</v>
      </c>
      <c r="L577">
        <f t="shared" ca="1" si="55"/>
        <v>0</v>
      </c>
      <c r="M577" s="67">
        <f ca="1">'Monte Carlo Stimulation'!$I$9</f>
        <v>-2.919314405717207E-2</v>
      </c>
      <c r="N577">
        <f t="shared" ca="1" si="56"/>
        <v>0</v>
      </c>
    </row>
    <row r="578" spans="1:14">
      <c r="A578" s="12">
        <v>45265</v>
      </c>
      <c r="B578" s="14">
        <v>-4.3777501509944666E-3</v>
      </c>
      <c r="C578" s="67">
        <f>'Parametric VAR'!$F$12</f>
        <v>-2.023068247926026E-2</v>
      </c>
      <c r="D578">
        <f t="shared" si="51"/>
        <v>0</v>
      </c>
      <c r="E578" s="67">
        <f>'Parametric VAR'!$F$13</f>
        <v>-2.8682193012943492E-2</v>
      </c>
      <c r="F578">
        <f t="shared" si="52"/>
        <v>0</v>
      </c>
      <c r="G578" s="67">
        <f>'Historical VAR'!$G$6</f>
        <v>-1.9839729167757107E-2</v>
      </c>
      <c r="H578">
        <f t="shared" si="53"/>
        <v>0</v>
      </c>
      <c r="I578" s="67">
        <f>'Historical VAR'!$G$7</f>
        <v>-3.1428916759065853E-2</v>
      </c>
      <c r="J578">
        <f t="shared" si="54"/>
        <v>0</v>
      </c>
      <c r="K578" s="67">
        <f ca="1">'Monte Carlo Stimulation'!$I$8</f>
        <v>-2.1559270710709389E-2</v>
      </c>
      <c r="L578">
        <f t="shared" ca="1" si="55"/>
        <v>0</v>
      </c>
      <c r="M578" s="67">
        <f ca="1">'Monte Carlo Stimulation'!$I$9</f>
        <v>-2.919314405717207E-2</v>
      </c>
      <c r="N578">
        <f t="shared" ca="1" si="56"/>
        <v>0</v>
      </c>
    </row>
    <row r="579" spans="1:14">
      <c r="A579" s="12">
        <v>45264</v>
      </c>
      <c r="B579" s="14">
        <v>-8.5425715084386476E-3</v>
      </c>
      <c r="C579" s="67">
        <f>'Parametric VAR'!$F$12</f>
        <v>-2.023068247926026E-2</v>
      </c>
      <c r="D579">
        <f t="shared" si="51"/>
        <v>0</v>
      </c>
      <c r="E579" s="67">
        <f>'Parametric VAR'!$F$13</f>
        <v>-2.8682193012943492E-2</v>
      </c>
      <c r="F579">
        <f t="shared" si="52"/>
        <v>0</v>
      </c>
      <c r="G579" s="67">
        <f>'Historical VAR'!$G$6</f>
        <v>-1.9839729167757107E-2</v>
      </c>
      <c r="H579">
        <f t="shared" si="53"/>
        <v>0</v>
      </c>
      <c r="I579" s="67">
        <f>'Historical VAR'!$G$7</f>
        <v>-3.1428916759065853E-2</v>
      </c>
      <c r="J579">
        <f t="shared" si="54"/>
        <v>0</v>
      </c>
      <c r="K579" s="67">
        <f ca="1">'Monte Carlo Stimulation'!$I$8</f>
        <v>-2.1559270710709389E-2</v>
      </c>
      <c r="L579">
        <f t="shared" ca="1" si="55"/>
        <v>0</v>
      </c>
      <c r="M579" s="67">
        <f ca="1">'Monte Carlo Stimulation'!$I$9</f>
        <v>-2.919314405717207E-2</v>
      </c>
      <c r="N579">
        <f t="shared" ca="1" si="56"/>
        <v>0</v>
      </c>
    </row>
    <row r="580" spans="1:14">
      <c r="A580" s="12">
        <v>45261</v>
      </c>
      <c r="B580" s="14">
        <v>-4.6128906929761449E-3</v>
      </c>
      <c r="C580" s="67">
        <f>'Parametric VAR'!$F$12</f>
        <v>-2.023068247926026E-2</v>
      </c>
      <c r="D580">
        <f t="shared" ref="D580:D643" si="57">IF(B580&lt;C580,1,0)</f>
        <v>0</v>
      </c>
      <c r="E580" s="67">
        <f>'Parametric VAR'!$F$13</f>
        <v>-2.8682193012943492E-2</v>
      </c>
      <c r="F580">
        <f t="shared" ref="F580:F643" si="58">IF(B580&lt;E580,1,0)</f>
        <v>0</v>
      </c>
      <c r="G580" s="67">
        <f>'Historical VAR'!$G$6</f>
        <v>-1.9839729167757107E-2</v>
      </c>
      <c r="H580">
        <f t="shared" ref="H580:H643" si="59">IF(B580&lt;G580,1,0)</f>
        <v>0</v>
      </c>
      <c r="I580" s="67">
        <f>'Historical VAR'!$G$7</f>
        <v>-3.1428916759065853E-2</v>
      </c>
      <c r="J580">
        <f t="shared" ref="J580:J643" si="60">IF(B580&lt;I580,1,0)</f>
        <v>0</v>
      </c>
      <c r="K580" s="67">
        <f ca="1">'Monte Carlo Stimulation'!$I$8</f>
        <v>-2.1559270710709389E-2</v>
      </c>
      <c r="L580">
        <f t="shared" ref="L580:L643" ca="1" si="61">IF(B580&lt;K580,1,0)</f>
        <v>0</v>
      </c>
      <c r="M580" s="67">
        <f ca="1">'Monte Carlo Stimulation'!$I$9</f>
        <v>-2.919314405717207E-2</v>
      </c>
      <c r="N580">
        <f t="shared" ref="N580:N643" ca="1" si="62">IF(B580&lt;M580,1,0)</f>
        <v>0</v>
      </c>
    </row>
    <row r="581" spans="1:14">
      <c r="A581" s="12">
        <v>45260</v>
      </c>
      <c r="B581" s="14">
        <v>-1.6786149653297201E-2</v>
      </c>
      <c r="C581" s="67">
        <f>'Parametric VAR'!$F$12</f>
        <v>-2.023068247926026E-2</v>
      </c>
      <c r="D581">
        <f t="shared" si="57"/>
        <v>0</v>
      </c>
      <c r="E581" s="67">
        <f>'Parametric VAR'!$F$13</f>
        <v>-2.8682193012943492E-2</v>
      </c>
      <c r="F581">
        <f t="shared" si="58"/>
        <v>0</v>
      </c>
      <c r="G581" s="67">
        <f>'Historical VAR'!$G$6</f>
        <v>-1.9839729167757107E-2</v>
      </c>
      <c r="H581">
        <f t="shared" si="59"/>
        <v>0</v>
      </c>
      <c r="I581" s="67">
        <f>'Historical VAR'!$G$7</f>
        <v>-3.1428916759065853E-2</v>
      </c>
      <c r="J581">
        <f t="shared" si="60"/>
        <v>0</v>
      </c>
      <c r="K581" s="67">
        <f ca="1">'Monte Carlo Stimulation'!$I$8</f>
        <v>-2.1559270710709389E-2</v>
      </c>
      <c r="L581">
        <f t="shared" ca="1" si="61"/>
        <v>0</v>
      </c>
      <c r="M581" s="67">
        <f ca="1">'Monte Carlo Stimulation'!$I$9</f>
        <v>-2.919314405717207E-2</v>
      </c>
      <c r="N581">
        <f t="shared" ca="1" si="62"/>
        <v>0</v>
      </c>
    </row>
    <row r="582" spans="1:14">
      <c r="A582" s="12">
        <v>45259</v>
      </c>
      <c r="B582" s="14">
        <v>6.9937936900835518E-3</v>
      </c>
      <c r="C582" s="67">
        <f>'Parametric VAR'!$F$12</f>
        <v>-2.023068247926026E-2</v>
      </c>
      <c r="D582">
        <f t="shared" si="57"/>
        <v>0</v>
      </c>
      <c r="E582" s="67">
        <f>'Parametric VAR'!$F$13</f>
        <v>-2.8682193012943492E-2</v>
      </c>
      <c r="F582">
        <f t="shared" si="58"/>
        <v>0</v>
      </c>
      <c r="G582" s="67">
        <f>'Historical VAR'!$G$6</f>
        <v>-1.9839729167757107E-2</v>
      </c>
      <c r="H582">
        <f t="shared" si="59"/>
        <v>0</v>
      </c>
      <c r="I582" s="67">
        <f>'Historical VAR'!$G$7</f>
        <v>-3.1428916759065853E-2</v>
      </c>
      <c r="J582">
        <f t="shared" si="60"/>
        <v>0</v>
      </c>
      <c r="K582" s="67">
        <f ca="1">'Monte Carlo Stimulation'!$I$8</f>
        <v>-2.1559270710709389E-2</v>
      </c>
      <c r="L582">
        <f t="shared" ca="1" si="61"/>
        <v>0</v>
      </c>
      <c r="M582" s="67">
        <f ca="1">'Monte Carlo Stimulation'!$I$9</f>
        <v>-2.919314405717207E-2</v>
      </c>
      <c r="N582">
        <f t="shared" ca="1" si="62"/>
        <v>0</v>
      </c>
    </row>
    <row r="583" spans="1:14">
      <c r="A583" s="12">
        <v>45258</v>
      </c>
      <c r="B583" s="14">
        <v>9.7937425980166134E-5</v>
      </c>
      <c r="C583" s="67">
        <f>'Parametric VAR'!$F$12</f>
        <v>-2.023068247926026E-2</v>
      </c>
      <c r="D583">
        <f t="shared" si="57"/>
        <v>0</v>
      </c>
      <c r="E583" s="67">
        <f>'Parametric VAR'!$F$13</f>
        <v>-2.8682193012943492E-2</v>
      </c>
      <c r="F583">
        <f t="shared" si="58"/>
        <v>0</v>
      </c>
      <c r="G583" s="67">
        <f>'Historical VAR'!$G$6</f>
        <v>-1.9839729167757107E-2</v>
      </c>
      <c r="H583">
        <f t="shared" si="59"/>
        <v>0</v>
      </c>
      <c r="I583" s="67">
        <f>'Historical VAR'!$G$7</f>
        <v>-3.1428916759065853E-2</v>
      </c>
      <c r="J583">
        <f t="shared" si="60"/>
        <v>0</v>
      </c>
      <c r="K583" s="67">
        <f ca="1">'Monte Carlo Stimulation'!$I$8</f>
        <v>-2.1559270710709389E-2</v>
      </c>
      <c r="L583">
        <f t="shared" ca="1" si="61"/>
        <v>0</v>
      </c>
      <c r="M583" s="67">
        <f ca="1">'Monte Carlo Stimulation'!$I$9</f>
        <v>-2.919314405717207E-2</v>
      </c>
      <c r="N583">
        <f t="shared" ca="1" si="62"/>
        <v>0</v>
      </c>
    </row>
    <row r="584" spans="1:14">
      <c r="A584" s="12">
        <v>45254</v>
      </c>
      <c r="B584" s="14">
        <v>-3.0297852530362158E-3</v>
      </c>
      <c r="C584" s="67">
        <f>'Parametric VAR'!$F$12</f>
        <v>-2.023068247926026E-2</v>
      </c>
      <c r="D584">
        <f t="shared" si="57"/>
        <v>0</v>
      </c>
      <c r="E584" s="67">
        <f>'Parametric VAR'!$F$13</f>
        <v>-2.8682193012943492E-2</v>
      </c>
      <c r="F584">
        <f t="shared" si="58"/>
        <v>0</v>
      </c>
      <c r="G584" s="67">
        <f>'Historical VAR'!$G$6</f>
        <v>-1.9839729167757107E-2</v>
      </c>
      <c r="H584">
        <f t="shared" si="59"/>
        <v>0</v>
      </c>
      <c r="I584" s="67">
        <f>'Historical VAR'!$G$7</f>
        <v>-3.1428916759065853E-2</v>
      </c>
      <c r="J584">
        <f t="shared" si="60"/>
        <v>0</v>
      </c>
      <c r="K584" s="67">
        <f ca="1">'Monte Carlo Stimulation'!$I$8</f>
        <v>-2.1559270710709389E-2</v>
      </c>
      <c r="L584">
        <f t="shared" ca="1" si="61"/>
        <v>0</v>
      </c>
      <c r="M584" s="67">
        <f ca="1">'Monte Carlo Stimulation'!$I$9</f>
        <v>-2.919314405717207E-2</v>
      </c>
      <c r="N584">
        <f t="shared" ca="1" si="62"/>
        <v>0</v>
      </c>
    </row>
    <row r="585" spans="1:14">
      <c r="A585" s="12">
        <v>45253</v>
      </c>
      <c r="B585" s="14">
        <v>-2.2571005737390785E-3</v>
      </c>
      <c r="C585" s="67">
        <f>'Parametric VAR'!$F$12</f>
        <v>-2.023068247926026E-2</v>
      </c>
      <c r="D585">
        <f t="shared" si="57"/>
        <v>0</v>
      </c>
      <c r="E585" s="67">
        <f>'Parametric VAR'!$F$13</f>
        <v>-2.8682193012943492E-2</v>
      </c>
      <c r="F585">
        <f t="shared" si="58"/>
        <v>0</v>
      </c>
      <c r="G585" s="67">
        <f>'Historical VAR'!$G$6</f>
        <v>-1.9839729167757107E-2</v>
      </c>
      <c r="H585">
        <f t="shared" si="59"/>
        <v>0</v>
      </c>
      <c r="I585" s="67">
        <f>'Historical VAR'!$G$7</f>
        <v>-3.1428916759065853E-2</v>
      </c>
      <c r="J585">
        <f t="shared" si="60"/>
        <v>0</v>
      </c>
      <c r="K585" s="67">
        <f ca="1">'Monte Carlo Stimulation'!$I$8</f>
        <v>-2.1559270710709389E-2</v>
      </c>
      <c r="L585">
        <f t="shared" ca="1" si="61"/>
        <v>0</v>
      </c>
      <c r="M585" s="67">
        <f ca="1">'Monte Carlo Stimulation'!$I$9</f>
        <v>-2.919314405717207E-2</v>
      </c>
      <c r="N585">
        <f t="shared" ca="1" si="62"/>
        <v>0</v>
      </c>
    </row>
    <row r="586" spans="1:14">
      <c r="A586" s="12">
        <v>45252</v>
      </c>
      <c r="B586" s="14">
        <v>2.4626750039981581E-4</v>
      </c>
      <c r="C586" s="67">
        <f>'Parametric VAR'!$F$12</f>
        <v>-2.023068247926026E-2</v>
      </c>
      <c r="D586">
        <f t="shared" si="57"/>
        <v>0</v>
      </c>
      <c r="E586" s="67">
        <f>'Parametric VAR'!$F$13</f>
        <v>-2.8682193012943492E-2</v>
      </c>
      <c r="F586">
        <f t="shared" si="58"/>
        <v>0</v>
      </c>
      <c r="G586" s="67">
        <f>'Historical VAR'!$G$6</f>
        <v>-1.9839729167757107E-2</v>
      </c>
      <c r="H586">
        <f t="shared" si="59"/>
        <v>0</v>
      </c>
      <c r="I586" s="67">
        <f>'Historical VAR'!$G$7</f>
        <v>-3.1428916759065853E-2</v>
      </c>
      <c r="J586">
        <f t="shared" si="60"/>
        <v>0</v>
      </c>
      <c r="K586" s="67">
        <f ca="1">'Monte Carlo Stimulation'!$I$8</f>
        <v>-2.1559270710709389E-2</v>
      </c>
      <c r="L586">
        <f t="shared" ca="1" si="61"/>
        <v>0</v>
      </c>
      <c r="M586" s="67">
        <f ca="1">'Monte Carlo Stimulation'!$I$9</f>
        <v>-2.919314405717207E-2</v>
      </c>
      <c r="N586">
        <f t="shared" ca="1" si="62"/>
        <v>0</v>
      </c>
    </row>
    <row r="587" spans="1:14">
      <c r="A587" s="12">
        <v>45251</v>
      </c>
      <c r="B587" s="14">
        <v>5.0673195502971601E-3</v>
      </c>
      <c r="C587" s="67">
        <f>'Parametric VAR'!$F$12</f>
        <v>-2.023068247926026E-2</v>
      </c>
      <c r="D587">
        <f t="shared" si="57"/>
        <v>0</v>
      </c>
      <c r="E587" s="67">
        <f>'Parametric VAR'!$F$13</f>
        <v>-2.8682193012943492E-2</v>
      </c>
      <c r="F587">
        <f t="shared" si="58"/>
        <v>0</v>
      </c>
      <c r="G587" s="67">
        <f>'Historical VAR'!$G$6</f>
        <v>-1.9839729167757107E-2</v>
      </c>
      <c r="H587">
        <f t="shared" si="59"/>
        <v>0</v>
      </c>
      <c r="I587" s="67">
        <f>'Historical VAR'!$G$7</f>
        <v>-3.1428916759065853E-2</v>
      </c>
      <c r="J587">
        <f t="shared" si="60"/>
        <v>0</v>
      </c>
      <c r="K587" s="67">
        <f ca="1">'Monte Carlo Stimulation'!$I$8</f>
        <v>-2.1559270710709389E-2</v>
      </c>
      <c r="L587">
        <f t="shared" ca="1" si="61"/>
        <v>0</v>
      </c>
      <c r="M587" s="67">
        <f ca="1">'Monte Carlo Stimulation'!$I$9</f>
        <v>-2.919314405717207E-2</v>
      </c>
      <c r="N587">
        <f t="shared" ca="1" si="62"/>
        <v>0</v>
      </c>
    </row>
    <row r="588" spans="1:14">
      <c r="A588" s="12">
        <v>45250</v>
      </c>
      <c r="B588" s="14">
        <v>7.9720326506905591E-4</v>
      </c>
      <c r="C588" s="67">
        <f>'Parametric VAR'!$F$12</f>
        <v>-2.023068247926026E-2</v>
      </c>
      <c r="D588">
        <f t="shared" si="57"/>
        <v>0</v>
      </c>
      <c r="E588" s="67">
        <f>'Parametric VAR'!$F$13</f>
        <v>-2.8682193012943492E-2</v>
      </c>
      <c r="F588">
        <f t="shared" si="58"/>
        <v>0</v>
      </c>
      <c r="G588" s="67">
        <f>'Historical VAR'!$G$6</f>
        <v>-1.9839729167757107E-2</v>
      </c>
      <c r="H588">
        <f t="shared" si="59"/>
        <v>0</v>
      </c>
      <c r="I588" s="67">
        <f>'Historical VAR'!$G$7</f>
        <v>-3.1428916759065853E-2</v>
      </c>
      <c r="J588">
        <f t="shared" si="60"/>
        <v>0</v>
      </c>
      <c r="K588" s="67">
        <f ca="1">'Monte Carlo Stimulation'!$I$8</f>
        <v>-2.1559270710709389E-2</v>
      </c>
      <c r="L588">
        <f t="shared" ca="1" si="61"/>
        <v>0</v>
      </c>
      <c r="M588" s="67">
        <f ca="1">'Monte Carlo Stimulation'!$I$9</f>
        <v>-2.919314405717207E-2</v>
      </c>
      <c r="N588">
        <f t="shared" ca="1" si="62"/>
        <v>0</v>
      </c>
    </row>
    <row r="589" spans="1:14">
      <c r="A589" s="12">
        <v>45247</v>
      </c>
      <c r="B589" s="14">
        <v>9.322638269015705E-3</v>
      </c>
      <c r="C589" s="67">
        <f>'Parametric VAR'!$F$12</f>
        <v>-2.023068247926026E-2</v>
      </c>
      <c r="D589">
        <f t="shared" si="57"/>
        <v>0</v>
      </c>
      <c r="E589" s="67">
        <f>'Parametric VAR'!$F$13</f>
        <v>-2.8682193012943492E-2</v>
      </c>
      <c r="F589">
        <f t="shared" si="58"/>
        <v>0</v>
      </c>
      <c r="G589" s="67">
        <f>'Historical VAR'!$G$6</f>
        <v>-1.9839729167757107E-2</v>
      </c>
      <c r="H589">
        <f t="shared" si="59"/>
        <v>0</v>
      </c>
      <c r="I589" s="67">
        <f>'Historical VAR'!$G$7</f>
        <v>-3.1428916759065853E-2</v>
      </c>
      <c r="J589">
        <f t="shared" si="60"/>
        <v>0</v>
      </c>
      <c r="K589" s="67">
        <f ca="1">'Monte Carlo Stimulation'!$I$8</f>
        <v>-2.1559270710709389E-2</v>
      </c>
      <c r="L589">
        <f t="shared" ca="1" si="61"/>
        <v>0</v>
      </c>
      <c r="M589" s="67">
        <f ca="1">'Monte Carlo Stimulation'!$I$9</f>
        <v>-2.919314405717207E-2</v>
      </c>
      <c r="N589">
        <f t="shared" ca="1" si="62"/>
        <v>0</v>
      </c>
    </row>
    <row r="590" spans="1:14">
      <c r="A590" s="12">
        <v>45246</v>
      </c>
      <c r="B590" s="14">
        <v>-1.3284846962543019E-2</v>
      </c>
      <c r="C590" s="67">
        <f>'Parametric VAR'!$F$12</f>
        <v>-2.023068247926026E-2</v>
      </c>
      <c r="D590">
        <f t="shared" si="57"/>
        <v>0</v>
      </c>
      <c r="E590" s="67">
        <f>'Parametric VAR'!$F$13</f>
        <v>-2.8682193012943492E-2</v>
      </c>
      <c r="F590">
        <f t="shared" si="58"/>
        <v>0</v>
      </c>
      <c r="G590" s="67">
        <f>'Historical VAR'!$G$6</f>
        <v>-1.9839729167757107E-2</v>
      </c>
      <c r="H590">
        <f t="shared" si="59"/>
        <v>0</v>
      </c>
      <c r="I590" s="67">
        <f>'Historical VAR'!$G$7</f>
        <v>-3.1428916759065853E-2</v>
      </c>
      <c r="J590">
        <f t="shared" si="60"/>
        <v>0</v>
      </c>
      <c r="K590" s="67">
        <f ca="1">'Monte Carlo Stimulation'!$I$8</f>
        <v>-2.1559270710709389E-2</v>
      </c>
      <c r="L590">
        <f t="shared" ca="1" si="61"/>
        <v>0</v>
      </c>
      <c r="M590" s="67">
        <f ca="1">'Monte Carlo Stimulation'!$I$9</f>
        <v>-2.919314405717207E-2</v>
      </c>
      <c r="N590">
        <f t="shared" ca="1" si="62"/>
        <v>0</v>
      </c>
    </row>
    <row r="591" spans="1:14">
      <c r="A591" s="12">
        <v>45245</v>
      </c>
      <c r="B591" s="14">
        <v>-4.9719865951661363E-3</v>
      </c>
      <c r="C591" s="67">
        <f>'Parametric VAR'!$F$12</f>
        <v>-2.023068247926026E-2</v>
      </c>
      <c r="D591">
        <f t="shared" si="57"/>
        <v>0</v>
      </c>
      <c r="E591" s="67">
        <f>'Parametric VAR'!$F$13</f>
        <v>-2.8682193012943492E-2</v>
      </c>
      <c r="F591">
        <f t="shared" si="58"/>
        <v>0</v>
      </c>
      <c r="G591" s="67">
        <f>'Historical VAR'!$G$6</f>
        <v>-1.9839729167757107E-2</v>
      </c>
      <c r="H591">
        <f t="shared" si="59"/>
        <v>0</v>
      </c>
      <c r="I591" s="67">
        <f>'Historical VAR'!$G$7</f>
        <v>-3.1428916759065853E-2</v>
      </c>
      <c r="J591">
        <f t="shared" si="60"/>
        <v>0</v>
      </c>
      <c r="K591" s="67">
        <f ca="1">'Monte Carlo Stimulation'!$I$8</f>
        <v>-2.1559270710709389E-2</v>
      </c>
      <c r="L591">
        <f t="shared" ca="1" si="61"/>
        <v>0</v>
      </c>
      <c r="M591" s="67">
        <f ca="1">'Monte Carlo Stimulation'!$I$9</f>
        <v>-2.919314405717207E-2</v>
      </c>
      <c r="N591">
        <f t="shared" ca="1" si="62"/>
        <v>0</v>
      </c>
    </row>
    <row r="592" spans="1:14">
      <c r="A592" s="12">
        <v>45243</v>
      </c>
      <c r="B592" s="14">
        <v>-6.9637087944958076E-3</v>
      </c>
      <c r="C592" s="67">
        <f>'Parametric VAR'!$F$12</f>
        <v>-2.023068247926026E-2</v>
      </c>
      <c r="D592">
        <f t="shared" si="57"/>
        <v>0</v>
      </c>
      <c r="E592" s="67">
        <f>'Parametric VAR'!$F$13</f>
        <v>-2.8682193012943492E-2</v>
      </c>
      <c r="F592">
        <f t="shared" si="58"/>
        <v>0</v>
      </c>
      <c r="G592" s="67">
        <f>'Historical VAR'!$G$6</f>
        <v>-1.9839729167757107E-2</v>
      </c>
      <c r="H592">
        <f t="shared" si="59"/>
        <v>0</v>
      </c>
      <c r="I592" s="67">
        <f>'Historical VAR'!$G$7</f>
        <v>-3.1428916759065853E-2</v>
      </c>
      <c r="J592">
        <f t="shared" si="60"/>
        <v>0</v>
      </c>
      <c r="K592" s="67">
        <f ca="1">'Monte Carlo Stimulation'!$I$8</f>
        <v>-2.1559270710709389E-2</v>
      </c>
      <c r="L592">
        <f t="shared" ca="1" si="61"/>
        <v>0</v>
      </c>
      <c r="M592" s="67">
        <f ca="1">'Monte Carlo Stimulation'!$I$9</f>
        <v>-2.919314405717207E-2</v>
      </c>
      <c r="N592">
        <f t="shared" ca="1" si="62"/>
        <v>0</v>
      </c>
    </row>
    <row r="593" spans="1:14">
      <c r="A593" s="12">
        <v>45242</v>
      </c>
      <c r="B593" s="14">
        <v>3.8201085228169087E-3</v>
      </c>
      <c r="C593" s="67">
        <f>'Parametric VAR'!$F$12</f>
        <v>-2.023068247926026E-2</v>
      </c>
      <c r="D593">
        <f t="shared" si="57"/>
        <v>0</v>
      </c>
      <c r="E593" s="67">
        <f>'Parametric VAR'!$F$13</f>
        <v>-2.8682193012943492E-2</v>
      </c>
      <c r="F593">
        <f t="shared" si="58"/>
        <v>0</v>
      </c>
      <c r="G593" s="67">
        <f>'Historical VAR'!$G$6</f>
        <v>-1.9839729167757107E-2</v>
      </c>
      <c r="H593">
        <f t="shared" si="59"/>
        <v>0</v>
      </c>
      <c r="I593" s="67">
        <f>'Historical VAR'!$G$7</f>
        <v>-3.1428916759065853E-2</v>
      </c>
      <c r="J593">
        <f t="shared" si="60"/>
        <v>0</v>
      </c>
      <c r="K593" s="67">
        <f ca="1">'Monte Carlo Stimulation'!$I$8</f>
        <v>-2.1559270710709389E-2</v>
      </c>
      <c r="L593">
        <f t="shared" ca="1" si="61"/>
        <v>0</v>
      </c>
      <c r="M593" s="67">
        <f ca="1">'Monte Carlo Stimulation'!$I$9</f>
        <v>-2.919314405717207E-2</v>
      </c>
      <c r="N593">
        <f t="shared" ca="1" si="62"/>
        <v>0</v>
      </c>
    </row>
    <row r="594" spans="1:14">
      <c r="A594" s="12">
        <v>45240</v>
      </c>
      <c r="B594" s="14">
        <v>-6.7262208710531573E-3</v>
      </c>
      <c r="C594" s="67">
        <f>'Parametric VAR'!$F$12</f>
        <v>-2.023068247926026E-2</v>
      </c>
      <c r="D594">
        <f t="shared" si="57"/>
        <v>0</v>
      </c>
      <c r="E594" s="67">
        <f>'Parametric VAR'!$F$13</f>
        <v>-2.8682193012943492E-2</v>
      </c>
      <c r="F594">
        <f t="shared" si="58"/>
        <v>0</v>
      </c>
      <c r="G594" s="67">
        <f>'Historical VAR'!$G$6</f>
        <v>-1.9839729167757107E-2</v>
      </c>
      <c r="H594">
        <f t="shared" si="59"/>
        <v>0</v>
      </c>
      <c r="I594" s="67">
        <f>'Historical VAR'!$G$7</f>
        <v>-3.1428916759065853E-2</v>
      </c>
      <c r="J594">
        <f t="shared" si="60"/>
        <v>0</v>
      </c>
      <c r="K594" s="67">
        <f ca="1">'Monte Carlo Stimulation'!$I$8</f>
        <v>-2.1559270710709389E-2</v>
      </c>
      <c r="L594">
        <f t="shared" ca="1" si="61"/>
        <v>0</v>
      </c>
      <c r="M594" s="67">
        <f ca="1">'Monte Carlo Stimulation'!$I$9</f>
        <v>-2.919314405717207E-2</v>
      </c>
      <c r="N594">
        <f t="shared" ca="1" si="62"/>
        <v>0</v>
      </c>
    </row>
    <row r="595" spans="1:14">
      <c r="A595" s="12">
        <v>45239</v>
      </c>
      <c r="B595" s="14">
        <v>5.0671130683055355E-4</v>
      </c>
      <c r="C595" s="67">
        <f>'Parametric VAR'!$F$12</f>
        <v>-2.023068247926026E-2</v>
      </c>
      <c r="D595">
        <f t="shared" si="57"/>
        <v>0</v>
      </c>
      <c r="E595" s="67">
        <f>'Parametric VAR'!$F$13</f>
        <v>-2.8682193012943492E-2</v>
      </c>
      <c r="F595">
        <f t="shared" si="58"/>
        <v>0</v>
      </c>
      <c r="G595" s="67">
        <f>'Historical VAR'!$G$6</f>
        <v>-1.9839729167757107E-2</v>
      </c>
      <c r="H595">
        <f t="shared" si="59"/>
        <v>0</v>
      </c>
      <c r="I595" s="67">
        <f>'Historical VAR'!$G$7</f>
        <v>-3.1428916759065853E-2</v>
      </c>
      <c r="J595">
        <f t="shared" si="60"/>
        <v>0</v>
      </c>
      <c r="K595" s="67">
        <f ca="1">'Monte Carlo Stimulation'!$I$8</f>
        <v>-2.1559270710709389E-2</v>
      </c>
      <c r="L595">
        <f t="shared" ca="1" si="61"/>
        <v>0</v>
      </c>
      <c r="M595" s="67">
        <f ca="1">'Monte Carlo Stimulation'!$I$9</f>
        <v>-2.919314405717207E-2</v>
      </c>
      <c r="N595">
        <f t="shared" ca="1" si="62"/>
        <v>0</v>
      </c>
    </row>
    <row r="596" spans="1:14">
      <c r="A596" s="12">
        <v>45238</v>
      </c>
      <c r="B596" s="14">
        <v>5.552653583029696E-3</v>
      </c>
      <c r="C596" s="67">
        <f>'Parametric VAR'!$F$12</f>
        <v>-2.023068247926026E-2</v>
      </c>
      <c r="D596">
        <f t="shared" si="57"/>
        <v>0</v>
      </c>
      <c r="E596" s="67">
        <f>'Parametric VAR'!$F$13</f>
        <v>-2.8682193012943492E-2</v>
      </c>
      <c r="F596">
        <f t="shared" si="58"/>
        <v>0</v>
      </c>
      <c r="G596" s="67">
        <f>'Historical VAR'!$G$6</f>
        <v>-1.9839729167757107E-2</v>
      </c>
      <c r="H596">
        <f t="shared" si="59"/>
        <v>0</v>
      </c>
      <c r="I596" s="67">
        <f>'Historical VAR'!$G$7</f>
        <v>-3.1428916759065853E-2</v>
      </c>
      <c r="J596">
        <f t="shared" si="60"/>
        <v>0</v>
      </c>
      <c r="K596" s="67">
        <f ca="1">'Monte Carlo Stimulation'!$I$8</f>
        <v>-2.1559270710709389E-2</v>
      </c>
      <c r="L596">
        <f t="shared" ca="1" si="61"/>
        <v>0</v>
      </c>
      <c r="M596" s="67">
        <f ca="1">'Monte Carlo Stimulation'!$I$9</f>
        <v>-2.919314405717207E-2</v>
      </c>
      <c r="N596">
        <f t="shared" ca="1" si="62"/>
        <v>0</v>
      </c>
    </row>
    <row r="597" spans="1:14">
      <c r="A597" s="12">
        <v>45237</v>
      </c>
      <c r="B597" s="14">
        <v>-1.9400755836371627E-2</v>
      </c>
      <c r="C597" s="67">
        <f>'Parametric VAR'!$F$12</f>
        <v>-2.023068247926026E-2</v>
      </c>
      <c r="D597">
        <f t="shared" si="57"/>
        <v>0</v>
      </c>
      <c r="E597" s="67">
        <f>'Parametric VAR'!$F$13</f>
        <v>-2.8682193012943492E-2</v>
      </c>
      <c r="F597">
        <f t="shared" si="58"/>
        <v>0</v>
      </c>
      <c r="G597" s="67">
        <f>'Historical VAR'!$G$6</f>
        <v>-1.9839729167757107E-2</v>
      </c>
      <c r="H597">
        <f t="shared" si="59"/>
        <v>0</v>
      </c>
      <c r="I597" s="67">
        <f>'Historical VAR'!$G$7</f>
        <v>-3.1428916759065853E-2</v>
      </c>
      <c r="J597">
        <f t="shared" si="60"/>
        <v>0</v>
      </c>
      <c r="K597" s="67">
        <f ca="1">'Monte Carlo Stimulation'!$I$8</f>
        <v>-2.1559270710709389E-2</v>
      </c>
      <c r="L597">
        <f t="shared" ca="1" si="61"/>
        <v>0</v>
      </c>
      <c r="M597" s="67">
        <f ca="1">'Monte Carlo Stimulation'!$I$9</f>
        <v>-2.919314405717207E-2</v>
      </c>
      <c r="N597">
        <f t="shared" ca="1" si="62"/>
        <v>0</v>
      </c>
    </row>
    <row r="598" spans="1:14">
      <c r="A598" s="12">
        <v>45236</v>
      </c>
      <c r="B598" s="14">
        <v>-1.3292967176452694E-3</v>
      </c>
      <c r="C598" s="67">
        <f>'Parametric VAR'!$F$12</f>
        <v>-2.023068247926026E-2</v>
      </c>
      <c r="D598">
        <f t="shared" si="57"/>
        <v>0</v>
      </c>
      <c r="E598" s="67">
        <f>'Parametric VAR'!$F$13</f>
        <v>-2.8682193012943492E-2</v>
      </c>
      <c r="F598">
        <f t="shared" si="58"/>
        <v>0</v>
      </c>
      <c r="G598" s="67">
        <f>'Historical VAR'!$G$6</f>
        <v>-1.9839729167757107E-2</v>
      </c>
      <c r="H598">
        <f t="shared" si="59"/>
        <v>0</v>
      </c>
      <c r="I598" s="67">
        <f>'Historical VAR'!$G$7</f>
        <v>-3.1428916759065853E-2</v>
      </c>
      <c r="J598">
        <f t="shared" si="60"/>
        <v>0</v>
      </c>
      <c r="K598" s="67">
        <f ca="1">'Monte Carlo Stimulation'!$I$8</f>
        <v>-2.1559270710709389E-2</v>
      </c>
      <c r="L598">
        <f t="shared" ca="1" si="61"/>
        <v>0</v>
      </c>
      <c r="M598" s="67">
        <f ca="1">'Monte Carlo Stimulation'!$I$9</f>
        <v>-2.919314405717207E-2</v>
      </c>
      <c r="N598">
        <f t="shared" ca="1" si="62"/>
        <v>0</v>
      </c>
    </row>
    <row r="599" spans="1:14">
      <c r="A599" s="12">
        <v>45233</v>
      </c>
      <c r="B599" s="14">
        <v>-1.6611866456244396E-2</v>
      </c>
      <c r="C599" s="67">
        <f>'Parametric VAR'!$F$12</f>
        <v>-2.023068247926026E-2</v>
      </c>
      <c r="D599">
        <f t="shared" si="57"/>
        <v>0</v>
      </c>
      <c r="E599" s="67">
        <f>'Parametric VAR'!$F$13</f>
        <v>-2.8682193012943492E-2</v>
      </c>
      <c r="F599">
        <f t="shared" si="58"/>
        <v>0</v>
      </c>
      <c r="G599" s="67">
        <f>'Historical VAR'!$G$6</f>
        <v>-1.9839729167757107E-2</v>
      </c>
      <c r="H599">
        <f t="shared" si="59"/>
        <v>0</v>
      </c>
      <c r="I599" s="67">
        <f>'Historical VAR'!$G$7</f>
        <v>-3.1428916759065853E-2</v>
      </c>
      <c r="J599">
        <f t="shared" si="60"/>
        <v>0</v>
      </c>
      <c r="K599" s="67">
        <f ca="1">'Monte Carlo Stimulation'!$I$8</f>
        <v>-2.1559270710709389E-2</v>
      </c>
      <c r="L599">
        <f t="shared" ca="1" si="61"/>
        <v>0</v>
      </c>
      <c r="M599" s="67">
        <f ca="1">'Monte Carlo Stimulation'!$I$9</f>
        <v>-2.919314405717207E-2</v>
      </c>
      <c r="N599">
        <f t="shared" ca="1" si="62"/>
        <v>0</v>
      </c>
    </row>
    <row r="600" spans="1:14">
      <c r="A600" s="12">
        <v>45232</v>
      </c>
      <c r="B600" s="14">
        <v>-6.2227929704591761E-3</v>
      </c>
      <c r="C600" s="67">
        <f>'Parametric VAR'!$F$12</f>
        <v>-2.023068247926026E-2</v>
      </c>
      <c r="D600">
        <f t="shared" si="57"/>
        <v>0</v>
      </c>
      <c r="E600" s="67">
        <f>'Parametric VAR'!$F$13</f>
        <v>-2.8682193012943492E-2</v>
      </c>
      <c r="F600">
        <f t="shared" si="58"/>
        <v>0</v>
      </c>
      <c r="G600" s="67">
        <f>'Historical VAR'!$G$6</f>
        <v>-1.9839729167757107E-2</v>
      </c>
      <c r="H600">
        <f t="shared" si="59"/>
        <v>0</v>
      </c>
      <c r="I600" s="67">
        <f>'Historical VAR'!$G$7</f>
        <v>-3.1428916759065853E-2</v>
      </c>
      <c r="J600">
        <f t="shared" si="60"/>
        <v>0</v>
      </c>
      <c r="K600" s="67">
        <f ca="1">'Monte Carlo Stimulation'!$I$8</f>
        <v>-2.1559270710709389E-2</v>
      </c>
      <c r="L600">
        <f t="shared" ca="1" si="61"/>
        <v>0</v>
      </c>
      <c r="M600" s="67">
        <f ca="1">'Monte Carlo Stimulation'!$I$9</f>
        <v>-2.919314405717207E-2</v>
      </c>
      <c r="N600">
        <f t="shared" ca="1" si="62"/>
        <v>0</v>
      </c>
    </row>
    <row r="601" spans="1:14">
      <c r="A601" s="12">
        <v>45231</v>
      </c>
      <c r="B601" s="14">
        <v>-5.2184570889315177E-3</v>
      </c>
      <c r="C601" s="67">
        <f>'Parametric VAR'!$F$12</f>
        <v>-2.023068247926026E-2</v>
      </c>
      <c r="D601">
        <f t="shared" si="57"/>
        <v>0</v>
      </c>
      <c r="E601" s="67">
        <f>'Parametric VAR'!$F$13</f>
        <v>-2.8682193012943492E-2</v>
      </c>
      <c r="F601">
        <f t="shared" si="58"/>
        <v>0</v>
      </c>
      <c r="G601" s="67">
        <f>'Historical VAR'!$G$6</f>
        <v>-1.9839729167757107E-2</v>
      </c>
      <c r="H601">
        <f t="shared" si="59"/>
        <v>0</v>
      </c>
      <c r="I601" s="67">
        <f>'Historical VAR'!$G$7</f>
        <v>-3.1428916759065853E-2</v>
      </c>
      <c r="J601">
        <f t="shared" si="60"/>
        <v>0</v>
      </c>
      <c r="K601" s="67">
        <f ca="1">'Monte Carlo Stimulation'!$I$8</f>
        <v>-2.1559270710709389E-2</v>
      </c>
      <c r="L601">
        <f t="shared" ca="1" si="61"/>
        <v>0</v>
      </c>
      <c r="M601" s="67">
        <f ca="1">'Monte Carlo Stimulation'!$I$9</f>
        <v>-2.919314405717207E-2</v>
      </c>
      <c r="N601">
        <f t="shared" ca="1" si="62"/>
        <v>0</v>
      </c>
    </row>
    <row r="602" spans="1:14">
      <c r="A602" s="12">
        <v>45230</v>
      </c>
      <c r="B602" s="14">
        <v>1.7815604984882032E-2</v>
      </c>
      <c r="C602" s="67">
        <f>'Parametric VAR'!$F$12</f>
        <v>-2.023068247926026E-2</v>
      </c>
      <c r="D602">
        <f t="shared" si="57"/>
        <v>0</v>
      </c>
      <c r="E602" s="67">
        <f>'Parametric VAR'!$F$13</f>
        <v>-2.8682193012943492E-2</v>
      </c>
      <c r="F602">
        <f t="shared" si="58"/>
        <v>0</v>
      </c>
      <c r="G602" s="67">
        <f>'Historical VAR'!$G$6</f>
        <v>-1.9839729167757107E-2</v>
      </c>
      <c r="H602">
        <f t="shared" si="59"/>
        <v>0</v>
      </c>
      <c r="I602" s="67">
        <f>'Historical VAR'!$G$7</f>
        <v>-3.1428916759065853E-2</v>
      </c>
      <c r="J602">
        <f t="shared" si="60"/>
        <v>0</v>
      </c>
      <c r="K602" s="67">
        <f ca="1">'Monte Carlo Stimulation'!$I$8</f>
        <v>-2.1559270710709389E-2</v>
      </c>
      <c r="L602">
        <f t="shared" ca="1" si="61"/>
        <v>0</v>
      </c>
      <c r="M602" s="67">
        <f ca="1">'Monte Carlo Stimulation'!$I$9</f>
        <v>-2.919314405717207E-2</v>
      </c>
      <c r="N602">
        <f t="shared" ca="1" si="62"/>
        <v>0</v>
      </c>
    </row>
    <row r="603" spans="1:14">
      <c r="A603" s="12">
        <v>45229</v>
      </c>
      <c r="B603" s="14">
        <v>-1.0928326032616452E-2</v>
      </c>
      <c r="C603" s="67">
        <f>'Parametric VAR'!$F$12</f>
        <v>-2.023068247926026E-2</v>
      </c>
      <c r="D603">
        <f t="shared" si="57"/>
        <v>0</v>
      </c>
      <c r="E603" s="67">
        <f>'Parametric VAR'!$F$13</f>
        <v>-2.8682193012943492E-2</v>
      </c>
      <c r="F603">
        <f t="shared" si="58"/>
        <v>0</v>
      </c>
      <c r="G603" s="67">
        <f>'Historical VAR'!$G$6</f>
        <v>-1.9839729167757107E-2</v>
      </c>
      <c r="H603">
        <f t="shared" si="59"/>
        <v>0</v>
      </c>
      <c r="I603" s="67">
        <f>'Historical VAR'!$G$7</f>
        <v>-3.1428916759065853E-2</v>
      </c>
      <c r="J603">
        <f t="shared" si="60"/>
        <v>0</v>
      </c>
      <c r="K603" s="67">
        <f ca="1">'Monte Carlo Stimulation'!$I$8</f>
        <v>-2.1559270710709389E-2</v>
      </c>
      <c r="L603">
        <f t="shared" ca="1" si="61"/>
        <v>0</v>
      </c>
      <c r="M603" s="67">
        <f ca="1">'Monte Carlo Stimulation'!$I$9</f>
        <v>-2.919314405717207E-2</v>
      </c>
      <c r="N603">
        <f t="shared" ca="1" si="62"/>
        <v>0</v>
      </c>
    </row>
    <row r="604" spans="1:14">
      <c r="A604" s="12">
        <v>45226</v>
      </c>
      <c r="B604" s="14">
        <v>-5.2111228084957256E-3</v>
      </c>
      <c r="C604" s="67">
        <f>'Parametric VAR'!$F$12</f>
        <v>-2.023068247926026E-2</v>
      </c>
      <c r="D604">
        <f t="shared" si="57"/>
        <v>0</v>
      </c>
      <c r="E604" s="67">
        <f>'Parametric VAR'!$F$13</f>
        <v>-2.8682193012943492E-2</v>
      </c>
      <c r="F604">
        <f t="shared" si="58"/>
        <v>0</v>
      </c>
      <c r="G604" s="67">
        <f>'Historical VAR'!$G$6</f>
        <v>-1.9839729167757107E-2</v>
      </c>
      <c r="H604">
        <f t="shared" si="59"/>
        <v>0</v>
      </c>
      <c r="I604" s="67">
        <f>'Historical VAR'!$G$7</f>
        <v>-3.1428916759065853E-2</v>
      </c>
      <c r="J604">
        <f t="shared" si="60"/>
        <v>0</v>
      </c>
      <c r="K604" s="67">
        <f ca="1">'Monte Carlo Stimulation'!$I$8</f>
        <v>-2.1559270710709389E-2</v>
      </c>
      <c r="L604">
        <f t="shared" ca="1" si="61"/>
        <v>0</v>
      </c>
      <c r="M604" s="67">
        <f ca="1">'Monte Carlo Stimulation'!$I$9</f>
        <v>-2.919314405717207E-2</v>
      </c>
      <c r="N604">
        <f t="shared" ca="1" si="62"/>
        <v>0</v>
      </c>
    </row>
    <row r="605" spans="1:14">
      <c r="A605" s="12">
        <v>45225</v>
      </c>
      <c r="B605" s="14">
        <v>7.0212880274550971E-4</v>
      </c>
      <c r="C605" s="67">
        <f>'Parametric VAR'!$F$12</f>
        <v>-2.023068247926026E-2</v>
      </c>
      <c r="D605">
        <f t="shared" si="57"/>
        <v>0</v>
      </c>
      <c r="E605" s="67">
        <f>'Parametric VAR'!$F$13</f>
        <v>-2.8682193012943492E-2</v>
      </c>
      <c r="F605">
        <f t="shared" si="58"/>
        <v>0</v>
      </c>
      <c r="G605" s="67">
        <f>'Historical VAR'!$G$6</f>
        <v>-1.9839729167757107E-2</v>
      </c>
      <c r="H605">
        <f t="shared" si="59"/>
        <v>0</v>
      </c>
      <c r="I605" s="67">
        <f>'Historical VAR'!$G$7</f>
        <v>-3.1428916759065853E-2</v>
      </c>
      <c r="J605">
        <f t="shared" si="60"/>
        <v>0</v>
      </c>
      <c r="K605" s="67">
        <f ca="1">'Monte Carlo Stimulation'!$I$8</f>
        <v>-2.1559270710709389E-2</v>
      </c>
      <c r="L605">
        <f t="shared" ca="1" si="61"/>
        <v>0</v>
      </c>
      <c r="M605" s="67">
        <f ca="1">'Monte Carlo Stimulation'!$I$9</f>
        <v>-2.919314405717207E-2</v>
      </c>
      <c r="N605">
        <f t="shared" ca="1" si="62"/>
        <v>0</v>
      </c>
    </row>
    <row r="606" spans="1:14">
      <c r="A606" s="12">
        <v>45224</v>
      </c>
      <c r="B606" s="14">
        <v>3.2067312618753396E-2</v>
      </c>
      <c r="C606" s="67">
        <f>'Parametric VAR'!$F$12</f>
        <v>-2.023068247926026E-2</v>
      </c>
      <c r="D606">
        <f t="shared" si="57"/>
        <v>0</v>
      </c>
      <c r="E606" s="67">
        <f>'Parametric VAR'!$F$13</f>
        <v>-2.8682193012943492E-2</v>
      </c>
      <c r="F606">
        <f t="shared" si="58"/>
        <v>0</v>
      </c>
      <c r="G606" s="67">
        <f>'Historical VAR'!$G$6</f>
        <v>-1.9839729167757107E-2</v>
      </c>
      <c r="H606">
        <f t="shared" si="59"/>
        <v>0</v>
      </c>
      <c r="I606" s="67">
        <f>'Historical VAR'!$G$7</f>
        <v>-3.1428916759065853E-2</v>
      </c>
      <c r="J606">
        <f t="shared" si="60"/>
        <v>0</v>
      </c>
      <c r="K606" s="67">
        <f ca="1">'Monte Carlo Stimulation'!$I$8</f>
        <v>-2.1559270710709389E-2</v>
      </c>
      <c r="L606">
        <f t="shared" ca="1" si="61"/>
        <v>0</v>
      </c>
      <c r="M606" s="67">
        <f ca="1">'Monte Carlo Stimulation'!$I$9</f>
        <v>-2.919314405717207E-2</v>
      </c>
      <c r="N606">
        <f t="shared" ca="1" si="62"/>
        <v>0</v>
      </c>
    </row>
    <row r="607" spans="1:14">
      <c r="A607" s="12">
        <v>45222</v>
      </c>
      <c r="B607" s="14">
        <v>6.0741239072921276E-3</v>
      </c>
      <c r="C607" s="67">
        <f>'Parametric VAR'!$F$12</f>
        <v>-2.023068247926026E-2</v>
      </c>
      <c r="D607">
        <f t="shared" si="57"/>
        <v>0</v>
      </c>
      <c r="E607" s="67">
        <f>'Parametric VAR'!$F$13</f>
        <v>-2.8682193012943492E-2</v>
      </c>
      <c r="F607">
        <f t="shared" si="58"/>
        <v>0</v>
      </c>
      <c r="G607" s="67">
        <f>'Historical VAR'!$G$6</f>
        <v>-1.9839729167757107E-2</v>
      </c>
      <c r="H607">
        <f t="shared" si="59"/>
        <v>0</v>
      </c>
      <c r="I607" s="67">
        <f>'Historical VAR'!$G$7</f>
        <v>-3.1428916759065853E-2</v>
      </c>
      <c r="J607">
        <f t="shared" si="60"/>
        <v>0</v>
      </c>
      <c r="K607" s="67">
        <f ca="1">'Monte Carlo Stimulation'!$I$8</f>
        <v>-2.1559270710709389E-2</v>
      </c>
      <c r="L607">
        <f t="shared" ca="1" si="61"/>
        <v>0</v>
      </c>
      <c r="M607" s="67">
        <f ca="1">'Monte Carlo Stimulation'!$I$9</f>
        <v>-2.919314405717207E-2</v>
      </c>
      <c r="N607">
        <f t="shared" ca="1" si="62"/>
        <v>0</v>
      </c>
    </row>
    <row r="608" spans="1:14">
      <c r="A608" s="12">
        <v>45219</v>
      </c>
      <c r="B608" s="14">
        <v>1.2757412747905712E-2</v>
      </c>
      <c r="C608" s="67">
        <f>'Parametric VAR'!$F$12</f>
        <v>-2.023068247926026E-2</v>
      </c>
      <c r="D608">
        <f t="shared" si="57"/>
        <v>0</v>
      </c>
      <c r="E608" s="67">
        <f>'Parametric VAR'!$F$13</f>
        <v>-2.8682193012943492E-2</v>
      </c>
      <c r="F608">
        <f t="shared" si="58"/>
        <v>0</v>
      </c>
      <c r="G608" s="67">
        <f>'Historical VAR'!$G$6</f>
        <v>-1.9839729167757107E-2</v>
      </c>
      <c r="H608">
        <f t="shared" si="59"/>
        <v>0</v>
      </c>
      <c r="I608" s="67">
        <f>'Historical VAR'!$G$7</f>
        <v>-3.1428916759065853E-2</v>
      </c>
      <c r="J608">
        <f t="shared" si="60"/>
        <v>0</v>
      </c>
      <c r="K608" s="67">
        <f ca="1">'Monte Carlo Stimulation'!$I$8</f>
        <v>-2.1559270710709389E-2</v>
      </c>
      <c r="L608">
        <f t="shared" ca="1" si="61"/>
        <v>0</v>
      </c>
      <c r="M608" s="67">
        <f ca="1">'Monte Carlo Stimulation'!$I$9</f>
        <v>-2.919314405717207E-2</v>
      </c>
      <c r="N608">
        <f t="shared" ca="1" si="62"/>
        <v>0</v>
      </c>
    </row>
    <row r="609" spans="1:14">
      <c r="A609" s="12">
        <v>45218</v>
      </c>
      <c r="B609" s="14">
        <v>-2.6923621104375994E-3</v>
      </c>
      <c r="C609" s="67">
        <f>'Parametric VAR'!$F$12</f>
        <v>-2.023068247926026E-2</v>
      </c>
      <c r="D609">
        <f t="shared" si="57"/>
        <v>0</v>
      </c>
      <c r="E609" s="67">
        <f>'Parametric VAR'!$F$13</f>
        <v>-2.8682193012943492E-2</v>
      </c>
      <c r="F609">
        <f t="shared" si="58"/>
        <v>0</v>
      </c>
      <c r="G609" s="67">
        <f>'Historical VAR'!$G$6</f>
        <v>-1.9839729167757107E-2</v>
      </c>
      <c r="H609">
        <f t="shared" si="59"/>
        <v>0</v>
      </c>
      <c r="I609" s="67">
        <f>'Historical VAR'!$G$7</f>
        <v>-3.1428916759065853E-2</v>
      </c>
      <c r="J609">
        <f t="shared" si="60"/>
        <v>0</v>
      </c>
      <c r="K609" s="67">
        <f ca="1">'Monte Carlo Stimulation'!$I$8</f>
        <v>-2.1559270710709389E-2</v>
      </c>
      <c r="L609">
        <f t="shared" ca="1" si="61"/>
        <v>0</v>
      </c>
      <c r="M609" s="67">
        <f ca="1">'Monte Carlo Stimulation'!$I$9</f>
        <v>-2.919314405717207E-2</v>
      </c>
      <c r="N609">
        <f t="shared" ca="1" si="62"/>
        <v>0</v>
      </c>
    </row>
    <row r="610" spans="1:14">
      <c r="A610" s="12">
        <v>45217</v>
      </c>
      <c r="B610" s="14">
        <v>-2.0086778122044824E-3</v>
      </c>
      <c r="C610" s="67">
        <f>'Parametric VAR'!$F$12</f>
        <v>-2.023068247926026E-2</v>
      </c>
      <c r="D610">
        <f t="shared" si="57"/>
        <v>0</v>
      </c>
      <c r="E610" s="67">
        <f>'Parametric VAR'!$F$13</f>
        <v>-2.8682193012943492E-2</v>
      </c>
      <c r="F610">
        <f t="shared" si="58"/>
        <v>0</v>
      </c>
      <c r="G610" s="67">
        <f>'Historical VAR'!$G$6</f>
        <v>-1.9839729167757107E-2</v>
      </c>
      <c r="H610">
        <f t="shared" si="59"/>
        <v>0</v>
      </c>
      <c r="I610" s="67">
        <f>'Historical VAR'!$G$7</f>
        <v>-3.1428916759065853E-2</v>
      </c>
      <c r="J610">
        <f t="shared" si="60"/>
        <v>0</v>
      </c>
      <c r="K610" s="67">
        <f ca="1">'Monte Carlo Stimulation'!$I$8</f>
        <v>-2.1559270710709389E-2</v>
      </c>
      <c r="L610">
        <f t="shared" ca="1" si="61"/>
        <v>0</v>
      </c>
      <c r="M610" s="67">
        <f ca="1">'Monte Carlo Stimulation'!$I$9</f>
        <v>-2.919314405717207E-2</v>
      </c>
      <c r="N610">
        <f t="shared" ca="1" si="62"/>
        <v>0</v>
      </c>
    </row>
    <row r="611" spans="1:14">
      <c r="A611" s="12">
        <v>45216</v>
      </c>
      <c r="B611" s="14">
        <v>4.5690146428894324E-3</v>
      </c>
      <c r="C611" s="67">
        <f>'Parametric VAR'!$F$12</f>
        <v>-2.023068247926026E-2</v>
      </c>
      <c r="D611">
        <f t="shared" si="57"/>
        <v>0</v>
      </c>
      <c r="E611" s="67">
        <f>'Parametric VAR'!$F$13</f>
        <v>-2.8682193012943492E-2</v>
      </c>
      <c r="F611">
        <f t="shared" si="58"/>
        <v>0</v>
      </c>
      <c r="G611" s="67">
        <f>'Historical VAR'!$G$6</f>
        <v>-1.9839729167757107E-2</v>
      </c>
      <c r="H611">
        <f t="shared" si="59"/>
        <v>0</v>
      </c>
      <c r="I611" s="67">
        <f>'Historical VAR'!$G$7</f>
        <v>-3.1428916759065853E-2</v>
      </c>
      <c r="J611">
        <f t="shared" si="60"/>
        <v>0</v>
      </c>
      <c r="K611" s="67">
        <f ca="1">'Monte Carlo Stimulation'!$I$8</f>
        <v>-2.1559270710709389E-2</v>
      </c>
      <c r="L611">
        <f t="shared" ca="1" si="61"/>
        <v>0</v>
      </c>
      <c r="M611" s="67">
        <f ca="1">'Monte Carlo Stimulation'!$I$9</f>
        <v>-2.919314405717207E-2</v>
      </c>
      <c r="N611">
        <f t="shared" ca="1" si="62"/>
        <v>0</v>
      </c>
    </row>
    <row r="612" spans="1:14">
      <c r="A612" s="12">
        <v>45215</v>
      </c>
      <c r="B612" s="14">
        <v>-2.3957908232980986E-3</v>
      </c>
      <c r="C612" s="67">
        <f>'Parametric VAR'!$F$12</f>
        <v>-2.023068247926026E-2</v>
      </c>
      <c r="D612">
        <f t="shared" si="57"/>
        <v>0</v>
      </c>
      <c r="E612" s="67">
        <f>'Parametric VAR'!$F$13</f>
        <v>-2.8682193012943492E-2</v>
      </c>
      <c r="F612">
        <f t="shared" si="58"/>
        <v>0</v>
      </c>
      <c r="G612" s="67">
        <f>'Historical VAR'!$G$6</f>
        <v>-1.9839729167757107E-2</v>
      </c>
      <c r="H612">
        <f t="shared" si="59"/>
        <v>0</v>
      </c>
      <c r="I612" s="67">
        <f>'Historical VAR'!$G$7</f>
        <v>-3.1428916759065853E-2</v>
      </c>
      <c r="J612">
        <f t="shared" si="60"/>
        <v>0</v>
      </c>
      <c r="K612" s="67">
        <f ca="1">'Monte Carlo Stimulation'!$I$8</f>
        <v>-2.1559270710709389E-2</v>
      </c>
      <c r="L612">
        <f t="shared" ca="1" si="61"/>
        <v>0</v>
      </c>
      <c r="M612" s="67">
        <f ca="1">'Monte Carlo Stimulation'!$I$9</f>
        <v>-2.919314405717207E-2</v>
      </c>
      <c r="N612">
        <f t="shared" ca="1" si="62"/>
        <v>0</v>
      </c>
    </row>
    <row r="613" spans="1:14">
      <c r="A613" s="12">
        <v>45212</v>
      </c>
      <c r="B613" s="14">
        <v>8.9977340534088956E-3</v>
      </c>
      <c r="C613" s="67">
        <f>'Parametric VAR'!$F$12</f>
        <v>-2.023068247926026E-2</v>
      </c>
      <c r="D613">
        <f t="shared" si="57"/>
        <v>0</v>
      </c>
      <c r="E613" s="67">
        <f>'Parametric VAR'!$F$13</f>
        <v>-2.8682193012943492E-2</v>
      </c>
      <c r="F613">
        <f t="shared" si="58"/>
        <v>0</v>
      </c>
      <c r="G613" s="67">
        <f>'Historical VAR'!$G$6</f>
        <v>-1.9839729167757107E-2</v>
      </c>
      <c r="H613">
        <f t="shared" si="59"/>
        <v>0</v>
      </c>
      <c r="I613" s="67">
        <f>'Historical VAR'!$G$7</f>
        <v>-3.1428916759065853E-2</v>
      </c>
      <c r="J613">
        <f t="shared" si="60"/>
        <v>0</v>
      </c>
      <c r="K613" s="67">
        <f ca="1">'Monte Carlo Stimulation'!$I$8</f>
        <v>-2.1559270710709389E-2</v>
      </c>
      <c r="L613">
        <f t="shared" ca="1" si="61"/>
        <v>0</v>
      </c>
      <c r="M613" s="67">
        <f ca="1">'Monte Carlo Stimulation'!$I$9</f>
        <v>-2.919314405717207E-2</v>
      </c>
      <c r="N613">
        <f t="shared" ca="1" si="62"/>
        <v>0</v>
      </c>
    </row>
    <row r="614" spans="1:14">
      <c r="A614" s="12">
        <v>45211</v>
      </c>
      <c r="B614" s="14">
        <v>1.4060669874958944E-3</v>
      </c>
      <c r="C614" s="67">
        <f>'Parametric VAR'!$F$12</f>
        <v>-2.023068247926026E-2</v>
      </c>
      <c r="D614">
        <f t="shared" si="57"/>
        <v>0</v>
      </c>
      <c r="E614" s="67">
        <f>'Parametric VAR'!$F$13</f>
        <v>-2.8682193012943492E-2</v>
      </c>
      <c r="F614">
        <f t="shared" si="58"/>
        <v>0</v>
      </c>
      <c r="G614" s="67">
        <f>'Historical VAR'!$G$6</f>
        <v>-1.9839729167757107E-2</v>
      </c>
      <c r="H614">
        <f t="shared" si="59"/>
        <v>0</v>
      </c>
      <c r="I614" s="67">
        <f>'Historical VAR'!$G$7</f>
        <v>-3.1428916759065853E-2</v>
      </c>
      <c r="J614">
        <f t="shared" si="60"/>
        <v>0</v>
      </c>
      <c r="K614" s="67">
        <f ca="1">'Monte Carlo Stimulation'!$I$8</f>
        <v>-2.1559270710709389E-2</v>
      </c>
      <c r="L614">
        <f t="shared" ca="1" si="61"/>
        <v>0</v>
      </c>
      <c r="M614" s="67">
        <f ca="1">'Monte Carlo Stimulation'!$I$9</f>
        <v>-2.919314405717207E-2</v>
      </c>
      <c r="N614">
        <f t="shared" ca="1" si="62"/>
        <v>0</v>
      </c>
    </row>
    <row r="615" spans="1:14">
      <c r="A615" s="12">
        <v>45210</v>
      </c>
      <c r="B615" s="14">
        <v>-7.8248502894245702E-4</v>
      </c>
      <c r="C615" s="67">
        <f>'Parametric VAR'!$F$12</f>
        <v>-2.023068247926026E-2</v>
      </c>
      <c r="D615">
        <f t="shared" si="57"/>
        <v>0</v>
      </c>
      <c r="E615" s="67">
        <f>'Parametric VAR'!$F$13</f>
        <v>-2.8682193012943492E-2</v>
      </c>
      <c r="F615">
        <f t="shared" si="58"/>
        <v>0</v>
      </c>
      <c r="G615" s="67">
        <f>'Historical VAR'!$G$6</f>
        <v>-1.9839729167757107E-2</v>
      </c>
      <c r="H615">
        <f t="shared" si="59"/>
        <v>0</v>
      </c>
      <c r="I615" s="67">
        <f>'Historical VAR'!$G$7</f>
        <v>-3.1428916759065853E-2</v>
      </c>
      <c r="J615">
        <f t="shared" si="60"/>
        <v>0</v>
      </c>
      <c r="K615" s="67">
        <f ca="1">'Monte Carlo Stimulation'!$I$8</f>
        <v>-2.1559270710709389E-2</v>
      </c>
      <c r="L615">
        <f t="shared" ca="1" si="61"/>
        <v>0</v>
      </c>
      <c r="M615" s="67">
        <f ca="1">'Monte Carlo Stimulation'!$I$9</f>
        <v>-2.919314405717207E-2</v>
      </c>
      <c r="N615">
        <f t="shared" ca="1" si="62"/>
        <v>0</v>
      </c>
    </row>
    <row r="616" spans="1:14">
      <c r="A616" s="12">
        <v>45209</v>
      </c>
      <c r="B616" s="14">
        <v>-2.8413528157720663E-3</v>
      </c>
      <c r="C616" s="67">
        <f>'Parametric VAR'!$F$12</f>
        <v>-2.023068247926026E-2</v>
      </c>
      <c r="D616">
        <f t="shared" si="57"/>
        <v>0</v>
      </c>
      <c r="E616" s="67">
        <f>'Parametric VAR'!$F$13</f>
        <v>-2.8682193012943492E-2</v>
      </c>
      <c r="F616">
        <f t="shared" si="58"/>
        <v>0</v>
      </c>
      <c r="G616" s="67">
        <f>'Historical VAR'!$G$6</f>
        <v>-1.9839729167757107E-2</v>
      </c>
      <c r="H616">
        <f t="shared" si="59"/>
        <v>0</v>
      </c>
      <c r="I616" s="67">
        <f>'Historical VAR'!$G$7</f>
        <v>-3.1428916759065853E-2</v>
      </c>
      <c r="J616">
        <f t="shared" si="60"/>
        <v>0</v>
      </c>
      <c r="K616" s="67">
        <f ca="1">'Monte Carlo Stimulation'!$I$8</f>
        <v>-2.1559270710709389E-2</v>
      </c>
      <c r="L616">
        <f t="shared" ca="1" si="61"/>
        <v>0</v>
      </c>
      <c r="M616" s="67">
        <f ca="1">'Monte Carlo Stimulation'!$I$9</f>
        <v>-2.919314405717207E-2</v>
      </c>
      <c r="N616">
        <f t="shared" ca="1" si="62"/>
        <v>0</v>
      </c>
    </row>
    <row r="617" spans="1:14">
      <c r="A617" s="12">
        <v>45208</v>
      </c>
      <c r="B617" s="14">
        <v>-1.534936096637194E-4</v>
      </c>
      <c r="C617" s="67">
        <f>'Parametric VAR'!$F$12</f>
        <v>-2.023068247926026E-2</v>
      </c>
      <c r="D617">
        <f t="shared" si="57"/>
        <v>0</v>
      </c>
      <c r="E617" s="67">
        <f>'Parametric VAR'!$F$13</f>
        <v>-2.8682193012943492E-2</v>
      </c>
      <c r="F617">
        <f t="shared" si="58"/>
        <v>0</v>
      </c>
      <c r="G617" s="67">
        <f>'Historical VAR'!$G$6</f>
        <v>-1.9839729167757107E-2</v>
      </c>
      <c r="H617">
        <f t="shared" si="59"/>
        <v>0</v>
      </c>
      <c r="I617" s="67">
        <f>'Historical VAR'!$G$7</f>
        <v>-3.1428916759065853E-2</v>
      </c>
      <c r="J617">
        <f t="shared" si="60"/>
        <v>0</v>
      </c>
      <c r="K617" s="67">
        <f ca="1">'Monte Carlo Stimulation'!$I$8</f>
        <v>-2.1559270710709389E-2</v>
      </c>
      <c r="L617">
        <f t="shared" ca="1" si="61"/>
        <v>0</v>
      </c>
      <c r="M617" s="67">
        <f ca="1">'Monte Carlo Stimulation'!$I$9</f>
        <v>-2.919314405717207E-2</v>
      </c>
      <c r="N617">
        <f t="shared" ca="1" si="62"/>
        <v>0</v>
      </c>
    </row>
    <row r="618" spans="1:14">
      <c r="A618" s="12">
        <v>45205</v>
      </c>
      <c r="B618" s="14">
        <v>1.2940563859452303E-2</v>
      </c>
      <c r="C618" s="67">
        <f>'Parametric VAR'!$F$12</f>
        <v>-2.023068247926026E-2</v>
      </c>
      <c r="D618">
        <f t="shared" si="57"/>
        <v>0</v>
      </c>
      <c r="E618" s="67">
        <f>'Parametric VAR'!$F$13</f>
        <v>-2.8682193012943492E-2</v>
      </c>
      <c r="F618">
        <f t="shared" si="58"/>
        <v>0</v>
      </c>
      <c r="G618" s="67">
        <f>'Historical VAR'!$G$6</f>
        <v>-1.9839729167757107E-2</v>
      </c>
      <c r="H618">
        <f t="shared" si="59"/>
        <v>0</v>
      </c>
      <c r="I618" s="67">
        <f>'Historical VAR'!$G$7</f>
        <v>-3.1428916759065853E-2</v>
      </c>
      <c r="J618">
        <f t="shared" si="60"/>
        <v>0</v>
      </c>
      <c r="K618" s="67">
        <f ca="1">'Monte Carlo Stimulation'!$I$8</f>
        <v>-2.1559270710709389E-2</v>
      </c>
      <c r="L618">
        <f t="shared" ca="1" si="61"/>
        <v>0</v>
      </c>
      <c r="M618" s="67">
        <f ca="1">'Monte Carlo Stimulation'!$I$9</f>
        <v>-2.919314405717207E-2</v>
      </c>
      <c r="N618">
        <f t="shared" ca="1" si="62"/>
        <v>0</v>
      </c>
    </row>
    <row r="619" spans="1:14">
      <c r="A619" s="12">
        <v>45204</v>
      </c>
      <c r="B619" s="14">
        <v>1.4866662501519165E-3</v>
      </c>
      <c r="C619" s="67">
        <f>'Parametric VAR'!$F$12</f>
        <v>-2.023068247926026E-2</v>
      </c>
      <c r="D619">
        <f t="shared" si="57"/>
        <v>0</v>
      </c>
      <c r="E619" s="67">
        <f>'Parametric VAR'!$F$13</f>
        <v>-2.8682193012943492E-2</v>
      </c>
      <c r="F619">
        <f t="shared" si="58"/>
        <v>0</v>
      </c>
      <c r="G619" s="67">
        <f>'Historical VAR'!$G$6</f>
        <v>-1.9839729167757107E-2</v>
      </c>
      <c r="H619">
        <f t="shared" si="59"/>
        <v>0</v>
      </c>
      <c r="I619" s="67">
        <f>'Historical VAR'!$G$7</f>
        <v>-3.1428916759065853E-2</v>
      </c>
      <c r="J619">
        <f t="shared" si="60"/>
        <v>0</v>
      </c>
      <c r="K619" s="67">
        <f ca="1">'Monte Carlo Stimulation'!$I$8</f>
        <v>-2.1559270710709389E-2</v>
      </c>
      <c r="L619">
        <f t="shared" ca="1" si="61"/>
        <v>0</v>
      </c>
      <c r="M619" s="67">
        <f ca="1">'Monte Carlo Stimulation'!$I$9</f>
        <v>-2.919314405717207E-2</v>
      </c>
      <c r="N619">
        <f t="shared" ca="1" si="62"/>
        <v>0</v>
      </c>
    </row>
    <row r="620" spans="1:14">
      <c r="A620" s="12">
        <v>45203</v>
      </c>
      <c r="B620" s="14">
        <v>-9.0605520562608063E-3</v>
      </c>
      <c r="C620" s="67">
        <f>'Parametric VAR'!$F$12</f>
        <v>-2.023068247926026E-2</v>
      </c>
      <c r="D620">
        <f t="shared" si="57"/>
        <v>0</v>
      </c>
      <c r="E620" s="67">
        <f>'Parametric VAR'!$F$13</f>
        <v>-2.8682193012943492E-2</v>
      </c>
      <c r="F620">
        <f t="shared" si="58"/>
        <v>0</v>
      </c>
      <c r="G620" s="67">
        <f>'Historical VAR'!$G$6</f>
        <v>-1.9839729167757107E-2</v>
      </c>
      <c r="H620">
        <f t="shared" si="59"/>
        <v>0</v>
      </c>
      <c r="I620" s="67">
        <f>'Historical VAR'!$G$7</f>
        <v>-3.1428916759065853E-2</v>
      </c>
      <c r="J620">
        <f t="shared" si="60"/>
        <v>0</v>
      </c>
      <c r="K620" s="67">
        <f ca="1">'Monte Carlo Stimulation'!$I$8</f>
        <v>-2.1559270710709389E-2</v>
      </c>
      <c r="L620">
        <f t="shared" ca="1" si="61"/>
        <v>0</v>
      </c>
      <c r="M620" s="67">
        <f ca="1">'Monte Carlo Stimulation'!$I$9</f>
        <v>-2.919314405717207E-2</v>
      </c>
      <c r="N620">
        <f t="shared" ca="1" si="62"/>
        <v>0</v>
      </c>
    </row>
    <row r="621" spans="1:14">
      <c r="A621" s="12">
        <v>45202</v>
      </c>
      <c r="B621" s="14">
        <v>1.7673505800158386E-4</v>
      </c>
      <c r="C621" s="67">
        <f>'Parametric VAR'!$F$12</f>
        <v>-2.023068247926026E-2</v>
      </c>
      <c r="D621">
        <f t="shared" si="57"/>
        <v>0</v>
      </c>
      <c r="E621" s="67">
        <f>'Parametric VAR'!$F$13</f>
        <v>-2.8682193012943492E-2</v>
      </c>
      <c r="F621">
        <f t="shared" si="58"/>
        <v>0</v>
      </c>
      <c r="G621" s="67">
        <f>'Historical VAR'!$G$6</f>
        <v>-1.9839729167757107E-2</v>
      </c>
      <c r="H621">
        <f t="shared" si="59"/>
        <v>0</v>
      </c>
      <c r="I621" s="67">
        <f>'Historical VAR'!$G$7</f>
        <v>-3.1428916759065853E-2</v>
      </c>
      <c r="J621">
        <f t="shared" si="60"/>
        <v>0</v>
      </c>
      <c r="K621" s="67">
        <f ca="1">'Monte Carlo Stimulation'!$I$8</f>
        <v>-2.1559270710709389E-2</v>
      </c>
      <c r="L621">
        <f t="shared" ca="1" si="61"/>
        <v>0</v>
      </c>
      <c r="M621" s="67">
        <f ca="1">'Monte Carlo Stimulation'!$I$9</f>
        <v>-2.919314405717207E-2</v>
      </c>
      <c r="N621">
        <f t="shared" ca="1" si="62"/>
        <v>0</v>
      </c>
    </row>
    <row r="622" spans="1:14">
      <c r="A622" s="12">
        <v>45198</v>
      </c>
      <c r="B622" s="14">
        <v>-4.7729379529491846E-4</v>
      </c>
      <c r="C622" s="67">
        <f>'Parametric VAR'!$F$12</f>
        <v>-2.023068247926026E-2</v>
      </c>
      <c r="D622">
        <f t="shared" si="57"/>
        <v>0</v>
      </c>
      <c r="E622" s="67">
        <f>'Parametric VAR'!$F$13</f>
        <v>-2.8682193012943492E-2</v>
      </c>
      <c r="F622">
        <f t="shared" si="58"/>
        <v>0</v>
      </c>
      <c r="G622" s="67">
        <f>'Historical VAR'!$G$6</f>
        <v>-1.9839729167757107E-2</v>
      </c>
      <c r="H622">
        <f t="shared" si="59"/>
        <v>0</v>
      </c>
      <c r="I622" s="67">
        <f>'Historical VAR'!$G$7</f>
        <v>-3.1428916759065853E-2</v>
      </c>
      <c r="J622">
        <f t="shared" si="60"/>
        <v>0</v>
      </c>
      <c r="K622" s="67">
        <f ca="1">'Monte Carlo Stimulation'!$I$8</f>
        <v>-2.1559270710709389E-2</v>
      </c>
      <c r="L622">
        <f t="shared" ca="1" si="61"/>
        <v>0</v>
      </c>
      <c r="M622" s="67">
        <f ca="1">'Monte Carlo Stimulation'!$I$9</f>
        <v>-2.919314405717207E-2</v>
      </c>
      <c r="N622">
        <f t="shared" ca="1" si="62"/>
        <v>0</v>
      </c>
    </row>
    <row r="623" spans="1:14">
      <c r="A623" s="12">
        <v>45197</v>
      </c>
      <c r="B623" s="14">
        <v>1.675894743999272E-3</v>
      </c>
      <c r="C623" s="67">
        <f>'Parametric VAR'!$F$12</f>
        <v>-2.023068247926026E-2</v>
      </c>
      <c r="D623">
        <f t="shared" si="57"/>
        <v>0</v>
      </c>
      <c r="E623" s="67">
        <f>'Parametric VAR'!$F$13</f>
        <v>-2.8682193012943492E-2</v>
      </c>
      <c r="F623">
        <f t="shared" si="58"/>
        <v>0</v>
      </c>
      <c r="G623" s="67">
        <f>'Historical VAR'!$G$6</f>
        <v>-1.9839729167757107E-2</v>
      </c>
      <c r="H623">
        <f t="shared" si="59"/>
        <v>0</v>
      </c>
      <c r="I623" s="67">
        <f>'Historical VAR'!$G$7</f>
        <v>-3.1428916759065853E-2</v>
      </c>
      <c r="J623">
        <f t="shared" si="60"/>
        <v>0</v>
      </c>
      <c r="K623" s="67">
        <f ca="1">'Monte Carlo Stimulation'!$I$8</f>
        <v>-2.1559270710709389E-2</v>
      </c>
      <c r="L623">
        <f t="shared" ca="1" si="61"/>
        <v>0</v>
      </c>
      <c r="M623" s="67">
        <f ca="1">'Monte Carlo Stimulation'!$I$9</f>
        <v>-2.919314405717207E-2</v>
      </c>
      <c r="N623">
        <f t="shared" ca="1" si="62"/>
        <v>0</v>
      </c>
    </row>
    <row r="624" spans="1:14">
      <c r="A624" s="12">
        <v>45196</v>
      </c>
      <c r="B624" s="14">
        <v>4.0797037649905769E-2</v>
      </c>
      <c r="C624" s="67">
        <f>'Parametric VAR'!$F$12</f>
        <v>-2.023068247926026E-2</v>
      </c>
      <c r="D624">
        <f t="shared" si="57"/>
        <v>0</v>
      </c>
      <c r="E624" s="67">
        <f>'Parametric VAR'!$F$13</f>
        <v>-2.8682193012943492E-2</v>
      </c>
      <c r="F624">
        <f t="shared" si="58"/>
        <v>0</v>
      </c>
      <c r="G624" s="67">
        <f>'Historical VAR'!$G$6</f>
        <v>-1.9839729167757107E-2</v>
      </c>
      <c r="H624">
        <f t="shared" si="59"/>
        <v>0</v>
      </c>
      <c r="I624" s="67">
        <f>'Historical VAR'!$G$7</f>
        <v>-3.1428916759065853E-2</v>
      </c>
      <c r="J624">
        <f t="shared" si="60"/>
        <v>0</v>
      </c>
      <c r="K624" s="67">
        <f ca="1">'Monte Carlo Stimulation'!$I$8</f>
        <v>-2.1559270710709389E-2</v>
      </c>
      <c r="L624">
        <f t="shared" ca="1" si="61"/>
        <v>0</v>
      </c>
      <c r="M624" s="67">
        <f ca="1">'Monte Carlo Stimulation'!$I$9</f>
        <v>-2.919314405717207E-2</v>
      </c>
      <c r="N624">
        <f t="shared" ca="1" si="62"/>
        <v>0</v>
      </c>
    </row>
    <row r="625" spans="1:14">
      <c r="A625" s="12">
        <v>45195</v>
      </c>
      <c r="B625" s="14">
        <v>-3.0594627985514175E-3</v>
      </c>
      <c r="C625" s="67">
        <f>'Parametric VAR'!$F$12</f>
        <v>-2.023068247926026E-2</v>
      </c>
      <c r="D625">
        <f t="shared" si="57"/>
        <v>0</v>
      </c>
      <c r="E625" s="67">
        <f>'Parametric VAR'!$F$13</f>
        <v>-2.8682193012943492E-2</v>
      </c>
      <c r="F625">
        <f t="shared" si="58"/>
        <v>0</v>
      </c>
      <c r="G625" s="67">
        <f>'Historical VAR'!$G$6</f>
        <v>-1.9839729167757107E-2</v>
      </c>
      <c r="H625">
        <f t="shared" si="59"/>
        <v>0</v>
      </c>
      <c r="I625" s="67">
        <f>'Historical VAR'!$G$7</f>
        <v>-3.1428916759065853E-2</v>
      </c>
      <c r="J625">
        <f t="shared" si="60"/>
        <v>0</v>
      </c>
      <c r="K625" s="67">
        <f ca="1">'Monte Carlo Stimulation'!$I$8</f>
        <v>-2.1559270710709389E-2</v>
      </c>
      <c r="L625">
        <f t="shared" ca="1" si="61"/>
        <v>0</v>
      </c>
      <c r="M625" s="67">
        <f ca="1">'Monte Carlo Stimulation'!$I$9</f>
        <v>-2.919314405717207E-2</v>
      </c>
      <c r="N625">
        <f t="shared" ca="1" si="62"/>
        <v>0</v>
      </c>
    </row>
    <row r="626" spans="1:14">
      <c r="A626" s="12">
        <v>45194</v>
      </c>
      <c r="B626" s="14">
        <v>9.8882430108283761E-3</v>
      </c>
      <c r="C626" s="67">
        <f>'Parametric VAR'!$F$12</f>
        <v>-2.023068247926026E-2</v>
      </c>
      <c r="D626">
        <f t="shared" si="57"/>
        <v>0</v>
      </c>
      <c r="E626" s="67">
        <f>'Parametric VAR'!$F$13</f>
        <v>-2.8682193012943492E-2</v>
      </c>
      <c r="F626">
        <f t="shared" si="58"/>
        <v>0</v>
      </c>
      <c r="G626" s="67">
        <f>'Historical VAR'!$G$6</f>
        <v>-1.9839729167757107E-2</v>
      </c>
      <c r="H626">
        <f t="shared" si="59"/>
        <v>0</v>
      </c>
      <c r="I626" s="67">
        <f>'Historical VAR'!$G$7</f>
        <v>-3.1428916759065853E-2</v>
      </c>
      <c r="J626">
        <f t="shared" si="60"/>
        <v>0</v>
      </c>
      <c r="K626" s="67">
        <f ca="1">'Monte Carlo Stimulation'!$I$8</f>
        <v>-2.1559270710709389E-2</v>
      </c>
      <c r="L626">
        <f t="shared" ca="1" si="61"/>
        <v>0</v>
      </c>
      <c r="M626" s="67">
        <f ca="1">'Monte Carlo Stimulation'!$I$9</f>
        <v>-2.919314405717207E-2</v>
      </c>
      <c r="N626">
        <f t="shared" ca="1" si="62"/>
        <v>0</v>
      </c>
    </row>
    <row r="627" spans="1:14">
      <c r="A627" s="12">
        <v>45191</v>
      </c>
      <c r="B627" s="14">
        <v>4.8395980100213974E-3</v>
      </c>
      <c r="C627" s="67">
        <f>'Parametric VAR'!$F$12</f>
        <v>-2.023068247926026E-2</v>
      </c>
      <c r="D627">
        <f t="shared" si="57"/>
        <v>0</v>
      </c>
      <c r="E627" s="67">
        <f>'Parametric VAR'!$F$13</f>
        <v>-2.8682193012943492E-2</v>
      </c>
      <c r="F627">
        <f t="shared" si="58"/>
        <v>0</v>
      </c>
      <c r="G627" s="67">
        <f>'Historical VAR'!$G$6</f>
        <v>-1.9839729167757107E-2</v>
      </c>
      <c r="H627">
        <f t="shared" si="59"/>
        <v>0</v>
      </c>
      <c r="I627" s="67">
        <f>'Historical VAR'!$G$7</f>
        <v>-3.1428916759065853E-2</v>
      </c>
      <c r="J627">
        <f t="shared" si="60"/>
        <v>0</v>
      </c>
      <c r="K627" s="67">
        <f ca="1">'Monte Carlo Stimulation'!$I$8</f>
        <v>-2.1559270710709389E-2</v>
      </c>
      <c r="L627">
        <f t="shared" ca="1" si="61"/>
        <v>0</v>
      </c>
      <c r="M627" s="67">
        <f ca="1">'Monte Carlo Stimulation'!$I$9</f>
        <v>-2.919314405717207E-2</v>
      </c>
      <c r="N627">
        <f t="shared" ca="1" si="62"/>
        <v>0</v>
      </c>
    </row>
    <row r="628" spans="1:14">
      <c r="A628" s="12">
        <v>45190</v>
      </c>
      <c r="B628" s="14">
        <v>-1.7012794037120461E-2</v>
      </c>
      <c r="C628" s="67">
        <f>'Parametric VAR'!$F$12</f>
        <v>-2.023068247926026E-2</v>
      </c>
      <c r="D628">
        <f t="shared" si="57"/>
        <v>0</v>
      </c>
      <c r="E628" s="67">
        <f>'Parametric VAR'!$F$13</f>
        <v>-2.8682193012943492E-2</v>
      </c>
      <c r="F628">
        <f t="shared" si="58"/>
        <v>0</v>
      </c>
      <c r="G628" s="67">
        <f>'Historical VAR'!$G$6</f>
        <v>-1.9839729167757107E-2</v>
      </c>
      <c r="H628">
        <f t="shared" si="59"/>
        <v>0</v>
      </c>
      <c r="I628" s="67">
        <f>'Historical VAR'!$G$7</f>
        <v>-3.1428916759065853E-2</v>
      </c>
      <c r="J628">
        <f t="shared" si="60"/>
        <v>0</v>
      </c>
      <c r="K628" s="67">
        <f ca="1">'Monte Carlo Stimulation'!$I$8</f>
        <v>-2.1559270710709389E-2</v>
      </c>
      <c r="L628">
        <f t="shared" ca="1" si="61"/>
        <v>0</v>
      </c>
      <c r="M628" s="67">
        <f ca="1">'Monte Carlo Stimulation'!$I$9</f>
        <v>-2.919314405717207E-2</v>
      </c>
      <c r="N628">
        <f t="shared" ca="1" si="62"/>
        <v>0</v>
      </c>
    </row>
    <row r="629" spans="1:14">
      <c r="A629" s="12">
        <v>45189</v>
      </c>
      <c r="B629" s="14">
        <v>-7.9087530130817398E-3</v>
      </c>
      <c r="C629" s="67">
        <f>'Parametric VAR'!$F$12</f>
        <v>-2.023068247926026E-2</v>
      </c>
      <c r="D629">
        <f t="shared" si="57"/>
        <v>0</v>
      </c>
      <c r="E629" s="67">
        <f>'Parametric VAR'!$F$13</f>
        <v>-2.8682193012943492E-2</v>
      </c>
      <c r="F629">
        <f t="shared" si="58"/>
        <v>0</v>
      </c>
      <c r="G629" s="67">
        <f>'Historical VAR'!$G$6</f>
        <v>-1.9839729167757107E-2</v>
      </c>
      <c r="H629">
        <f t="shared" si="59"/>
        <v>0</v>
      </c>
      <c r="I629" s="67">
        <f>'Historical VAR'!$G$7</f>
        <v>-3.1428916759065853E-2</v>
      </c>
      <c r="J629">
        <f t="shared" si="60"/>
        <v>0</v>
      </c>
      <c r="K629" s="67">
        <f ca="1">'Monte Carlo Stimulation'!$I$8</f>
        <v>-2.1559270710709389E-2</v>
      </c>
      <c r="L629">
        <f t="shared" ca="1" si="61"/>
        <v>0</v>
      </c>
      <c r="M629" s="67">
        <f ca="1">'Monte Carlo Stimulation'!$I$9</f>
        <v>-2.919314405717207E-2</v>
      </c>
      <c r="N629">
        <f t="shared" ca="1" si="62"/>
        <v>0</v>
      </c>
    </row>
    <row r="630" spans="1:14">
      <c r="A630" s="12">
        <v>45187</v>
      </c>
      <c r="B630" s="14">
        <v>-1.4678921088281671E-3</v>
      </c>
      <c r="C630" s="67">
        <f>'Parametric VAR'!$F$12</f>
        <v>-2.023068247926026E-2</v>
      </c>
      <c r="D630">
        <f t="shared" si="57"/>
        <v>0</v>
      </c>
      <c r="E630" s="67">
        <f>'Parametric VAR'!$F$13</f>
        <v>-2.8682193012943492E-2</v>
      </c>
      <c r="F630">
        <f t="shared" si="58"/>
        <v>0</v>
      </c>
      <c r="G630" s="67">
        <f>'Historical VAR'!$G$6</f>
        <v>-1.9839729167757107E-2</v>
      </c>
      <c r="H630">
        <f t="shared" si="59"/>
        <v>0</v>
      </c>
      <c r="I630" s="67">
        <f>'Historical VAR'!$G$7</f>
        <v>-3.1428916759065853E-2</v>
      </c>
      <c r="J630">
        <f t="shared" si="60"/>
        <v>0</v>
      </c>
      <c r="K630" s="67">
        <f ca="1">'Monte Carlo Stimulation'!$I$8</f>
        <v>-2.1559270710709389E-2</v>
      </c>
      <c r="L630">
        <f t="shared" ca="1" si="61"/>
        <v>0</v>
      </c>
      <c r="M630" s="67">
        <f ca="1">'Monte Carlo Stimulation'!$I$9</f>
        <v>-2.919314405717207E-2</v>
      </c>
      <c r="N630">
        <f t="shared" ca="1" si="62"/>
        <v>0</v>
      </c>
    </row>
    <row r="631" spans="1:14">
      <c r="A631" s="12">
        <v>45184</v>
      </c>
      <c r="B631" s="14">
        <v>-7.2082417865747947E-3</v>
      </c>
      <c r="C631" s="67">
        <f>'Parametric VAR'!$F$12</f>
        <v>-2.023068247926026E-2</v>
      </c>
      <c r="D631">
        <f t="shared" si="57"/>
        <v>0</v>
      </c>
      <c r="E631" s="67">
        <f>'Parametric VAR'!$F$13</f>
        <v>-2.8682193012943492E-2</v>
      </c>
      <c r="F631">
        <f t="shared" si="58"/>
        <v>0</v>
      </c>
      <c r="G631" s="67">
        <f>'Historical VAR'!$G$6</f>
        <v>-1.9839729167757107E-2</v>
      </c>
      <c r="H631">
        <f t="shared" si="59"/>
        <v>0</v>
      </c>
      <c r="I631" s="67">
        <f>'Historical VAR'!$G$7</f>
        <v>-3.1428916759065853E-2</v>
      </c>
      <c r="J631">
        <f t="shared" si="60"/>
        <v>0</v>
      </c>
      <c r="K631" s="67">
        <f ca="1">'Monte Carlo Stimulation'!$I$8</f>
        <v>-2.1559270710709389E-2</v>
      </c>
      <c r="L631">
        <f t="shared" ca="1" si="61"/>
        <v>0</v>
      </c>
      <c r="M631" s="67">
        <f ca="1">'Monte Carlo Stimulation'!$I$9</f>
        <v>-2.919314405717207E-2</v>
      </c>
      <c r="N631">
        <f t="shared" ca="1" si="62"/>
        <v>0</v>
      </c>
    </row>
    <row r="632" spans="1:14">
      <c r="A632" s="12">
        <v>45183</v>
      </c>
      <c r="B632" s="14">
        <v>1.3391919568045113E-2</v>
      </c>
      <c r="C632" s="67">
        <f>'Parametric VAR'!$F$12</f>
        <v>-2.023068247926026E-2</v>
      </c>
      <c r="D632">
        <f t="shared" si="57"/>
        <v>0</v>
      </c>
      <c r="E632" s="67">
        <f>'Parametric VAR'!$F$13</f>
        <v>-2.8682193012943492E-2</v>
      </c>
      <c r="F632">
        <f t="shared" si="58"/>
        <v>0</v>
      </c>
      <c r="G632" s="67">
        <f>'Historical VAR'!$G$6</f>
        <v>-1.9839729167757107E-2</v>
      </c>
      <c r="H632">
        <f t="shared" si="59"/>
        <v>0</v>
      </c>
      <c r="I632" s="67">
        <f>'Historical VAR'!$G$7</f>
        <v>-3.1428916759065853E-2</v>
      </c>
      <c r="J632">
        <f t="shared" si="60"/>
        <v>0</v>
      </c>
      <c r="K632" s="67">
        <f ca="1">'Monte Carlo Stimulation'!$I$8</f>
        <v>-2.1559270710709389E-2</v>
      </c>
      <c r="L632">
        <f t="shared" ca="1" si="61"/>
        <v>0</v>
      </c>
      <c r="M632" s="67">
        <f ca="1">'Monte Carlo Stimulation'!$I$9</f>
        <v>-2.919314405717207E-2</v>
      </c>
      <c r="N632">
        <f t="shared" ca="1" si="62"/>
        <v>0</v>
      </c>
    </row>
    <row r="633" spans="1:14">
      <c r="A633" s="12">
        <v>45182</v>
      </c>
      <c r="B633" s="14">
        <v>7.0440196880681757E-3</v>
      </c>
      <c r="C633" s="67">
        <f>'Parametric VAR'!$F$12</f>
        <v>-2.023068247926026E-2</v>
      </c>
      <c r="D633">
        <f t="shared" si="57"/>
        <v>0</v>
      </c>
      <c r="E633" s="67">
        <f>'Parametric VAR'!$F$13</f>
        <v>-2.8682193012943492E-2</v>
      </c>
      <c r="F633">
        <f t="shared" si="58"/>
        <v>0</v>
      </c>
      <c r="G633" s="67">
        <f>'Historical VAR'!$G$6</f>
        <v>-1.9839729167757107E-2</v>
      </c>
      <c r="H633">
        <f t="shared" si="59"/>
        <v>0</v>
      </c>
      <c r="I633" s="67">
        <f>'Historical VAR'!$G$7</f>
        <v>-3.1428916759065853E-2</v>
      </c>
      <c r="J633">
        <f t="shared" si="60"/>
        <v>0</v>
      </c>
      <c r="K633" s="67">
        <f ca="1">'Monte Carlo Stimulation'!$I$8</f>
        <v>-2.1559270710709389E-2</v>
      </c>
      <c r="L633">
        <f t="shared" ca="1" si="61"/>
        <v>0</v>
      </c>
      <c r="M633" s="67">
        <f ca="1">'Monte Carlo Stimulation'!$I$9</f>
        <v>-2.919314405717207E-2</v>
      </c>
      <c r="N633">
        <f t="shared" ca="1" si="62"/>
        <v>0</v>
      </c>
    </row>
    <row r="634" spans="1:14">
      <c r="A634" s="12">
        <v>45181</v>
      </c>
      <c r="B634" s="14">
        <v>-5.4184674894133837E-3</v>
      </c>
      <c r="C634" s="67">
        <f>'Parametric VAR'!$F$12</f>
        <v>-2.023068247926026E-2</v>
      </c>
      <c r="D634">
        <f t="shared" si="57"/>
        <v>0</v>
      </c>
      <c r="E634" s="67">
        <f>'Parametric VAR'!$F$13</f>
        <v>-2.8682193012943492E-2</v>
      </c>
      <c r="F634">
        <f t="shared" si="58"/>
        <v>0</v>
      </c>
      <c r="G634" s="67">
        <f>'Historical VAR'!$G$6</f>
        <v>-1.9839729167757107E-2</v>
      </c>
      <c r="H634">
        <f t="shared" si="59"/>
        <v>0</v>
      </c>
      <c r="I634" s="67">
        <f>'Historical VAR'!$G$7</f>
        <v>-3.1428916759065853E-2</v>
      </c>
      <c r="J634">
        <f t="shared" si="60"/>
        <v>0</v>
      </c>
      <c r="K634" s="67">
        <f ca="1">'Monte Carlo Stimulation'!$I$8</f>
        <v>-2.1559270710709389E-2</v>
      </c>
      <c r="L634">
        <f t="shared" ca="1" si="61"/>
        <v>0</v>
      </c>
      <c r="M634" s="67">
        <f ca="1">'Monte Carlo Stimulation'!$I$9</f>
        <v>-2.919314405717207E-2</v>
      </c>
      <c r="N634">
        <f t="shared" ca="1" si="62"/>
        <v>0</v>
      </c>
    </row>
    <row r="635" spans="1:14">
      <c r="A635" s="12">
        <v>45180</v>
      </c>
      <c r="B635" s="14">
        <v>3.9310204601583944E-3</v>
      </c>
      <c r="C635" s="67">
        <f>'Parametric VAR'!$F$12</f>
        <v>-2.023068247926026E-2</v>
      </c>
      <c r="D635">
        <f t="shared" si="57"/>
        <v>0</v>
      </c>
      <c r="E635" s="67">
        <f>'Parametric VAR'!$F$13</f>
        <v>-2.8682193012943492E-2</v>
      </c>
      <c r="F635">
        <f t="shared" si="58"/>
        <v>0</v>
      </c>
      <c r="G635" s="67">
        <f>'Historical VAR'!$G$6</f>
        <v>-1.9839729167757107E-2</v>
      </c>
      <c r="H635">
        <f t="shared" si="59"/>
        <v>0</v>
      </c>
      <c r="I635" s="67">
        <f>'Historical VAR'!$G$7</f>
        <v>-3.1428916759065853E-2</v>
      </c>
      <c r="J635">
        <f t="shared" si="60"/>
        <v>0</v>
      </c>
      <c r="K635" s="67">
        <f ca="1">'Monte Carlo Stimulation'!$I$8</f>
        <v>-2.1559270710709389E-2</v>
      </c>
      <c r="L635">
        <f t="shared" ca="1" si="61"/>
        <v>0</v>
      </c>
      <c r="M635" s="67">
        <f ca="1">'Monte Carlo Stimulation'!$I$9</f>
        <v>-2.919314405717207E-2</v>
      </c>
      <c r="N635">
        <f t="shared" ca="1" si="62"/>
        <v>0</v>
      </c>
    </row>
    <row r="636" spans="1:14">
      <c r="A636" s="12">
        <v>45177</v>
      </c>
      <c r="B636" s="14">
        <v>-6.1942361213025042E-3</v>
      </c>
      <c r="C636" s="67">
        <f>'Parametric VAR'!$F$12</f>
        <v>-2.023068247926026E-2</v>
      </c>
      <c r="D636">
        <f t="shared" si="57"/>
        <v>0</v>
      </c>
      <c r="E636" s="67">
        <f>'Parametric VAR'!$F$13</f>
        <v>-2.8682193012943492E-2</v>
      </c>
      <c r="F636">
        <f t="shared" si="58"/>
        <v>0</v>
      </c>
      <c r="G636" s="67">
        <f>'Historical VAR'!$G$6</f>
        <v>-1.9839729167757107E-2</v>
      </c>
      <c r="H636">
        <f t="shared" si="59"/>
        <v>0</v>
      </c>
      <c r="I636" s="67">
        <f>'Historical VAR'!$G$7</f>
        <v>-3.1428916759065853E-2</v>
      </c>
      <c r="J636">
        <f t="shared" si="60"/>
        <v>0</v>
      </c>
      <c r="K636" s="67">
        <f ca="1">'Monte Carlo Stimulation'!$I$8</f>
        <v>-2.1559270710709389E-2</v>
      </c>
      <c r="L636">
        <f t="shared" ca="1" si="61"/>
        <v>0</v>
      </c>
      <c r="M636" s="67">
        <f ca="1">'Monte Carlo Stimulation'!$I$9</f>
        <v>-2.919314405717207E-2</v>
      </c>
      <c r="N636">
        <f t="shared" ca="1" si="62"/>
        <v>0</v>
      </c>
    </row>
    <row r="637" spans="1:14">
      <c r="A637" s="12">
        <v>45176</v>
      </c>
      <c r="B637" s="14">
        <v>-2.8001363905935515E-5</v>
      </c>
      <c r="C637" s="67">
        <f>'Parametric VAR'!$F$12</f>
        <v>-2.023068247926026E-2</v>
      </c>
      <c r="D637">
        <f t="shared" si="57"/>
        <v>0</v>
      </c>
      <c r="E637" s="67">
        <f>'Parametric VAR'!$F$13</f>
        <v>-2.8682193012943492E-2</v>
      </c>
      <c r="F637">
        <f t="shared" si="58"/>
        <v>0</v>
      </c>
      <c r="G637" s="67">
        <f>'Historical VAR'!$G$6</f>
        <v>-1.9839729167757107E-2</v>
      </c>
      <c r="H637">
        <f t="shared" si="59"/>
        <v>0</v>
      </c>
      <c r="I637" s="67">
        <f>'Historical VAR'!$G$7</f>
        <v>-3.1428916759065853E-2</v>
      </c>
      <c r="J637">
        <f t="shared" si="60"/>
        <v>0</v>
      </c>
      <c r="K637" s="67">
        <f ca="1">'Monte Carlo Stimulation'!$I$8</f>
        <v>-2.1559270710709389E-2</v>
      </c>
      <c r="L637">
        <f t="shared" ca="1" si="61"/>
        <v>0</v>
      </c>
      <c r="M637" s="67">
        <f ca="1">'Monte Carlo Stimulation'!$I$9</f>
        <v>-2.919314405717207E-2</v>
      </c>
      <c r="N637">
        <f t="shared" ca="1" si="62"/>
        <v>0</v>
      </c>
    </row>
    <row r="638" spans="1:14">
      <c r="A638" s="12">
        <v>45175</v>
      </c>
      <c r="B638" s="14">
        <v>-3.4554220553984966E-3</v>
      </c>
      <c r="C638" s="67">
        <f>'Parametric VAR'!$F$12</f>
        <v>-2.023068247926026E-2</v>
      </c>
      <c r="D638">
        <f t="shared" si="57"/>
        <v>0</v>
      </c>
      <c r="E638" s="67">
        <f>'Parametric VAR'!$F$13</f>
        <v>-2.8682193012943492E-2</v>
      </c>
      <c r="F638">
        <f t="shared" si="58"/>
        <v>0</v>
      </c>
      <c r="G638" s="67">
        <f>'Historical VAR'!$G$6</f>
        <v>-1.9839729167757107E-2</v>
      </c>
      <c r="H638">
        <f t="shared" si="59"/>
        <v>0</v>
      </c>
      <c r="I638" s="67">
        <f>'Historical VAR'!$G$7</f>
        <v>-3.1428916759065853E-2</v>
      </c>
      <c r="J638">
        <f t="shared" si="60"/>
        <v>0</v>
      </c>
      <c r="K638" s="67">
        <f ca="1">'Monte Carlo Stimulation'!$I$8</f>
        <v>-2.1559270710709389E-2</v>
      </c>
      <c r="L638">
        <f t="shared" ca="1" si="61"/>
        <v>0</v>
      </c>
      <c r="M638" s="67">
        <f ca="1">'Monte Carlo Stimulation'!$I$9</f>
        <v>-2.919314405717207E-2</v>
      </c>
      <c r="N638">
        <f t="shared" ca="1" si="62"/>
        <v>0</v>
      </c>
    </row>
    <row r="639" spans="1:14">
      <c r="A639" s="12">
        <v>45174</v>
      </c>
      <c r="B639" s="14">
        <v>-8.0797187932329408E-4</v>
      </c>
      <c r="C639" s="67">
        <f>'Parametric VAR'!$F$12</f>
        <v>-2.023068247926026E-2</v>
      </c>
      <c r="D639">
        <f t="shared" si="57"/>
        <v>0</v>
      </c>
      <c r="E639" s="67">
        <f>'Parametric VAR'!$F$13</f>
        <v>-2.8682193012943492E-2</v>
      </c>
      <c r="F639">
        <f t="shared" si="58"/>
        <v>0</v>
      </c>
      <c r="G639" s="67">
        <f>'Historical VAR'!$G$6</f>
        <v>-1.9839729167757107E-2</v>
      </c>
      <c r="H639">
        <f t="shared" si="59"/>
        <v>0</v>
      </c>
      <c r="I639" s="67">
        <f>'Historical VAR'!$G$7</f>
        <v>-3.1428916759065853E-2</v>
      </c>
      <c r="J639">
        <f t="shared" si="60"/>
        <v>0</v>
      </c>
      <c r="K639" s="67">
        <f ca="1">'Monte Carlo Stimulation'!$I$8</f>
        <v>-2.1559270710709389E-2</v>
      </c>
      <c r="L639">
        <f t="shared" ca="1" si="61"/>
        <v>0</v>
      </c>
      <c r="M639" s="67">
        <f ca="1">'Monte Carlo Stimulation'!$I$9</f>
        <v>-2.919314405717207E-2</v>
      </c>
      <c r="N639">
        <f t="shared" ca="1" si="62"/>
        <v>0</v>
      </c>
    </row>
    <row r="640" spans="1:14">
      <c r="A640" s="12">
        <v>45173</v>
      </c>
      <c r="B640" s="14">
        <v>3.2470675444243491E-3</v>
      </c>
      <c r="C640" s="67">
        <f>'Parametric VAR'!$F$12</f>
        <v>-2.023068247926026E-2</v>
      </c>
      <c r="D640">
        <f t="shared" si="57"/>
        <v>0</v>
      </c>
      <c r="E640" s="67">
        <f>'Parametric VAR'!$F$13</f>
        <v>-2.8682193012943492E-2</v>
      </c>
      <c r="F640">
        <f t="shared" si="58"/>
        <v>0</v>
      </c>
      <c r="G640" s="67">
        <f>'Historical VAR'!$G$6</f>
        <v>-1.9839729167757107E-2</v>
      </c>
      <c r="H640">
        <f t="shared" si="59"/>
        <v>0</v>
      </c>
      <c r="I640" s="67">
        <f>'Historical VAR'!$G$7</f>
        <v>-3.1428916759065853E-2</v>
      </c>
      <c r="J640">
        <f t="shared" si="60"/>
        <v>0</v>
      </c>
      <c r="K640" s="67">
        <f ca="1">'Monte Carlo Stimulation'!$I$8</f>
        <v>-2.1559270710709389E-2</v>
      </c>
      <c r="L640">
        <f t="shared" ca="1" si="61"/>
        <v>0</v>
      </c>
      <c r="M640" s="67">
        <f ca="1">'Monte Carlo Stimulation'!$I$9</f>
        <v>-2.919314405717207E-2</v>
      </c>
      <c r="N640">
        <f t="shared" ca="1" si="62"/>
        <v>0</v>
      </c>
    </row>
    <row r="641" spans="1:14">
      <c r="A641" s="12">
        <v>45170</v>
      </c>
      <c r="B641" s="14">
        <v>7.4404369467387863E-3</v>
      </c>
      <c r="C641" s="67">
        <f>'Parametric VAR'!$F$12</f>
        <v>-2.023068247926026E-2</v>
      </c>
      <c r="D641">
        <f t="shared" si="57"/>
        <v>0</v>
      </c>
      <c r="E641" s="67">
        <f>'Parametric VAR'!$F$13</f>
        <v>-2.8682193012943492E-2</v>
      </c>
      <c r="F641">
        <f t="shared" si="58"/>
        <v>0</v>
      </c>
      <c r="G641" s="67">
        <f>'Historical VAR'!$G$6</f>
        <v>-1.9839729167757107E-2</v>
      </c>
      <c r="H641">
        <f t="shared" si="59"/>
        <v>0</v>
      </c>
      <c r="I641" s="67">
        <f>'Historical VAR'!$G$7</f>
        <v>-3.1428916759065853E-2</v>
      </c>
      <c r="J641">
        <f t="shared" si="60"/>
        <v>0</v>
      </c>
      <c r="K641" s="67">
        <f ca="1">'Monte Carlo Stimulation'!$I$8</f>
        <v>-2.1559270710709389E-2</v>
      </c>
      <c r="L641">
        <f t="shared" ca="1" si="61"/>
        <v>0</v>
      </c>
      <c r="M641" s="67">
        <f ca="1">'Monte Carlo Stimulation'!$I$9</f>
        <v>-2.919314405717207E-2</v>
      </c>
      <c r="N641">
        <f t="shared" ca="1" si="62"/>
        <v>0</v>
      </c>
    </row>
    <row r="642" spans="1:14">
      <c r="A642" s="12">
        <v>45169</v>
      </c>
      <c r="B642" s="14">
        <v>-2.2087448337222617E-3</v>
      </c>
      <c r="C642" s="67">
        <f>'Parametric VAR'!$F$12</f>
        <v>-2.023068247926026E-2</v>
      </c>
      <c r="D642">
        <f t="shared" si="57"/>
        <v>0</v>
      </c>
      <c r="E642" s="67">
        <f>'Parametric VAR'!$F$13</f>
        <v>-2.8682193012943492E-2</v>
      </c>
      <c r="F642">
        <f t="shared" si="58"/>
        <v>0</v>
      </c>
      <c r="G642" s="67">
        <f>'Historical VAR'!$G$6</f>
        <v>-1.9839729167757107E-2</v>
      </c>
      <c r="H642">
        <f t="shared" si="59"/>
        <v>0</v>
      </c>
      <c r="I642" s="67">
        <f>'Historical VAR'!$G$7</f>
        <v>-3.1428916759065853E-2</v>
      </c>
      <c r="J642">
        <f t="shared" si="60"/>
        <v>0</v>
      </c>
      <c r="K642" s="67">
        <f ca="1">'Monte Carlo Stimulation'!$I$8</f>
        <v>-2.1559270710709389E-2</v>
      </c>
      <c r="L642">
        <f t="shared" ca="1" si="61"/>
        <v>0</v>
      </c>
      <c r="M642" s="67">
        <f ca="1">'Monte Carlo Stimulation'!$I$9</f>
        <v>-2.919314405717207E-2</v>
      </c>
      <c r="N642">
        <f t="shared" ca="1" si="62"/>
        <v>0</v>
      </c>
    </row>
    <row r="643" spans="1:14">
      <c r="A643" s="12">
        <v>45168</v>
      </c>
      <c r="B643" s="14">
        <v>8.4851286854691413E-3</v>
      </c>
      <c r="C643" s="67">
        <f>'Parametric VAR'!$F$12</f>
        <v>-2.023068247926026E-2</v>
      </c>
      <c r="D643">
        <f t="shared" si="57"/>
        <v>0</v>
      </c>
      <c r="E643" s="67">
        <f>'Parametric VAR'!$F$13</f>
        <v>-2.8682193012943492E-2</v>
      </c>
      <c r="F643">
        <f t="shared" si="58"/>
        <v>0</v>
      </c>
      <c r="G643" s="67">
        <f>'Historical VAR'!$G$6</f>
        <v>-1.9839729167757107E-2</v>
      </c>
      <c r="H643">
        <f t="shared" si="59"/>
        <v>0</v>
      </c>
      <c r="I643" s="67">
        <f>'Historical VAR'!$G$7</f>
        <v>-3.1428916759065853E-2</v>
      </c>
      <c r="J643">
        <f t="shared" si="60"/>
        <v>0</v>
      </c>
      <c r="K643" s="67">
        <f ca="1">'Monte Carlo Stimulation'!$I$8</f>
        <v>-2.1559270710709389E-2</v>
      </c>
      <c r="L643">
        <f t="shared" ca="1" si="61"/>
        <v>0</v>
      </c>
      <c r="M643" s="67">
        <f ca="1">'Monte Carlo Stimulation'!$I$9</f>
        <v>-2.919314405717207E-2</v>
      </c>
      <c r="N643">
        <f t="shared" ca="1" si="62"/>
        <v>0</v>
      </c>
    </row>
    <row r="644" spans="1:14">
      <c r="A644" s="12">
        <v>45167</v>
      </c>
      <c r="B644" s="14">
        <v>-2.4962051555452876E-3</v>
      </c>
      <c r="C644" s="67">
        <f>'Parametric VAR'!$F$12</f>
        <v>-2.023068247926026E-2</v>
      </c>
      <c r="D644">
        <f t="shared" ref="D644:D707" si="63">IF(B644&lt;C644,1,0)</f>
        <v>0</v>
      </c>
      <c r="E644" s="67">
        <f>'Parametric VAR'!$F$13</f>
        <v>-2.8682193012943492E-2</v>
      </c>
      <c r="F644">
        <f t="shared" ref="F644:F707" si="64">IF(B644&lt;E644,1,0)</f>
        <v>0</v>
      </c>
      <c r="G644" s="67">
        <f>'Historical VAR'!$G$6</f>
        <v>-1.9839729167757107E-2</v>
      </c>
      <c r="H644">
        <f t="shared" ref="H644:H707" si="65">IF(B644&lt;G644,1,0)</f>
        <v>0</v>
      </c>
      <c r="I644" s="67">
        <f>'Historical VAR'!$G$7</f>
        <v>-3.1428916759065853E-2</v>
      </c>
      <c r="J644">
        <f t="shared" ref="J644:J707" si="66">IF(B644&lt;I644,1,0)</f>
        <v>0</v>
      </c>
      <c r="K644" s="67">
        <f ca="1">'Monte Carlo Stimulation'!$I$8</f>
        <v>-2.1559270710709389E-2</v>
      </c>
      <c r="L644">
        <f t="shared" ref="L644:L707" ca="1" si="67">IF(B644&lt;K644,1,0)</f>
        <v>0</v>
      </c>
      <c r="M644" s="67">
        <f ca="1">'Monte Carlo Stimulation'!$I$9</f>
        <v>-2.919314405717207E-2</v>
      </c>
      <c r="N644">
        <f t="shared" ref="N644:N707" ca="1" si="68">IF(B644&lt;M644,1,0)</f>
        <v>0</v>
      </c>
    </row>
    <row r="645" spans="1:14">
      <c r="A645" s="12">
        <v>45166</v>
      </c>
      <c r="B645" s="14">
        <v>-9.4665667141350576E-3</v>
      </c>
      <c r="C645" s="67">
        <f>'Parametric VAR'!$F$12</f>
        <v>-2.023068247926026E-2</v>
      </c>
      <c r="D645">
        <f t="shared" si="63"/>
        <v>0</v>
      </c>
      <c r="E645" s="67">
        <f>'Parametric VAR'!$F$13</f>
        <v>-2.8682193012943492E-2</v>
      </c>
      <c r="F645">
        <f t="shared" si="64"/>
        <v>0</v>
      </c>
      <c r="G645" s="67">
        <f>'Historical VAR'!$G$6</f>
        <v>-1.9839729167757107E-2</v>
      </c>
      <c r="H645">
        <f t="shared" si="65"/>
        <v>0</v>
      </c>
      <c r="I645" s="67">
        <f>'Historical VAR'!$G$7</f>
        <v>-3.1428916759065853E-2</v>
      </c>
      <c r="J645">
        <f t="shared" si="66"/>
        <v>0</v>
      </c>
      <c r="K645" s="67">
        <f ca="1">'Monte Carlo Stimulation'!$I$8</f>
        <v>-2.1559270710709389E-2</v>
      </c>
      <c r="L645">
        <f t="shared" ca="1" si="67"/>
        <v>0</v>
      </c>
      <c r="M645" s="67">
        <f ca="1">'Monte Carlo Stimulation'!$I$9</f>
        <v>-2.919314405717207E-2</v>
      </c>
      <c r="N645">
        <f t="shared" ca="1" si="68"/>
        <v>0</v>
      </c>
    </row>
    <row r="646" spans="1:14">
      <c r="A646" s="12">
        <v>45163</v>
      </c>
      <c r="B646" s="14">
        <v>-1.0727197637713734E-3</v>
      </c>
      <c r="C646" s="67">
        <f>'Parametric VAR'!$F$12</f>
        <v>-2.023068247926026E-2</v>
      </c>
      <c r="D646">
        <f t="shared" si="63"/>
        <v>0</v>
      </c>
      <c r="E646" s="67">
        <f>'Parametric VAR'!$F$13</f>
        <v>-2.8682193012943492E-2</v>
      </c>
      <c r="F646">
        <f t="shared" si="64"/>
        <v>0</v>
      </c>
      <c r="G646" s="67">
        <f>'Historical VAR'!$G$6</f>
        <v>-1.9839729167757107E-2</v>
      </c>
      <c r="H646">
        <f t="shared" si="65"/>
        <v>0</v>
      </c>
      <c r="I646" s="67">
        <f>'Historical VAR'!$G$7</f>
        <v>-3.1428916759065853E-2</v>
      </c>
      <c r="J646">
        <f t="shared" si="66"/>
        <v>0</v>
      </c>
      <c r="K646" s="67">
        <f ca="1">'Monte Carlo Stimulation'!$I$8</f>
        <v>-2.1559270710709389E-2</v>
      </c>
      <c r="L646">
        <f t="shared" ca="1" si="67"/>
        <v>0</v>
      </c>
      <c r="M646" s="67">
        <f ca="1">'Monte Carlo Stimulation'!$I$9</f>
        <v>-2.919314405717207E-2</v>
      </c>
      <c r="N646">
        <f t="shared" ca="1" si="68"/>
        <v>0</v>
      </c>
    </row>
    <row r="647" spans="1:14">
      <c r="A647" s="12">
        <v>45162</v>
      </c>
      <c r="B647" s="14">
        <v>-4.5393263202423689E-3</v>
      </c>
      <c r="C647" s="67">
        <f>'Parametric VAR'!$F$12</f>
        <v>-2.023068247926026E-2</v>
      </c>
      <c r="D647">
        <f t="shared" si="63"/>
        <v>0</v>
      </c>
      <c r="E647" s="67">
        <f>'Parametric VAR'!$F$13</f>
        <v>-2.8682193012943492E-2</v>
      </c>
      <c r="F647">
        <f t="shared" si="64"/>
        <v>0</v>
      </c>
      <c r="G647" s="67">
        <f>'Historical VAR'!$G$6</f>
        <v>-1.9839729167757107E-2</v>
      </c>
      <c r="H647">
        <f t="shared" si="65"/>
        <v>0</v>
      </c>
      <c r="I647" s="67">
        <f>'Historical VAR'!$G$7</f>
        <v>-3.1428916759065853E-2</v>
      </c>
      <c r="J647">
        <f t="shared" si="66"/>
        <v>0</v>
      </c>
      <c r="K647" s="67">
        <f ca="1">'Monte Carlo Stimulation'!$I$8</f>
        <v>-2.1559270710709389E-2</v>
      </c>
      <c r="L647">
        <f t="shared" ca="1" si="67"/>
        <v>0</v>
      </c>
      <c r="M647" s="67">
        <f ca="1">'Monte Carlo Stimulation'!$I$9</f>
        <v>-2.919314405717207E-2</v>
      </c>
      <c r="N647">
        <f t="shared" ca="1" si="68"/>
        <v>0</v>
      </c>
    </row>
    <row r="648" spans="1:14">
      <c r="A648" s="12">
        <v>45161</v>
      </c>
      <c r="B648" s="14">
        <v>-1.5242576756620291E-2</v>
      </c>
      <c r="C648" s="67">
        <f>'Parametric VAR'!$F$12</f>
        <v>-2.023068247926026E-2</v>
      </c>
      <c r="D648">
        <f t="shared" si="63"/>
        <v>0</v>
      </c>
      <c r="E648" s="67">
        <f>'Parametric VAR'!$F$13</f>
        <v>-2.8682193012943492E-2</v>
      </c>
      <c r="F648">
        <f t="shared" si="64"/>
        <v>0</v>
      </c>
      <c r="G648" s="67">
        <f>'Historical VAR'!$G$6</f>
        <v>-1.9839729167757107E-2</v>
      </c>
      <c r="H648">
        <f t="shared" si="65"/>
        <v>0</v>
      </c>
      <c r="I648" s="67">
        <f>'Historical VAR'!$G$7</f>
        <v>-3.1428916759065853E-2</v>
      </c>
      <c r="J648">
        <f t="shared" si="66"/>
        <v>0</v>
      </c>
      <c r="K648" s="67">
        <f ca="1">'Monte Carlo Stimulation'!$I$8</f>
        <v>-2.1559270710709389E-2</v>
      </c>
      <c r="L648">
        <f t="shared" ca="1" si="67"/>
        <v>0</v>
      </c>
      <c r="M648" s="67">
        <f ca="1">'Monte Carlo Stimulation'!$I$9</f>
        <v>-2.919314405717207E-2</v>
      </c>
      <c r="N648">
        <f t="shared" ca="1" si="68"/>
        <v>0</v>
      </c>
    </row>
    <row r="649" spans="1:14">
      <c r="A649" s="12">
        <v>45160</v>
      </c>
      <c r="B649" s="14">
        <v>4.1723835008918766E-3</v>
      </c>
      <c r="C649" s="67">
        <f>'Parametric VAR'!$F$12</f>
        <v>-2.023068247926026E-2</v>
      </c>
      <c r="D649">
        <f t="shared" si="63"/>
        <v>0</v>
      </c>
      <c r="E649" s="67">
        <f>'Parametric VAR'!$F$13</f>
        <v>-2.8682193012943492E-2</v>
      </c>
      <c r="F649">
        <f t="shared" si="64"/>
        <v>0</v>
      </c>
      <c r="G649" s="67">
        <f>'Historical VAR'!$G$6</f>
        <v>-1.9839729167757107E-2</v>
      </c>
      <c r="H649">
        <f t="shared" si="65"/>
        <v>0</v>
      </c>
      <c r="I649" s="67">
        <f>'Historical VAR'!$G$7</f>
        <v>-3.1428916759065853E-2</v>
      </c>
      <c r="J649">
        <f t="shared" si="66"/>
        <v>0</v>
      </c>
      <c r="K649" s="67">
        <f ca="1">'Monte Carlo Stimulation'!$I$8</f>
        <v>-2.1559270710709389E-2</v>
      </c>
      <c r="L649">
        <f t="shared" ca="1" si="67"/>
        <v>0</v>
      </c>
      <c r="M649" s="67">
        <f ca="1">'Monte Carlo Stimulation'!$I$9</f>
        <v>-2.919314405717207E-2</v>
      </c>
      <c r="N649">
        <f t="shared" ca="1" si="68"/>
        <v>0</v>
      </c>
    </row>
    <row r="650" spans="1:14">
      <c r="A650" s="12">
        <v>45159</v>
      </c>
      <c r="B650" s="14">
        <v>4.8520076684174557E-4</v>
      </c>
      <c r="C650" s="67">
        <f>'Parametric VAR'!$F$12</f>
        <v>-2.023068247926026E-2</v>
      </c>
      <c r="D650">
        <f t="shared" si="63"/>
        <v>0</v>
      </c>
      <c r="E650" s="67">
        <f>'Parametric VAR'!$F$13</f>
        <v>-2.8682193012943492E-2</v>
      </c>
      <c r="F650">
        <f t="shared" si="64"/>
        <v>0</v>
      </c>
      <c r="G650" s="67">
        <f>'Historical VAR'!$G$6</f>
        <v>-1.9839729167757107E-2</v>
      </c>
      <c r="H650">
        <f t="shared" si="65"/>
        <v>0</v>
      </c>
      <c r="I650" s="67">
        <f>'Historical VAR'!$G$7</f>
        <v>-3.1428916759065853E-2</v>
      </c>
      <c r="J650">
        <f t="shared" si="66"/>
        <v>0</v>
      </c>
      <c r="K650" s="67">
        <f ca="1">'Monte Carlo Stimulation'!$I$8</f>
        <v>-2.1559270710709389E-2</v>
      </c>
      <c r="L650">
        <f t="shared" ca="1" si="67"/>
        <v>0</v>
      </c>
      <c r="M650" s="67">
        <f ca="1">'Monte Carlo Stimulation'!$I$9</f>
        <v>-2.919314405717207E-2</v>
      </c>
      <c r="N650">
        <f t="shared" ca="1" si="68"/>
        <v>0</v>
      </c>
    </row>
    <row r="651" spans="1:14">
      <c r="A651" s="12">
        <v>45156</v>
      </c>
      <c r="B651" s="14">
        <v>-3.8673875541014855E-3</v>
      </c>
      <c r="C651" s="67">
        <f>'Parametric VAR'!$F$12</f>
        <v>-2.023068247926026E-2</v>
      </c>
      <c r="D651">
        <f t="shared" si="63"/>
        <v>0</v>
      </c>
      <c r="E651" s="67">
        <f>'Parametric VAR'!$F$13</f>
        <v>-2.8682193012943492E-2</v>
      </c>
      <c r="F651">
        <f t="shared" si="64"/>
        <v>0</v>
      </c>
      <c r="G651" s="67">
        <f>'Historical VAR'!$G$6</f>
        <v>-1.9839729167757107E-2</v>
      </c>
      <c r="H651">
        <f t="shared" si="65"/>
        <v>0</v>
      </c>
      <c r="I651" s="67">
        <f>'Historical VAR'!$G$7</f>
        <v>-3.1428916759065853E-2</v>
      </c>
      <c r="J651">
        <f t="shared" si="66"/>
        <v>0</v>
      </c>
      <c r="K651" s="67">
        <f ca="1">'Monte Carlo Stimulation'!$I$8</f>
        <v>-2.1559270710709389E-2</v>
      </c>
      <c r="L651">
        <f t="shared" ca="1" si="67"/>
        <v>0</v>
      </c>
      <c r="M651" s="67">
        <f ca="1">'Monte Carlo Stimulation'!$I$9</f>
        <v>-2.919314405717207E-2</v>
      </c>
      <c r="N651">
        <f t="shared" ca="1" si="68"/>
        <v>0</v>
      </c>
    </row>
    <row r="652" spans="1:14">
      <c r="A652" s="12">
        <v>45155</v>
      </c>
      <c r="B652" s="14">
        <v>3.6777235964335253E-3</v>
      </c>
      <c r="C652" s="67">
        <f>'Parametric VAR'!$F$12</f>
        <v>-2.023068247926026E-2</v>
      </c>
      <c r="D652">
        <f t="shared" si="63"/>
        <v>0</v>
      </c>
      <c r="E652" s="67">
        <f>'Parametric VAR'!$F$13</f>
        <v>-2.8682193012943492E-2</v>
      </c>
      <c r="F652">
        <f t="shared" si="64"/>
        <v>0</v>
      </c>
      <c r="G652" s="67">
        <f>'Historical VAR'!$G$6</f>
        <v>-1.9839729167757107E-2</v>
      </c>
      <c r="H652">
        <f t="shared" si="65"/>
        <v>0</v>
      </c>
      <c r="I652" s="67">
        <f>'Historical VAR'!$G$7</f>
        <v>-3.1428916759065853E-2</v>
      </c>
      <c r="J652">
        <f t="shared" si="66"/>
        <v>0</v>
      </c>
      <c r="K652" s="67">
        <f ca="1">'Monte Carlo Stimulation'!$I$8</f>
        <v>-2.1559270710709389E-2</v>
      </c>
      <c r="L652">
        <f t="shared" ca="1" si="67"/>
        <v>0</v>
      </c>
      <c r="M652" s="67">
        <f ca="1">'Monte Carlo Stimulation'!$I$9</f>
        <v>-2.919314405717207E-2</v>
      </c>
      <c r="N652">
        <f t="shared" ca="1" si="68"/>
        <v>0</v>
      </c>
    </row>
    <row r="653" spans="1:14">
      <c r="A653" s="12">
        <v>45154</v>
      </c>
      <c r="B653" s="14">
        <v>1.8646932010463252E-3</v>
      </c>
      <c r="C653" s="67">
        <f>'Parametric VAR'!$F$12</f>
        <v>-2.023068247926026E-2</v>
      </c>
      <c r="D653">
        <f t="shared" si="63"/>
        <v>0</v>
      </c>
      <c r="E653" s="67">
        <f>'Parametric VAR'!$F$13</f>
        <v>-2.8682193012943492E-2</v>
      </c>
      <c r="F653">
        <f t="shared" si="64"/>
        <v>0</v>
      </c>
      <c r="G653" s="67">
        <f>'Historical VAR'!$G$6</f>
        <v>-1.9839729167757107E-2</v>
      </c>
      <c r="H653">
        <f t="shared" si="65"/>
        <v>0</v>
      </c>
      <c r="I653" s="67">
        <f>'Historical VAR'!$G$7</f>
        <v>-3.1428916759065853E-2</v>
      </c>
      <c r="J653">
        <f t="shared" si="66"/>
        <v>0</v>
      </c>
      <c r="K653" s="67">
        <f ca="1">'Monte Carlo Stimulation'!$I$8</f>
        <v>-2.1559270710709389E-2</v>
      </c>
      <c r="L653">
        <f t="shared" ca="1" si="67"/>
        <v>0</v>
      </c>
      <c r="M653" s="67">
        <f ca="1">'Monte Carlo Stimulation'!$I$9</f>
        <v>-2.919314405717207E-2</v>
      </c>
      <c r="N653">
        <f t="shared" ca="1" si="68"/>
        <v>0</v>
      </c>
    </row>
    <row r="654" spans="1:14">
      <c r="A654" s="12">
        <v>45152</v>
      </c>
      <c r="B654" s="14">
        <v>1.5574229669239402E-4</v>
      </c>
      <c r="C654" s="67">
        <f>'Parametric VAR'!$F$12</f>
        <v>-2.023068247926026E-2</v>
      </c>
      <c r="D654">
        <f t="shared" si="63"/>
        <v>0</v>
      </c>
      <c r="E654" s="67">
        <f>'Parametric VAR'!$F$13</f>
        <v>-2.8682193012943492E-2</v>
      </c>
      <c r="F654">
        <f t="shared" si="64"/>
        <v>0</v>
      </c>
      <c r="G654" s="67">
        <f>'Historical VAR'!$G$6</f>
        <v>-1.9839729167757107E-2</v>
      </c>
      <c r="H654">
        <f t="shared" si="65"/>
        <v>0</v>
      </c>
      <c r="I654" s="67">
        <f>'Historical VAR'!$G$7</f>
        <v>-3.1428916759065853E-2</v>
      </c>
      <c r="J654">
        <f t="shared" si="66"/>
        <v>0</v>
      </c>
      <c r="K654" s="67">
        <f ca="1">'Monte Carlo Stimulation'!$I$8</f>
        <v>-2.1559270710709389E-2</v>
      </c>
      <c r="L654">
        <f t="shared" ca="1" si="67"/>
        <v>0</v>
      </c>
      <c r="M654" s="67">
        <f ca="1">'Monte Carlo Stimulation'!$I$9</f>
        <v>-2.919314405717207E-2</v>
      </c>
      <c r="N654">
        <f t="shared" ca="1" si="68"/>
        <v>0</v>
      </c>
    </row>
    <row r="655" spans="1:14">
      <c r="A655" s="12">
        <v>45149</v>
      </c>
      <c r="B655" s="14">
        <v>-2.1238358056427683E-3</v>
      </c>
      <c r="C655" s="67">
        <f>'Parametric VAR'!$F$12</f>
        <v>-2.023068247926026E-2</v>
      </c>
      <c r="D655">
        <f t="shared" si="63"/>
        <v>0</v>
      </c>
      <c r="E655" s="67">
        <f>'Parametric VAR'!$F$13</f>
        <v>-2.8682193012943492E-2</v>
      </c>
      <c r="F655">
        <f t="shared" si="64"/>
        <v>0</v>
      </c>
      <c r="G655" s="67">
        <f>'Historical VAR'!$G$6</f>
        <v>-1.9839729167757107E-2</v>
      </c>
      <c r="H655">
        <f t="shared" si="65"/>
        <v>0</v>
      </c>
      <c r="I655" s="67">
        <f>'Historical VAR'!$G$7</f>
        <v>-3.1428916759065853E-2</v>
      </c>
      <c r="J655">
        <f t="shared" si="66"/>
        <v>0</v>
      </c>
      <c r="K655" s="67">
        <f ca="1">'Monte Carlo Stimulation'!$I$8</f>
        <v>-2.1559270710709389E-2</v>
      </c>
      <c r="L655">
        <f t="shared" ca="1" si="67"/>
        <v>0</v>
      </c>
      <c r="M655" s="67">
        <f ca="1">'Monte Carlo Stimulation'!$I$9</f>
        <v>-2.919314405717207E-2</v>
      </c>
      <c r="N655">
        <f t="shared" ca="1" si="68"/>
        <v>0</v>
      </c>
    </row>
    <row r="656" spans="1:14">
      <c r="A656" s="12">
        <v>45148</v>
      </c>
      <c r="B656" s="14">
        <v>1.028368074085328E-2</v>
      </c>
      <c r="C656" s="67">
        <f>'Parametric VAR'!$F$12</f>
        <v>-2.023068247926026E-2</v>
      </c>
      <c r="D656">
        <f t="shared" si="63"/>
        <v>0</v>
      </c>
      <c r="E656" s="67">
        <f>'Parametric VAR'!$F$13</f>
        <v>-2.8682193012943492E-2</v>
      </c>
      <c r="F656">
        <f t="shared" si="64"/>
        <v>0</v>
      </c>
      <c r="G656" s="67">
        <f>'Historical VAR'!$G$6</f>
        <v>-1.9839729167757107E-2</v>
      </c>
      <c r="H656">
        <f t="shared" si="65"/>
        <v>0</v>
      </c>
      <c r="I656" s="67">
        <f>'Historical VAR'!$G$7</f>
        <v>-3.1428916759065853E-2</v>
      </c>
      <c r="J656">
        <f t="shared" si="66"/>
        <v>0</v>
      </c>
      <c r="K656" s="67">
        <f ca="1">'Monte Carlo Stimulation'!$I$8</f>
        <v>-2.1559270710709389E-2</v>
      </c>
      <c r="L656">
        <f t="shared" ca="1" si="67"/>
        <v>0</v>
      </c>
      <c r="M656" s="67">
        <f ca="1">'Monte Carlo Stimulation'!$I$9</f>
        <v>-2.919314405717207E-2</v>
      </c>
      <c r="N656">
        <f t="shared" ca="1" si="68"/>
        <v>0</v>
      </c>
    </row>
    <row r="657" spans="1:14">
      <c r="A657" s="12">
        <v>45147</v>
      </c>
      <c r="B657" s="14">
        <v>2.1134317130417395E-2</v>
      </c>
      <c r="C657" s="67">
        <f>'Parametric VAR'!$F$12</f>
        <v>-2.023068247926026E-2</v>
      </c>
      <c r="D657">
        <f t="shared" si="63"/>
        <v>0</v>
      </c>
      <c r="E657" s="67">
        <f>'Parametric VAR'!$F$13</f>
        <v>-2.8682193012943492E-2</v>
      </c>
      <c r="F657">
        <f t="shared" si="64"/>
        <v>0</v>
      </c>
      <c r="G657" s="67">
        <f>'Historical VAR'!$G$6</f>
        <v>-1.9839729167757107E-2</v>
      </c>
      <c r="H657">
        <f t="shared" si="65"/>
        <v>0</v>
      </c>
      <c r="I657" s="67">
        <f>'Historical VAR'!$G$7</f>
        <v>-3.1428916759065853E-2</v>
      </c>
      <c r="J657">
        <f t="shared" si="66"/>
        <v>0</v>
      </c>
      <c r="K657" s="67">
        <f ca="1">'Monte Carlo Stimulation'!$I$8</f>
        <v>-2.1559270710709389E-2</v>
      </c>
      <c r="L657">
        <f t="shared" ca="1" si="67"/>
        <v>0</v>
      </c>
      <c r="M657" s="67">
        <f ca="1">'Monte Carlo Stimulation'!$I$9</f>
        <v>-2.919314405717207E-2</v>
      </c>
      <c r="N657">
        <f t="shared" ca="1" si="68"/>
        <v>0</v>
      </c>
    </row>
    <row r="658" spans="1:14">
      <c r="A658" s="12">
        <v>45146</v>
      </c>
      <c r="B658" s="14">
        <v>6.319751179702543E-3</v>
      </c>
      <c r="C658" s="67">
        <f>'Parametric VAR'!$F$12</f>
        <v>-2.023068247926026E-2</v>
      </c>
      <c r="D658">
        <f t="shared" si="63"/>
        <v>0</v>
      </c>
      <c r="E658" s="67">
        <f>'Parametric VAR'!$F$13</f>
        <v>-2.8682193012943492E-2</v>
      </c>
      <c r="F658">
        <f t="shared" si="64"/>
        <v>0</v>
      </c>
      <c r="G658" s="67">
        <f>'Historical VAR'!$G$6</f>
        <v>-1.9839729167757107E-2</v>
      </c>
      <c r="H658">
        <f t="shared" si="65"/>
        <v>0</v>
      </c>
      <c r="I658" s="67">
        <f>'Historical VAR'!$G$7</f>
        <v>-3.1428916759065853E-2</v>
      </c>
      <c r="J658">
        <f t="shared" si="66"/>
        <v>0</v>
      </c>
      <c r="K658" s="67">
        <f ca="1">'Monte Carlo Stimulation'!$I$8</f>
        <v>-2.1559270710709389E-2</v>
      </c>
      <c r="L658">
        <f t="shared" ca="1" si="67"/>
        <v>0</v>
      </c>
      <c r="M658" s="67">
        <f ca="1">'Monte Carlo Stimulation'!$I$9</f>
        <v>-2.919314405717207E-2</v>
      </c>
      <c r="N658">
        <f t="shared" ca="1" si="68"/>
        <v>0</v>
      </c>
    </row>
    <row r="659" spans="1:14">
      <c r="A659" s="12">
        <v>45145</v>
      </c>
      <c r="B659" s="14">
        <v>-1.4090585594357052E-3</v>
      </c>
      <c r="C659" s="67">
        <f>'Parametric VAR'!$F$12</f>
        <v>-2.023068247926026E-2</v>
      </c>
      <c r="D659">
        <f t="shared" si="63"/>
        <v>0</v>
      </c>
      <c r="E659" s="67">
        <f>'Parametric VAR'!$F$13</f>
        <v>-2.8682193012943492E-2</v>
      </c>
      <c r="F659">
        <f t="shared" si="64"/>
        <v>0</v>
      </c>
      <c r="G659" s="67">
        <f>'Historical VAR'!$G$6</f>
        <v>-1.9839729167757107E-2</v>
      </c>
      <c r="H659">
        <f t="shared" si="65"/>
        <v>0</v>
      </c>
      <c r="I659" s="67">
        <f>'Historical VAR'!$G$7</f>
        <v>-3.1428916759065853E-2</v>
      </c>
      <c r="J659">
        <f t="shared" si="66"/>
        <v>0</v>
      </c>
      <c r="K659" s="67">
        <f ca="1">'Monte Carlo Stimulation'!$I$8</f>
        <v>-2.1559270710709389E-2</v>
      </c>
      <c r="L659">
        <f t="shared" ca="1" si="67"/>
        <v>0</v>
      </c>
      <c r="M659" s="67">
        <f ca="1">'Monte Carlo Stimulation'!$I$9</f>
        <v>-2.919314405717207E-2</v>
      </c>
      <c r="N659">
        <f t="shared" ca="1" si="68"/>
        <v>0</v>
      </c>
    </row>
    <row r="660" spans="1:14">
      <c r="A660" s="12">
        <v>45142</v>
      </c>
      <c r="B660" s="14">
        <v>-1.4044980630139225E-3</v>
      </c>
      <c r="C660" s="67">
        <f>'Parametric VAR'!$F$12</f>
        <v>-2.023068247926026E-2</v>
      </c>
      <c r="D660">
        <f t="shared" si="63"/>
        <v>0</v>
      </c>
      <c r="E660" s="67">
        <f>'Parametric VAR'!$F$13</f>
        <v>-2.8682193012943492E-2</v>
      </c>
      <c r="F660">
        <f t="shared" si="64"/>
        <v>0</v>
      </c>
      <c r="G660" s="67">
        <f>'Historical VAR'!$G$6</f>
        <v>-1.9839729167757107E-2</v>
      </c>
      <c r="H660">
        <f t="shared" si="65"/>
        <v>0</v>
      </c>
      <c r="I660" s="67">
        <f>'Historical VAR'!$G$7</f>
        <v>-3.1428916759065853E-2</v>
      </c>
      <c r="J660">
        <f t="shared" si="66"/>
        <v>0</v>
      </c>
      <c r="K660" s="67">
        <f ca="1">'Monte Carlo Stimulation'!$I$8</f>
        <v>-2.1559270710709389E-2</v>
      </c>
      <c r="L660">
        <f t="shared" ca="1" si="67"/>
        <v>0</v>
      </c>
      <c r="M660" s="67">
        <f ca="1">'Monte Carlo Stimulation'!$I$9</f>
        <v>-2.919314405717207E-2</v>
      </c>
      <c r="N660">
        <f t="shared" ca="1" si="68"/>
        <v>0</v>
      </c>
    </row>
    <row r="661" spans="1:14">
      <c r="A661" s="12">
        <v>45141</v>
      </c>
      <c r="B661" s="14">
        <v>-2.932313840341177E-3</v>
      </c>
      <c r="C661" s="67">
        <f>'Parametric VAR'!$F$12</f>
        <v>-2.023068247926026E-2</v>
      </c>
      <c r="D661">
        <f t="shared" si="63"/>
        <v>0</v>
      </c>
      <c r="E661" s="67">
        <f>'Parametric VAR'!$F$13</f>
        <v>-2.8682193012943492E-2</v>
      </c>
      <c r="F661">
        <f t="shared" si="64"/>
        <v>0</v>
      </c>
      <c r="G661" s="67">
        <f>'Historical VAR'!$G$6</f>
        <v>-1.9839729167757107E-2</v>
      </c>
      <c r="H661">
        <f t="shared" si="65"/>
        <v>0</v>
      </c>
      <c r="I661" s="67">
        <f>'Historical VAR'!$G$7</f>
        <v>-3.1428916759065853E-2</v>
      </c>
      <c r="J661">
        <f t="shared" si="66"/>
        <v>0</v>
      </c>
      <c r="K661" s="67">
        <f ca="1">'Monte Carlo Stimulation'!$I$8</f>
        <v>-2.1559270710709389E-2</v>
      </c>
      <c r="L661">
        <f t="shared" ca="1" si="67"/>
        <v>0</v>
      </c>
      <c r="M661" s="67">
        <f ca="1">'Monte Carlo Stimulation'!$I$9</f>
        <v>-2.919314405717207E-2</v>
      </c>
      <c r="N661">
        <f t="shared" ca="1" si="68"/>
        <v>0</v>
      </c>
    </row>
    <row r="662" spans="1:14">
      <c r="A662" s="12">
        <v>45140</v>
      </c>
      <c r="B662" s="14">
        <v>9.4936745541908934E-3</v>
      </c>
      <c r="C662" s="67">
        <f>'Parametric VAR'!$F$12</f>
        <v>-2.023068247926026E-2</v>
      </c>
      <c r="D662">
        <f t="shared" si="63"/>
        <v>0</v>
      </c>
      <c r="E662" s="67">
        <f>'Parametric VAR'!$F$13</f>
        <v>-2.8682193012943492E-2</v>
      </c>
      <c r="F662">
        <f t="shared" si="64"/>
        <v>0</v>
      </c>
      <c r="G662" s="67">
        <f>'Historical VAR'!$G$6</f>
        <v>-1.9839729167757107E-2</v>
      </c>
      <c r="H662">
        <f t="shared" si="65"/>
        <v>0</v>
      </c>
      <c r="I662" s="67">
        <f>'Historical VAR'!$G$7</f>
        <v>-3.1428916759065853E-2</v>
      </c>
      <c r="J662">
        <f t="shared" si="66"/>
        <v>0</v>
      </c>
      <c r="K662" s="67">
        <f ca="1">'Monte Carlo Stimulation'!$I$8</f>
        <v>-2.1559270710709389E-2</v>
      </c>
      <c r="L662">
        <f t="shared" ca="1" si="67"/>
        <v>0</v>
      </c>
      <c r="M662" s="67">
        <f ca="1">'Monte Carlo Stimulation'!$I$9</f>
        <v>-2.919314405717207E-2</v>
      </c>
      <c r="N662">
        <f t="shared" ca="1" si="68"/>
        <v>0</v>
      </c>
    </row>
    <row r="663" spans="1:14">
      <c r="A663" s="12">
        <v>45139</v>
      </c>
      <c r="B663" s="14">
        <v>-4.9835556866805351E-3</v>
      </c>
      <c r="C663" s="67">
        <f>'Parametric VAR'!$F$12</f>
        <v>-2.023068247926026E-2</v>
      </c>
      <c r="D663">
        <f t="shared" si="63"/>
        <v>0</v>
      </c>
      <c r="E663" s="67">
        <f>'Parametric VAR'!$F$13</f>
        <v>-2.8682193012943492E-2</v>
      </c>
      <c r="F663">
        <f t="shared" si="64"/>
        <v>0</v>
      </c>
      <c r="G663" s="67">
        <f>'Historical VAR'!$G$6</f>
        <v>-1.9839729167757107E-2</v>
      </c>
      <c r="H663">
        <f t="shared" si="65"/>
        <v>0</v>
      </c>
      <c r="I663" s="67">
        <f>'Historical VAR'!$G$7</f>
        <v>-3.1428916759065853E-2</v>
      </c>
      <c r="J663">
        <f t="shared" si="66"/>
        <v>0</v>
      </c>
      <c r="K663" s="67">
        <f ca="1">'Monte Carlo Stimulation'!$I$8</f>
        <v>-2.1559270710709389E-2</v>
      </c>
      <c r="L663">
        <f t="shared" ca="1" si="67"/>
        <v>0</v>
      </c>
      <c r="M663" s="67">
        <f ca="1">'Monte Carlo Stimulation'!$I$9</f>
        <v>-2.919314405717207E-2</v>
      </c>
      <c r="N663">
        <f t="shared" ca="1" si="68"/>
        <v>0</v>
      </c>
    </row>
    <row r="664" spans="1:14">
      <c r="A664" s="12">
        <v>45138</v>
      </c>
      <c r="B664" s="14">
        <v>1.0445096669562109E-3</v>
      </c>
      <c r="C664" s="67">
        <f>'Parametric VAR'!$F$12</f>
        <v>-2.023068247926026E-2</v>
      </c>
      <c r="D664">
        <f t="shared" si="63"/>
        <v>0</v>
      </c>
      <c r="E664" s="67">
        <f>'Parametric VAR'!$F$13</f>
        <v>-2.8682193012943492E-2</v>
      </c>
      <c r="F664">
        <f t="shared" si="64"/>
        <v>0</v>
      </c>
      <c r="G664" s="67">
        <f>'Historical VAR'!$G$6</f>
        <v>-1.9839729167757107E-2</v>
      </c>
      <c r="H664">
        <f t="shared" si="65"/>
        <v>0</v>
      </c>
      <c r="I664" s="67">
        <f>'Historical VAR'!$G$7</f>
        <v>-3.1428916759065853E-2</v>
      </c>
      <c r="J664">
        <f t="shared" si="66"/>
        <v>0</v>
      </c>
      <c r="K664" s="67">
        <f ca="1">'Monte Carlo Stimulation'!$I$8</f>
        <v>-2.1559270710709389E-2</v>
      </c>
      <c r="L664">
        <f t="shared" ca="1" si="67"/>
        <v>0</v>
      </c>
      <c r="M664" s="67">
        <f ca="1">'Monte Carlo Stimulation'!$I$9</f>
        <v>-2.919314405717207E-2</v>
      </c>
      <c r="N664">
        <f t="shared" ca="1" si="68"/>
        <v>0</v>
      </c>
    </row>
    <row r="665" spans="1:14">
      <c r="A665" s="12">
        <v>45135</v>
      </c>
      <c r="B665" s="14">
        <v>-1.235545067980518E-4</v>
      </c>
      <c r="C665" s="67">
        <f>'Parametric VAR'!$F$12</f>
        <v>-2.023068247926026E-2</v>
      </c>
      <c r="D665">
        <f t="shared" si="63"/>
        <v>0</v>
      </c>
      <c r="E665" s="67">
        <f>'Parametric VAR'!$F$13</f>
        <v>-2.8682193012943492E-2</v>
      </c>
      <c r="F665">
        <f t="shared" si="64"/>
        <v>0</v>
      </c>
      <c r="G665" s="67">
        <f>'Historical VAR'!$G$6</f>
        <v>-1.9839729167757107E-2</v>
      </c>
      <c r="H665">
        <f t="shared" si="65"/>
        <v>0</v>
      </c>
      <c r="I665" s="67">
        <f>'Historical VAR'!$G$7</f>
        <v>-3.1428916759065853E-2</v>
      </c>
      <c r="J665">
        <f t="shared" si="66"/>
        <v>0</v>
      </c>
      <c r="K665" s="67">
        <f ca="1">'Monte Carlo Stimulation'!$I$8</f>
        <v>-2.1559270710709389E-2</v>
      </c>
      <c r="L665">
        <f t="shared" ca="1" si="67"/>
        <v>0</v>
      </c>
      <c r="M665" s="67">
        <f ca="1">'Monte Carlo Stimulation'!$I$9</f>
        <v>-2.919314405717207E-2</v>
      </c>
      <c r="N665">
        <f t="shared" ca="1" si="68"/>
        <v>0</v>
      </c>
    </row>
    <row r="666" spans="1:14">
      <c r="A666" s="12">
        <v>45134</v>
      </c>
      <c r="B666" s="14">
        <v>-6.3733915858952914E-3</v>
      </c>
      <c r="C666" s="67">
        <f>'Parametric VAR'!$F$12</f>
        <v>-2.023068247926026E-2</v>
      </c>
      <c r="D666">
        <f t="shared" si="63"/>
        <v>0</v>
      </c>
      <c r="E666" s="67">
        <f>'Parametric VAR'!$F$13</f>
        <v>-2.8682193012943492E-2</v>
      </c>
      <c r="F666">
        <f t="shared" si="64"/>
        <v>0</v>
      </c>
      <c r="G666" s="67">
        <f>'Historical VAR'!$G$6</f>
        <v>-1.9839729167757107E-2</v>
      </c>
      <c r="H666">
        <f t="shared" si="65"/>
        <v>0</v>
      </c>
      <c r="I666" s="67">
        <f>'Historical VAR'!$G$7</f>
        <v>-3.1428916759065853E-2</v>
      </c>
      <c r="J666">
        <f t="shared" si="66"/>
        <v>0</v>
      </c>
      <c r="K666" s="67">
        <f ca="1">'Monte Carlo Stimulation'!$I$8</f>
        <v>-2.1559270710709389E-2</v>
      </c>
      <c r="L666">
        <f t="shared" ca="1" si="67"/>
        <v>0</v>
      </c>
      <c r="M666" s="67">
        <f ca="1">'Monte Carlo Stimulation'!$I$9</f>
        <v>-2.919314405717207E-2</v>
      </c>
      <c r="N666">
        <f t="shared" ca="1" si="68"/>
        <v>0</v>
      </c>
    </row>
    <row r="667" spans="1:14">
      <c r="A667" s="12">
        <v>45133</v>
      </c>
      <c r="B667" s="14">
        <v>-1.9629418346347181E-4</v>
      </c>
      <c r="C667" s="67">
        <f>'Parametric VAR'!$F$12</f>
        <v>-2.023068247926026E-2</v>
      </c>
      <c r="D667">
        <f t="shared" si="63"/>
        <v>0</v>
      </c>
      <c r="E667" s="67">
        <f>'Parametric VAR'!$F$13</f>
        <v>-2.8682193012943492E-2</v>
      </c>
      <c r="F667">
        <f t="shared" si="64"/>
        <v>0</v>
      </c>
      <c r="G667" s="67">
        <f>'Historical VAR'!$G$6</f>
        <v>-1.9839729167757107E-2</v>
      </c>
      <c r="H667">
        <f t="shared" si="65"/>
        <v>0</v>
      </c>
      <c r="I667" s="67">
        <f>'Historical VAR'!$G$7</f>
        <v>-3.1428916759065853E-2</v>
      </c>
      <c r="J667">
        <f t="shared" si="66"/>
        <v>0</v>
      </c>
      <c r="K667" s="67">
        <f ca="1">'Monte Carlo Stimulation'!$I$8</f>
        <v>-2.1559270710709389E-2</v>
      </c>
      <c r="L667">
        <f t="shared" ca="1" si="67"/>
        <v>0</v>
      </c>
      <c r="M667" s="67">
        <f ca="1">'Monte Carlo Stimulation'!$I$9</f>
        <v>-2.919314405717207E-2</v>
      </c>
      <c r="N667">
        <f t="shared" ca="1" si="68"/>
        <v>0</v>
      </c>
    </row>
    <row r="668" spans="1:14">
      <c r="A668" s="12">
        <v>45132</v>
      </c>
      <c r="B668" s="14">
        <v>4.6728611009126562E-3</v>
      </c>
      <c r="C668" s="67">
        <f>'Parametric VAR'!$F$12</f>
        <v>-2.023068247926026E-2</v>
      </c>
      <c r="D668">
        <f t="shared" si="63"/>
        <v>0</v>
      </c>
      <c r="E668" s="67">
        <f>'Parametric VAR'!$F$13</f>
        <v>-2.8682193012943492E-2</v>
      </c>
      <c r="F668">
        <f t="shared" si="64"/>
        <v>0</v>
      </c>
      <c r="G668" s="67">
        <f>'Historical VAR'!$G$6</f>
        <v>-1.9839729167757107E-2</v>
      </c>
      <c r="H668">
        <f t="shared" si="65"/>
        <v>0</v>
      </c>
      <c r="I668" s="67">
        <f>'Historical VAR'!$G$7</f>
        <v>-3.1428916759065853E-2</v>
      </c>
      <c r="J668">
        <f t="shared" si="66"/>
        <v>0</v>
      </c>
      <c r="K668" s="67">
        <f ca="1">'Monte Carlo Stimulation'!$I$8</f>
        <v>-2.1559270710709389E-2</v>
      </c>
      <c r="L668">
        <f t="shared" ca="1" si="67"/>
        <v>0</v>
      </c>
      <c r="M668" s="67">
        <f ca="1">'Monte Carlo Stimulation'!$I$9</f>
        <v>-2.919314405717207E-2</v>
      </c>
      <c r="N668">
        <f t="shared" ca="1" si="68"/>
        <v>0</v>
      </c>
    </row>
    <row r="669" spans="1:14">
      <c r="A669" s="12">
        <v>45131</v>
      </c>
      <c r="B669" s="14">
        <v>3.2298154530071378E-2</v>
      </c>
      <c r="C669" s="67">
        <f>'Parametric VAR'!$F$12</f>
        <v>-2.023068247926026E-2</v>
      </c>
      <c r="D669">
        <f t="shared" si="63"/>
        <v>0</v>
      </c>
      <c r="E669" s="67">
        <f>'Parametric VAR'!$F$13</f>
        <v>-2.8682193012943492E-2</v>
      </c>
      <c r="F669">
        <f t="shared" si="64"/>
        <v>0</v>
      </c>
      <c r="G669" s="67">
        <f>'Historical VAR'!$G$6</f>
        <v>-1.9839729167757107E-2</v>
      </c>
      <c r="H669">
        <f t="shared" si="65"/>
        <v>0</v>
      </c>
      <c r="I669" s="67">
        <f>'Historical VAR'!$G$7</f>
        <v>-3.1428916759065853E-2</v>
      </c>
      <c r="J669">
        <f t="shared" si="66"/>
        <v>0</v>
      </c>
      <c r="K669" s="67">
        <f ca="1">'Monte Carlo Stimulation'!$I$8</f>
        <v>-2.1559270710709389E-2</v>
      </c>
      <c r="L669">
        <f t="shared" ca="1" si="67"/>
        <v>0</v>
      </c>
      <c r="M669" s="67">
        <f ca="1">'Monte Carlo Stimulation'!$I$9</f>
        <v>-2.919314405717207E-2</v>
      </c>
      <c r="N669">
        <f t="shared" ca="1" si="68"/>
        <v>0</v>
      </c>
    </row>
    <row r="670" spans="1:14">
      <c r="A670" s="12">
        <v>45128</v>
      </c>
      <c r="B670" s="14">
        <v>-3.774257105303414E-3</v>
      </c>
      <c r="C670" s="67">
        <f>'Parametric VAR'!$F$12</f>
        <v>-2.023068247926026E-2</v>
      </c>
      <c r="D670">
        <f t="shared" si="63"/>
        <v>0</v>
      </c>
      <c r="E670" s="67">
        <f>'Parametric VAR'!$F$13</f>
        <v>-2.8682193012943492E-2</v>
      </c>
      <c r="F670">
        <f t="shared" si="64"/>
        <v>0</v>
      </c>
      <c r="G670" s="67">
        <f>'Historical VAR'!$G$6</f>
        <v>-1.9839729167757107E-2</v>
      </c>
      <c r="H670">
        <f t="shared" si="65"/>
        <v>0</v>
      </c>
      <c r="I670" s="67">
        <f>'Historical VAR'!$G$7</f>
        <v>-3.1428916759065853E-2</v>
      </c>
      <c r="J670">
        <f t="shared" si="66"/>
        <v>0</v>
      </c>
      <c r="K670" s="67">
        <f ca="1">'Monte Carlo Stimulation'!$I$8</f>
        <v>-2.1559270710709389E-2</v>
      </c>
      <c r="L670">
        <f t="shared" ca="1" si="67"/>
        <v>0</v>
      </c>
      <c r="M670" s="67">
        <f ca="1">'Monte Carlo Stimulation'!$I$9</f>
        <v>-2.919314405717207E-2</v>
      </c>
      <c r="N670">
        <f t="shared" ca="1" si="68"/>
        <v>0</v>
      </c>
    </row>
    <row r="671" spans="1:14">
      <c r="A671" s="12">
        <v>45127</v>
      </c>
      <c r="B671" s="14">
        <v>-5.893209717854498E-4</v>
      </c>
      <c r="C671" s="67">
        <f>'Parametric VAR'!$F$12</f>
        <v>-2.023068247926026E-2</v>
      </c>
      <c r="D671">
        <f t="shared" si="63"/>
        <v>0</v>
      </c>
      <c r="E671" s="67">
        <f>'Parametric VAR'!$F$13</f>
        <v>-2.8682193012943492E-2</v>
      </c>
      <c r="F671">
        <f t="shared" si="64"/>
        <v>0</v>
      </c>
      <c r="G671" s="67">
        <f>'Historical VAR'!$G$6</f>
        <v>-1.9839729167757107E-2</v>
      </c>
      <c r="H671">
        <f t="shared" si="65"/>
        <v>0</v>
      </c>
      <c r="I671" s="67">
        <f>'Historical VAR'!$G$7</f>
        <v>-3.1428916759065853E-2</v>
      </c>
      <c r="J671">
        <f t="shared" si="66"/>
        <v>0</v>
      </c>
      <c r="K671" s="67">
        <f ca="1">'Monte Carlo Stimulation'!$I$8</f>
        <v>-2.1559270710709389E-2</v>
      </c>
      <c r="L671">
        <f t="shared" ca="1" si="67"/>
        <v>0</v>
      </c>
      <c r="M671" s="67">
        <f ca="1">'Monte Carlo Stimulation'!$I$9</f>
        <v>-2.919314405717207E-2</v>
      </c>
      <c r="N671">
        <f t="shared" ca="1" si="68"/>
        <v>0</v>
      </c>
    </row>
    <row r="672" spans="1:14">
      <c r="A672" s="12">
        <v>45126</v>
      </c>
      <c r="B672" s="14">
        <v>-3.3304670243972895E-3</v>
      </c>
      <c r="C672" s="67">
        <f>'Parametric VAR'!$F$12</f>
        <v>-2.023068247926026E-2</v>
      </c>
      <c r="D672">
        <f t="shared" si="63"/>
        <v>0</v>
      </c>
      <c r="E672" s="67">
        <f>'Parametric VAR'!$F$13</f>
        <v>-2.8682193012943492E-2</v>
      </c>
      <c r="F672">
        <f t="shared" si="64"/>
        <v>0</v>
      </c>
      <c r="G672" s="67">
        <f>'Historical VAR'!$G$6</f>
        <v>-1.9839729167757107E-2</v>
      </c>
      <c r="H672">
        <f t="shared" si="65"/>
        <v>0</v>
      </c>
      <c r="I672" s="67">
        <f>'Historical VAR'!$G$7</f>
        <v>-3.1428916759065853E-2</v>
      </c>
      <c r="J672">
        <f t="shared" si="66"/>
        <v>0</v>
      </c>
      <c r="K672" s="67">
        <f ca="1">'Monte Carlo Stimulation'!$I$8</f>
        <v>-2.1559270710709389E-2</v>
      </c>
      <c r="L672">
        <f t="shared" ca="1" si="67"/>
        <v>0</v>
      </c>
      <c r="M672" s="67">
        <f ca="1">'Monte Carlo Stimulation'!$I$9</f>
        <v>-2.919314405717207E-2</v>
      </c>
      <c r="N672">
        <f t="shared" ca="1" si="68"/>
        <v>0</v>
      </c>
    </row>
    <row r="673" spans="1:14">
      <c r="A673" s="12">
        <v>45125</v>
      </c>
      <c r="B673" s="14">
        <v>-3.6879271469789039E-4</v>
      </c>
      <c r="C673" s="67">
        <f>'Parametric VAR'!$F$12</f>
        <v>-2.023068247926026E-2</v>
      </c>
      <c r="D673">
        <f t="shared" si="63"/>
        <v>0</v>
      </c>
      <c r="E673" s="67">
        <f>'Parametric VAR'!$F$13</f>
        <v>-2.8682193012943492E-2</v>
      </c>
      <c r="F673">
        <f t="shared" si="64"/>
        <v>0</v>
      </c>
      <c r="G673" s="67">
        <f>'Historical VAR'!$G$6</f>
        <v>-1.9839729167757107E-2</v>
      </c>
      <c r="H673">
        <f t="shared" si="65"/>
        <v>0</v>
      </c>
      <c r="I673" s="67">
        <f>'Historical VAR'!$G$7</f>
        <v>-3.1428916759065853E-2</v>
      </c>
      <c r="J673">
        <f t="shared" si="66"/>
        <v>0</v>
      </c>
      <c r="K673" s="67">
        <f ca="1">'Monte Carlo Stimulation'!$I$8</f>
        <v>-2.1559270710709389E-2</v>
      </c>
      <c r="L673">
        <f t="shared" ca="1" si="67"/>
        <v>0</v>
      </c>
      <c r="M673" s="67">
        <f ca="1">'Monte Carlo Stimulation'!$I$9</f>
        <v>-2.919314405717207E-2</v>
      </c>
      <c r="N673">
        <f t="shared" ca="1" si="68"/>
        <v>0</v>
      </c>
    </row>
    <row r="674" spans="1:14">
      <c r="A674" s="12">
        <v>45124</v>
      </c>
      <c r="B674" s="14">
        <v>-1.2491211611568713E-2</v>
      </c>
      <c r="C674" s="67">
        <f>'Parametric VAR'!$F$12</f>
        <v>-2.023068247926026E-2</v>
      </c>
      <c r="D674">
        <f t="shared" si="63"/>
        <v>0</v>
      </c>
      <c r="E674" s="67">
        <f>'Parametric VAR'!$F$13</f>
        <v>-2.8682193012943492E-2</v>
      </c>
      <c r="F674">
        <f t="shared" si="64"/>
        <v>0</v>
      </c>
      <c r="G674" s="67">
        <f>'Historical VAR'!$G$6</f>
        <v>-1.9839729167757107E-2</v>
      </c>
      <c r="H674">
        <f t="shared" si="65"/>
        <v>0</v>
      </c>
      <c r="I674" s="67">
        <f>'Historical VAR'!$G$7</f>
        <v>-3.1428916759065853E-2</v>
      </c>
      <c r="J674">
        <f t="shared" si="66"/>
        <v>0</v>
      </c>
      <c r="K674" s="67">
        <f ca="1">'Monte Carlo Stimulation'!$I$8</f>
        <v>-2.1559270710709389E-2</v>
      </c>
      <c r="L674">
        <f t="shared" ca="1" si="67"/>
        <v>0</v>
      </c>
      <c r="M674" s="67">
        <f ca="1">'Monte Carlo Stimulation'!$I$9</f>
        <v>-2.919314405717207E-2</v>
      </c>
      <c r="N674">
        <f t="shared" ca="1" si="68"/>
        <v>0</v>
      </c>
    </row>
    <row r="675" spans="1:14">
      <c r="A675" s="12">
        <v>45121</v>
      </c>
      <c r="B675" s="14">
        <v>-9.0404364981988387E-3</v>
      </c>
      <c r="C675" s="67">
        <f>'Parametric VAR'!$F$12</f>
        <v>-2.023068247926026E-2</v>
      </c>
      <c r="D675">
        <f t="shared" si="63"/>
        <v>0</v>
      </c>
      <c r="E675" s="67">
        <f>'Parametric VAR'!$F$13</f>
        <v>-2.8682193012943492E-2</v>
      </c>
      <c r="F675">
        <f t="shared" si="64"/>
        <v>0</v>
      </c>
      <c r="G675" s="67">
        <f>'Historical VAR'!$G$6</f>
        <v>-1.9839729167757107E-2</v>
      </c>
      <c r="H675">
        <f t="shared" si="65"/>
        <v>0</v>
      </c>
      <c r="I675" s="67">
        <f>'Historical VAR'!$G$7</f>
        <v>-3.1428916759065853E-2</v>
      </c>
      <c r="J675">
        <f t="shared" si="66"/>
        <v>0</v>
      </c>
      <c r="K675" s="67">
        <f ca="1">'Monte Carlo Stimulation'!$I$8</f>
        <v>-2.1559270710709389E-2</v>
      </c>
      <c r="L675">
        <f t="shared" ca="1" si="67"/>
        <v>0</v>
      </c>
      <c r="M675" s="67">
        <f ca="1">'Monte Carlo Stimulation'!$I$9</f>
        <v>-2.919314405717207E-2</v>
      </c>
      <c r="N675">
        <f t="shared" ca="1" si="68"/>
        <v>0</v>
      </c>
    </row>
    <row r="676" spans="1:14">
      <c r="A676" s="12">
        <v>45120</v>
      </c>
      <c r="B676" s="14">
        <v>-8.7089682964836355E-3</v>
      </c>
      <c r="C676" s="67">
        <f>'Parametric VAR'!$F$12</f>
        <v>-2.023068247926026E-2</v>
      </c>
      <c r="D676">
        <f t="shared" si="63"/>
        <v>0</v>
      </c>
      <c r="E676" s="67">
        <f>'Parametric VAR'!$F$13</f>
        <v>-2.8682193012943492E-2</v>
      </c>
      <c r="F676">
        <f t="shared" si="64"/>
        <v>0</v>
      </c>
      <c r="G676" s="67">
        <f>'Historical VAR'!$G$6</f>
        <v>-1.9839729167757107E-2</v>
      </c>
      <c r="H676">
        <f t="shared" si="65"/>
        <v>0</v>
      </c>
      <c r="I676" s="67">
        <f>'Historical VAR'!$G$7</f>
        <v>-3.1428916759065853E-2</v>
      </c>
      <c r="J676">
        <f t="shared" si="66"/>
        <v>0</v>
      </c>
      <c r="K676" s="67">
        <f ca="1">'Monte Carlo Stimulation'!$I$8</f>
        <v>-2.1559270710709389E-2</v>
      </c>
      <c r="L676">
        <f t="shared" ca="1" si="67"/>
        <v>0</v>
      </c>
      <c r="M676" s="67">
        <f ca="1">'Monte Carlo Stimulation'!$I$9</f>
        <v>-2.919314405717207E-2</v>
      </c>
      <c r="N676">
        <f t="shared" ca="1" si="68"/>
        <v>0</v>
      </c>
    </row>
    <row r="677" spans="1:14">
      <c r="A677" s="12">
        <v>45119</v>
      </c>
      <c r="B677" s="14">
        <v>3.2510107342594518E-3</v>
      </c>
      <c r="C677" s="67">
        <f>'Parametric VAR'!$F$12</f>
        <v>-2.023068247926026E-2</v>
      </c>
      <c r="D677">
        <f t="shared" si="63"/>
        <v>0</v>
      </c>
      <c r="E677" s="67">
        <f>'Parametric VAR'!$F$13</f>
        <v>-2.8682193012943492E-2</v>
      </c>
      <c r="F677">
        <f t="shared" si="64"/>
        <v>0</v>
      </c>
      <c r="G677" s="67">
        <f>'Historical VAR'!$G$6</f>
        <v>-1.9839729167757107E-2</v>
      </c>
      <c r="H677">
        <f t="shared" si="65"/>
        <v>0</v>
      </c>
      <c r="I677" s="67">
        <f>'Historical VAR'!$G$7</f>
        <v>-3.1428916759065853E-2</v>
      </c>
      <c r="J677">
        <f t="shared" si="66"/>
        <v>0</v>
      </c>
      <c r="K677" s="67">
        <f ca="1">'Monte Carlo Stimulation'!$I$8</f>
        <v>-2.1559270710709389E-2</v>
      </c>
      <c r="L677">
        <f t="shared" ca="1" si="67"/>
        <v>0</v>
      </c>
      <c r="M677" s="67">
        <f ca="1">'Monte Carlo Stimulation'!$I$9</f>
        <v>-2.919314405717207E-2</v>
      </c>
      <c r="N677">
        <f t="shared" ca="1" si="68"/>
        <v>0</v>
      </c>
    </row>
    <row r="678" spans="1:14">
      <c r="A678" s="12">
        <v>45118</v>
      </c>
      <c r="B678" s="14">
        <v>-2.6106549835163951E-3</v>
      </c>
      <c r="C678" s="67">
        <f>'Parametric VAR'!$F$12</f>
        <v>-2.023068247926026E-2</v>
      </c>
      <c r="D678">
        <f t="shared" si="63"/>
        <v>0</v>
      </c>
      <c r="E678" s="67">
        <f>'Parametric VAR'!$F$13</f>
        <v>-2.8682193012943492E-2</v>
      </c>
      <c r="F678">
        <f t="shared" si="64"/>
        <v>0</v>
      </c>
      <c r="G678" s="67">
        <f>'Historical VAR'!$G$6</f>
        <v>-1.9839729167757107E-2</v>
      </c>
      <c r="H678">
        <f t="shared" si="65"/>
        <v>0</v>
      </c>
      <c r="I678" s="67">
        <f>'Historical VAR'!$G$7</f>
        <v>-3.1428916759065853E-2</v>
      </c>
      <c r="J678">
        <f t="shared" si="66"/>
        <v>0</v>
      </c>
      <c r="K678" s="67">
        <f ca="1">'Monte Carlo Stimulation'!$I$8</f>
        <v>-2.1559270710709389E-2</v>
      </c>
      <c r="L678">
        <f t="shared" ca="1" si="67"/>
        <v>0</v>
      </c>
      <c r="M678" s="67">
        <f ca="1">'Monte Carlo Stimulation'!$I$9</f>
        <v>-2.919314405717207E-2</v>
      </c>
      <c r="N678">
        <f t="shared" ca="1" si="68"/>
        <v>0</v>
      </c>
    </row>
    <row r="679" spans="1:14">
      <c r="A679" s="12">
        <v>45117</v>
      </c>
      <c r="B679" s="14">
        <v>-1.1198231255668066E-2</v>
      </c>
      <c r="C679" s="67">
        <f>'Parametric VAR'!$F$12</f>
        <v>-2.023068247926026E-2</v>
      </c>
      <c r="D679">
        <f t="shared" si="63"/>
        <v>0</v>
      </c>
      <c r="E679" s="67">
        <f>'Parametric VAR'!$F$13</f>
        <v>-2.8682193012943492E-2</v>
      </c>
      <c r="F679">
        <f t="shared" si="64"/>
        <v>0</v>
      </c>
      <c r="G679" s="67">
        <f>'Historical VAR'!$G$6</f>
        <v>-1.9839729167757107E-2</v>
      </c>
      <c r="H679">
        <f t="shared" si="65"/>
        <v>0</v>
      </c>
      <c r="I679" s="67">
        <f>'Historical VAR'!$G$7</f>
        <v>-3.1428916759065853E-2</v>
      </c>
      <c r="J679">
        <f t="shared" si="66"/>
        <v>0</v>
      </c>
      <c r="K679" s="67">
        <f ca="1">'Monte Carlo Stimulation'!$I$8</f>
        <v>-2.1559270710709389E-2</v>
      </c>
      <c r="L679">
        <f t="shared" ca="1" si="67"/>
        <v>0</v>
      </c>
      <c r="M679" s="67">
        <f ca="1">'Monte Carlo Stimulation'!$I$9</f>
        <v>-2.919314405717207E-2</v>
      </c>
      <c r="N679">
        <f t="shared" ca="1" si="68"/>
        <v>0</v>
      </c>
    </row>
    <row r="680" spans="1:14">
      <c r="A680" s="12">
        <v>45114</v>
      </c>
      <c r="B680" s="14">
        <v>-3.3680197580841976E-4</v>
      </c>
      <c r="C680" s="67">
        <f>'Parametric VAR'!$F$12</f>
        <v>-2.023068247926026E-2</v>
      </c>
      <c r="D680">
        <f t="shared" si="63"/>
        <v>0</v>
      </c>
      <c r="E680" s="67">
        <f>'Parametric VAR'!$F$13</f>
        <v>-2.8682193012943492E-2</v>
      </c>
      <c r="F680">
        <f t="shared" si="64"/>
        <v>0</v>
      </c>
      <c r="G680" s="67">
        <f>'Historical VAR'!$G$6</f>
        <v>-1.9839729167757107E-2</v>
      </c>
      <c r="H680">
        <f t="shared" si="65"/>
        <v>0</v>
      </c>
      <c r="I680" s="67">
        <f>'Historical VAR'!$G$7</f>
        <v>-3.1428916759065853E-2</v>
      </c>
      <c r="J680">
        <f t="shared" si="66"/>
        <v>0</v>
      </c>
      <c r="K680" s="67">
        <f ca="1">'Monte Carlo Stimulation'!$I$8</f>
        <v>-2.1559270710709389E-2</v>
      </c>
      <c r="L680">
        <f t="shared" ca="1" si="67"/>
        <v>0</v>
      </c>
      <c r="M680" s="67">
        <f ca="1">'Monte Carlo Stimulation'!$I$9</f>
        <v>-2.919314405717207E-2</v>
      </c>
      <c r="N680">
        <f t="shared" ca="1" si="68"/>
        <v>0</v>
      </c>
    </row>
    <row r="681" spans="1:14">
      <c r="A681" s="12">
        <v>45113</v>
      </c>
      <c r="B681" s="14">
        <v>1.399680184325375E-2</v>
      </c>
      <c r="C681" s="67">
        <f>'Parametric VAR'!$F$12</f>
        <v>-2.023068247926026E-2</v>
      </c>
      <c r="D681">
        <f t="shared" si="63"/>
        <v>0</v>
      </c>
      <c r="E681" s="67">
        <f>'Parametric VAR'!$F$13</f>
        <v>-2.8682193012943492E-2</v>
      </c>
      <c r="F681">
        <f t="shared" si="64"/>
        <v>0</v>
      </c>
      <c r="G681" s="67">
        <f>'Historical VAR'!$G$6</f>
        <v>-1.9839729167757107E-2</v>
      </c>
      <c r="H681">
        <f t="shared" si="65"/>
        <v>0</v>
      </c>
      <c r="I681" s="67">
        <f>'Historical VAR'!$G$7</f>
        <v>-3.1428916759065853E-2</v>
      </c>
      <c r="J681">
        <f t="shared" si="66"/>
        <v>0</v>
      </c>
      <c r="K681" s="67">
        <f ca="1">'Monte Carlo Stimulation'!$I$8</f>
        <v>-2.1559270710709389E-2</v>
      </c>
      <c r="L681">
        <f t="shared" ca="1" si="67"/>
        <v>0</v>
      </c>
      <c r="M681" s="67">
        <f ca="1">'Monte Carlo Stimulation'!$I$9</f>
        <v>-2.919314405717207E-2</v>
      </c>
      <c r="N681">
        <f t="shared" ca="1" si="68"/>
        <v>0</v>
      </c>
    </row>
    <row r="682" spans="1:14">
      <c r="A682" s="12">
        <v>45112</v>
      </c>
      <c r="B682" s="14">
        <v>-5.7277567150001386E-3</v>
      </c>
      <c r="C682" s="67">
        <f>'Parametric VAR'!$F$12</f>
        <v>-2.023068247926026E-2</v>
      </c>
      <c r="D682">
        <f t="shared" si="63"/>
        <v>0</v>
      </c>
      <c r="E682" s="67">
        <f>'Parametric VAR'!$F$13</f>
        <v>-2.8682193012943492E-2</v>
      </c>
      <c r="F682">
        <f t="shared" si="64"/>
        <v>0</v>
      </c>
      <c r="G682" s="67">
        <f>'Historical VAR'!$G$6</f>
        <v>-1.9839729167757107E-2</v>
      </c>
      <c r="H682">
        <f t="shared" si="65"/>
        <v>0</v>
      </c>
      <c r="I682" s="67">
        <f>'Historical VAR'!$G$7</f>
        <v>-3.1428916759065853E-2</v>
      </c>
      <c r="J682">
        <f t="shared" si="66"/>
        <v>0</v>
      </c>
      <c r="K682" s="67">
        <f ca="1">'Monte Carlo Stimulation'!$I$8</f>
        <v>-2.1559270710709389E-2</v>
      </c>
      <c r="L682">
        <f t="shared" ca="1" si="67"/>
        <v>0</v>
      </c>
      <c r="M682" s="67">
        <f ca="1">'Monte Carlo Stimulation'!$I$9</f>
        <v>-2.919314405717207E-2</v>
      </c>
      <c r="N682">
        <f t="shared" ca="1" si="68"/>
        <v>0</v>
      </c>
    </row>
    <row r="683" spans="1:14">
      <c r="A683" s="12">
        <v>45111</v>
      </c>
      <c r="B683" s="14">
        <v>-9.0926520285968225E-3</v>
      </c>
      <c r="C683" s="67">
        <f>'Parametric VAR'!$F$12</f>
        <v>-2.023068247926026E-2</v>
      </c>
      <c r="D683">
        <f t="shared" si="63"/>
        <v>0</v>
      </c>
      <c r="E683" s="67">
        <f>'Parametric VAR'!$F$13</f>
        <v>-2.8682193012943492E-2</v>
      </c>
      <c r="F683">
        <f t="shared" si="64"/>
        <v>0</v>
      </c>
      <c r="G683" s="67">
        <f>'Historical VAR'!$G$6</f>
        <v>-1.9839729167757107E-2</v>
      </c>
      <c r="H683">
        <f t="shared" si="65"/>
        <v>0</v>
      </c>
      <c r="I683" s="67">
        <f>'Historical VAR'!$G$7</f>
        <v>-3.1428916759065853E-2</v>
      </c>
      <c r="J683">
        <f t="shared" si="66"/>
        <v>0</v>
      </c>
      <c r="K683" s="67">
        <f ca="1">'Monte Carlo Stimulation'!$I$8</f>
        <v>-2.1559270710709389E-2</v>
      </c>
      <c r="L683">
        <f t="shared" ca="1" si="67"/>
        <v>0</v>
      </c>
      <c r="M683" s="67">
        <f ca="1">'Monte Carlo Stimulation'!$I$9</f>
        <v>-2.919314405717207E-2</v>
      </c>
      <c r="N683">
        <f t="shared" ca="1" si="68"/>
        <v>0</v>
      </c>
    </row>
    <row r="684" spans="1:14">
      <c r="A684" s="12">
        <v>45110</v>
      </c>
      <c r="B684" s="14">
        <v>2.0598251432651388E-3</v>
      </c>
      <c r="C684" s="67">
        <f>'Parametric VAR'!$F$12</f>
        <v>-2.023068247926026E-2</v>
      </c>
      <c r="D684">
        <f t="shared" si="63"/>
        <v>0</v>
      </c>
      <c r="E684" s="67">
        <f>'Parametric VAR'!$F$13</f>
        <v>-2.8682193012943492E-2</v>
      </c>
      <c r="F684">
        <f t="shared" si="64"/>
        <v>0</v>
      </c>
      <c r="G684" s="67">
        <f>'Historical VAR'!$G$6</f>
        <v>-1.9839729167757107E-2</v>
      </c>
      <c r="H684">
        <f t="shared" si="65"/>
        <v>0</v>
      </c>
      <c r="I684" s="67">
        <f>'Historical VAR'!$G$7</f>
        <v>-3.1428916759065853E-2</v>
      </c>
      <c r="J684">
        <f t="shared" si="66"/>
        <v>0</v>
      </c>
      <c r="K684" s="67">
        <f ca="1">'Monte Carlo Stimulation'!$I$8</f>
        <v>-2.1559270710709389E-2</v>
      </c>
      <c r="L684">
        <f t="shared" ca="1" si="67"/>
        <v>0</v>
      </c>
      <c r="M684" s="67">
        <f ca="1">'Monte Carlo Stimulation'!$I$9</f>
        <v>-2.919314405717207E-2</v>
      </c>
      <c r="N684">
        <f t="shared" ca="1" si="68"/>
        <v>0</v>
      </c>
    </row>
    <row r="685" spans="1:14">
      <c r="A685" s="12">
        <v>45107</v>
      </c>
      <c r="B685" s="14">
        <v>-2.4349590196902905E-4</v>
      </c>
      <c r="C685" s="67">
        <f>'Parametric VAR'!$F$12</f>
        <v>-2.023068247926026E-2</v>
      </c>
      <c r="D685">
        <f t="shared" si="63"/>
        <v>0</v>
      </c>
      <c r="E685" s="67">
        <f>'Parametric VAR'!$F$13</f>
        <v>-2.8682193012943492E-2</v>
      </c>
      <c r="F685">
        <f t="shared" si="64"/>
        <v>0</v>
      </c>
      <c r="G685" s="67">
        <f>'Historical VAR'!$G$6</f>
        <v>-1.9839729167757107E-2</v>
      </c>
      <c r="H685">
        <f t="shared" si="65"/>
        <v>0</v>
      </c>
      <c r="I685" s="67">
        <f>'Historical VAR'!$G$7</f>
        <v>-3.1428916759065853E-2</v>
      </c>
      <c r="J685">
        <f t="shared" si="66"/>
        <v>0</v>
      </c>
      <c r="K685" s="67">
        <f ca="1">'Monte Carlo Stimulation'!$I$8</f>
        <v>-2.1559270710709389E-2</v>
      </c>
      <c r="L685">
        <f t="shared" ca="1" si="67"/>
        <v>0</v>
      </c>
      <c r="M685" s="67">
        <f ca="1">'Monte Carlo Stimulation'!$I$9</f>
        <v>-2.919314405717207E-2</v>
      </c>
      <c r="N685">
        <f t="shared" ca="1" si="68"/>
        <v>0</v>
      </c>
    </row>
    <row r="686" spans="1:14">
      <c r="A686" s="12">
        <v>45105</v>
      </c>
      <c r="B686" s="14">
        <v>-2.9069314447078155E-3</v>
      </c>
      <c r="C686" s="67">
        <f>'Parametric VAR'!$F$12</f>
        <v>-2.023068247926026E-2</v>
      </c>
      <c r="D686">
        <f t="shared" si="63"/>
        <v>0</v>
      </c>
      <c r="E686" s="67">
        <f>'Parametric VAR'!$F$13</f>
        <v>-2.8682193012943492E-2</v>
      </c>
      <c r="F686">
        <f t="shared" si="64"/>
        <v>0</v>
      </c>
      <c r="G686" s="67">
        <f>'Historical VAR'!$G$6</f>
        <v>-1.9839729167757107E-2</v>
      </c>
      <c r="H686">
        <f t="shared" si="65"/>
        <v>0</v>
      </c>
      <c r="I686" s="67">
        <f>'Historical VAR'!$G$7</f>
        <v>-3.1428916759065853E-2</v>
      </c>
      <c r="J686">
        <f t="shared" si="66"/>
        <v>0</v>
      </c>
      <c r="K686" s="67">
        <f ca="1">'Monte Carlo Stimulation'!$I$8</f>
        <v>-2.1559270710709389E-2</v>
      </c>
      <c r="L686">
        <f t="shared" ca="1" si="67"/>
        <v>0</v>
      </c>
      <c r="M686" s="67">
        <f ca="1">'Monte Carlo Stimulation'!$I$9</f>
        <v>-2.919314405717207E-2</v>
      </c>
      <c r="N686">
        <f t="shared" ca="1" si="68"/>
        <v>0</v>
      </c>
    </row>
    <row r="687" spans="1:14">
      <c r="A687" s="12">
        <v>45104</v>
      </c>
      <c r="B687" s="14">
        <v>-4.0036984722076341E-3</v>
      </c>
      <c r="C687" s="67">
        <f>'Parametric VAR'!$F$12</f>
        <v>-2.023068247926026E-2</v>
      </c>
      <c r="D687">
        <f t="shared" si="63"/>
        <v>0</v>
      </c>
      <c r="E687" s="67">
        <f>'Parametric VAR'!$F$13</f>
        <v>-2.8682193012943492E-2</v>
      </c>
      <c r="F687">
        <f t="shared" si="64"/>
        <v>0</v>
      </c>
      <c r="G687" s="67">
        <f>'Historical VAR'!$G$6</f>
        <v>-1.9839729167757107E-2</v>
      </c>
      <c r="H687">
        <f t="shared" si="65"/>
        <v>0</v>
      </c>
      <c r="I687" s="67">
        <f>'Historical VAR'!$G$7</f>
        <v>-3.1428916759065853E-2</v>
      </c>
      <c r="J687">
        <f t="shared" si="66"/>
        <v>0</v>
      </c>
      <c r="K687" s="67">
        <f ca="1">'Monte Carlo Stimulation'!$I$8</f>
        <v>-2.1559270710709389E-2</v>
      </c>
      <c r="L687">
        <f t="shared" ca="1" si="67"/>
        <v>0</v>
      </c>
      <c r="M687" s="67">
        <f ca="1">'Monte Carlo Stimulation'!$I$9</f>
        <v>-2.919314405717207E-2</v>
      </c>
      <c r="N687">
        <f t="shared" ca="1" si="68"/>
        <v>0</v>
      </c>
    </row>
    <row r="688" spans="1:14">
      <c r="A688" s="12">
        <v>45103</v>
      </c>
      <c r="B688" s="14">
        <v>-3.7511926471504322E-3</v>
      </c>
      <c r="C688" s="67">
        <f>'Parametric VAR'!$F$12</f>
        <v>-2.023068247926026E-2</v>
      </c>
      <c r="D688">
        <f t="shared" si="63"/>
        <v>0</v>
      </c>
      <c r="E688" s="67">
        <f>'Parametric VAR'!$F$13</f>
        <v>-2.8682193012943492E-2</v>
      </c>
      <c r="F688">
        <f t="shared" si="64"/>
        <v>0</v>
      </c>
      <c r="G688" s="67">
        <f>'Historical VAR'!$G$6</f>
        <v>-1.9839729167757107E-2</v>
      </c>
      <c r="H688">
        <f t="shared" si="65"/>
        <v>0</v>
      </c>
      <c r="I688" s="67">
        <f>'Historical VAR'!$G$7</f>
        <v>-3.1428916759065853E-2</v>
      </c>
      <c r="J688">
        <f t="shared" si="66"/>
        <v>0</v>
      </c>
      <c r="K688" s="67">
        <f ca="1">'Monte Carlo Stimulation'!$I$8</f>
        <v>-2.1559270710709389E-2</v>
      </c>
      <c r="L688">
        <f t="shared" ca="1" si="67"/>
        <v>0</v>
      </c>
      <c r="M688" s="67">
        <f ca="1">'Monte Carlo Stimulation'!$I$9</f>
        <v>-2.919314405717207E-2</v>
      </c>
      <c r="N688">
        <f t="shared" ca="1" si="68"/>
        <v>0</v>
      </c>
    </row>
    <row r="689" spans="1:14">
      <c r="A689" s="12">
        <v>45100</v>
      </c>
      <c r="B689" s="14">
        <v>-2.57678251330577E-3</v>
      </c>
      <c r="C689" s="67">
        <f>'Parametric VAR'!$F$12</f>
        <v>-2.023068247926026E-2</v>
      </c>
      <c r="D689">
        <f t="shared" si="63"/>
        <v>0</v>
      </c>
      <c r="E689" s="67">
        <f>'Parametric VAR'!$F$13</f>
        <v>-2.8682193012943492E-2</v>
      </c>
      <c r="F689">
        <f t="shared" si="64"/>
        <v>0</v>
      </c>
      <c r="G689" s="67">
        <f>'Historical VAR'!$G$6</f>
        <v>-1.9839729167757107E-2</v>
      </c>
      <c r="H689">
        <f t="shared" si="65"/>
        <v>0</v>
      </c>
      <c r="I689" s="67">
        <f>'Historical VAR'!$G$7</f>
        <v>-3.1428916759065853E-2</v>
      </c>
      <c r="J689">
        <f t="shared" si="66"/>
        <v>0</v>
      </c>
      <c r="K689" s="67">
        <f ca="1">'Monte Carlo Stimulation'!$I$8</f>
        <v>-2.1559270710709389E-2</v>
      </c>
      <c r="L689">
        <f t="shared" ca="1" si="67"/>
        <v>0</v>
      </c>
      <c r="M689" s="67">
        <f ca="1">'Monte Carlo Stimulation'!$I$9</f>
        <v>-2.919314405717207E-2</v>
      </c>
      <c r="N689">
        <f t="shared" ca="1" si="68"/>
        <v>0</v>
      </c>
    </row>
    <row r="690" spans="1:14">
      <c r="A690" s="12">
        <v>45099</v>
      </c>
      <c r="B690" s="14">
        <v>-1.1287023869662636E-2</v>
      </c>
      <c r="C690" s="67">
        <f>'Parametric VAR'!$F$12</f>
        <v>-2.023068247926026E-2</v>
      </c>
      <c r="D690">
        <f t="shared" si="63"/>
        <v>0</v>
      </c>
      <c r="E690" s="67">
        <f>'Parametric VAR'!$F$13</f>
        <v>-2.8682193012943492E-2</v>
      </c>
      <c r="F690">
        <f t="shared" si="64"/>
        <v>0</v>
      </c>
      <c r="G690" s="67">
        <f>'Historical VAR'!$G$6</f>
        <v>-1.9839729167757107E-2</v>
      </c>
      <c r="H690">
        <f t="shared" si="65"/>
        <v>0</v>
      </c>
      <c r="I690" s="67">
        <f>'Historical VAR'!$G$7</f>
        <v>-3.1428916759065853E-2</v>
      </c>
      <c r="J690">
        <f t="shared" si="66"/>
        <v>0</v>
      </c>
      <c r="K690" s="67">
        <f ca="1">'Monte Carlo Stimulation'!$I$8</f>
        <v>-2.1559270710709389E-2</v>
      </c>
      <c r="L690">
        <f t="shared" ca="1" si="67"/>
        <v>0</v>
      </c>
      <c r="M690" s="67">
        <f ca="1">'Monte Carlo Stimulation'!$I$9</f>
        <v>-2.919314405717207E-2</v>
      </c>
      <c r="N690">
        <f t="shared" ca="1" si="68"/>
        <v>0</v>
      </c>
    </row>
    <row r="691" spans="1:14">
      <c r="A691" s="12">
        <v>45098</v>
      </c>
      <c r="B691" s="14">
        <v>1.8128978134110137E-2</v>
      </c>
      <c r="C691" s="67">
        <f>'Parametric VAR'!$F$12</f>
        <v>-2.023068247926026E-2</v>
      </c>
      <c r="D691">
        <f t="shared" si="63"/>
        <v>0</v>
      </c>
      <c r="E691" s="67">
        <f>'Parametric VAR'!$F$13</f>
        <v>-2.8682193012943492E-2</v>
      </c>
      <c r="F691">
        <f t="shared" si="64"/>
        <v>0</v>
      </c>
      <c r="G691" s="67">
        <f>'Historical VAR'!$G$6</f>
        <v>-1.9839729167757107E-2</v>
      </c>
      <c r="H691">
        <f t="shared" si="65"/>
        <v>0</v>
      </c>
      <c r="I691" s="67">
        <f>'Historical VAR'!$G$7</f>
        <v>-3.1428916759065853E-2</v>
      </c>
      <c r="J691">
        <f t="shared" si="66"/>
        <v>0</v>
      </c>
      <c r="K691" s="67">
        <f ca="1">'Monte Carlo Stimulation'!$I$8</f>
        <v>-2.1559270710709389E-2</v>
      </c>
      <c r="L691">
        <f t="shared" ca="1" si="67"/>
        <v>0</v>
      </c>
      <c r="M691" s="67">
        <f ca="1">'Monte Carlo Stimulation'!$I$9</f>
        <v>-2.919314405717207E-2</v>
      </c>
      <c r="N691">
        <f t="shared" ca="1" si="68"/>
        <v>0</v>
      </c>
    </row>
    <row r="692" spans="1:14">
      <c r="A692" s="12">
        <v>45097</v>
      </c>
      <c r="B692" s="14">
        <v>-2.7023102527723841E-3</v>
      </c>
      <c r="C692" s="67">
        <f>'Parametric VAR'!$F$12</f>
        <v>-2.023068247926026E-2</v>
      </c>
      <c r="D692">
        <f t="shared" si="63"/>
        <v>0</v>
      </c>
      <c r="E692" s="67">
        <f>'Parametric VAR'!$F$13</f>
        <v>-2.8682193012943492E-2</v>
      </c>
      <c r="F692">
        <f t="shared" si="64"/>
        <v>0</v>
      </c>
      <c r="G692" s="67">
        <f>'Historical VAR'!$G$6</f>
        <v>-1.9839729167757107E-2</v>
      </c>
      <c r="H692">
        <f t="shared" si="65"/>
        <v>0</v>
      </c>
      <c r="I692" s="67">
        <f>'Historical VAR'!$G$7</f>
        <v>-3.1428916759065853E-2</v>
      </c>
      <c r="J692">
        <f t="shared" si="66"/>
        <v>0</v>
      </c>
      <c r="K692" s="67">
        <f ca="1">'Monte Carlo Stimulation'!$I$8</f>
        <v>-2.1559270710709389E-2</v>
      </c>
      <c r="L692">
        <f t="shared" ca="1" si="67"/>
        <v>0</v>
      </c>
      <c r="M692" s="67">
        <f ca="1">'Monte Carlo Stimulation'!$I$9</f>
        <v>-2.919314405717207E-2</v>
      </c>
      <c r="N692">
        <f t="shared" ca="1" si="68"/>
        <v>0</v>
      </c>
    </row>
    <row r="693" spans="1:14">
      <c r="A693" s="12">
        <v>45096</v>
      </c>
      <c r="B693" s="14">
        <v>-1.1581354221022798E-3</v>
      </c>
      <c r="C693" s="67">
        <f>'Parametric VAR'!$F$12</f>
        <v>-2.023068247926026E-2</v>
      </c>
      <c r="D693">
        <f t="shared" si="63"/>
        <v>0</v>
      </c>
      <c r="E693" s="67">
        <f>'Parametric VAR'!$F$13</f>
        <v>-2.8682193012943492E-2</v>
      </c>
      <c r="F693">
        <f t="shared" si="64"/>
        <v>0</v>
      </c>
      <c r="G693" s="67">
        <f>'Historical VAR'!$G$6</f>
        <v>-1.9839729167757107E-2</v>
      </c>
      <c r="H693">
        <f t="shared" si="65"/>
        <v>0</v>
      </c>
      <c r="I693" s="67">
        <f>'Historical VAR'!$G$7</f>
        <v>-3.1428916759065853E-2</v>
      </c>
      <c r="J693">
        <f t="shared" si="66"/>
        <v>0</v>
      </c>
      <c r="K693" s="67">
        <f ca="1">'Monte Carlo Stimulation'!$I$8</f>
        <v>-2.1559270710709389E-2</v>
      </c>
      <c r="L693">
        <f t="shared" ca="1" si="67"/>
        <v>0</v>
      </c>
      <c r="M693" s="67">
        <f ca="1">'Monte Carlo Stimulation'!$I$9</f>
        <v>-2.919314405717207E-2</v>
      </c>
      <c r="N693">
        <f t="shared" ca="1" si="68"/>
        <v>0</v>
      </c>
    </row>
    <row r="694" spans="1:14">
      <c r="A694" s="12">
        <v>45093</v>
      </c>
      <c r="B694" s="14">
        <v>1.3572899739458619E-4</v>
      </c>
      <c r="C694" s="67">
        <f>'Parametric VAR'!$F$12</f>
        <v>-2.023068247926026E-2</v>
      </c>
      <c r="D694">
        <f t="shared" si="63"/>
        <v>0</v>
      </c>
      <c r="E694" s="67">
        <f>'Parametric VAR'!$F$13</f>
        <v>-2.8682193012943492E-2</v>
      </c>
      <c r="F694">
        <f t="shared" si="64"/>
        <v>0</v>
      </c>
      <c r="G694" s="67">
        <f>'Historical VAR'!$G$6</f>
        <v>-1.9839729167757107E-2</v>
      </c>
      <c r="H694">
        <f t="shared" si="65"/>
        <v>0</v>
      </c>
      <c r="I694" s="67">
        <f>'Historical VAR'!$G$7</f>
        <v>-3.1428916759065853E-2</v>
      </c>
      <c r="J694">
        <f t="shared" si="66"/>
        <v>0</v>
      </c>
      <c r="K694" s="67">
        <f ca="1">'Monte Carlo Stimulation'!$I$8</f>
        <v>-2.1559270710709389E-2</v>
      </c>
      <c r="L694">
        <f t="shared" ca="1" si="67"/>
        <v>0</v>
      </c>
      <c r="M694" s="67">
        <f ca="1">'Monte Carlo Stimulation'!$I$9</f>
        <v>-2.919314405717207E-2</v>
      </c>
      <c r="N694">
        <f t="shared" ca="1" si="68"/>
        <v>0</v>
      </c>
    </row>
    <row r="695" spans="1:14">
      <c r="A695" s="12">
        <v>45092</v>
      </c>
      <c r="B695" s="14">
        <v>-3.605527120652448E-3</v>
      </c>
      <c r="C695" s="67">
        <f>'Parametric VAR'!$F$12</f>
        <v>-2.023068247926026E-2</v>
      </c>
      <c r="D695">
        <f t="shared" si="63"/>
        <v>0</v>
      </c>
      <c r="E695" s="67">
        <f>'Parametric VAR'!$F$13</f>
        <v>-2.8682193012943492E-2</v>
      </c>
      <c r="F695">
        <f t="shared" si="64"/>
        <v>0</v>
      </c>
      <c r="G695" s="67">
        <f>'Historical VAR'!$G$6</f>
        <v>-1.9839729167757107E-2</v>
      </c>
      <c r="H695">
        <f t="shared" si="65"/>
        <v>0</v>
      </c>
      <c r="I695" s="67">
        <f>'Historical VAR'!$G$7</f>
        <v>-3.1428916759065853E-2</v>
      </c>
      <c r="J695">
        <f t="shared" si="66"/>
        <v>0</v>
      </c>
      <c r="K695" s="67">
        <f ca="1">'Monte Carlo Stimulation'!$I$8</f>
        <v>-2.1559270710709389E-2</v>
      </c>
      <c r="L695">
        <f t="shared" ca="1" si="67"/>
        <v>0</v>
      </c>
      <c r="M695" s="67">
        <f ca="1">'Monte Carlo Stimulation'!$I$9</f>
        <v>-2.919314405717207E-2</v>
      </c>
      <c r="N695">
        <f t="shared" ca="1" si="68"/>
        <v>0</v>
      </c>
    </row>
    <row r="696" spans="1:14">
      <c r="A696" s="12">
        <v>45091</v>
      </c>
      <c r="B696" s="14">
        <v>-8.0769632022179485E-3</v>
      </c>
      <c r="C696" s="67">
        <f>'Parametric VAR'!$F$12</f>
        <v>-2.023068247926026E-2</v>
      </c>
      <c r="D696">
        <f t="shared" si="63"/>
        <v>0</v>
      </c>
      <c r="E696" s="67">
        <f>'Parametric VAR'!$F$13</f>
        <v>-2.8682193012943492E-2</v>
      </c>
      <c r="F696">
        <f t="shared" si="64"/>
        <v>0</v>
      </c>
      <c r="G696" s="67">
        <f>'Historical VAR'!$G$6</f>
        <v>-1.9839729167757107E-2</v>
      </c>
      <c r="H696">
        <f t="shared" si="65"/>
        <v>0</v>
      </c>
      <c r="I696" s="67">
        <f>'Historical VAR'!$G$7</f>
        <v>-3.1428916759065853E-2</v>
      </c>
      <c r="J696">
        <f t="shared" si="66"/>
        <v>0</v>
      </c>
      <c r="K696" s="67">
        <f ca="1">'Monte Carlo Stimulation'!$I$8</f>
        <v>-2.1559270710709389E-2</v>
      </c>
      <c r="L696">
        <f t="shared" ca="1" si="67"/>
        <v>0</v>
      </c>
      <c r="M696" s="67">
        <f ca="1">'Monte Carlo Stimulation'!$I$9</f>
        <v>-2.919314405717207E-2</v>
      </c>
      <c r="N696">
        <f t="shared" ca="1" si="68"/>
        <v>0</v>
      </c>
    </row>
    <row r="697" spans="1:14">
      <c r="A697" s="12">
        <v>45090</v>
      </c>
      <c r="B697" s="14">
        <v>-3.5059098897060235E-3</v>
      </c>
      <c r="C697" s="67">
        <f>'Parametric VAR'!$F$12</f>
        <v>-2.023068247926026E-2</v>
      </c>
      <c r="D697">
        <f t="shared" si="63"/>
        <v>0</v>
      </c>
      <c r="E697" s="67">
        <f>'Parametric VAR'!$F$13</f>
        <v>-2.8682193012943492E-2</v>
      </c>
      <c r="F697">
        <f t="shared" si="64"/>
        <v>0</v>
      </c>
      <c r="G697" s="67">
        <f>'Historical VAR'!$G$6</f>
        <v>-1.9839729167757107E-2</v>
      </c>
      <c r="H697">
        <f t="shared" si="65"/>
        <v>0</v>
      </c>
      <c r="I697" s="67">
        <f>'Historical VAR'!$G$7</f>
        <v>-3.1428916759065853E-2</v>
      </c>
      <c r="J697">
        <f t="shared" si="66"/>
        <v>0</v>
      </c>
      <c r="K697" s="67">
        <f ca="1">'Monte Carlo Stimulation'!$I$8</f>
        <v>-2.1559270710709389E-2</v>
      </c>
      <c r="L697">
        <f t="shared" ca="1" si="67"/>
        <v>0</v>
      </c>
      <c r="M697" s="67">
        <f ca="1">'Monte Carlo Stimulation'!$I$9</f>
        <v>-2.919314405717207E-2</v>
      </c>
      <c r="N697">
        <f t="shared" ca="1" si="68"/>
        <v>0</v>
      </c>
    </row>
    <row r="698" spans="1:14">
      <c r="A698" s="12">
        <v>45089</v>
      </c>
      <c r="B698" s="14">
        <v>-2.2510914059113114E-2</v>
      </c>
      <c r="C698" s="67">
        <f>'Parametric VAR'!$F$12</f>
        <v>-2.023068247926026E-2</v>
      </c>
      <c r="D698">
        <f t="shared" si="63"/>
        <v>1</v>
      </c>
      <c r="E698" s="67">
        <f>'Parametric VAR'!$F$13</f>
        <v>-2.8682193012943492E-2</v>
      </c>
      <c r="F698">
        <f t="shared" si="64"/>
        <v>0</v>
      </c>
      <c r="G698" s="67">
        <f>'Historical VAR'!$G$6</f>
        <v>-1.9839729167757107E-2</v>
      </c>
      <c r="H698">
        <f t="shared" si="65"/>
        <v>1</v>
      </c>
      <c r="I698" s="67">
        <f>'Historical VAR'!$G$7</f>
        <v>-3.1428916759065853E-2</v>
      </c>
      <c r="J698">
        <f t="shared" si="66"/>
        <v>0</v>
      </c>
      <c r="K698" s="67">
        <f ca="1">'Monte Carlo Stimulation'!$I$8</f>
        <v>-2.1559270710709389E-2</v>
      </c>
      <c r="L698">
        <f t="shared" ca="1" si="67"/>
        <v>1</v>
      </c>
      <c r="M698" s="67">
        <f ca="1">'Monte Carlo Stimulation'!$I$9</f>
        <v>-2.919314405717207E-2</v>
      </c>
      <c r="N698">
        <f t="shared" ca="1" si="68"/>
        <v>0</v>
      </c>
    </row>
    <row r="699" spans="1:14">
      <c r="A699" s="12">
        <v>45086</v>
      </c>
      <c r="B699" s="14">
        <v>-3.0528012416684222E-3</v>
      </c>
      <c r="C699" s="67">
        <f>'Parametric VAR'!$F$12</f>
        <v>-2.023068247926026E-2</v>
      </c>
      <c r="D699">
        <f t="shared" si="63"/>
        <v>0</v>
      </c>
      <c r="E699" s="67">
        <f>'Parametric VAR'!$F$13</f>
        <v>-2.8682193012943492E-2</v>
      </c>
      <c r="F699">
        <f t="shared" si="64"/>
        <v>0</v>
      </c>
      <c r="G699" s="67">
        <f>'Historical VAR'!$G$6</f>
        <v>-1.9839729167757107E-2</v>
      </c>
      <c r="H699">
        <f t="shared" si="65"/>
        <v>0</v>
      </c>
      <c r="I699" s="67">
        <f>'Historical VAR'!$G$7</f>
        <v>-3.1428916759065853E-2</v>
      </c>
      <c r="J699">
        <f t="shared" si="66"/>
        <v>0</v>
      </c>
      <c r="K699" s="67">
        <f ca="1">'Monte Carlo Stimulation'!$I$8</f>
        <v>-2.1559270710709389E-2</v>
      </c>
      <c r="L699">
        <f t="shared" ca="1" si="67"/>
        <v>0</v>
      </c>
      <c r="M699" s="67">
        <f ca="1">'Monte Carlo Stimulation'!$I$9</f>
        <v>-2.919314405717207E-2</v>
      </c>
      <c r="N699">
        <f t="shared" ca="1" si="68"/>
        <v>0</v>
      </c>
    </row>
    <row r="700" spans="1:14">
      <c r="A700" s="12">
        <v>45085</v>
      </c>
      <c r="B700" s="14">
        <v>8.3116991625026074E-3</v>
      </c>
      <c r="C700" s="67">
        <f>'Parametric VAR'!$F$12</f>
        <v>-2.023068247926026E-2</v>
      </c>
      <c r="D700">
        <f t="shared" si="63"/>
        <v>0</v>
      </c>
      <c r="E700" s="67">
        <f>'Parametric VAR'!$F$13</f>
        <v>-2.8682193012943492E-2</v>
      </c>
      <c r="F700">
        <f t="shared" si="64"/>
        <v>0</v>
      </c>
      <c r="G700" s="67">
        <f>'Historical VAR'!$G$6</f>
        <v>-1.9839729167757107E-2</v>
      </c>
      <c r="H700">
        <f t="shared" si="65"/>
        <v>0</v>
      </c>
      <c r="I700" s="67">
        <f>'Historical VAR'!$G$7</f>
        <v>-3.1428916759065853E-2</v>
      </c>
      <c r="J700">
        <f t="shared" si="66"/>
        <v>0</v>
      </c>
      <c r="K700" s="67">
        <f ca="1">'Monte Carlo Stimulation'!$I$8</f>
        <v>-2.1559270710709389E-2</v>
      </c>
      <c r="L700">
        <f t="shared" ca="1" si="67"/>
        <v>0</v>
      </c>
      <c r="M700" s="67">
        <f ca="1">'Monte Carlo Stimulation'!$I$9</f>
        <v>-2.919314405717207E-2</v>
      </c>
      <c r="N700">
        <f t="shared" ca="1" si="68"/>
        <v>0</v>
      </c>
    </row>
    <row r="701" spans="1:14">
      <c r="A701" s="12">
        <v>45084</v>
      </c>
      <c r="B701" s="14">
        <v>3.6805661727972328E-3</v>
      </c>
      <c r="C701" s="67">
        <f>'Parametric VAR'!$F$12</f>
        <v>-2.023068247926026E-2</v>
      </c>
      <c r="D701">
        <f t="shared" si="63"/>
        <v>0</v>
      </c>
      <c r="E701" s="67">
        <f>'Parametric VAR'!$F$13</f>
        <v>-2.8682193012943492E-2</v>
      </c>
      <c r="F701">
        <f t="shared" si="64"/>
        <v>0</v>
      </c>
      <c r="G701" s="67">
        <f>'Historical VAR'!$G$6</f>
        <v>-1.9839729167757107E-2</v>
      </c>
      <c r="H701">
        <f t="shared" si="65"/>
        <v>0</v>
      </c>
      <c r="I701" s="67">
        <f>'Historical VAR'!$G$7</f>
        <v>-3.1428916759065853E-2</v>
      </c>
      <c r="J701">
        <f t="shared" si="66"/>
        <v>0</v>
      </c>
      <c r="K701" s="67">
        <f ca="1">'Monte Carlo Stimulation'!$I$8</f>
        <v>-2.1559270710709389E-2</v>
      </c>
      <c r="L701">
        <f t="shared" ca="1" si="67"/>
        <v>0</v>
      </c>
      <c r="M701" s="67">
        <f ca="1">'Monte Carlo Stimulation'!$I$9</f>
        <v>-2.919314405717207E-2</v>
      </c>
      <c r="N701">
        <f t="shared" ca="1" si="68"/>
        <v>0</v>
      </c>
    </row>
    <row r="702" spans="1:14">
      <c r="A702" s="12">
        <v>45083</v>
      </c>
      <c r="B702" s="14">
        <v>-3.7969964900058076E-3</v>
      </c>
      <c r="C702" s="67">
        <f>'Parametric VAR'!$F$12</f>
        <v>-2.023068247926026E-2</v>
      </c>
      <c r="D702">
        <f t="shared" si="63"/>
        <v>0</v>
      </c>
      <c r="E702" s="67">
        <f>'Parametric VAR'!$F$13</f>
        <v>-2.8682193012943492E-2</v>
      </c>
      <c r="F702">
        <f t="shared" si="64"/>
        <v>0</v>
      </c>
      <c r="G702" s="67">
        <f>'Historical VAR'!$G$6</f>
        <v>-1.9839729167757107E-2</v>
      </c>
      <c r="H702">
        <f t="shared" si="65"/>
        <v>0</v>
      </c>
      <c r="I702" s="67">
        <f>'Historical VAR'!$G$7</f>
        <v>-3.1428916759065853E-2</v>
      </c>
      <c r="J702">
        <f t="shared" si="66"/>
        <v>0</v>
      </c>
      <c r="K702" s="67">
        <f ca="1">'Monte Carlo Stimulation'!$I$8</f>
        <v>-2.1559270710709389E-2</v>
      </c>
      <c r="L702">
        <f t="shared" ca="1" si="67"/>
        <v>0</v>
      </c>
      <c r="M702" s="67">
        <f ca="1">'Monte Carlo Stimulation'!$I$9</f>
        <v>-2.919314405717207E-2</v>
      </c>
      <c r="N702">
        <f t="shared" ca="1" si="68"/>
        <v>0</v>
      </c>
    </row>
    <row r="703" spans="1:14">
      <c r="A703" s="12">
        <v>45082</v>
      </c>
      <c r="B703" s="14">
        <v>-3.3522371778298976E-3</v>
      </c>
      <c r="C703" s="67">
        <f>'Parametric VAR'!$F$12</f>
        <v>-2.023068247926026E-2</v>
      </c>
      <c r="D703">
        <f t="shared" si="63"/>
        <v>0</v>
      </c>
      <c r="E703" s="67">
        <f>'Parametric VAR'!$F$13</f>
        <v>-2.8682193012943492E-2</v>
      </c>
      <c r="F703">
        <f t="shared" si="64"/>
        <v>0</v>
      </c>
      <c r="G703" s="67">
        <f>'Historical VAR'!$G$6</f>
        <v>-1.9839729167757107E-2</v>
      </c>
      <c r="H703">
        <f t="shared" si="65"/>
        <v>0</v>
      </c>
      <c r="I703" s="67">
        <f>'Historical VAR'!$G$7</f>
        <v>-3.1428916759065853E-2</v>
      </c>
      <c r="J703">
        <f t="shared" si="66"/>
        <v>0</v>
      </c>
      <c r="K703" s="67">
        <f ca="1">'Monte Carlo Stimulation'!$I$8</f>
        <v>-2.1559270710709389E-2</v>
      </c>
      <c r="L703">
        <f t="shared" ca="1" si="67"/>
        <v>0</v>
      </c>
      <c r="M703" s="67">
        <f ca="1">'Monte Carlo Stimulation'!$I$9</f>
        <v>-2.919314405717207E-2</v>
      </c>
      <c r="N703">
        <f t="shared" ca="1" si="68"/>
        <v>0</v>
      </c>
    </row>
    <row r="704" spans="1:14">
      <c r="A704" s="12">
        <v>45079</v>
      </c>
      <c r="B704" s="14">
        <v>9.4422414854592029E-3</v>
      </c>
      <c r="C704" s="67">
        <f>'Parametric VAR'!$F$12</f>
        <v>-2.023068247926026E-2</v>
      </c>
      <c r="D704">
        <f t="shared" si="63"/>
        <v>0</v>
      </c>
      <c r="E704" s="67">
        <f>'Parametric VAR'!$F$13</f>
        <v>-2.8682193012943492E-2</v>
      </c>
      <c r="F704">
        <f t="shared" si="64"/>
        <v>0</v>
      </c>
      <c r="G704" s="67">
        <f>'Historical VAR'!$G$6</f>
        <v>-1.9839729167757107E-2</v>
      </c>
      <c r="H704">
        <f t="shared" si="65"/>
        <v>0</v>
      </c>
      <c r="I704" s="67">
        <f>'Historical VAR'!$G$7</f>
        <v>-3.1428916759065853E-2</v>
      </c>
      <c r="J704">
        <f t="shared" si="66"/>
        <v>0</v>
      </c>
      <c r="K704" s="67">
        <f ca="1">'Monte Carlo Stimulation'!$I$8</f>
        <v>-2.1559270710709389E-2</v>
      </c>
      <c r="L704">
        <f t="shared" ca="1" si="67"/>
        <v>0</v>
      </c>
      <c r="M704" s="67">
        <f ca="1">'Monte Carlo Stimulation'!$I$9</f>
        <v>-2.919314405717207E-2</v>
      </c>
      <c r="N704">
        <f t="shared" ca="1" si="68"/>
        <v>0</v>
      </c>
    </row>
    <row r="705" spans="1:14">
      <c r="A705" s="12">
        <v>45078</v>
      </c>
      <c r="B705" s="14">
        <v>1.1497111093312453E-3</v>
      </c>
      <c r="C705" s="67">
        <f>'Parametric VAR'!$F$12</f>
        <v>-2.023068247926026E-2</v>
      </c>
      <c r="D705">
        <f t="shared" si="63"/>
        <v>0</v>
      </c>
      <c r="E705" s="67">
        <f>'Parametric VAR'!$F$13</f>
        <v>-2.8682193012943492E-2</v>
      </c>
      <c r="F705">
        <f t="shared" si="64"/>
        <v>0</v>
      </c>
      <c r="G705" s="67">
        <f>'Historical VAR'!$G$6</f>
        <v>-1.9839729167757107E-2</v>
      </c>
      <c r="H705">
        <f t="shared" si="65"/>
        <v>0</v>
      </c>
      <c r="I705" s="67">
        <f>'Historical VAR'!$G$7</f>
        <v>-3.1428916759065853E-2</v>
      </c>
      <c r="J705">
        <f t="shared" si="66"/>
        <v>0</v>
      </c>
      <c r="K705" s="67">
        <f ca="1">'Monte Carlo Stimulation'!$I$8</f>
        <v>-2.1559270710709389E-2</v>
      </c>
      <c r="L705">
        <f t="shared" ca="1" si="67"/>
        <v>0</v>
      </c>
      <c r="M705" s="67">
        <f ca="1">'Monte Carlo Stimulation'!$I$9</f>
        <v>-2.919314405717207E-2</v>
      </c>
      <c r="N705">
        <f t="shared" ca="1" si="68"/>
        <v>0</v>
      </c>
    </row>
    <row r="706" spans="1:14">
      <c r="A706" s="12">
        <v>45077</v>
      </c>
      <c r="B706" s="14">
        <v>-9.9319754582799583E-3</v>
      </c>
      <c r="C706" s="67">
        <f>'Parametric VAR'!$F$12</f>
        <v>-2.023068247926026E-2</v>
      </c>
      <c r="D706">
        <f t="shared" si="63"/>
        <v>0</v>
      </c>
      <c r="E706" s="67">
        <f>'Parametric VAR'!$F$13</f>
        <v>-2.8682193012943492E-2</v>
      </c>
      <c r="F706">
        <f t="shared" si="64"/>
        <v>0</v>
      </c>
      <c r="G706" s="67">
        <f>'Historical VAR'!$G$6</f>
        <v>-1.9839729167757107E-2</v>
      </c>
      <c r="H706">
        <f t="shared" si="65"/>
        <v>0</v>
      </c>
      <c r="I706" s="67">
        <f>'Historical VAR'!$G$7</f>
        <v>-3.1428916759065853E-2</v>
      </c>
      <c r="J706">
        <f t="shared" si="66"/>
        <v>0</v>
      </c>
      <c r="K706" s="67">
        <f ca="1">'Monte Carlo Stimulation'!$I$8</f>
        <v>-2.1559270710709389E-2</v>
      </c>
      <c r="L706">
        <f t="shared" ca="1" si="67"/>
        <v>0</v>
      </c>
      <c r="M706" s="67">
        <f ca="1">'Monte Carlo Stimulation'!$I$9</f>
        <v>-2.919314405717207E-2</v>
      </c>
      <c r="N706">
        <f t="shared" ca="1" si="68"/>
        <v>0</v>
      </c>
    </row>
    <row r="707" spans="1:14">
      <c r="A707" s="12">
        <v>45076</v>
      </c>
      <c r="B707" s="14">
        <v>-1.2863489636799735E-2</v>
      </c>
      <c r="C707" s="67">
        <f>'Parametric VAR'!$F$12</f>
        <v>-2.023068247926026E-2</v>
      </c>
      <c r="D707">
        <f t="shared" si="63"/>
        <v>0</v>
      </c>
      <c r="E707" s="67">
        <f>'Parametric VAR'!$F$13</f>
        <v>-2.8682193012943492E-2</v>
      </c>
      <c r="F707">
        <f t="shared" si="64"/>
        <v>0</v>
      </c>
      <c r="G707" s="67">
        <f>'Historical VAR'!$G$6</f>
        <v>-1.9839729167757107E-2</v>
      </c>
      <c r="H707">
        <f t="shared" si="65"/>
        <v>0</v>
      </c>
      <c r="I707" s="67">
        <f>'Historical VAR'!$G$7</f>
        <v>-3.1428916759065853E-2</v>
      </c>
      <c r="J707">
        <f t="shared" si="66"/>
        <v>0</v>
      </c>
      <c r="K707" s="67">
        <f ca="1">'Monte Carlo Stimulation'!$I$8</f>
        <v>-2.1559270710709389E-2</v>
      </c>
      <c r="L707">
        <f t="shared" ca="1" si="67"/>
        <v>0</v>
      </c>
      <c r="M707" s="67">
        <f ca="1">'Monte Carlo Stimulation'!$I$9</f>
        <v>-2.919314405717207E-2</v>
      </c>
      <c r="N707">
        <f t="shared" ca="1" si="68"/>
        <v>0</v>
      </c>
    </row>
    <row r="708" spans="1:14">
      <c r="A708" s="12">
        <v>45075</v>
      </c>
      <c r="B708" s="14">
        <v>-4.9329911168591823E-3</v>
      </c>
      <c r="C708" s="67">
        <f>'Parametric VAR'!$F$12</f>
        <v>-2.023068247926026E-2</v>
      </c>
      <c r="D708">
        <f t="shared" ref="D708:D771" si="69">IF(B708&lt;C708,1,0)</f>
        <v>0</v>
      </c>
      <c r="E708" s="67">
        <f>'Parametric VAR'!$F$13</f>
        <v>-2.8682193012943492E-2</v>
      </c>
      <c r="F708">
        <f t="shared" ref="F708:F771" si="70">IF(B708&lt;E708,1,0)</f>
        <v>0</v>
      </c>
      <c r="G708" s="67">
        <f>'Historical VAR'!$G$6</f>
        <v>-1.9839729167757107E-2</v>
      </c>
      <c r="H708">
        <f t="shared" ref="H708:H771" si="71">IF(B708&lt;G708,1,0)</f>
        <v>0</v>
      </c>
      <c r="I708" s="67">
        <f>'Historical VAR'!$G$7</f>
        <v>-3.1428916759065853E-2</v>
      </c>
      <c r="J708">
        <f t="shared" ref="J708:J771" si="72">IF(B708&lt;I708,1,0)</f>
        <v>0</v>
      </c>
      <c r="K708" s="67">
        <f ca="1">'Monte Carlo Stimulation'!$I$8</f>
        <v>-2.1559270710709389E-2</v>
      </c>
      <c r="L708">
        <f t="shared" ref="L708:L771" ca="1" si="73">IF(B708&lt;K708,1,0)</f>
        <v>0</v>
      </c>
      <c r="M708" s="67">
        <f ca="1">'Monte Carlo Stimulation'!$I$9</f>
        <v>-2.919314405717207E-2</v>
      </c>
      <c r="N708">
        <f t="shared" ref="N708:N771" ca="1" si="74">IF(B708&lt;M708,1,0)</f>
        <v>0</v>
      </c>
    </row>
    <row r="709" spans="1:14">
      <c r="A709" s="12">
        <v>45072</v>
      </c>
      <c r="B709" s="14">
        <v>3.0373849400243862E-5</v>
      </c>
      <c r="C709" s="67">
        <f>'Parametric VAR'!$F$12</f>
        <v>-2.023068247926026E-2</v>
      </c>
      <c r="D709">
        <f t="shared" si="69"/>
        <v>0</v>
      </c>
      <c r="E709" s="67">
        <f>'Parametric VAR'!$F$13</f>
        <v>-2.8682193012943492E-2</v>
      </c>
      <c r="F709">
        <f t="shared" si="70"/>
        <v>0</v>
      </c>
      <c r="G709" s="67">
        <f>'Historical VAR'!$G$6</f>
        <v>-1.9839729167757107E-2</v>
      </c>
      <c r="H709">
        <f t="shared" si="71"/>
        <v>0</v>
      </c>
      <c r="I709" s="67">
        <f>'Historical VAR'!$G$7</f>
        <v>-3.1428916759065853E-2</v>
      </c>
      <c r="J709">
        <f t="shared" si="72"/>
        <v>0</v>
      </c>
      <c r="K709" s="67">
        <f ca="1">'Monte Carlo Stimulation'!$I$8</f>
        <v>-2.1559270710709389E-2</v>
      </c>
      <c r="L709">
        <f t="shared" ca="1" si="73"/>
        <v>0</v>
      </c>
      <c r="M709" s="67">
        <f ca="1">'Monte Carlo Stimulation'!$I$9</f>
        <v>-2.919314405717207E-2</v>
      </c>
      <c r="N709">
        <f t="shared" ca="1" si="74"/>
        <v>0</v>
      </c>
    </row>
    <row r="710" spans="1:14">
      <c r="A710" s="12">
        <v>45071</v>
      </c>
      <c r="B710" s="14">
        <v>-4.2443281300258689E-3</v>
      </c>
      <c r="C710" s="67">
        <f>'Parametric VAR'!$F$12</f>
        <v>-2.023068247926026E-2</v>
      </c>
      <c r="D710">
        <f t="shared" si="69"/>
        <v>0</v>
      </c>
      <c r="E710" s="67">
        <f>'Parametric VAR'!$F$13</f>
        <v>-2.8682193012943492E-2</v>
      </c>
      <c r="F710">
        <f t="shared" si="70"/>
        <v>0</v>
      </c>
      <c r="G710" s="67">
        <f>'Historical VAR'!$G$6</f>
        <v>-1.9839729167757107E-2</v>
      </c>
      <c r="H710">
        <f t="shared" si="71"/>
        <v>0</v>
      </c>
      <c r="I710" s="67">
        <f>'Historical VAR'!$G$7</f>
        <v>-3.1428916759065853E-2</v>
      </c>
      <c r="J710">
        <f t="shared" si="72"/>
        <v>0</v>
      </c>
      <c r="K710" s="67">
        <f ca="1">'Monte Carlo Stimulation'!$I$8</f>
        <v>-2.1559270710709389E-2</v>
      </c>
      <c r="L710">
        <f t="shared" ca="1" si="73"/>
        <v>0</v>
      </c>
      <c r="M710" s="67">
        <f ca="1">'Monte Carlo Stimulation'!$I$9</f>
        <v>-2.919314405717207E-2</v>
      </c>
      <c r="N710">
        <f t="shared" ca="1" si="74"/>
        <v>0</v>
      </c>
    </row>
    <row r="711" spans="1:14">
      <c r="A711" s="12">
        <v>45070</v>
      </c>
      <c r="B711" s="14">
        <v>-6.2543191861087451E-3</v>
      </c>
      <c r="C711" s="67">
        <f>'Parametric VAR'!$F$12</f>
        <v>-2.023068247926026E-2</v>
      </c>
      <c r="D711">
        <f t="shared" si="69"/>
        <v>0</v>
      </c>
      <c r="E711" s="67">
        <f>'Parametric VAR'!$F$13</f>
        <v>-2.8682193012943492E-2</v>
      </c>
      <c r="F711">
        <f t="shared" si="70"/>
        <v>0</v>
      </c>
      <c r="G711" s="67">
        <f>'Historical VAR'!$G$6</f>
        <v>-1.9839729167757107E-2</v>
      </c>
      <c r="H711">
        <f t="shared" si="71"/>
        <v>0</v>
      </c>
      <c r="I711" s="67">
        <f>'Historical VAR'!$G$7</f>
        <v>-3.1428916759065853E-2</v>
      </c>
      <c r="J711">
        <f t="shared" si="72"/>
        <v>0</v>
      </c>
      <c r="K711" s="67">
        <f ca="1">'Monte Carlo Stimulation'!$I$8</f>
        <v>-2.1559270710709389E-2</v>
      </c>
      <c r="L711">
        <f t="shared" ca="1" si="73"/>
        <v>0</v>
      </c>
      <c r="M711" s="67">
        <f ca="1">'Monte Carlo Stimulation'!$I$9</f>
        <v>-2.919314405717207E-2</v>
      </c>
      <c r="N711">
        <f t="shared" ca="1" si="74"/>
        <v>0</v>
      </c>
    </row>
    <row r="712" spans="1:14">
      <c r="A712" s="12">
        <v>45069</v>
      </c>
      <c r="B712" s="14">
        <v>4.007372012540639E-3</v>
      </c>
      <c r="C712" s="67">
        <f>'Parametric VAR'!$F$12</f>
        <v>-2.023068247926026E-2</v>
      </c>
      <c r="D712">
        <f t="shared" si="69"/>
        <v>0</v>
      </c>
      <c r="E712" s="67">
        <f>'Parametric VAR'!$F$13</f>
        <v>-2.8682193012943492E-2</v>
      </c>
      <c r="F712">
        <f t="shared" si="70"/>
        <v>0</v>
      </c>
      <c r="G712" s="67">
        <f>'Historical VAR'!$G$6</f>
        <v>-1.9839729167757107E-2</v>
      </c>
      <c r="H712">
        <f t="shared" si="71"/>
        <v>0</v>
      </c>
      <c r="I712" s="67">
        <f>'Historical VAR'!$G$7</f>
        <v>-3.1428916759065853E-2</v>
      </c>
      <c r="J712">
        <f t="shared" si="72"/>
        <v>0</v>
      </c>
      <c r="K712" s="67">
        <f ca="1">'Monte Carlo Stimulation'!$I$8</f>
        <v>-2.1559270710709389E-2</v>
      </c>
      <c r="L712">
        <f t="shared" ca="1" si="73"/>
        <v>0</v>
      </c>
      <c r="M712" s="67">
        <f ca="1">'Monte Carlo Stimulation'!$I$9</f>
        <v>-2.919314405717207E-2</v>
      </c>
      <c r="N712">
        <f t="shared" ca="1" si="74"/>
        <v>0</v>
      </c>
    </row>
    <row r="713" spans="1:14">
      <c r="A713" s="12">
        <v>45068</v>
      </c>
      <c r="B713" s="14">
        <v>-1.0916720421521073E-2</v>
      </c>
      <c r="C713" s="67">
        <f>'Parametric VAR'!$F$12</f>
        <v>-2.023068247926026E-2</v>
      </c>
      <c r="D713">
        <f t="shared" si="69"/>
        <v>0</v>
      </c>
      <c r="E713" s="67">
        <f>'Parametric VAR'!$F$13</f>
        <v>-2.8682193012943492E-2</v>
      </c>
      <c r="F713">
        <f t="shared" si="70"/>
        <v>0</v>
      </c>
      <c r="G713" s="67">
        <f>'Historical VAR'!$G$6</f>
        <v>-1.9839729167757107E-2</v>
      </c>
      <c r="H713">
        <f t="shared" si="71"/>
        <v>0</v>
      </c>
      <c r="I713" s="67">
        <f>'Historical VAR'!$G$7</f>
        <v>-3.1428916759065853E-2</v>
      </c>
      <c r="J713">
        <f t="shared" si="72"/>
        <v>0</v>
      </c>
      <c r="K713" s="67">
        <f ca="1">'Monte Carlo Stimulation'!$I$8</f>
        <v>-2.1559270710709389E-2</v>
      </c>
      <c r="L713">
        <f t="shared" ca="1" si="73"/>
        <v>0</v>
      </c>
      <c r="M713" s="67">
        <f ca="1">'Monte Carlo Stimulation'!$I$9</f>
        <v>-2.919314405717207E-2</v>
      </c>
      <c r="N713">
        <f t="shared" ca="1" si="74"/>
        <v>0</v>
      </c>
    </row>
    <row r="714" spans="1:14">
      <c r="A714" s="12">
        <v>45065</v>
      </c>
      <c r="B714" s="14">
        <v>-5.328020475926531E-4</v>
      </c>
      <c r="C714" s="67">
        <f>'Parametric VAR'!$F$12</f>
        <v>-2.023068247926026E-2</v>
      </c>
      <c r="D714">
        <f t="shared" si="69"/>
        <v>0</v>
      </c>
      <c r="E714" s="67">
        <f>'Parametric VAR'!$F$13</f>
        <v>-2.8682193012943492E-2</v>
      </c>
      <c r="F714">
        <f t="shared" si="70"/>
        <v>0</v>
      </c>
      <c r="G714" s="67">
        <f>'Historical VAR'!$G$6</f>
        <v>-1.9839729167757107E-2</v>
      </c>
      <c r="H714">
        <f t="shared" si="71"/>
        <v>0</v>
      </c>
      <c r="I714" s="67">
        <f>'Historical VAR'!$G$7</f>
        <v>-3.1428916759065853E-2</v>
      </c>
      <c r="J714">
        <f t="shared" si="72"/>
        <v>0</v>
      </c>
      <c r="K714" s="67">
        <f ca="1">'Monte Carlo Stimulation'!$I$8</f>
        <v>-2.1559270710709389E-2</v>
      </c>
      <c r="L714">
        <f t="shared" ca="1" si="73"/>
        <v>0</v>
      </c>
      <c r="M714" s="67">
        <f ca="1">'Monte Carlo Stimulation'!$I$9</f>
        <v>-2.919314405717207E-2</v>
      </c>
      <c r="N714">
        <f t="shared" ca="1" si="74"/>
        <v>0</v>
      </c>
    </row>
    <row r="715" spans="1:14">
      <c r="A715" s="12">
        <v>45064</v>
      </c>
      <c r="B715" s="14">
        <v>5.8312643686729317E-3</v>
      </c>
      <c r="C715" s="67">
        <f>'Parametric VAR'!$F$12</f>
        <v>-2.023068247926026E-2</v>
      </c>
      <c r="D715">
        <f t="shared" si="69"/>
        <v>0</v>
      </c>
      <c r="E715" s="67">
        <f>'Parametric VAR'!$F$13</f>
        <v>-2.8682193012943492E-2</v>
      </c>
      <c r="F715">
        <f t="shared" si="70"/>
        <v>0</v>
      </c>
      <c r="G715" s="67">
        <f>'Historical VAR'!$G$6</f>
        <v>-1.9839729167757107E-2</v>
      </c>
      <c r="H715">
        <f t="shared" si="71"/>
        <v>0</v>
      </c>
      <c r="I715" s="67">
        <f>'Historical VAR'!$G$7</f>
        <v>-3.1428916759065853E-2</v>
      </c>
      <c r="J715">
        <f t="shared" si="72"/>
        <v>0</v>
      </c>
      <c r="K715" s="67">
        <f ca="1">'Monte Carlo Stimulation'!$I$8</f>
        <v>-2.1559270710709389E-2</v>
      </c>
      <c r="L715">
        <f t="shared" ca="1" si="73"/>
        <v>0</v>
      </c>
      <c r="M715" s="67">
        <f ca="1">'Monte Carlo Stimulation'!$I$9</f>
        <v>-2.919314405717207E-2</v>
      </c>
      <c r="N715">
        <f t="shared" ca="1" si="74"/>
        <v>0</v>
      </c>
    </row>
    <row r="716" spans="1:14">
      <c r="A716" s="12">
        <v>45063</v>
      </c>
      <c r="B716" s="14">
        <v>-4.8536396646809126E-3</v>
      </c>
      <c r="C716" s="67">
        <f>'Parametric VAR'!$F$12</f>
        <v>-2.023068247926026E-2</v>
      </c>
      <c r="D716">
        <f t="shared" si="69"/>
        <v>0</v>
      </c>
      <c r="E716" s="67">
        <f>'Parametric VAR'!$F$13</f>
        <v>-2.8682193012943492E-2</v>
      </c>
      <c r="F716">
        <f t="shared" si="70"/>
        <v>0</v>
      </c>
      <c r="G716" s="67">
        <f>'Historical VAR'!$G$6</f>
        <v>-1.9839729167757107E-2</v>
      </c>
      <c r="H716">
        <f t="shared" si="71"/>
        <v>0</v>
      </c>
      <c r="I716" s="67">
        <f>'Historical VAR'!$G$7</f>
        <v>-3.1428916759065853E-2</v>
      </c>
      <c r="J716">
        <f t="shared" si="72"/>
        <v>0</v>
      </c>
      <c r="K716" s="67">
        <f ca="1">'Monte Carlo Stimulation'!$I$8</f>
        <v>-2.1559270710709389E-2</v>
      </c>
      <c r="L716">
        <f t="shared" ca="1" si="73"/>
        <v>0</v>
      </c>
      <c r="M716" s="67">
        <f ca="1">'Monte Carlo Stimulation'!$I$9</f>
        <v>-2.919314405717207E-2</v>
      </c>
      <c r="N716">
        <f t="shared" ca="1" si="74"/>
        <v>0</v>
      </c>
    </row>
    <row r="717" spans="1:14">
      <c r="A717" s="12">
        <v>45062</v>
      </c>
      <c r="B717" s="14">
        <v>8.5249456633166368E-3</v>
      </c>
      <c r="C717" s="67">
        <f>'Parametric VAR'!$F$12</f>
        <v>-2.023068247926026E-2</v>
      </c>
      <c r="D717">
        <f t="shared" si="69"/>
        <v>0</v>
      </c>
      <c r="E717" s="67">
        <f>'Parametric VAR'!$F$13</f>
        <v>-2.8682193012943492E-2</v>
      </c>
      <c r="F717">
        <f t="shared" si="70"/>
        <v>0</v>
      </c>
      <c r="G717" s="67">
        <f>'Historical VAR'!$G$6</f>
        <v>-1.9839729167757107E-2</v>
      </c>
      <c r="H717">
        <f t="shared" si="71"/>
        <v>0</v>
      </c>
      <c r="I717" s="67">
        <f>'Historical VAR'!$G$7</f>
        <v>-3.1428916759065853E-2</v>
      </c>
      <c r="J717">
        <f t="shared" si="72"/>
        <v>0</v>
      </c>
      <c r="K717" s="67">
        <f ca="1">'Monte Carlo Stimulation'!$I$8</f>
        <v>-2.1559270710709389E-2</v>
      </c>
      <c r="L717">
        <f t="shared" ca="1" si="73"/>
        <v>0</v>
      </c>
      <c r="M717" s="67">
        <f ca="1">'Monte Carlo Stimulation'!$I$9</f>
        <v>-2.919314405717207E-2</v>
      </c>
      <c r="N717">
        <f t="shared" ca="1" si="74"/>
        <v>0</v>
      </c>
    </row>
    <row r="718" spans="1:14">
      <c r="A718" s="12">
        <v>45061</v>
      </c>
      <c r="B718" s="14">
        <v>3.3411674557432811E-3</v>
      </c>
      <c r="C718" s="67">
        <f>'Parametric VAR'!$F$12</f>
        <v>-2.023068247926026E-2</v>
      </c>
      <c r="D718">
        <f t="shared" si="69"/>
        <v>0</v>
      </c>
      <c r="E718" s="67">
        <f>'Parametric VAR'!$F$13</f>
        <v>-2.8682193012943492E-2</v>
      </c>
      <c r="F718">
        <f t="shared" si="70"/>
        <v>0</v>
      </c>
      <c r="G718" s="67">
        <f>'Historical VAR'!$G$6</f>
        <v>-1.9839729167757107E-2</v>
      </c>
      <c r="H718">
        <f t="shared" si="71"/>
        <v>0</v>
      </c>
      <c r="I718" s="67">
        <f>'Historical VAR'!$G$7</f>
        <v>-3.1428916759065853E-2</v>
      </c>
      <c r="J718">
        <f t="shared" si="72"/>
        <v>0</v>
      </c>
      <c r="K718" s="67">
        <f ca="1">'Monte Carlo Stimulation'!$I$8</f>
        <v>-2.1559270710709389E-2</v>
      </c>
      <c r="L718">
        <f t="shared" ca="1" si="73"/>
        <v>0</v>
      </c>
      <c r="M718" s="67">
        <f ca="1">'Monte Carlo Stimulation'!$I$9</f>
        <v>-2.919314405717207E-2</v>
      </c>
      <c r="N718">
        <f t="shared" ca="1" si="74"/>
        <v>0</v>
      </c>
    </row>
    <row r="719" spans="1:14">
      <c r="A719" s="12">
        <v>45058</v>
      </c>
      <c r="B719" s="14">
        <v>1.4590943270407742E-3</v>
      </c>
      <c r="C719" s="67">
        <f>'Parametric VAR'!$F$12</f>
        <v>-2.023068247926026E-2</v>
      </c>
      <c r="D719">
        <f t="shared" si="69"/>
        <v>0</v>
      </c>
      <c r="E719" s="67">
        <f>'Parametric VAR'!$F$13</f>
        <v>-2.8682193012943492E-2</v>
      </c>
      <c r="F719">
        <f t="shared" si="70"/>
        <v>0</v>
      </c>
      <c r="G719" s="67">
        <f>'Historical VAR'!$G$6</f>
        <v>-1.9839729167757107E-2</v>
      </c>
      <c r="H719">
        <f t="shared" si="71"/>
        <v>0</v>
      </c>
      <c r="I719" s="67">
        <f>'Historical VAR'!$G$7</f>
        <v>-3.1428916759065853E-2</v>
      </c>
      <c r="J719">
        <f t="shared" si="72"/>
        <v>0</v>
      </c>
      <c r="K719" s="67">
        <f ca="1">'Monte Carlo Stimulation'!$I$8</f>
        <v>-2.1559270710709389E-2</v>
      </c>
      <c r="L719">
        <f t="shared" ca="1" si="73"/>
        <v>0</v>
      </c>
      <c r="M719" s="67">
        <f ca="1">'Monte Carlo Stimulation'!$I$9</f>
        <v>-2.919314405717207E-2</v>
      </c>
      <c r="N719">
        <f t="shared" ca="1" si="74"/>
        <v>0</v>
      </c>
    </row>
    <row r="720" spans="1:14">
      <c r="A720" s="12">
        <v>45057</v>
      </c>
      <c r="B720" s="14">
        <v>1.8958548958103003E-3</v>
      </c>
      <c r="C720" s="67">
        <f>'Parametric VAR'!$F$12</f>
        <v>-2.023068247926026E-2</v>
      </c>
      <c r="D720">
        <f t="shared" si="69"/>
        <v>0</v>
      </c>
      <c r="E720" s="67">
        <f>'Parametric VAR'!$F$13</f>
        <v>-2.8682193012943492E-2</v>
      </c>
      <c r="F720">
        <f t="shared" si="70"/>
        <v>0</v>
      </c>
      <c r="G720" s="67">
        <f>'Historical VAR'!$G$6</f>
        <v>-1.9839729167757107E-2</v>
      </c>
      <c r="H720">
        <f t="shared" si="71"/>
        <v>0</v>
      </c>
      <c r="I720" s="67">
        <f>'Historical VAR'!$G$7</f>
        <v>-3.1428916759065853E-2</v>
      </c>
      <c r="J720">
        <f t="shared" si="72"/>
        <v>0</v>
      </c>
      <c r="K720" s="67">
        <f ca="1">'Monte Carlo Stimulation'!$I$8</f>
        <v>-2.1559270710709389E-2</v>
      </c>
      <c r="L720">
        <f t="shared" ca="1" si="73"/>
        <v>0</v>
      </c>
      <c r="M720" s="67">
        <f ca="1">'Monte Carlo Stimulation'!$I$9</f>
        <v>-2.919314405717207E-2</v>
      </c>
      <c r="N720">
        <f t="shared" ca="1" si="74"/>
        <v>0</v>
      </c>
    </row>
    <row r="721" spans="1:14">
      <c r="A721" s="12">
        <v>45056</v>
      </c>
      <c r="B721" s="14">
        <v>-2.7490732706326061E-2</v>
      </c>
      <c r="C721" s="67">
        <f>'Parametric VAR'!$F$12</f>
        <v>-2.023068247926026E-2</v>
      </c>
      <c r="D721">
        <f t="shared" si="69"/>
        <v>1</v>
      </c>
      <c r="E721" s="67">
        <f>'Parametric VAR'!$F$13</f>
        <v>-2.8682193012943492E-2</v>
      </c>
      <c r="F721">
        <f t="shared" si="70"/>
        <v>0</v>
      </c>
      <c r="G721" s="67">
        <f>'Historical VAR'!$G$6</f>
        <v>-1.9839729167757107E-2</v>
      </c>
      <c r="H721">
        <f t="shared" si="71"/>
        <v>1</v>
      </c>
      <c r="I721" s="67">
        <f>'Historical VAR'!$G$7</f>
        <v>-3.1428916759065853E-2</v>
      </c>
      <c r="J721">
        <f t="shared" si="72"/>
        <v>0</v>
      </c>
      <c r="K721" s="67">
        <f ca="1">'Monte Carlo Stimulation'!$I$8</f>
        <v>-2.1559270710709389E-2</v>
      </c>
      <c r="L721">
        <f t="shared" ca="1" si="73"/>
        <v>1</v>
      </c>
      <c r="M721" s="67">
        <f ca="1">'Monte Carlo Stimulation'!$I$9</f>
        <v>-2.919314405717207E-2</v>
      </c>
      <c r="N721">
        <f t="shared" ca="1" si="74"/>
        <v>0</v>
      </c>
    </row>
    <row r="722" spans="1:14">
      <c r="A722" s="12">
        <v>45055</v>
      </c>
      <c r="B722" s="14">
        <v>-2.6715654145954329E-3</v>
      </c>
      <c r="C722" s="67">
        <f>'Parametric VAR'!$F$12</f>
        <v>-2.023068247926026E-2</v>
      </c>
      <c r="D722">
        <f t="shared" si="69"/>
        <v>0</v>
      </c>
      <c r="E722" s="67">
        <f>'Parametric VAR'!$F$13</f>
        <v>-2.8682193012943492E-2</v>
      </c>
      <c r="F722">
        <f t="shared" si="70"/>
        <v>0</v>
      </c>
      <c r="G722" s="67">
        <f>'Historical VAR'!$G$6</f>
        <v>-1.9839729167757107E-2</v>
      </c>
      <c r="H722">
        <f t="shared" si="71"/>
        <v>0</v>
      </c>
      <c r="I722" s="67">
        <f>'Historical VAR'!$G$7</f>
        <v>-3.1428916759065853E-2</v>
      </c>
      <c r="J722">
        <f t="shared" si="72"/>
        <v>0</v>
      </c>
      <c r="K722" s="67">
        <f ca="1">'Monte Carlo Stimulation'!$I$8</f>
        <v>-2.1559270710709389E-2</v>
      </c>
      <c r="L722">
        <f t="shared" ca="1" si="73"/>
        <v>0</v>
      </c>
      <c r="M722" s="67">
        <f ca="1">'Monte Carlo Stimulation'!$I$9</f>
        <v>-2.919314405717207E-2</v>
      </c>
      <c r="N722">
        <f t="shared" ca="1" si="74"/>
        <v>0</v>
      </c>
    </row>
    <row r="723" spans="1:14">
      <c r="A723" s="12">
        <v>45054</v>
      </c>
      <c r="B723" s="14">
        <v>-4.4100154598790886E-3</v>
      </c>
      <c r="C723" s="67">
        <f>'Parametric VAR'!$F$12</f>
        <v>-2.023068247926026E-2</v>
      </c>
      <c r="D723">
        <f t="shared" si="69"/>
        <v>0</v>
      </c>
      <c r="E723" s="67">
        <f>'Parametric VAR'!$F$13</f>
        <v>-2.8682193012943492E-2</v>
      </c>
      <c r="F723">
        <f t="shared" si="70"/>
        <v>0</v>
      </c>
      <c r="G723" s="67">
        <f>'Historical VAR'!$G$6</f>
        <v>-1.9839729167757107E-2</v>
      </c>
      <c r="H723">
        <f t="shared" si="71"/>
        <v>0</v>
      </c>
      <c r="I723" s="67">
        <f>'Historical VAR'!$G$7</f>
        <v>-3.1428916759065853E-2</v>
      </c>
      <c r="J723">
        <f t="shared" si="72"/>
        <v>0</v>
      </c>
      <c r="K723" s="67">
        <f ca="1">'Monte Carlo Stimulation'!$I$8</f>
        <v>-2.1559270710709389E-2</v>
      </c>
      <c r="L723">
        <f t="shared" ca="1" si="73"/>
        <v>0</v>
      </c>
      <c r="M723" s="67">
        <f ca="1">'Monte Carlo Stimulation'!$I$9</f>
        <v>-2.919314405717207E-2</v>
      </c>
      <c r="N723">
        <f t="shared" ca="1" si="74"/>
        <v>0</v>
      </c>
    </row>
    <row r="724" spans="1:14">
      <c r="A724" s="12">
        <v>45051</v>
      </c>
      <c r="B724" s="14">
        <v>-4.7890327028579692E-3</v>
      </c>
      <c r="C724" s="67">
        <f>'Parametric VAR'!$F$12</f>
        <v>-2.023068247926026E-2</v>
      </c>
      <c r="D724">
        <f t="shared" si="69"/>
        <v>0</v>
      </c>
      <c r="E724" s="67">
        <f>'Parametric VAR'!$F$13</f>
        <v>-2.8682193012943492E-2</v>
      </c>
      <c r="F724">
        <f t="shared" si="70"/>
        <v>0</v>
      </c>
      <c r="G724" s="67">
        <f>'Historical VAR'!$G$6</f>
        <v>-1.9839729167757107E-2</v>
      </c>
      <c r="H724">
        <f t="shared" si="71"/>
        <v>0</v>
      </c>
      <c r="I724" s="67">
        <f>'Historical VAR'!$G$7</f>
        <v>-3.1428916759065853E-2</v>
      </c>
      <c r="J724">
        <f t="shared" si="72"/>
        <v>0</v>
      </c>
      <c r="K724" s="67">
        <f ca="1">'Monte Carlo Stimulation'!$I$8</f>
        <v>-2.1559270710709389E-2</v>
      </c>
      <c r="L724">
        <f t="shared" ca="1" si="73"/>
        <v>0</v>
      </c>
      <c r="M724" s="67">
        <f ca="1">'Monte Carlo Stimulation'!$I$9</f>
        <v>-2.919314405717207E-2</v>
      </c>
      <c r="N724">
        <f t="shared" ca="1" si="74"/>
        <v>0</v>
      </c>
    </row>
    <row r="725" spans="1:14">
      <c r="A725" s="12">
        <v>45050</v>
      </c>
      <c r="B725" s="14">
        <v>-6.0618675378967231E-3</v>
      </c>
      <c r="C725" s="67">
        <f>'Parametric VAR'!$F$12</f>
        <v>-2.023068247926026E-2</v>
      </c>
      <c r="D725">
        <f t="shared" si="69"/>
        <v>0</v>
      </c>
      <c r="E725" s="67">
        <f>'Parametric VAR'!$F$13</f>
        <v>-2.8682193012943492E-2</v>
      </c>
      <c r="F725">
        <f t="shared" si="70"/>
        <v>0</v>
      </c>
      <c r="G725" s="67">
        <f>'Historical VAR'!$G$6</f>
        <v>-1.9839729167757107E-2</v>
      </c>
      <c r="H725">
        <f t="shared" si="71"/>
        <v>0</v>
      </c>
      <c r="I725" s="67">
        <f>'Historical VAR'!$G$7</f>
        <v>-3.1428916759065853E-2</v>
      </c>
      <c r="J725">
        <f t="shared" si="72"/>
        <v>0</v>
      </c>
      <c r="K725" s="67">
        <f ca="1">'Monte Carlo Stimulation'!$I$8</f>
        <v>-2.1559270710709389E-2</v>
      </c>
      <c r="L725">
        <f t="shared" ca="1" si="73"/>
        <v>0</v>
      </c>
      <c r="M725" s="67">
        <f ca="1">'Monte Carlo Stimulation'!$I$9</f>
        <v>-2.919314405717207E-2</v>
      </c>
      <c r="N725">
        <f t="shared" ca="1" si="74"/>
        <v>0</v>
      </c>
    </row>
    <row r="726" spans="1:14">
      <c r="A726" s="12">
        <v>45049</v>
      </c>
      <c r="B726" s="14">
        <v>-1.5605493573961449E-2</v>
      </c>
      <c r="C726" s="67">
        <f>'Parametric VAR'!$F$12</f>
        <v>-2.023068247926026E-2</v>
      </c>
      <c r="D726">
        <f t="shared" si="69"/>
        <v>0</v>
      </c>
      <c r="E726" s="67">
        <f>'Parametric VAR'!$F$13</f>
        <v>-2.8682193012943492E-2</v>
      </c>
      <c r="F726">
        <f t="shared" si="70"/>
        <v>0</v>
      </c>
      <c r="G726" s="67">
        <f>'Historical VAR'!$G$6</f>
        <v>-1.9839729167757107E-2</v>
      </c>
      <c r="H726">
        <f t="shared" si="71"/>
        <v>0</v>
      </c>
      <c r="I726" s="67">
        <f>'Historical VAR'!$G$7</f>
        <v>-3.1428916759065853E-2</v>
      </c>
      <c r="J726">
        <f t="shared" si="72"/>
        <v>0</v>
      </c>
      <c r="K726" s="67">
        <f ca="1">'Monte Carlo Stimulation'!$I$8</f>
        <v>-2.1559270710709389E-2</v>
      </c>
      <c r="L726">
        <f t="shared" ca="1" si="73"/>
        <v>0</v>
      </c>
      <c r="M726" s="67">
        <f ca="1">'Monte Carlo Stimulation'!$I$9</f>
        <v>-2.919314405717207E-2</v>
      </c>
      <c r="N726">
        <f t="shared" ca="1" si="74"/>
        <v>0</v>
      </c>
    </row>
    <row r="727" spans="1:14">
      <c r="A727" s="12">
        <v>45048</v>
      </c>
      <c r="B727" s="14">
        <v>-8.6606021011589335E-3</v>
      </c>
      <c r="C727" s="67">
        <f>'Parametric VAR'!$F$12</f>
        <v>-2.023068247926026E-2</v>
      </c>
      <c r="D727">
        <f t="shared" si="69"/>
        <v>0</v>
      </c>
      <c r="E727" s="67">
        <f>'Parametric VAR'!$F$13</f>
        <v>-2.8682193012943492E-2</v>
      </c>
      <c r="F727">
        <f t="shared" si="70"/>
        <v>0</v>
      </c>
      <c r="G727" s="67">
        <f>'Historical VAR'!$G$6</f>
        <v>-1.9839729167757107E-2</v>
      </c>
      <c r="H727">
        <f t="shared" si="71"/>
        <v>0</v>
      </c>
      <c r="I727" s="67">
        <f>'Historical VAR'!$G$7</f>
        <v>-3.1428916759065853E-2</v>
      </c>
      <c r="J727">
        <f t="shared" si="72"/>
        <v>0</v>
      </c>
      <c r="K727" s="67">
        <f ca="1">'Monte Carlo Stimulation'!$I$8</f>
        <v>-2.1559270710709389E-2</v>
      </c>
      <c r="L727">
        <f t="shared" ca="1" si="73"/>
        <v>0</v>
      </c>
      <c r="M727" s="67">
        <f ca="1">'Monte Carlo Stimulation'!$I$9</f>
        <v>-2.919314405717207E-2</v>
      </c>
      <c r="N727">
        <f t="shared" ca="1" si="74"/>
        <v>0</v>
      </c>
    </row>
    <row r="728" spans="1:14">
      <c r="A728" s="12">
        <v>45044</v>
      </c>
      <c r="B728" s="14">
        <v>-2.3523146364908079E-3</v>
      </c>
      <c r="C728" s="67">
        <f>'Parametric VAR'!$F$12</f>
        <v>-2.023068247926026E-2</v>
      </c>
      <c r="D728">
        <f t="shared" si="69"/>
        <v>0</v>
      </c>
      <c r="E728" s="67">
        <f>'Parametric VAR'!$F$13</f>
        <v>-2.8682193012943492E-2</v>
      </c>
      <c r="F728">
        <f t="shared" si="70"/>
        <v>0</v>
      </c>
      <c r="G728" s="67">
        <f>'Historical VAR'!$G$6</f>
        <v>-1.9839729167757107E-2</v>
      </c>
      <c r="H728">
        <f t="shared" si="71"/>
        <v>0</v>
      </c>
      <c r="I728" s="67">
        <f>'Historical VAR'!$G$7</f>
        <v>-3.1428916759065853E-2</v>
      </c>
      <c r="J728">
        <f t="shared" si="72"/>
        <v>0</v>
      </c>
      <c r="K728" s="67">
        <f ca="1">'Monte Carlo Stimulation'!$I$8</f>
        <v>-2.1559270710709389E-2</v>
      </c>
      <c r="L728">
        <f t="shared" ca="1" si="73"/>
        <v>0</v>
      </c>
      <c r="M728" s="67">
        <f ca="1">'Monte Carlo Stimulation'!$I$9</f>
        <v>-2.919314405717207E-2</v>
      </c>
      <c r="N728">
        <f t="shared" ca="1" si="74"/>
        <v>0</v>
      </c>
    </row>
    <row r="729" spans="1:14">
      <c r="A729" s="12">
        <v>45043</v>
      </c>
      <c r="B729" s="14">
        <v>-3.6787289181714443E-3</v>
      </c>
      <c r="C729" s="67">
        <f>'Parametric VAR'!$F$12</f>
        <v>-2.023068247926026E-2</v>
      </c>
      <c r="D729">
        <f t="shared" si="69"/>
        <v>0</v>
      </c>
      <c r="E729" s="67">
        <f>'Parametric VAR'!$F$13</f>
        <v>-2.8682193012943492E-2</v>
      </c>
      <c r="F729">
        <f t="shared" si="70"/>
        <v>0</v>
      </c>
      <c r="G729" s="67">
        <f>'Historical VAR'!$G$6</f>
        <v>-1.9839729167757107E-2</v>
      </c>
      <c r="H729">
        <f t="shared" si="71"/>
        <v>0</v>
      </c>
      <c r="I729" s="67">
        <f>'Historical VAR'!$G$7</f>
        <v>-3.1428916759065853E-2</v>
      </c>
      <c r="J729">
        <f t="shared" si="72"/>
        <v>0</v>
      </c>
      <c r="K729" s="67">
        <f ca="1">'Monte Carlo Stimulation'!$I$8</f>
        <v>-2.1559270710709389E-2</v>
      </c>
      <c r="L729">
        <f t="shared" ca="1" si="73"/>
        <v>0</v>
      </c>
      <c r="M729" s="67">
        <f ca="1">'Monte Carlo Stimulation'!$I$9</f>
        <v>-2.919314405717207E-2</v>
      </c>
      <c r="N729">
        <f t="shared" ca="1" si="74"/>
        <v>0</v>
      </c>
    </row>
    <row r="730" spans="1:14">
      <c r="A730" s="12">
        <v>45042</v>
      </c>
      <c r="B730" s="14">
        <v>2.4925926653015418E-3</v>
      </c>
      <c r="C730" s="67">
        <f>'Parametric VAR'!$F$12</f>
        <v>-2.023068247926026E-2</v>
      </c>
      <c r="D730">
        <f t="shared" si="69"/>
        <v>0</v>
      </c>
      <c r="E730" s="67">
        <f>'Parametric VAR'!$F$13</f>
        <v>-2.8682193012943492E-2</v>
      </c>
      <c r="F730">
        <f t="shared" si="70"/>
        <v>0</v>
      </c>
      <c r="G730" s="67">
        <f>'Historical VAR'!$G$6</f>
        <v>-1.9839729167757107E-2</v>
      </c>
      <c r="H730">
        <f t="shared" si="71"/>
        <v>0</v>
      </c>
      <c r="I730" s="67">
        <f>'Historical VAR'!$G$7</f>
        <v>-3.1428916759065853E-2</v>
      </c>
      <c r="J730">
        <f t="shared" si="72"/>
        <v>0</v>
      </c>
      <c r="K730" s="67">
        <f ca="1">'Monte Carlo Stimulation'!$I$8</f>
        <v>-2.1559270710709389E-2</v>
      </c>
      <c r="L730">
        <f t="shared" ca="1" si="73"/>
        <v>0</v>
      </c>
      <c r="M730" s="67">
        <f ca="1">'Monte Carlo Stimulation'!$I$9</f>
        <v>-2.919314405717207E-2</v>
      </c>
      <c r="N730">
        <f t="shared" ca="1" si="74"/>
        <v>0</v>
      </c>
    </row>
    <row r="731" spans="1:14">
      <c r="A731" s="12">
        <v>45041</v>
      </c>
      <c r="B731" s="14">
        <v>-6.1606504057171961E-3</v>
      </c>
      <c r="C731" s="67">
        <f>'Parametric VAR'!$F$12</f>
        <v>-2.023068247926026E-2</v>
      </c>
      <c r="D731">
        <f t="shared" si="69"/>
        <v>0</v>
      </c>
      <c r="E731" s="67">
        <f>'Parametric VAR'!$F$13</f>
        <v>-2.8682193012943492E-2</v>
      </c>
      <c r="F731">
        <f t="shared" si="70"/>
        <v>0</v>
      </c>
      <c r="G731" s="67">
        <f>'Historical VAR'!$G$6</f>
        <v>-1.9839729167757107E-2</v>
      </c>
      <c r="H731">
        <f t="shared" si="71"/>
        <v>0</v>
      </c>
      <c r="I731" s="67">
        <f>'Historical VAR'!$G$7</f>
        <v>-3.1428916759065853E-2</v>
      </c>
      <c r="J731">
        <f t="shared" si="72"/>
        <v>0</v>
      </c>
      <c r="K731" s="67">
        <f ca="1">'Monte Carlo Stimulation'!$I$8</f>
        <v>-2.1559270710709389E-2</v>
      </c>
      <c r="L731">
        <f t="shared" ca="1" si="73"/>
        <v>0</v>
      </c>
      <c r="M731" s="67">
        <f ca="1">'Monte Carlo Stimulation'!$I$9</f>
        <v>-2.919314405717207E-2</v>
      </c>
      <c r="N731">
        <f t="shared" ca="1" si="74"/>
        <v>0</v>
      </c>
    </row>
    <row r="732" spans="1:14">
      <c r="A732" s="12">
        <v>45040</v>
      </c>
      <c r="B732" s="14">
        <v>-9.4901594893001269E-4</v>
      </c>
      <c r="C732" s="67">
        <f>'Parametric VAR'!$F$12</f>
        <v>-2.023068247926026E-2</v>
      </c>
      <c r="D732">
        <f t="shared" si="69"/>
        <v>0</v>
      </c>
      <c r="E732" s="67">
        <f>'Parametric VAR'!$F$13</f>
        <v>-2.8682193012943492E-2</v>
      </c>
      <c r="F732">
        <f t="shared" si="70"/>
        <v>0</v>
      </c>
      <c r="G732" s="67">
        <f>'Historical VAR'!$G$6</f>
        <v>-1.9839729167757107E-2</v>
      </c>
      <c r="H732">
        <f t="shared" si="71"/>
        <v>0</v>
      </c>
      <c r="I732" s="67">
        <f>'Historical VAR'!$G$7</f>
        <v>-3.1428916759065853E-2</v>
      </c>
      <c r="J732">
        <f t="shared" si="72"/>
        <v>0</v>
      </c>
      <c r="K732" s="67">
        <f ca="1">'Monte Carlo Stimulation'!$I$8</f>
        <v>-2.1559270710709389E-2</v>
      </c>
      <c r="L732">
        <f t="shared" ca="1" si="73"/>
        <v>0</v>
      </c>
      <c r="M732" s="67">
        <f ca="1">'Monte Carlo Stimulation'!$I$9</f>
        <v>-2.919314405717207E-2</v>
      </c>
      <c r="N732">
        <f t="shared" ca="1" si="74"/>
        <v>0</v>
      </c>
    </row>
    <row r="733" spans="1:14">
      <c r="A733" s="12">
        <v>45037</v>
      </c>
      <c r="B733" s="14">
        <v>-4.4862725279437949E-3</v>
      </c>
      <c r="C733" s="67">
        <f>'Parametric VAR'!$F$12</f>
        <v>-2.023068247926026E-2</v>
      </c>
      <c r="D733">
        <f t="shared" si="69"/>
        <v>0</v>
      </c>
      <c r="E733" s="67">
        <f>'Parametric VAR'!$F$13</f>
        <v>-2.8682193012943492E-2</v>
      </c>
      <c r="F733">
        <f t="shared" si="70"/>
        <v>0</v>
      </c>
      <c r="G733" s="67">
        <f>'Historical VAR'!$G$6</f>
        <v>-1.9839729167757107E-2</v>
      </c>
      <c r="H733">
        <f t="shared" si="71"/>
        <v>0</v>
      </c>
      <c r="I733" s="67">
        <f>'Historical VAR'!$G$7</f>
        <v>-3.1428916759065853E-2</v>
      </c>
      <c r="J733">
        <f t="shared" si="72"/>
        <v>0</v>
      </c>
      <c r="K733" s="67">
        <f ca="1">'Monte Carlo Stimulation'!$I$8</f>
        <v>-2.1559270710709389E-2</v>
      </c>
      <c r="L733">
        <f t="shared" ca="1" si="73"/>
        <v>0</v>
      </c>
      <c r="M733" s="67">
        <f ca="1">'Monte Carlo Stimulation'!$I$9</f>
        <v>-2.919314405717207E-2</v>
      </c>
      <c r="N733">
        <f t="shared" ca="1" si="74"/>
        <v>0</v>
      </c>
    </row>
    <row r="734" spans="1:14">
      <c r="A734" s="12">
        <v>45036</v>
      </c>
      <c r="B734" s="14">
        <v>-1.1928019289886771E-2</v>
      </c>
      <c r="C734" s="67">
        <f>'Parametric VAR'!$F$12</f>
        <v>-2.023068247926026E-2</v>
      </c>
      <c r="D734">
        <f t="shared" si="69"/>
        <v>0</v>
      </c>
      <c r="E734" s="67">
        <f>'Parametric VAR'!$F$13</f>
        <v>-2.8682193012943492E-2</v>
      </c>
      <c r="F734">
        <f t="shared" si="70"/>
        <v>0</v>
      </c>
      <c r="G734" s="67">
        <f>'Historical VAR'!$G$6</f>
        <v>-1.9839729167757107E-2</v>
      </c>
      <c r="H734">
        <f t="shared" si="71"/>
        <v>0</v>
      </c>
      <c r="I734" s="67">
        <f>'Historical VAR'!$G$7</f>
        <v>-3.1428916759065853E-2</v>
      </c>
      <c r="J734">
        <f t="shared" si="72"/>
        <v>0</v>
      </c>
      <c r="K734" s="67">
        <f ca="1">'Monte Carlo Stimulation'!$I$8</f>
        <v>-2.1559270710709389E-2</v>
      </c>
      <c r="L734">
        <f t="shared" ca="1" si="73"/>
        <v>0</v>
      </c>
      <c r="M734" s="67">
        <f ca="1">'Monte Carlo Stimulation'!$I$9</f>
        <v>-2.919314405717207E-2</v>
      </c>
      <c r="N734">
        <f t="shared" ca="1" si="74"/>
        <v>0</v>
      </c>
    </row>
    <row r="735" spans="1:14">
      <c r="A735" s="12">
        <v>45035</v>
      </c>
      <c r="B735" s="14">
        <v>-9.3700680390061391E-3</v>
      </c>
      <c r="C735" s="67">
        <f>'Parametric VAR'!$F$12</f>
        <v>-2.023068247926026E-2</v>
      </c>
      <c r="D735">
        <f t="shared" si="69"/>
        <v>0</v>
      </c>
      <c r="E735" s="67">
        <f>'Parametric VAR'!$F$13</f>
        <v>-2.8682193012943492E-2</v>
      </c>
      <c r="F735">
        <f t="shared" si="70"/>
        <v>0</v>
      </c>
      <c r="G735" s="67">
        <f>'Historical VAR'!$G$6</f>
        <v>-1.9839729167757107E-2</v>
      </c>
      <c r="H735">
        <f t="shared" si="71"/>
        <v>0</v>
      </c>
      <c r="I735" s="67">
        <f>'Historical VAR'!$G$7</f>
        <v>-3.1428916759065853E-2</v>
      </c>
      <c r="J735">
        <f t="shared" si="72"/>
        <v>0</v>
      </c>
      <c r="K735" s="67">
        <f ca="1">'Monte Carlo Stimulation'!$I$8</f>
        <v>-2.1559270710709389E-2</v>
      </c>
      <c r="L735">
        <f t="shared" ca="1" si="73"/>
        <v>0</v>
      </c>
      <c r="M735" s="67">
        <f ca="1">'Monte Carlo Stimulation'!$I$9</f>
        <v>-2.919314405717207E-2</v>
      </c>
      <c r="N735">
        <f t="shared" ca="1" si="74"/>
        <v>0</v>
      </c>
    </row>
    <row r="736" spans="1:14">
      <c r="A736" s="12">
        <v>45034</v>
      </c>
      <c r="B736" s="14">
        <v>1.2192134396177567E-2</v>
      </c>
      <c r="C736" s="67">
        <f>'Parametric VAR'!$F$12</f>
        <v>-2.023068247926026E-2</v>
      </c>
      <c r="D736">
        <f t="shared" si="69"/>
        <v>0</v>
      </c>
      <c r="E736" s="67">
        <f>'Parametric VAR'!$F$13</f>
        <v>-2.8682193012943492E-2</v>
      </c>
      <c r="F736">
        <f t="shared" si="70"/>
        <v>0</v>
      </c>
      <c r="G736" s="67">
        <f>'Historical VAR'!$G$6</f>
        <v>-1.9839729167757107E-2</v>
      </c>
      <c r="H736">
        <f t="shared" si="71"/>
        <v>0</v>
      </c>
      <c r="I736" s="67">
        <f>'Historical VAR'!$G$7</f>
        <v>-3.1428916759065853E-2</v>
      </c>
      <c r="J736">
        <f t="shared" si="72"/>
        <v>0</v>
      </c>
      <c r="K736" s="67">
        <f ca="1">'Monte Carlo Stimulation'!$I$8</f>
        <v>-2.1559270710709389E-2</v>
      </c>
      <c r="L736">
        <f t="shared" ca="1" si="73"/>
        <v>0</v>
      </c>
      <c r="M736" s="67">
        <f ca="1">'Monte Carlo Stimulation'!$I$9</f>
        <v>-2.919314405717207E-2</v>
      </c>
      <c r="N736">
        <f t="shared" ca="1" si="74"/>
        <v>0</v>
      </c>
    </row>
    <row r="737" spans="1:14">
      <c r="A737" s="12">
        <v>45033</v>
      </c>
      <c r="B737" s="14">
        <v>-2.4855694774169133E-3</v>
      </c>
      <c r="C737" s="67">
        <f>'Parametric VAR'!$F$12</f>
        <v>-2.023068247926026E-2</v>
      </c>
      <c r="D737">
        <f t="shared" si="69"/>
        <v>0</v>
      </c>
      <c r="E737" s="67">
        <f>'Parametric VAR'!$F$13</f>
        <v>-2.8682193012943492E-2</v>
      </c>
      <c r="F737">
        <f t="shared" si="70"/>
        <v>0</v>
      </c>
      <c r="G737" s="67">
        <f>'Historical VAR'!$G$6</f>
        <v>-1.9839729167757107E-2</v>
      </c>
      <c r="H737">
        <f t="shared" si="71"/>
        <v>0</v>
      </c>
      <c r="I737" s="67">
        <f>'Historical VAR'!$G$7</f>
        <v>-3.1428916759065853E-2</v>
      </c>
      <c r="J737">
        <f t="shared" si="72"/>
        <v>0</v>
      </c>
      <c r="K737" s="67">
        <f ca="1">'Monte Carlo Stimulation'!$I$8</f>
        <v>-2.1559270710709389E-2</v>
      </c>
      <c r="L737">
        <f t="shared" ca="1" si="73"/>
        <v>0</v>
      </c>
      <c r="M737" s="67">
        <f ca="1">'Monte Carlo Stimulation'!$I$9</f>
        <v>-2.919314405717207E-2</v>
      </c>
      <c r="N737">
        <f t="shared" ca="1" si="74"/>
        <v>0</v>
      </c>
    </row>
    <row r="738" spans="1:14">
      <c r="A738" s="12">
        <v>45029</v>
      </c>
      <c r="B738" s="14">
        <v>-8.8494840322942588E-3</v>
      </c>
      <c r="C738" s="67">
        <f>'Parametric VAR'!$F$12</f>
        <v>-2.023068247926026E-2</v>
      </c>
      <c r="D738">
        <f t="shared" si="69"/>
        <v>0</v>
      </c>
      <c r="E738" s="67">
        <f>'Parametric VAR'!$F$13</f>
        <v>-2.8682193012943492E-2</v>
      </c>
      <c r="F738">
        <f t="shared" si="70"/>
        <v>0</v>
      </c>
      <c r="G738" s="67">
        <f>'Historical VAR'!$G$6</f>
        <v>-1.9839729167757107E-2</v>
      </c>
      <c r="H738">
        <f t="shared" si="71"/>
        <v>0</v>
      </c>
      <c r="I738" s="67">
        <f>'Historical VAR'!$G$7</f>
        <v>-3.1428916759065853E-2</v>
      </c>
      <c r="J738">
        <f t="shared" si="72"/>
        <v>0</v>
      </c>
      <c r="K738" s="67">
        <f ca="1">'Monte Carlo Stimulation'!$I$8</f>
        <v>-2.1559270710709389E-2</v>
      </c>
      <c r="L738">
        <f t="shared" ca="1" si="73"/>
        <v>0</v>
      </c>
      <c r="M738" s="67">
        <f ca="1">'Monte Carlo Stimulation'!$I$9</f>
        <v>-2.919314405717207E-2</v>
      </c>
      <c r="N738">
        <f t="shared" ca="1" si="74"/>
        <v>0</v>
      </c>
    </row>
    <row r="739" spans="1:14">
      <c r="A739" s="12">
        <v>45028</v>
      </c>
      <c r="B739" s="14">
        <v>-4.724837861236458E-3</v>
      </c>
      <c r="C739" s="67">
        <f>'Parametric VAR'!$F$12</f>
        <v>-2.023068247926026E-2</v>
      </c>
      <c r="D739">
        <f t="shared" si="69"/>
        <v>0</v>
      </c>
      <c r="E739" s="67">
        <f>'Parametric VAR'!$F$13</f>
        <v>-2.8682193012943492E-2</v>
      </c>
      <c r="F739">
        <f t="shared" si="70"/>
        <v>0</v>
      </c>
      <c r="G739" s="67">
        <f>'Historical VAR'!$G$6</f>
        <v>-1.9839729167757107E-2</v>
      </c>
      <c r="H739">
        <f t="shared" si="71"/>
        <v>0</v>
      </c>
      <c r="I739" s="67">
        <f>'Historical VAR'!$G$7</f>
        <v>-3.1428916759065853E-2</v>
      </c>
      <c r="J739">
        <f t="shared" si="72"/>
        <v>0</v>
      </c>
      <c r="K739" s="67">
        <f ca="1">'Monte Carlo Stimulation'!$I$8</f>
        <v>-2.1559270710709389E-2</v>
      </c>
      <c r="L739">
        <f t="shared" ca="1" si="73"/>
        <v>0</v>
      </c>
      <c r="M739" s="67">
        <f ca="1">'Monte Carlo Stimulation'!$I$9</f>
        <v>-2.919314405717207E-2</v>
      </c>
      <c r="N739">
        <f t="shared" ca="1" si="74"/>
        <v>0</v>
      </c>
    </row>
    <row r="740" spans="1:14">
      <c r="A740" s="12">
        <v>45027</v>
      </c>
      <c r="B740" s="14">
        <v>-1.0970011641972425E-2</v>
      </c>
      <c r="C740" s="67">
        <f>'Parametric VAR'!$F$12</f>
        <v>-2.023068247926026E-2</v>
      </c>
      <c r="D740">
        <f t="shared" si="69"/>
        <v>0</v>
      </c>
      <c r="E740" s="67">
        <f>'Parametric VAR'!$F$13</f>
        <v>-2.8682193012943492E-2</v>
      </c>
      <c r="F740">
        <f t="shared" si="70"/>
        <v>0</v>
      </c>
      <c r="G740" s="67">
        <f>'Historical VAR'!$G$6</f>
        <v>-1.9839729167757107E-2</v>
      </c>
      <c r="H740">
        <f t="shared" si="71"/>
        <v>0</v>
      </c>
      <c r="I740" s="67">
        <f>'Historical VAR'!$G$7</f>
        <v>-3.1428916759065853E-2</v>
      </c>
      <c r="J740">
        <f t="shared" si="72"/>
        <v>0</v>
      </c>
      <c r="K740" s="67">
        <f ca="1">'Monte Carlo Stimulation'!$I$8</f>
        <v>-2.1559270710709389E-2</v>
      </c>
      <c r="L740">
        <f t="shared" ca="1" si="73"/>
        <v>0</v>
      </c>
      <c r="M740" s="67">
        <f ca="1">'Monte Carlo Stimulation'!$I$9</f>
        <v>-2.919314405717207E-2</v>
      </c>
      <c r="N740">
        <f t="shared" ca="1" si="74"/>
        <v>0</v>
      </c>
    </row>
    <row r="741" spans="1:14">
      <c r="A741" s="12">
        <v>45026</v>
      </c>
      <c r="B741" s="14">
        <v>1.2481863168552938E-2</v>
      </c>
      <c r="C741" s="67">
        <f>'Parametric VAR'!$F$12</f>
        <v>-2.023068247926026E-2</v>
      </c>
      <c r="D741">
        <f t="shared" si="69"/>
        <v>0</v>
      </c>
      <c r="E741" s="67">
        <f>'Parametric VAR'!$F$13</f>
        <v>-2.8682193012943492E-2</v>
      </c>
      <c r="F741">
        <f t="shared" si="70"/>
        <v>0</v>
      </c>
      <c r="G741" s="67">
        <f>'Historical VAR'!$G$6</f>
        <v>-1.9839729167757107E-2</v>
      </c>
      <c r="H741">
        <f t="shared" si="71"/>
        <v>0</v>
      </c>
      <c r="I741" s="67">
        <f>'Historical VAR'!$G$7</f>
        <v>-3.1428916759065853E-2</v>
      </c>
      <c r="J741">
        <f t="shared" si="72"/>
        <v>0</v>
      </c>
      <c r="K741" s="67">
        <f ca="1">'Monte Carlo Stimulation'!$I$8</f>
        <v>-2.1559270710709389E-2</v>
      </c>
      <c r="L741">
        <f t="shared" ca="1" si="73"/>
        <v>0</v>
      </c>
      <c r="M741" s="67">
        <f ca="1">'Monte Carlo Stimulation'!$I$9</f>
        <v>-2.919314405717207E-2</v>
      </c>
      <c r="N741">
        <f t="shared" ca="1" si="74"/>
        <v>0</v>
      </c>
    </row>
    <row r="742" spans="1:14">
      <c r="A742" s="12">
        <v>45022</v>
      </c>
      <c r="B742" s="14">
        <v>8.7077853406246474E-3</v>
      </c>
      <c r="C742" s="67">
        <f>'Parametric VAR'!$F$12</f>
        <v>-2.023068247926026E-2</v>
      </c>
      <c r="D742">
        <f t="shared" si="69"/>
        <v>0</v>
      </c>
      <c r="E742" s="67">
        <f>'Parametric VAR'!$F$13</f>
        <v>-2.8682193012943492E-2</v>
      </c>
      <c r="F742">
        <f t="shared" si="70"/>
        <v>0</v>
      </c>
      <c r="G742" s="67">
        <f>'Historical VAR'!$G$6</f>
        <v>-1.9839729167757107E-2</v>
      </c>
      <c r="H742">
        <f t="shared" si="71"/>
        <v>0</v>
      </c>
      <c r="I742" s="67">
        <f>'Historical VAR'!$G$7</f>
        <v>-3.1428916759065853E-2</v>
      </c>
      <c r="J742">
        <f t="shared" si="72"/>
        <v>0</v>
      </c>
      <c r="K742" s="67">
        <f ca="1">'Monte Carlo Stimulation'!$I$8</f>
        <v>-2.1559270710709389E-2</v>
      </c>
      <c r="L742">
        <f t="shared" ca="1" si="73"/>
        <v>0</v>
      </c>
      <c r="M742" s="67">
        <f ca="1">'Monte Carlo Stimulation'!$I$9</f>
        <v>-2.919314405717207E-2</v>
      </c>
      <c r="N742">
        <f t="shared" ca="1" si="74"/>
        <v>0</v>
      </c>
    </row>
    <row r="743" spans="1:14">
      <c r="A743" s="12">
        <v>45021</v>
      </c>
      <c r="B743" s="14">
        <v>-1.8956523314133708E-3</v>
      </c>
      <c r="C743" s="67">
        <f>'Parametric VAR'!$F$12</f>
        <v>-2.023068247926026E-2</v>
      </c>
      <c r="D743">
        <f t="shared" si="69"/>
        <v>0</v>
      </c>
      <c r="E743" s="67">
        <f>'Parametric VAR'!$F$13</f>
        <v>-2.8682193012943492E-2</v>
      </c>
      <c r="F743">
        <f t="shared" si="70"/>
        <v>0</v>
      </c>
      <c r="G743" s="67">
        <f>'Historical VAR'!$G$6</f>
        <v>-1.9839729167757107E-2</v>
      </c>
      <c r="H743">
        <f t="shared" si="71"/>
        <v>0</v>
      </c>
      <c r="I743" s="67">
        <f>'Historical VAR'!$G$7</f>
        <v>-3.1428916759065853E-2</v>
      </c>
      <c r="J743">
        <f t="shared" si="72"/>
        <v>0</v>
      </c>
      <c r="K743" s="67">
        <f ca="1">'Monte Carlo Stimulation'!$I$8</f>
        <v>-2.1559270710709389E-2</v>
      </c>
      <c r="L743">
        <f t="shared" ca="1" si="73"/>
        <v>0</v>
      </c>
      <c r="M743" s="67">
        <f ca="1">'Monte Carlo Stimulation'!$I$9</f>
        <v>-2.919314405717207E-2</v>
      </c>
      <c r="N743">
        <f t="shared" ca="1" si="74"/>
        <v>0</v>
      </c>
    </row>
    <row r="744" spans="1:14">
      <c r="A744" s="12">
        <v>45019</v>
      </c>
      <c r="B744" s="14">
        <v>-1.098440988579377E-2</v>
      </c>
      <c r="C744" s="67">
        <f>'Parametric VAR'!$F$12</f>
        <v>-2.023068247926026E-2</v>
      </c>
      <c r="D744">
        <f t="shared" si="69"/>
        <v>0</v>
      </c>
      <c r="E744" s="67">
        <f>'Parametric VAR'!$F$13</f>
        <v>-2.8682193012943492E-2</v>
      </c>
      <c r="F744">
        <f t="shared" si="70"/>
        <v>0</v>
      </c>
      <c r="G744" s="67">
        <f>'Historical VAR'!$G$6</f>
        <v>-1.9839729167757107E-2</v>
      </c>
      <c r="H744">
        <f t="shared" si="71"/>
        <v>0</v>
      </c>
      <c r="I744" s="67">
        <f>'Historical VAR'!$G$7</f>
        <v>-3.1428916759065853E-2</v>
      </c>
      <c r="J744">
        <f t="shared" si="72"/>
        <v>0</v>
      </c>
      <c r="K744" s="67">
        <f ca="1">'Monte Carlo Stimulation'!$I$8</f>
        <v>-2.1559270710709389E-2</v>
      </c>
      <c r="L744">
        <f t="shared" ca="1" si="73"/>
        <v>0</v>
      </c>
      <c r="M744" s="67">
        <f ca="1">'Monte Carlo Stimulation'!$I$9</f>
        <v>-2.919314405717207E-2</v>
      </c>
      <c r="N744">
        <f t="shared" ca="1" si="74"/>
        <v>0</v>
      </c>
    </row>
    <row r="745" spans="1:14">
      <c r="A745" s="12">
        <v>45016</v>
      </c>
      <c r="B745" s="14">
        <v>-3.8656884084665214E-3</v>
      </c>
      <c r="C745" s="67">
        <f>'Parametric VAR'!$F$12</f>
        <v>-2.023068247926026E-2</v>
      </c>
      <c r="D745">
        <f t="shared" si="69"/>
        <v>0</v>
      </c>
      <c r="E745" s="67">
        <f>'Parametric VAR'!$F$13</f>
        <v>-2.8682193012943492E-2</v>
      </c>
      <c r="F745">
        <f t="shared" si="70"/>
        <v>0</v>
      </c>
      <c r="G745" s="67">
        <f>'Historical VAR'!$G$6</f>
        <v>-1.9839729167757107E-2</v>
      </c>
      <c r="H745">
        <f t="shared" si="71"/>
        <v>0</v>
      </c>
      <c r="I745" s="67">
        <f>'Historical VAR'!$G$7</f>
        <v>-3.1428916759065853E-2</v>
      </c>
      <c r="J745">
        <f t="shared" si="72"/>
        <v>0</v>
      </c>
      <c r="K745" s="67">
        <f ca="1">'Monte Carlo Stimulation'!$I$8</f>
        <v>-2.1559270710709389E-2</v>
      </c>
      <c r="L745">
        <f t="shared" ca="1" si="73"/>
        <v>0</v>
      </c>
      <c r="M745" s="67">
        <f ca="1">'Monte Carlo Stimulation'!$I$9</f>
        <v>-2.919314405717207E-2</v>
      </c>
      <c r="N745">
        <f t="shared" ca="1" si="74"/>
        <v>0</v>
      </c>
    </row>
    <row r="746" spans="1:14">
      <c r="A746" s="12">
        <v>45014</v>
      </c>
      <c r="B746" s="14">
        <v>-5.6789494386402307E-4</v>
      </c>
      <c r="C746" s="67">
        <f>'Parametric VAR'!$F$12</f>
        <v>-2.023068247926026E-2</v>
      </c>
      <c r="D746">
        <f t="shared" si="69"/>
        <v>0</v>
      </c>
      <c r="E746" s="67">
        <f>'Parametric VAR'!$F$13</f>
        <v>-2.8682193012943492E-2</v>
      </c>
      <c r="F746">
        <f t="shared" si="70"/>
        <v>0</v>
      </c>
      <c r="G746" s="67">
        <f>'Historical VAR'!$G$6</f>
        <v>-1.9839729167757107E-2</v>
      </c>
      <c r="H746">
        <f t="shared" si="71"/>
        <v>0</v>
      </c>
      <c r="I746" s="67">
        <f>'Historical VAR'!$G$7</f>
        <v>-3.1428916759065853E-2</v>
      </c>
      <c r="J746">
        <f t="shared" si="72"/>
        <v>0</v>
      </c>
      <c r="K746" s="67">
        <f ca="1">'Monte Carlo Stimulation'!$I$8</f>
        <v>-2.1559270710709389E-2</v>
      </c>
      <c r="L746">
        <f t="shared" ca="1" si="73"/>
        <v>0</v>
      </c>
      <c r="M746" s="67">
        <f ca="1">'Monte Carlo Stimulation'!$I$9</f>
        <v>-2.919314405717207E-2</v>
      </c>
      <c r="N746">
        <f t="shared" ca="1" si="74"/>
        <v>0</v>
      </c>
    </row>
    <row r="747" spans="1:14">
      <c r="A747" s="12">
        <v>45013</v>
      </c>
      <c r="B747" s="14">
        <v>4.330025579299829E-3</v>
      </c>
      <c r="C747" s="67">
        <f>'Parametric VAR'!$F$12</f>
        <v>-2.023068247926026E-2</v>
      </c>
      <c r="D747">
        <f t="shared" si="69"/>
        <v>0</v>
      </c>
      <c r="E747" s="67">
        <f>'Parametric VAR'!$F$13</f>
        <v>-2.8682193012943492E-2</v>
      </c>
      <c r="F747">
        <f t="shared" si="70"/>
        <v>0</v>
      </c>
      <c r="G747" s="67">
        <f>'Historical VAR'!$G$6</f>
        <v>-1.9839729167757107E-2</v>
      </c>
      <c r="H747">
        <f t="shared" si="71"/>
        <v>0</v>
      </c>
      <c r="I747" s="67">
        <f>'Historical VAR'!$G$7</f>
        <v>-3.1428916759065853E-2</v>
      </c>
      <c r="J747">
        <f t="shared" si="72"/>
        <v>0</v>
      </c>
      <c r="K747" s="67">
        <f ca="1">'Monte Carlo Stimulation'!$I$8</f>
        <v>-2.1559270710709389E-2</v>
      </c>
      <c r="L747">
        <f t="shared" ca="1" si="73"/>
        <v>0</v>
      </c>
      <c r="M747" s="67">
        <f ca="1">'Monte Carlo Stimulation'!$I$9</f>
        <v>-2.919314405717207E-2</v>
      </c>
      <c r="N747">
        <f t="shared" ca="1" si="74"/>
        <v>0</v>
      </c>
    </row>
    <row r="748" spans="1:14">
      <c r="A748" s="12">
        <v>45012</v>
      </c>
      <c r="B748" s="14">
        <v>5.7861438436784879E-3</v>
      </c>
      <c r="C748" s="67">
        <f>'Parametric VAR'!$F$12</f>
        <v>-2.023068247926026E-2</v>
      </c>
      <c r="D748">
        <f t="shared" si="69"/>
        <v>0</v>
      </c>
      <c r="E748" s="67">
        <f>'Parametric VAR'!$F$13</f>
        <v>-2.8682193012943492E-2</v>
      </c>
      <c r="F748">
        <f t="shared" si="70"/>
        <v>0</v>
      </c>
      <c r="G748" s="67">
        <f>'Historical VAR'!$G$6</f>
        <v>-1.9839729167757107E-2</v>
      </c>
      <c r="H748">
        <f t="shared" si="71"/>
        <v>0</v>
      </c>
      <c r="I748" s="67">
        <f>'Historical VAR'!$G$7</f>
        <v>-3.1428916759065853E-2</v>
      </c>
      <c r="J748">
        <f t="shared" si="72"/>
        <v>0</v>
      </c>
      <c r="K748" s="67">
        <f ca="1">'Monte Carlo Stimulation'!$I$8</f>
        <v>-2.1559270710709389E-2</v>
      </c>
      <c r="L748">
        <f t="shared" ca="1" si="73"/>
        <v>0</v>
      </c>
      <c r="M748" s="67">
        <f ca="1">'Monte Carlo Stimulation'!$I$9</f>
        <v>-2.919314405717207E-2</v>
      </c>
      <c r="N748">
        <f t="shared" ca="1" si="74"/>
        <v>0</v>
      </c>
    </row>
    <row r="749" spans="1:14">
      <c r="A749" s="12">
        <v>45009</v>
      </c>
      <c r="B749" s="14">
        <v>-1.5572735086785809E-3</v>
      </c>
      <c r="C749" s="67">
        <f>'Parametric VAR'!$F$12</f>
        <v>-2.023068247926026E-2</v>
      </c>
      <c r="D749">
        <f t="shared" si="69"/>
        <v>0</v>
      </c>
      <c r="E749" s="67">
        <f>'Parametric VAR'!$F$13</f>
        <v>-2.8682193012943492E-2</v>
      </c>
      <c r="F749">
        <f t="shared" si="70"/>
        <v>0</v>
      </c>
      <c r="G749" s="67">
        <f>'Historical VAR'!$G$6</f>
        <v>-1.9839729167757107E-2</v>
      </c>
      <c r="H749">
        <f t="shared" si="71"/>
        <v>0</v>
      </c>
      <c r="I749" s="67">
        <f>'Historical VAR'!$G$7</f>
        <v>-3.1428916759065853E-2</v>
      </c>
      <c r="J749">
        <f t="shared" si="72"/>
        <v>0</v>
      </c>
      <c r="K749" s="67">
        <f ca="1">'Monte Carlo Stimulation'!$I$8</f>
        <v>-2.1559270710709389E-2</v>
      </c>
      <c r="L749">
        <f t="shared" ca="1" si="73"/>
        <v>0</v>
      </c>
      <c r="M749" s="67">
        <f ca="1">'Monte Carlo Stimulation'!$I$9</f>
        <v>-2.919314405717207E-2</v>
      </c>
      <c r="N749">
        <f t="shared" ca="1" si="74"/>
        <v>0</v>
      </c>
    </row>
    <row r="750" spans="1:14">
      <c r="A750" s="12">
        <v>45008</v>
      </c>
      <c r="B750" s="14">
        <v>1.1688714261472249E-3</v>
      </c>
      <c r="C750" s="67">
        <f>'Parametric VAR'!$F$12</f>
        <v>-2.023068247926026E-2</v>
      </c>
      <c r="D750">
        <f t="shared" si="69"/>
        <v>0</v>
      </c>
      <c r="E750" s="67">
        <f>'Parametric VAR'!$F$13</f>
        <v>-2.8682193012943492E-2</v>
      </c>
      <c r="F750">
        <f t="shared" si="70"/>
        <v>0</v>
      </c>
      <c r="G750" s="67">
        <f>'Historical VAR'!$G$6</f>
        <v>-1.9839729167757107E-2</v>
      </c>
      <c r="H750">
        <f t="shared" si="71"/>
        <v>0</v>
      </c>
      <c r="I750" s="67">
        <f>'Historical VAR'!$G$7</f>
        <v>-3.1428916759065853E-2</v>
      </c>
      <c r="J750">
        <f t="shared" si="72"/>
        <v>0</v>
      </c>
      <c r="K750" s="67">
        <f ca="1">'Monte Carlo Stimulation'!$I$8</f>
        <v>-2.1559270710709389E-2</v>
      </c>
      <c r="L750">
        <f t="shared" ca="1" si="73"/>
        <v>0</v>
      </c>
      <c r="M750" s="67">
        <f ca="1">'Monte Carlo Stimulation'!$I$9</f>
        <v>-2.919314405717207E-2</v>
      </c>
      <c r="N750">
        <f t="shared" ca="1" si="74"/>
        <v>0</v>
      </c>
    </row>
    <row r="751" spans="1:14">
      <c r="A751" s="12">
        <v>45007</v>
      </c>
      <c r="B751" s="14">
        <v>1.4969347990574061E-2</v>
      </c>
      <c r="C751" s="67">
        <f>'Parametric VAR'!$F$12</f>
        <v>-2.023068247926026E-2</v>
      </c>
      <c r="D751">
        <f t="shared" si="69"/>
        <v>0</v>
      </c>
      <c r="E751" s="67">
        <f>'Parametric VAR'!$F$13</f>
        <v>-2.8682193012943492E-2</v>
      </c>
      <c r="F751">
        <f t="shared" si="70"/>
        <v>0</v>
      </c>
      <c r="G751" s="67">
        <f>'Historical VAR'!$G$6</f>
        <v>-1.9839729167757107E-2</v>
      </c>
      <c r="H751">
        <f t="shared" si="71"/>
        <v>0</v>
      </c>
      <c r="I751" s="67">
        <f>'Historical VAR'!$G$7</f>
        <v>-3.1428916759065853E-2</v>
      </c>
      <c r="J751">
        <f t="shared" si="72"/>
        <v>0</v>
      </c>
      <c r="K751" s="67">
        <f ca="1">'Monte Carlo Stimulation'!$I$8</f>
        <v>-2.1559270710709389E-2</v>
      </c>
      <c r="L751">
        <f t="shared" ca="1" si="73"/>
        <v>0</v>
      </c>
      <c r="M751" s="67">
        <f ca="1">'Monte Carlo Stimulation'!$I$9</f>
        <v>-2.919314405717207E-2</v>
      </c>
      <c r="N751">
        <f t="shared" ca="1" si="74"/>
        <v>0</v>
      </c>
    </row>
    <row r="752" spans="1:14">
      <c r="A752" s="12">
        <v>45006</v>
      </c>
      <c r="B752" s="14">
        <v>-5.6924578919895295E-4</v>
      </c>
      <c r="C752" s="67">
        <f>'Parametric VAR'!$F$12</f>
        <v>-2.023068247926026E-2</v>
      </c>
      <c r="D752">
        <f t="shared" si="69"/>
        <v>0</v>
      </c>
      <c r="E752" s="67">
        <f>'Parametric VAR'!$F$13</f>
        <v>-2.8682193012943492E-2</v>
      </c>
      <c r="F752">
        <f t="shared" si="70"/>
        <v>0</v>
      </c>
      <c r="G752" s="67">
        <f>'Historical VAR'!$G$6</f>
        <v>-1.9839729167757107E-2</v>
      </c>
      <c r="H752">
        <f t="shared" si="71"/>
        <v>0</v>
      </c>
      <c r="I752" s="67">
        <f>'Historical VAR'!$G$7</f>
        <v>-3.1428916759065853E-2</v>
      </c>
      <c r="J752">
        <f t="shared" si="72"/>
        <v>0</v>
      </c>
      <c r="K752" s="67">
        <f ca="1">'Monte Carlo Stimulation'!$I$8</f>
        <v>-2.1559270710709389E-2</v>
      </c>
      <c r="L752">
        <f t="shared" ca="1" si="73"/>
        <v>0</v>
      </c>
      <c r="M752" s="67">
        <f ca="1">'Monte Carlo Stimulation'!$I$9</f>
        <v>-2.919314405717207E-2</v>
      </c>
      <c r="N752">
        <f t="shared" ca="1" si="74"/>
        <v>0</v>
      </c>
    </row>
    <row r="753" spans="1:14">
      <c r="A753" s="12">
        <v>45005</v>
      </c>
      <c r="B753" s="14">
        <v>4.8403404106492267E-3</v>
      </c>
      <c r="C753" s="67">
        <f>'Parametric VAR'!$F$12</f>
        <v>-2.023068247926026E-2</v>
      </c>
      <c r="D753">
        <f t="shared" si="69"/>
        <v>0</v>
      </c>
      <c r="E753" s="67">
        <f>'Parametric VAR'!$F$13</f>
        <v>-2.8682193012943492E-2</v>
      </c>
      <c r="F753">
        <f t="shared" si="70"/>
        <v>0</v>
      </c>
      <c r="G753" s="67">
        <f>'Historical VAR'!$G$6</f>
        <v>-1.9839729167757107E-2</v>
      </c>
      <c r="H753">
        <f t="shared" si="71"/>
        <v>0</v>
      </c>
      <c r="I753" s="67">
        <f>'Historical VAR'!$G$7</f>
        <v>-3.1428916759065853E-2</v>
      </c>
      <c r="J753">
        <f t="shared" si="72"/>
        <v>0</v>
      </c>
      <c r="K753" s="67">
        <f ca="1">'Monte Carlo Stimulation'!$I$8</f>
        <v>-2.1559270710709389E-2</v>
      </c>
      <c r="L753">
        <f t="shared" ca="1" si="73"/>
        <v>0</v>
      </c>
      <c r="M753" s="67">
        <f ca="1">'Monte Carlo Stimulation'!$I$9</f>
        <v>-2.919314405717207E-2</v>
      </c>
      <c r="N753">
        <f t="shared" ca="1" si="74"/>
        <v>0</v>
      </c>
    </row>
    <row r="754" spans="1:14">
      <c r="A754" s="12">
        <v>45002</v>
      </c>
      <c r="B754" s="14">
        <v>2.2819782394127935E-3</v>
      </c>
      <c r="C754" s="67">
        <f>'Parametric VAR'!$F$12</f>
        <v>-2.023068247926026E-2</v>
      </c>
      <c r="D754">
        <f t="shared" si="69"/>
        <v>0</v>
      </c>
      <c r="E754" s="67">
        <f>'Parametric VAR'!$F$13</f>
        <v>-2.8682193012943492E-2</v>
      </c>
      <c r="F754">
        <f t="shared" si="70"/>
        <v>0</v>
      </c>
      <c r="G754" s="67">
        <f>'Historical VAR'!$G$6</f>
        <v>-1.9839729167757107E-2</v>
      </c>
      <c r="H754">
        <f t="shared" si="71"/>
        <v>0</v>
      </c>
      <c r="I754" s="67">
        <f>'Historical VAR'!$G$7</f>
        <v>-3.1428916759065853E-2</v>
      </c>
      <c r="J754">
        <f t="shared" si="72"/>
        <v>0</v>
      </c>
      <c r="K754" s="67">
        <f ca="1">'Monte Carlo Stimulation'!$I$8</f>
        <v>-2.1559270710709389E-2</v>
      </c>
      <c r="L754">
        <f t="shared" ca="1" si="73"/>
        <v>0</v>
      </c>
      <c r="M754" s="67">
        <f ca="1">'Monte Carlo Stimulation'!$I$9</f>
        <v>-2.919314405717207E-2</v>
      </c>
      <c r="N754">
        <f t="shared" ca="1" si="74"/>
        <v>0</v>
      </c>
    </row>
    <row r="755" spans="1:14">
      <c r="A755" s="12">
        <v>45001</v>
      </c>
      <c r="B755" s="14">
        <v>1.0157687585195918E-2</v>
      </c>
      <c r="C755" s="67">
        <f>'Parametric VAR'!$F$12</f>
        <v>-2.023068247926026E-2</v>
      </c>
      <c r="D755">
        <f t="shared" si="69"/>
        <v>0</v>
      </c>
      <c r="E755" s="67">
        <f>'Parametric VAR'!$F$13</f>
        <v>-2.8682193012943492E-2</v>
      </c>
      <c r="F755">
        <f t="shared" si="70"/>
        <v>0</v>
      </c>
      <c r="G755" s="67">
        <f>'Historical VAR'!$G$6</f>
        <v>-1.9839729167757107E-2</v>
      </c>
      <c r="H755">
        <f t="shared" si="71"/>
        <v>0</v>
      </c>
      <c r="I755" s="67">
        <f>'Historical VAR'!$G$7</f>
        <v>-3.1428916759065853E-2</v>
      </c>
      <c r="J755">
        <f t="shared" si="72"/>
        <v>0</v>
      </c>
      <c r="K755" s="67">
        <f ca="1">'Monte Carlo Stimulation'!$I$8</f>
        <v>-2.1559270710709389E-2</v>
      </c>
      <c r="L755">
        <f t="shared" ca="1" si="73"/>
        <v>0</v>
      </c>
      <c r="M755" s="67">
        <f ca="1">'Monte Carlo Stimulation'!$I$9</f>
        <v>-2.919314405717207E-2</v>
      </c>
      <c r="N755">
        <f t="shared" ca="1" si="74"/>
        <v>0</v>
      </c>
    </row>
    <row r="756" spans="1:14">
      <c r="A756" s="12">
        <v>45000</v>
      </c>
      <c r="B756" s="14">
        <v>-1.985922063424287E-2</v>
      </c>
      <c r="C756" s="67">
        <f>'Parametric VAR'!$F$12</f>
        <v>-2.023068247926026E-2</v>
      </c>
      <c r="D756">
        <f t="shared" si="69"/>
        <v>0</v>
      </c>
      <c r="E756" s="67">
        <f>'Parametric VAR'!$F$13</f>
        <v>-2.8682193012943492E-2</v>
      </c>
      <c r="F756">
        <f t="shared" si="70"/>
        <v>0</v>
      </c>
      <c r="G756" s="67">
        <f>'Historical VAR'!$G$6</f>
        <v>-1.9839729167757107E-2</v>
      </c>
      <c r="H756">
        <f t="shared" si="71"/>
        <v>1</v>
      </c>
      <c r="I756" s="67">
        <f>'Historical VAR'!$G$7</f>
        <v>-3.1428916759065853E-2</v>
      </c>
      <c r="J756">
        <f t="shared" si="72"/>
        <v>0</v>
      </c>
      <c r="K756" s="67">
        <f ca="1">'Monte Carlo Stimulation'!$I$8</f>
        <v>-2.1559270710709389E-2</v>
      </c>
      <c r="L756">
        <f t="shared" ca="1" si="73"/>
        <v>0</v>
      </c>
      <c r="M756" s="67">
        <f ca="1">'Monte Carlo Stimulation'!$I$9</f>
        <v>-2.919314405717207E-2</v>
      </c>
      <c r="N756">
        <f t="shared" ca="1" si="74"/>
        <v>0</v>
      </c>
    </row>
    <row r="757" spans="1:14">
      <c r="A757" s="12">
        <v>44999</v>
      </c>
      <c r="B757" s="14">
        <v>-2.4472089266679944E-2</v>
      </c>
      <c r="C757" s="67">
        <f>'Parametric VAR'!$F$12</f>
        <v>-2.023068247926026E-2</v>
      </c>
      <c r="D757">
        <f t="shared" si="69"/>
        <v>1</v>
      </c>
      <c r="E757" s="67">
        <f>'Parametric VAR'!$F$13</f>
        <v>-2.8682193012943492E-2</v>
      </c>
      <c r="F757">
        <f t="shared" si="70"/>
        <v>0</v>
      </c>
      <c r="G757" s="67">
        <f>'Historical VAR'!$G$6</f>
        <v>-1.9839729167757107E-2</v>
      </c>
      <c r="H757">
        <f t="shared" si="71"/>
        <v>1</v>
      </c>
      <c r="I757" s="67">
        <f>'Historical VAR'!$G$7</f>
        <v>-3.1428916759065853E-2</v>
      </c>
      <c r="J757">
        <f t="shared" si="72"/>
        <v>0</v>
      </c>
      <c r="K757" s="67">
        <f ca="1">'Monte Carlo Stimulation'!$I$8</f>
        <v>-2.1559270710709389E-2</v>
      </c>
      <c r="L757">
        <f t="shared" ca="1" si="73"/>
        <v>1</v>
      </c>
      <c r="M757" s="67">
        <f ca="1">'Monte Carlo Stimulation'!$I$9</f>
        <v>-2.919314405717207E-2</v>
      </c>
      <c r="N757">
        <f t="shared" ca="1" si="74"/>
        <v>0</v>
      </c>
    </row>
    <row r="758" spans="1:14">
      <c r="A758" s="12">
        <v>44998</v>
      </c>
      <c r="B758" s="14">
        <v>1.0382522016617169E-2</v>
      </c>
      <c r="C758" s="67">
        <f>'Parametric VAR'!$F$12</f>
        <v>-2.023068247926026E-2</v>
      </c>
      <c r="D758">
        <f t="shared" si="69"/>
        <v>0</v>
      </c>
      <c r="E758" s="67">
        <f>'Parametric VAR'!$F$13</f>
        <v>-2.8682193012943492E-2</v>
      </c>
      <c r="F758">
        <f t="shared" si="70"/>
        <v>0</v>
      </c>
      <c r="G758" s="67">
        <f>'Historical VAR'!$G$6</f>
        <v>-1.9839729167757107E-2</v>
      </c>
      <c r="H758">
        <f t="shared" si="71"/>
        <v>0</v>
      </c>
      <c r="I758" s="67">
        <f>'Historical VAR'!$G$7</f>
        <v>-3.1428916759065853E-2</v>
      </c>
      <c r="J758">
        <f t="shared" si="72"/>
        <v>0</v>
      </c>
      <c r="K758" s="67">
        <f ca="1">'Monte Carlo Stimulation'!$I$8</f>
        <v>-2.1559270710709389E-2</v>
      </c>
      <c r="L758">
        <f t="shared" ca="1" si="73"/>
        <v>0</v>
      </c>
      <c r="M758" s="67">
        <f ca="1">'Monte Carlo Stimulation'!$I$9</f>
        <v>-2.919314405717207E-2</v>
      </c>
      <c r="N758">
        <f t="shared" ca="1" si="74"/>
        <v>0</v>
      </c>
    </row>
    <row r="759" spans="1:14">
      <c r="A759" s="12">
        <v>44995</v>
      </c>
      <c r="B759" s="14">
        <v>1.5266445292218071E-2</v>
      </c>
      <c r="C759" s="67">
        <f>'Parametric VAR'!$F$12</f>
        <v>-2.023068247926026E-2</v>
      </c>
      <c r="D759">
        <f t="shared" si="69"/>
        <v>0</v>
      </c>
      <c r="E759" s="67">
        <f>'Parametric VAR'!$F$13</f>
        <v>-2.8682193012943492E-2</v>
      </c>
      <c r="F759">
        <f t="shared" si="70"/>
        <v>0</v>
      </c>
      <c r="G759" s="67">
        <f>'Historical VAR'!$G$6</f>
        <v>-1.9839729167757107E-2</v>
      </c>
      <c r="H759">
        <f t="shared" si="71"/>
        <v>0</v>
      </c>
      <c r="I759" s="67">
        <f>'Historical VAR'!$G$7</f>
        <v>-3.1428916759065853E-2</v>
      </c>
      <c r="J759">
        <f t="shared" si="72"/>
        <v>0</v>
      </c>
      <c r="K759" s="67">
        <f ca="1">'Monte Carlo Stimulation'!$I$8</f>
        <v>-2.1559270710709389E-2</v>
      </c>
      <c r="L759">
        <f t="shared" ca="1" si="73"/>
        <v>0</v>
      </c>
      <c r="M759" s="67">
        <f ca="1">'Monte Carlo Stimulation'!$I$9</f>
        <v>-2.919314405717207E-2</v>
      </c>
      <c r="N759">
        <f t="shared" ca="1" si="74"/>
        <v>0</v>
      </c>
    </row>
    <row r="760" spans="1:14">
      <c r="A760" s="12">
        <v>44994</v>
      </c>
      <c r="B760" s="14">
        <v>6.1165221514485717E-3</v>
      </c>
      <c r="C760" s="67">
        <f>'Parametric VAR'!$F$12</f>
        <v>-2.023068247926026E-2</v>
      </c>
      <c r="D760">
        <f t="shared" si="69"/>
        <v>0</v>
      </c>
      <c r="E760" s="67">
        <f>'Parametric VAR'!$F$13</f>
        <v>-2.8682193012943492E-2</v>
      </c>
      <c r="F760">
        <f t="shared" si="70"/>
        <v>0</v>
      </c>
      <c r="G760" s="67">
        <f>'Historical VAR'!$G$6</f>
        <v>-1.9839729167757107E-2</v>
      </c>
      <c r="H760">
        <f t="shared" si="71"/>
        <v>0</v>
      </c>
      <c r="I760" s="67">
        <f>'Historical VAR'!$G$7</f>
        <v>-3.1428916759065853E-2</v>
      </c>
      <c r="J760">
        <f t="shared" si="72"/>
        <v>0</v>
      </c>
      <c r="K760" s="67">
        <f ca="1">'Monte Carlo Stimulation'!$I$8</f>
        <v>-2.1559270710709389E-2</v>
      </c>
      <c r="L760">
        <f t="shared" ca="1" si="73"/>
        <v>0</v>
      </c>
      <c r="M760" s="67">
        <f ca="1">'Monte Carlo Stimulation'!$I$9</f>
        <v>-2.919314405717207E-2</v>
      </c>
      <c r="N760">
        <f t="shared" ca="1" si="74"/>
        <v>0</v>
      </c>
    </row>
    <row r="761" spans="1:14">
      <c r="A761" s="12">
        <v>44993</v>
      </c>
      <c r="B761" s="14">
        <v>6.9710891011470495E-4</v>
      </c>
      <c r="C761" s="67">
        <f>'Parametric VAR'!$F$12</f>
        <v>-2.023068247926026E-2</v>
      </c>
      <c r="D761">
        <f t="shared" si="69"/>
        <v>0</v>
      </c>
      <c r="E761" s="67">
        <f>'Parametric VAR'!$F$13</f>
        <v>-2.8682193012943492E-2</v>
      </c>
      <c r="F761">
        <f t="shared" si="70"/>
        <v>0</v>
      </c>
      <c r="G761" s="67">
        <f>'Historical VAR'!$G$6</f>
        <v>-1.9839729167757107E-2</v>
      </c>
      <c r="H761">
        <f t="shared" si="71"/>
        <v>0</v>
      </c>
      <c r="I761" s="67">
        <f>'Historical VAR'!$G$7</f>
        <v>-3.1428916759065853E-2</v>
      </c>
      <c r="J761">
        <f t="shared" si="72"/>
        <v>0</v>
      </c>
      <c r="K761" s="67">
        <f ca="1">'Monte Carlo Stimulation'!$I$8</f>
        <v>-2.1559270710709389E-2</v>
      </c>
      <c r="L761">
        <f t="shared" ca="1" si="73"/>
        <v>0</v>
      </c>
      <c r="M761" s="67">
        <f ca="1">'Monte Carlo Stimulation'!$I$9</f>
        <v>-2.919314405717207E-2</v>
      </c>
      <c r="N761">
        <f t="shared" ca="1" si="74"/>
        <v>0</v>
      </c>
    </row>
    <row r="762" spans="1:14">
      <c r="A762" s="12">
        <v>44991</v>
      </c>
      <c r="B762" s="14">
        <v>1.0425989199856186E-3</v>
      </c>
      <c r="C762" s="67">
        <f>'Parametric VAR'!$F$12</f>
        <v>-2.023068247926026E-2</v>
      </c>
      <c r="D762">
        <f t="shared" si="69"/>
        <v>0</v>
      </c>
      <c r="E762" s="67">
        <f>'Parametric VAR'!$F$13</f>
        <v>-2.8682193012943492E-2</v>
      </c>
      <c r="F762">
        <f t="shared" si="70"/>
        <v>0</v>
      </c>
      <c r="G762" s="67">
        <f>'Historical VAR'!$G$6</f>
        <v>-1.9839729167757107E-2</v>
      </c>
      <c r="H762">
        <f t="shared" si="71"/>
        <v>0</v>
      </c>
      <c r="I762" s="67">
        <f>'Historical VAR'!$G$7</f>
        <v>-3.1428916759065853E-2</v>
      </c>
      <c r="J762">
        <f t="shared" si="72"/>
        <v>0</v>
      </c>
      <c r="K762" s="67">
        <f ca="1">'Monte Carlo Stimulation'!$I$8</f>
        <v>-2.1559270710709389E-2</v>
      </c>
      <c r="L762">
        <f t="shared" ca="1" si="73"/>
        <v>0</v>
      </c>
      <c r="M762" s="67">
        <f ca="1">'Monte Carlo Stimulation'!$I$9</f>
        <v>-2.919314405717207E-2</v>
      </c>
      <c r="N762">
        <f t="shared" ca="1" si="74"/>
        <v>0</v>
      </c>
    </row>
    <row r="763" spans="1:14">
      <c r="A763" s="12">
        <v>44988</v>
      </c>
      <c r="B763" s="14">
        <v>-1.2040472463639207E-2</v>
      </c>
      <c r="C763" s="67">
        <f>'Parametric VAR'!$F$12</f>
        <v>-2.023068247926026E-2</v>
      </c>
      <c r="D763">
        <f t="shared" si="69"/>
        <v>0</v>
      </c>
      <c r="E763" s="67">
        <f>'Parametric VAR'!$F$13</f>
        <v>-2.8682193012943492E-2</v>
      </c>
      <c r="F763">
        <f t="shared" si="70"/>
        <v>0</v>
      </c>
      <c r="G763" s="67">
        <f>'Historical VAR'!$G$6</f>
        <v>-1.9839729167757107E-2</v>
      </c>
      <c r="H763">
        <f t="shared" si="71"/>
        <v>0</v>
      </c>
      <c r="I763" s="67">
        <f>'Historical VAR'!$G$7</f>
        <v>-3.1428916759065853E-2</v>
      </c>
      <c r="J763">
        <f t="shared" si="72"/>
        <v>0</v>
      </c>
      <c r="K763" s="67">
        <f ca="1">'Monte Carlo Stimulation'!$I$8</f>
        <v>-2.1559270710709389E-2</v>
      </c>
      <c r="L763">
        <f t="shared" ca="1" si="73"/>
        <v>0</v>
      </c>
      <c r="M763" s="67">
        <f ca="1">'Monte Carlo Stimulation'!$I$9</f>
        <v>-2.919314405717207E-2</v>
      </c>
      <c r="N763">
        <f t="shared" ca="1" si="74"/>
        <v>0</v>
      </c>
    </row>
    <row r="764" spans="1:14">
      <c r="A764" s="12">
        <v>44987</v>
      </c>
      <c r="B764" s="14">
        <v>-2.1378134441545443E-4</v>
      </c>
      <c r="C764" s="67">
        <f>'Parametric VAR'!$F$12</f>
        <v>-2.023068247926026E-2</v>
      </c>
      <c r="D764">
        <f t="shared" si="69"/>
        <v>0</v>
      </c>
      <c r="E764" s="67">
        <f>'Parametric VAR'!$F$13</f>
        <v>-2.8682193012943492E-2</v>
      </c>
      <c r="F764">
        <f t="shared" si="70"/>
        <v>0</v>
      </c>
      <c r="G764" s="67">
        <f>'Historical VAR'!$G$6</f>
        <v>-1.9839729167757107E-2</v>
      </c>
      <c r="H764">
        <f t="shared" si="71"/>
        <v>0</v>
      </c>
      <c r="I764" s="67">
        <f>'Historical VAR'!$G$7</f>
        <v>-3.1428916759065853E-2</v>
      </c>
      <c r="J764">
        <f t="shared" si="72"/>
        <v>0</v>
      </c>
      <c r="K764" s="67">
        <f ca="1">'Monte Carlo Stimulation'!$I$8</f>
        <v>-2.1559270710709389E-2</v>
      </c>
      <c r="L764">
        <f t="shared" ca="1" si="73"/>
        <v>0</v>
      </c>
      <c r="M764" s="67">
        <f ca="1">'Monte Carlo Stimulation'!$I$9</f>
        <v>-2.919314405717207E-2</v>
      </c>
      <c r="N764">
        <f t="shared" ca="1" si="74"/>
        <v>0</v>
      </c>
    </row>
    <row r="765" spans="1:14">
      <c r="A765" s="12">
        <v>44986</v>
      </c>
      <c r="B765" s="14">
        <v>1.0338326803591999E-3</v>
      </c>
      <c r="C765" s="67">
        <f>'Parametric VAR'!$F$12</f>
        <v>-2.023068247926026E-2</v>
      </c>
      <c r="D765">
        <f t="shared" si="69"/>
        <v>0</v>
      </c>
      <c r="E765" s="67">
        <f>'Parametric VAR'!$F$13</f>
        <v>-2.8682193012943492E-2</v>
      </c>
      <c r="F765">
        <f t="shared" si="70"/>
        <v>0</v>
      </c>
      <c r="G765" s="67">
        <f>'Historical VAR'!$G$6</f>
        <v>-1.9839729167757107E-2</v>
      </c>
      <c r="H765">
        <f t="shared" si="71"/>
        <v>0</v>
      </c>
      <c r="I765" s="67">
        <f>'Historical VAR'!$G$7</f>
        <v>-3.1428916759065853E-2</v>
      </c>
      <c r="J765">
        <f t="shared" si="72"/>
        <v>0</v>
      </c>
      <c r="K765" s="67">
        <f ca="1">'Monte Carlo Stimulation'!$I$8</f>
        <v>-2.1559270710709389E-2</v>
      </c>
      <c r="L765">
        <f t="shared" ca="1" si="73"/>
        <v>0</v>
      </c>
      <c r="M765" s="67">
        <f ca="1">'Monte Carlo Stimulation'!$I$9</f>
        <v>-2.919314405717207E-2</v>
      </c>
      <c r="N765">
        <f t="shared" ca="1" si="74"/>
        <v>0</v>
      </c>
    </row>
    <row r="766" spans="1:14">
      <c r="A766" s="12">
        <v>44985</v>
      </c>
      <c r="B766" s="14">
        <v>-3.7551987735926808E-3</v>
      </c>
      <c r="C766" s="67">
        <f>'Parametric VAR'!$F$12</f>
        <v>-2.023068247926026E-2</v>
      </c>
      <c r="D766">
        <f t="shared" si="69"/>
        <v>0</v>
      </c>
      <c r="E766" s="67">
        <f>'Parametric VAR'!$F$13</f>
        <v>-2.8682193012943492E-2</v>
      </c>
      <c r="F766">
        <f t="shared" si="70"/>
        <v>0</v>
      </c>
      <c r="G766" s="67">
        <f>'Historical VAR'!$G$6</f>
        <v>-1.9839729167757107E-2</v>
      </c>
      <c r="H766">
        <f t="shared" si="71"/>
        <v>0</v>
      </c>
      <c r="I766" s="67">
        <f>'Historical VAR'!$G$7</f>
        <v>-3.1428916759065853E-2</v>
      </c>
      <c r="J766">
        <f t="shared" si="72"/>
        <v>0</v>
      </c>
      <c r="K766" s="67">
        <f ca="1">'Monte Carlo Stimulation'!$I$8</f>
        <v>-2.1559270710709389E-2</v>
      </c>
      <c r="L766">
        <f t="shared" ca="1" si="73"/>
        <v>0</v>
      </c>
      <c r="M766" s="67">
        <f ca="1">'Monte Carlo Stimulation'!$I$9</f>
        <v>-2.919314405717207E-2</v>
      </c>
      <c r="N766">
        <f t="shared" ca="1" si="74"/>
        <v>0</v>
      </c>
    </row>
    <row r="767" spans="1:14">
      <c r="A767" s="12">
        <v>44984</v>
      </c>
      <c r="B767" s="14">
        <v>-2.583572120202764E-2</v>
      </c>
      <c r="C767" s="67">
        <f>'Parametric VAR'!$F$12</f>
        <v>-2.023068247926026E-2</v>
      </c>
      <c r="D767">
        <f t="shared" si="69"/>
        <v>1</v>
      </c>
      <c r="E767" s="67">
        <f>'Parametric VAR'!$F$13</f>
        <v>-2.8682193012943492E-2</v>
      </c>
      <c r="F767">
        <f t="shared" si="70"/>
        <v>0</v>
      </c>
      <c r="G767" s="67">
        <f>'Historical VAR'!$G$6</f>
        <v>-1.9839729167757107E-2</v>
      </c>
      <c r="H767">
        <f t="shared" si="71"/>
        <v>1</v>
      </c>
      <c r="I767" s="67">
        <f>'Historical VAR'!$G$7</f>
        <v>-3.1428916759065853E-2</v>
      </c>
      <c r="J767">
        <f t="shared" si="72"/>
        <v>0</v>
      </c>
      <c r="K767" s="67">
        <f ca="1">'Monte Carlo Stimulation'!$I$8</f>
        <v>-2.1559270710709389E-2</v>
      </c>
      <c r="L767">
        <f t="shared" ca="1" si="73"/>
        <v>1</v>
      </c>
      <c r="M767" s="67">
        <f ca="1">'Monte Carlo Stimulation'!$I$9</f>
        <v>-2.919314405717207E-2</v>
      </c>
      <c r="N767">
        <f t="shared" ca="1" si="74"/>
        <v>0</v>
      </c>
    </row>
    <row r="768" spans="1:14">
      <c r="A768" s="12">
        <v>44981</v>
      </c>
      <c r="B768" s="14">
        <v>-4.0898621758445362E-4</v>
      </c>
      <c r="C768" s="67">
        <f>'Parametric VAR'!$F$12</f>
        <v>-2.023068247926026E-2</v>
      </c>
      <c r="D768">
        <f t="shared" si="69"/>
        <v>0</v>
      </c>
      <c r="E768" s="67">
        <f>'Parametric VAR'!$F$13</f>
        <v>-2.8682193012943492E-2</v>
      </c>
      <c r="F768">
        <f t="shared" si="70"/>
        <v>0</v>
      </c>
      <c r="G768" s="67">
        <f>'Historical VAR'!$G$6</f>
        <v>-1.9839729167757107E-2</v>
      </c>
      <c r="H768">
        <f t="shared" si="71"/>
        <v>0</v>
      </c>
      <c r="I768" s="67">
        <f>'Historical VAR'!$G$7</f>
        <v>-3.1428916759065853E-2</v>
      </c>
      <c r="J768">
        <f t="shared" si="72"/>
        <v>0</v>
      </c>
      <c r="K768" s="67">
        <f ca="1">'Monte Carlo Stimulation'!$I$8</f>
        <v>-2.1559270710709389E-2</v>
      </c>
      <c r="L768">
        <f t="shared" ca="1" si="73"/>
        <v>0</v>
      </c>
      <c r="M768" s="67">
        <f ca="1">'Monte Carlo Stimulation'!$I$9</f>
        <v>-2.919314405717207E-2</v>
      </c>
      <c r="N768">
        <f t="shared" ca="1" si="74"/>
        <v>0</v>
      </c>
    </row>
    <row r="769" spans="1:14">
      <c r="A769" s="12">
        <v>44980</v>
      </c>
      <c r="B769" s="14">
        <v>-8.5359980134954664E-3</v>
      </c>
      <c r="C769" s="67">
        <f>'Parametric VAR'!$F$12</f>
        <v>-2.023068247926026E-2</v>
      </c>
      <c r="D769">
        <f t="shared" si="69"/>
        <v>0</v>
      </c>
      <c r="E769" s="67">
        <f>'Parametric VAR'!$F$13</f>
        <v>-2.8682193012943492E-2</v>
      </c>
      <c r="F769">
        <f t="shared" si="70"/>
        <v>0</v>
      </c>
      <c r="G769" s="67">
        <f>'Historical VAR'!$G$6</f>
        <v>-1.9839729167757107E-2</v>
      </c>
      <c r="H769">
        <f t="shared" si="71"/>
        <v>0</v>
      </c>
      <c r="I769" s="67">
        <f>'Historical VAR'!$G$7</f>
        <v>-3.1428916759065853E-2</v>
      </c>
      <c r="J769">
        <f t="shared" si="72"/>
        <v>0</v>
      </c>
      <c r="K769" s="67">
        <f ca="1">'Monte Carlo Stimulation'!$I$8</f>
        <v>-2.1559270710709389E-2</v>
      </c>
      <c r="L769">
        <f t="shared" ca="1" si="73"/>
        <v>0</v>
      </c>
      <c r="M769" s="67">
        <f ca="1">'Monte Carlo Stimulation'!$I$9</f>
        <v>-2.919314405717207E-2</v>
      </c>
      <c r="N769">
        <f t="shared" ca="1" si="74"/>
        <v>0</v>
      </c>
    </row>
    <row r="770" spans="1:14">
      <c r="A770" s="12">
        <v>44979</v>
      </c>
      <c r="B770" s="14">
        <v>2.5214882699920137E-2</v>
      </c>
      <c r="C770" s="67">
        <f>'Parametric VAR'!$F$12</f>
        <v>-2.023068247926026E-2</v>
      </c>
      <c r="D770">
        <f t="shared" si="69"/>
        <v>0</v>
      </c>
      <c r="E770" s="67">
        <f>'Parametric VAR'!$F$13</f>
        <v>-2.8682193012943492E-2</v>
      </c>
      <c r="F770">
        <f t="shared" si="70"/>
        <v>0</v>
      </c>
      <c r="G770" s="67">
        <f>'Historical VAR'!$G$6</f>
        <v>-1.9839729167757107E-2</v>
      </c>
      <c r="H770">
        <f t="shared" si="71"/>
        <v>0</v>
      </c>
      <c r="I770" s="67">
        <f>'Historical VAR'!$G$7</f>
        <v>-3.1428916759065853E-2</v>
      </c>
      <c r="J770">
        <f t="shared" si="72"/>
        <v>0</v>
      </c>
      <c r="K770" s="67">
        <f ca="1">'Monte Carlo Stimulation'!$I$8</f>
        <v>-2.1559270710709389E-2</v>
      </c>
      <c r="L770">
        <f t="shared" ca="1" si="73"/>
        <v>0</v>
      </c>
      <c r="M770" s="67">
        <f ca="1">'Monte Carlo Stimulation'!$I$9</f>
        <v>-2.919314405717207E-2</v>
      </c>
      <c r="N770">
        <f t="shared" ca="1" si="74"/>
        <v>0</v>
      </c>
    </row>
    <row r="771" spans="1:14">
      <c r="A771" s="12">
        <v>44978</v>
      </c>
      <c r="B771" s="14">
        <v>6.5661709018292498E-3</v>
      </c>
      <c r="C771" s="67">
        <f>'Parametric VAR'!$F$12</f>
        <v>-2.023068247926026E-2</v>
      </c>
      <c r="D771">
        <f t="shared" si="69"/>
        <v>0</v>
      </c>
      <c r="E771" s="67">
        <f>'Parametric VAR'!$F$13</f>
        <v>-2.8682193012943492E-2</v>
      </c>
      <c r="F771">
        <f t="shared" si="70"/>
        <v>0</v>
      </c>
      <c r="G771" s="67">
        <f>'Historical VAR'!$G$6</f>
        <v>-1.9839729167757107E-2</v>
      </c>
      <c r="H771">
        <f t="shared" si="71"/>
        <v>0</v>
      </c>
      <c r="I771" s="67">
        <f>'Historical VAR'!$G$7</f>
        <v>-3.1428916759065853E-2</v>
      </c>
      <c r="J771">
        <f t="shared" si="72"/>
        <v>0</v>
      </c>
      <c r="K771" s="67">
        <f ca="1">'Monte Carlo Stimulation'!$I$8</f>
        <v>-2.1559270710709389E-2</v>
      </c>
      <c r="L771">
        <f t="shared" ca="1" si="73"/>
        <v>0</v>
      </c>
      <c r="M771" s="67">
        <f ca="1">'Monte Carlo Stimulation'!$I$9</f>
        <v>-2.919314405717207E-2</v>
      </c>
      <c r="N771">
        <f t="shared" ca="1" si="74"/>
        <v>0</v>
      </c>
    </row>
    <row r="772" spans="1:14">
      <c r="A772" s="12">
        <v>44977</v>
      </c>
      <c r="B772" s="14">
        <v>2.5360638736678367E-3</v>
      </c>
      <c r="C772" s="67">
        <f>'Parametric VAR'!$F$12</f>
        <v>-2.023068247926026E-2</v>
      </c>
      <c r="D772">
        <f t="shared" ref="D772:D835" si="75">IF(B772&lt;C772,1,0)</f>
        <v>0</v>
      </c>
      <c r="E772" s="67">
        <f>'Parametric VAR'!$F$13</f>
        <v>-2.8682193012943492E-2</v>
      </c>
      <c r="F772">
        <f t="shared" ref="F772:F835" si="76">IF(B772&lt;E772,1,0)</f>
        <v>0</v>
      </c>
      <c r="G772" s="67">
        <f>'Historical VAR'!$G$6</f>
        <v>-1.9839729167757107E-2</v>
      </c>
      <c r="H772">
        <f t="shared" ref="H772:H835" si="77">IF(B772&lt;G772,1,0)</f>
        <v>0</v>
      </c>
      <c r="I772" s="67">
        <f>'Historical VAR'!$G$7</f>
        <v>-3.1428916759065853E-2</v>
      </c>
      <c r="J772">
        <f t="shared" ref="J772:J835" si="78">IF(B772&lt;I772,1,0)</f>
        <v>0</v>
      </c>
      <c r="K772" s="67">
        <f ca="1">'Monte Carlo Stimulation'!$I$8</f>
        <v>-2.1559270710709389E-2</v>
      </c>
      <c r="L772">
        <f t="shared" ref="L772:L835" ca="1" si="79">IF(B772&lt;K772,1,0)</f>
        <v>0</v>
      </c>
      <c r="M772" s="67">
        <f ca="1">'Monte Carlo Stimulation'!$I$9</f>
        <v>-2.919314405717207E-2</v>
      </c>
      <c r="N772">
        <f t="shared" ref="N772:N835" ca="1" si="80">IF(B772&lt;M772,1,0)</f>
        <v>0</v>
      </c>
    </row>
    <row r="773" spans="1:14">
      <c r="A773" s="12">
        <v>44974</v>
      </c>
      <c r="B773" s="14">
        <v>1.9133235166829798E-3</v>
      </c>
      <c r="C773" s="67">
        <f>'Parametric VAR'!$F$12</f>
        <v>-2.023068247926026E-2</v>
      </c>
      <c r="D773">
        <f t="shared" si="75"/>
        <v>0</v>
      </c>
      <c r="E773" s="67">
        <f>'Parametric VAR'!$F$13</f>
        <v>-2.8682193012943492E-2</v>
      </c>
      <c r="F773">
        <f t="shared" si="76"/>
        <v>0</v>
      </c>
      <c r="G773" s="67">
        <f>'Historical VAR'!$G$6</f>
        <v>-1.9839729167757107E-2</v>
      </c>
      <c r="H773">
        <f t="shared" si="77"/>
        <v>0</v>
      </c>
      <c r="I773" s="67">
        <f>'Historical VAR'!$G$7</f>
        <v>-3.1428916759065853E-2</v>
      </c>
      <c r="J773">
        <f t="shared" si="78"/>
        <v>0</v>
      </c>
      <c r="K773" s="67">
        <f ca="1">'Monte Carlo Stimulation'!$I$8</f>
        <v>-2.1559270710709389E-2</v>
      </c>
      <c r="L773">
        <f t="shared" ca="1" si="79"/>
        <v>0</v>
      </c>
      <c r="M773" s="67">
        <f ca="1">'Monte Carlo Stimulation'!$I$9</f>
        <v>-2.919314405717207E-2</v>
      </c>
      <c r="N773">
        <f t="shared" ca="1" si="80"/>
        <v>0</v>
      </c>
    </row>
    <row r="774" spans="1:14">
      <c r="A774" s="12">
        <v>44973</v>
      </c>
      <c r="B774" s="14">
        <v>-8.8455889815676619E-3</v>
      </c>
      <c r="C774" s="67">
        <f>'Parametric VAR'!$F$12</f>
        <v>-2.023068247926026E-2</v>
      </c>
      <c r="D774">
        <f t="shared" si="75"/>
        <v>0</v>
      </c>
      <c r="E774" s="67">
        <f>'Parametric VAR'!$F$13</f>
        <v>-2.8682193012943492E-2</v>
      </c>
      <c r="F774">
        <f t="shared" si="76"/>
        <v>0</v>
      </c>
      <c r="G774" s="67">
        <f>'Historical VAR'!$G$6</f>
        <v>-1.9839729167757107E-2</v>
      </c>
      <c r="H774">
        <f t="shared" si="77"/>
        <v>0</v>
      </c>
      <c r="I774" s="67">
        <f>'Historical VAR'!$G$7</f>
        <v>-3.1428916759065853E-2</v>
      </c>
      <c r="J774">
        <f t="shared" si="78"/>
        <v>0</v>
      </c>
      <c r="K774" s="67">
        <f ca="1">'Monte Carlo Stimulation'!$I$8</f>
        <v>-2.1559270710709389E-2</v>
      </c>
      <c r="L774">
        <f t="shared" ca="1" si="79"/>
        <v>0</v>
      </c>
      <c r="M774" s="67">
        <f ca="1">'Monte Carlo Stimulation'!$I$9</f>
        <v>-2.919314405717207E-2</v>
      </c>
      <c r="N774">
        <f t="shared" ca="1" si="80"/>
        <v>0</v>
      </c>
    </row>
    <row r="775" spans="1:14">
      <c r="A775" s="12">
        <v>44972</v>
      </c>
      <c r="B775" s="14">
        <v>-6.2685394530051144E-3</v>
      </c>
      <c r="C775" s="67">
        <f>'Parametric VAR'!$F$12</f>
        <v>-2.023068247926026E-2</v>
      </c>
      <c r="D775">
        <f t="shared" si="75"/>
        <v>0</v>
      </c>
      <c r="E775" s="67">
        <f>'Parametric VAR'!$F$13</f>
        <v>-2.8682193012943492E-2</v>
      </c>
      <c r="F775">
        <f t="shared" si="76"/>
        <v>0</v>
      </c>
      <c r="G775" s="67">
        <f>'Historical VAR'!$G$6</f>
        <v>-1.9839729167757107E-2</v>
      </c>
      <c r="H775">
        <f t="shared" si="77"/>
        <v>0</v>
      </c>
      <c r="I775" s="67">
        <f>'Historical VAR'!$G$7</f>
        <v>-3.1428916759065853E-2</v>
      </c>
      <c r="J775">
        <f t="shared" si="78"/>
        <v>0</v>
      </c>
      <c r="K775" s="67">
        <f ca="1">'Monte Carlo Stimulation'!$I$8</f>
        <v>-2.1559270710709389E-2</v>
      </c>
      <c r="L775">
        <f t="shared" ca="1" si="79"/>
        <v>0</v>
      </c>
      <c r="M775" s="67">
        <f ca="1">'Monte Carlo Stimulation'!$I$9</f>
        <v>-2.919314405717207E-2</v>
      </c>
      <c r="N775">
        <f t="shared" ca="1" si="80"/>
        <v>0</v>
      </c>
    </row>
    <row r="776" spans="1:14">
      <c r="A776" s="12">
        <v>44971</v>
      </c>
      <c r="B776" s="14">
        <v>-3.8822099313854433E-3</v>
      </c>
      <c r="C776" s="67">
        <f>'Parametric VAR'!$F$12</f>
        <v>-2.023068247926026E-2</v>
      </c>
      <c r="D776">
        <f t="shared" si="75"/>
        <v>0</v>
      </c>
      <c r="E776" s="67">
        <f>'Parametric VAR'!$F$13</f>
        <v>-2.8682193012943492E-2</v>
      </c>
      <c r="F776">
        <f t="shared" si="76"/>
        <v>0</v>
      </c>
      <c r="G776" s="67">
        <f>'Historical VAR'!$G$6</f>
        <v>-1.9839729167757107E-2</v>
      </c>
      <c r="H776">
        <f t="shared" si="77"/>
        <v>0</v>
      </c>
      <c r="I776" s="67">
        <f>'Historical VAR'!$G$7</f>
        <v>-3.1428916759065853E-2</v>
      </c>
      <c r="J776">
        <f t="shared" si="78"/>
        <v>0</v>
      </c>
      <c r="K776" s="67">
        <f ca="1">'Monte Carlo Stimulation'!$I$8</f>
        <v>-2.1559270710709389E-2</v>
      </c>
      <c r="L776">
        <f t="shared" ca="1" si="79"/>
        <v>0</v>
      </c>
      <c r="M776" s="67">
        <f ca="1">'Monte Carlo Stimulation'!$I$9</f>
        <v>-2.919314405717207E-2</v>
      </c>
      <c r="N776">
        <f t="shared" ca="1" si="80"/>
        <v>0</v>
      </c>
    </row>
    <row r="777" spans="1:14">
      <c r="A777" s="12">
        <v>44970</v>
      </c>
      <c r="B777" s="14">
        <v>7.2190235579101024E-3</v>
      </c>
      <c r="C777" s="67">
        <f>'Parametric VAR'!$F$12</f>
        <v>-2.023068247926026E-2</v>
      </c>
      <c r="D777">
        <f t="shared" si="75"/>
        <v>0</v>
      </c>
      <c r="E777" s="67">
        <f>'Parametric VAR'!$F$13</f>
        <v>-2.8682193012943492E-2</v>
      </c>
      <c r="F777">
        <f t="shared" si="76"/>
        <v>0</v>
      </c>
      <c r="G777" s="67">
        <f>'Historical VAR'!$G$6</f>
        <v>-1.9839729167757107E-2</v>
      </c>
      <c r="H777">
        <f t="shared" si="77"/>
        <v>0</v>
      </c>
      <c r="I777" s="67">
        <f>'Historical VAR'!$G$7</f>
        <v>-3.1428916759065853E-2</v>
      </c>
      <c r="J777">
        <f t="shared" si="78"/>
        <v>0</v>
      </c>
      <c r="K777" s="67">
        <f ca="1">'Monte Carlo Stimulation'!$I$8</f>
        <v>-2.1559270710709389E-2</v>
      </c>
      <c r="L777">
        <f t="shared" ca="1" si="79"/>
        <v>0</v>
      </c>
      <c r="M777" s="67">
        <f ca="1">'Monte Carlo Stimulation'!$I$9</f>
        <v>-2.919314405717207E-2</v>
      </c>
      <c r="N777">
        <f t="shared" ca="1" si="80"/>
        <v>0</v>
      </c>
    </row>
    <row r="778" spans="1:14">
      <c r="A778" s="12">
        <v>44967</v>
      </c>
      <c r="B778" s="14">
        <v>9.5558270362367317E-3</v>
      </c>
      <c r="C778" s="67">
        <f>'Parametric VAR'!$F$12</f>
        <v>-2.023068247926026E-2</v>
      </c>
      <c r="D778">
        <f t="shared" si="75"/>
        <v>0</v>
      </c>
      <c r="E778" s="67">
        <f>'Parametric VAR'!$F$13</f>
        <v>-2.8682193012943492E-2</v>
      </c>
      <c r="F778">
        <f t="shared" si="76"/>
        <v>0</v>
      </c>
      <c r="G778" s="67">
        <f>'Historical VAR'!$G$6</f>
        <v>-1.9839729167757107E-2</v>
      </c>
      <c r="H778">
        <f t="shared" si="77"/>
        <v>0</v>
      </c>
      <c r="I778" s="67">
        <f>'Historical VAR'!$G$7</f>
        <v>-3.1428916759065853E-2</v>
      </c>
      <c r="J778">
        <f t="shared" si="78"/>
        <v>0</v>
      </c>
      <c r="K778" s="67">
        <f ca="1">'Monte Carlo Stimulation'!$I$8</f>
        <v>-2.1559270710709389E-2</v>
      </c>
      <c r="L778">
        <f t="shared" ca="1" si="79"/>
        <v>0</v>
      </c>
      <c r="M778" s="67">
        <f ca="1">'Monte Carlo Stimulation'!$I$9</f>
        <v>-2.919314405717207E-2</v>
      </c>
      <c r="N778">
        <f t="shared" ca="1" si="80"/>
        <v>0</v>
      </c>
    </row>
    <row r="779" spans="1:14">
      <c r="A779" s="12">
        <v>44966</v>
      </c>
      <c r="B779" s="14">
        <v>-3.3950463822123576E-4</v>
      </c>
      <c r="C779" s="67">
        <f>'Parametric VAR'!$F$12</f>
        <v>-2.023068247926026E-2</v>
      </c>
      <c r="D779">
        <f t="shared" si="75"/>
        <v>0</v>
      </c>
      <c r="E779" s="67">
        <f>'Parametric VAR'!$F$13</f>
        <v>-2.8682193012943492E-2</v>
      </c>
      <c r="F779">
        <f t="shared" si="76"/>
        <v>0</v>
      </c>
      <c r="G779" s="67">
        <f>'Historical VAR'!$G$6</f>
        <v>-1.9839729167757107E-2</v>
      </c>
      <c r="H779">
        <f t="shared" si="77"/>
        <v>0</v>
      </c>
      <c r="I779" s="67">
        <f>'Historical VAR'!$G$7</f>
        <v>-3.1428916759065853E-2</v>
      </c>
      <c r="J779">
        <f t="shared" si="78"/>
        <v>0</v>
      </c>
      <c r="K779" s="67">
        <f ca="1">'Monte Carlo Stimulation'!$I$8</f>
        <v>-2.1559270710709389E-2</v>
      </c>
      <c r="L779">
        <f t="shared" ca="1" si="79"/>
        <v>0</v>
      </c>
      <c r="M779" s="67">
        <f ca="1">'Monte Carlo Stimulation'!$I$9</f>
        <v>-2.919314405717207E-2</v>
      </c>
      <c r="N779">
        <f t="shared" ca="1" si="80"/>
        <v>0</v>
      </c>
    </row>
    <row r="780" spans="1:14">
      <c r="A780" s="12">
        <v>44965</v>
      </c>
      <c r="B780" s="14">
        <v>-1.4583867237086851E-2</v>
      </c>
      <c r="C780" s="67">
        <f>'Parametric VAR'!$F$12</f>
        <v>-2.023068247926026E-2</v>
      </c>
      <c r="D780">
        <f t="shared" si="75"/>
        <v>0</v>
      </c>
      <c r="E780" s="67">
        <f>'Parametric VAR'!$F$13</f>
        <v>-2.8682193012943492E-2</v>
      </c>
      <c r="F780">
        <f t="shared" si="76"/>
        <v>0</v>
      </c>
      <c r="G780" s="67">
        <f>'Historical VAR'!$G$6</f>
        <v>-1.9839729167757107E-2</v>
      </c>
      <c r="H780">
        <f t="shared" si="77"/>
        <v>0</v>
      </c>
      <c r="I780" s="67">
        <f>'Historical VAR'!$G$7</f>
        <v>-3.1428916759065853E-2</v>
      </c>
      <c r="J780">
        <f t="shared" si="78"/>
        <v>0</v>
      </c>
      <c r="K780" s="67">
        <f ca="1">'Monte Carlo Stimulation'!$I$8</f>
        <v>-2.1559270710709389E-2</v>
      </c>
      <c r="L780">
        <f t="shared" ca="1" si="79"/>
        <v>0</v>
      </c>
      <c r="M780" s="67">
        <f ca="1">'Monte Carlo Stimulation'!$I$9</f>
        <v>-2.919314405717207E-2</v>
      </c>
      <c r="N780">
        <f t="shared" ca="1" si="80"/>
        <v>0</v>
      </c>
    </row>
    <row r="781" spans="1:14">
      <c r="A781" s="12">
        <v>44964</v>
      </c>
      <c r="B781" s="14">
        <v>-2.3449441157981092E-3</v>
      </c>
      <c r="C781" s="67">
        <f>'Parametric VAR'!$F$12</f>
        <v>-2.023068247926026E-2</v>
      </c>
      <c r="D781">
        <f t="shared" si="75"/>
        <v>0</v>
      </c>
      <c r="E781" s="67">
        <f>'Parametric VAR'!$F$13</f>
        <v>-2.8682193012943492E-2</v>
      </c>
      <c r="F781">
        <f t="shared" si="76"/>
        <v>0</v>
      </c>
      <c r="G781" s="67">
        <f>'Historical VAR'!$G$6</f>
        <v>-1.9839729167757107E-2</v>
      </c>
      <c r="H781">
        <f t="shared" si="77"/>
        <v>0</v>
      </c>
      <c r="I781" s="67">
        <f>'Historical VAR'!$G$7</f>
        <v>-3.1428916759065853E-2</v>
      </c>
      <c r="J781">
        <f t="shared" si="78"/>
        <v>0</v>
      </c>
      <c r="K781" s="67">
        <f ca="1">'Monte Carlo Stimulation'!$I$8</f>
        <v>-2.1559270710709389E-2</v>
      </c>
      <c r="L781">
        <f t="shared" ca="1" si="79"/>
        <v>0</v>
      </c>
      <c r="M781" s="67">
        <f ca="1">'Monte Carlo Stimulation'!$I$9</f>
        <v>-2.919314405717207E-2</v>
      </c>
      <c r="N781">
        <f t="shared" ca="1" si="80"/>
        <v>0</v>
      </c>
    </row>
    <row r="782" spans="1:14">
      <c r="A782" s="12">
        <v>44963</v>
      </c>
      <c r="B782" s="14">
        <v>-1.2864125101111781E-3</v>
      </c>
      <c r="C782" s="67">
        <f>'Parametric VAR'!$F$12</f>
        <v>-2.023068247926026E-2</v>
      </c>
      <c r="D782">
        <f t="shared" si="75"/>
        <v>0</v>
      </c>
      <c r="E782" s="67">
        <f>'Parametric VAR'!$F$13</f>
        <v>-2.8682193012943492E-2</v>
      </c>
      <c r="F782">
        <f t="shared" si="76"/>
        <v>0</v>
      </c>
      <c r="G782" s="67">
        <f>'Historical VAR'!$G$6</f>
        <v>-1.9839729167757107E-2</v>
      </c>
      <c r="H782">
        <f t="shared" si="77"/>
        <v>0</v>
      </c>
      <c r="I782" s="67">
        <f>'Historical VAR'!$G$7</f>
        <v>-3.1428916759065853E-2</v>
      </c>
      <c r="J782">
        <f t="shared" si="78"/>
        <v>0</v>
      </c>
      <c r="K782" s="67">
        <f ca="1">'Monte Carlo Stimulation'!$I$8</f>
        <v>-2.1559270710709389E-2</v>
      </c>
      <c r="L782">
        <f t="shared" ca="1" si="79"/>
        <v>0</v>
      </c>
      <c r="M782" s="67">
        <f ca="1">'Monte Carlo Stimulation'!$I$9</f>
        <v>-2.919314405717207E-2</v>
      </c>
      <c r="N782">
        <f t="shared" ca="1" si="80"/>
        <v>0</v>
      </c>
    </row>
    <row r="783" spans="1:14">
      <c r="A783" s="12">
        <v>44960</v>
      </c>
      <c r="B783" s="14">
        <v>4.2324074631783492E-4</v>
      </c>
      <c r="C783" s="67">
        <f>'Parametric VAR'!$F$12</f>
        <v>-2.023068247926026E-2</v>
      </c>
      <c r="D783">
        <f t="shared" si="75"/>
        <v>0</v>
      </c>
      <c r="E783" s="67">
        <f>'Parametric VAR'!$F$13</f>
        <v>-2.8682193012943492E-2</v>
      </c>
      <c r="F783">
        <f t="shared" si="76"/>
        <v>0</v>
      </c>
      <c r="G783" s="67">
        <f>'Historical VAR'!$G$6</f>
        <v>-1.9839729167757107E-2</v>
      </c>
      <c r="H783">
        <f t="shared" si="77"/>
        <v>0</v>
      </c>
      <c r="I783" s="67">
        <f>'Historical VAR'!$G$7</f>
        <v>-3.1428916759065853E-2</v>
      </c>
      <c r="J783">
        <f t="shared" si="78"/>
        <v>0</v>
      </c>
      <c r="K783" s="67">
        <f ca="1">'Monte Carlo Stimulation'!$I$8</f>
        <v>-2.1559270710709389E-2</v>
      </c>
      <c r="L783">
        <f t="shared" ca="1" si="79"/>
        <v>0</v>
      </c>
      <c r="M783" s="67">
        <f ca="1">'Monte Carlo Stimulation'!$I$9</f>
        <v>-2.919314405717207E-2</v>
      </c>
      <c r="N783">
        <f t="shared" ca="1" si="80"/>
        <v>0</v>
      </c>
    </row>
    <row r="784" spans="1:14">
      <c r="A784" s="12">
        <v>44959</v>
      </c>
      <c r="B784" s="14">
        <v>-1.9942006125057737E-2</v>
      </c>
      <c r="C784" s="67">
        <f>'Parametric VAR'!$F$12</f>
        <v>-2.023068247926026E-2</v>
      </c>
      <c r="D784">
        <f t="shared" si="75"/>
        <v>0</v>
      </c>
      <c r="E784" s="67">
        <f>'Parametric VAR'!$F$13</f>
        <v>-2.8682193012943492E-2</v>
      </c>
      <c r="F784">
        <f t="shared" si="76"/>
        <v>0</v>
      </c>
      <c r="G784" s="67">
        <f>'Historical VAR'!$G$6</f>
        <v>-1.9839729167757107E-2</v>
      </c>
      <c r="H784">
        <f t="shared" si="77"/>
        <v>1</v>
      </c>
      <c r="I784" s="67">
        <f>'Historical VAR'!$G$7</f>
        <v>-3.1428916759065853E-2</v>
      </c>
      <c r="J784">
        <f t="shared" si="78"/>
        <v>0</v>
      </c>
      <c r="K784" s="67">
        <f ca="1">'Monte Carlo Stimulation'!$I$8</f>
        <v>-2.1559270710709389E-2</v>
      </c>
      <c r="L784">
        <f t="shared" ca="1" si="79"/>
        <v>0</v>
      </c>
      <c r="M784" s="67">
        <f ca="1">'Monte Carlo Stimulation'!$I$9</f>
        <v>-2.919314405717207E-2</v>
      </c>
      <c r="N784">
        <f t="shared" ca="1" si="80"/>
        <v>0</v>
      </c>
    </row>
    <row r="785" spans="1:14">
      <c r="A785" s="12">
        <v>44958</v>
      </c>
      <c r="B785" s="14">
        <v>1.3269880487953878E-2</v>
      </c>
      <c r="C785" s="67">
        <f>'Parametric VAR'!$F$12</f>
        <v>-2.023068247926026E-2</v>
      </c>
      <c r="D785">
        <f t="shared" si="75"/>
        <v>0</v>
      </c>
      <c r="E785" s="67">
        <f>'Parametric VAR'!$F$13</f>
        <v>-2.8682193012943492E-2</v>
      </c>
      <c r="F785">
        <f t="shared" si="76"/>
        <v>0</v>
      </c>
      <c r="G785" s="67">
        <f>'Historical VAR'!$G$6</f>
        <v>-1.9839729167757107E-2</v>
      </c>
      <c r="H785">
        <f t="shared" si="77"/>
        <v>0</v>
      </c>
      <c r="I785" s="67">
        <f>'Historical VAR'!$G$7</f>
        <v>-3.1428916759065853E-2</v>
      </c>
      <c r="J785">
        <f t="shared" si="78"/>
        <v>0</v>
      </c>
      <c r="K785" s="67">
        <f ca="1">'Monte Carlo Stimulation'!$I$8</f>
        <v>-2.1559270710709389E-2</v>
      </c>
      <c r="L785">
        <f t="shared" ca="1" si="79"/>
        <v>0</v>
      </c>
      <c r="M785" s="67">
        <f ca="1">'Monte Carlo Stimulation'!$I$9</f>
        <v>-2.919314405717207E-2</v>
      </c>
      <c r="N785">
        <f t="shared" ca="1" si="80"/>
        <v>0</v>
      </c>
    </row>
    <row r="786" spans="1:14">
      <c r="A786" s="12">
        <v>44957</v>
      </c>
      <c r="B786" s="14">
        <v>-3.3990357843345924E-3</v>
      </c>
      <c r="C786" s="67">
        <f>'Parametric VAR'!$F$12</f>
        <v>-2.023068247926026E-2</v>
      </c>
      <c r="D786">
        <f t="shared" si="75"/>
        <v>0</v>
      </c>
      <c r="E786" s="67">
        <f>'Parametric VAR'!$F$13</f>
        <v>-2.8682193012943492E-2</v>
      </c>
      <c r="F786">
        <f t="shared" si="76"/>
        <v>0</v>
      </c>
      <c r="G786" s="67">
        <f>'Historical VAR'!$G$6</f>
        <v>-1.9839729167757107E-2</v>
      </c>
      <c r="H786">
        <f t="shared" si="77"/>
        <v>0</v>
      </c>
      <c r="I786" s="67">
        <f>'Historical VAR'!$G$7</f>
        <v>-3.1428916759065853E-2</v>
      </c>
      <c r="J786">
        <f t="shared" si="78"/>
        <v>0</v>
      </c>
      <c r="K786" s="67">
        <f ca="1">'Monte Carlo Stimulation'!$I$8</f>
        <v>-2.1559270710709389E-2</v>
      </c>
      <c r="L786">
        <f t="shared" ca="1" si="79"/>
        <v>0</v>
      </c>
      <c r="M786" s="67">
        <f ca="1">'Monte Carlo Stimulation'!$I$9</f>
        <v>-2.919314405717207E-2</v>
      </c>
      <c r="N786">
        <f t="shared" ca="1" si="80"/>
        <v>0</v>
      </c>
    </row>
    <row r="787" spans="1:14">
      <c r="A787" s="12">
        <v>44956</v>
      </c>
      <c r="B787" s="14">
        <v>1.0380270778035812E-2</v>
      </c>
      <c r="C787" s="67">
        <f>'Parametric VAR'!$F$12</f>
        <v>-2.023068247926026E-2</v>
      </c>
      <c r="D787">
        <f t="shared" si="75"/>
        <v>0</v>
      </c>
      <c r="E787" s="67">
        <f>'Parametric VAR'!$F$13</f>
        <v>-2.8682193012943492E-2</v>
      </c>
      <c r="F787">
        <f t="shared" si="76"/>
        <v>0</v>
      </c>
      <c r="G787" s="67">
        <f>'Historical VAR'!$G$6</f>
        <v>-1.9839729167757107E-2</v>
      </c>
      <c r="H787">
        <f t="shared" si="77"/>
        <v>0</v>
      </c>
      <c r="I787" s="67">
        <f>'Historical VAR'!$G$7</f>
        <v>-3.1428916759065853E-2</v>
      </c>
      <c r="J787">
        <f t="shared" si="78"/>
        <v>0</v>
      </c>
      <c r="K787" s="67">
        <f ca="1">'Monte Carlo Stimulation'!$I$8</f>
        <v>-2.1559270710709389E-2</v>
      </c>
      <c r="L787">
        <f t="shared" ca="1" si="79"/>
        <v>0</v>
      </c>
      <c r="M787" s="67">
        <f ca="1">'Monte Carlo Stimulation'!$I$9</f>
        <v>-2.919314405717207E-2</v>
      </c>
      <c r="N787">
        <f t="shared" ca="1" si="80"/>
        <v>0</v>
      </c>
    </row>
    <row r="788" spans="1:14">
      <c r="A788" s="12">
        <v>44953</v>
      </c>
      <c r="B788" s="14">
        <v>-1.5373986707121328E-2</v>
      </c>
      <c r="C788" s="67">
        <f>'Parametric VAR'!$F$12</f>
        <v>-2.023068247926026E-2</v>
      </c>
      <c r="D788">
        <f t="shared" si="75"/>
        <v>0</v>
      </c>
      <c r="E788" s="67">
        <f>'Parametric VAR'!$F$13</f>
        <v>-2.8682193012943492E-2</v>
      </c>
      <c r="F788">
        <f t="shared" si="76"/>
        <v>0</v>
      </c>
      <c r="G788" s="67">
        <f>'Historical VAR'!$G$6</f>
        <v>-1.9839729167757107E-2</v>
      </c>
      <c r="H788">
        <f t="shared" si="77"/>
        <v>0</v>
      </c>
      <c r="I788" s="67">
        <f>'Historical VAR'!$G$7</f>
        <v>-3.1428916759065853E-2</v>
      </c>
      <c r="J788">
        <f t="shared" si="78"/>
        <v>0</v>
      </c>
      <c r="K788" s="67">
        <f ca="1">'Monte Carlo Stimulation'!$I$8</f>
        <v>-2.1559270710709389E-2</v>
      </c>
      <c r="L788">
        <f t="shared" ca="1" si="79"/>
        <v>0</v>
      </c>
      <c r="M788" s="67">
        <f ca="1">'Monte Carlo Stimulation'!$I$9</f>
        <v>-2.919314405717207E-2</v>
      </c>
      <c r="N788">
        <f t="shared" ca="1" si="80"/>
        <v>0</v>
      </c>
    </row>
    <row r="789" spans="1:14">
      <c r="A789" s="12">
        <v>44951</v>
      </c>
      <c r="B789" s="14">
        <v>1.6932107995091889E-2</v>
      </c>
      <c r="C789" s="67">
        <f>'Parametric VAR'!$F$12</f>
        <v>-2.023068247926026E-2</v>
      </c>
      <c r="D789">
        <f t="shared" si="75"/>
        <v>0</v>
      </c>
      <c r="E789" s="67">
        <f>'Parametric VAR'!$F$13</f>
        <v>-2.8682193012943492E-2</v>
      </c>
      <c r="F789">
        <f t="shared" si="76"/>
        <v>0</v>
      </c>
      <c r="G789" s="67">
        <f>'Historical VAR'!$G$6</f>
        <v>-1.9839729167757107E-2</v>
      </c>
      <c r="H789">
        <f t="shared" si="77"/>
        <v>0</v>
      </c>
      <c r="I789" s="67">
        <f>'Historical VAR'!$G$7</f>
        <v>-3.1428916759065853E-2</v>
      </c>
      <c r="J789">
        <f t="shared" si="78"/>
        <v>0</v>
      </c>
      <c r="K789" s="67">
        <f ca="1">'Monte Carlo Stimulation'!$I$8</f>
        <v>-2.1559270710709389E-2</v>
      </c>
      <c r="L789">
        <f t="shared" ca="1" si="79"/>
        <v>0</v>
      </c>
      <c r="M789" s="67">
        <f ca="1">'Monte Carlo Stimulation'!$I$9</f>
        <v>-2.919314405717207E-2</v>
      </c>
      <c r="N789">
        <f t="shared" ca="1" si="80"/>
        <v>0</v>
      </c>
    </row>
    <row r="790" spans="1:14">
      <c r="A790" s="12">
        <v>44950</v>
      </c>
      <c r="B790" s="14">
        <v>1.2700863511177319E-2</v>
      </c>
      <c r="C790" s="67">
        <f>'Parametric VAR'!$F$12</f>
        <v>-2.023068247926026E-2</v>
      </c>
      <c r="D790">
        <f t="shared" si="75"/>
        <v>0</v>
      </c>
      <c r="E790" s="67">
        <f>'Parametric VAR'!$F$13</f>
        <v>-2.8682193012943492E-2</v>
      </c>
      <c r="F790">
        <f t="shared" si="76"/>
        <v>0</v>
      </c>
      <c r="G790" s="67">
        <f>'Historical VAR'!$G$6</f>
        <v>-1.9839729167757107E-2</v>
      </c>
      <c r="H790">
        <f t="shared" si="77"/>
        <v>0</v>
      </c>
      <c r="I790" s="67">
        <f>'Historical VAR'!$G$7</f>
        <v>-3.1428916759065853E-2</v>
      </c>
      <c r="J790">
        <f t="shared" si="78"/>
        <v>0</v>
      </c>
      <c r="K790" s="67">
        <f ca="1">'Monte Carlo Stimulation'!$I$8</f>
        <v>-2.1559270710709389E-2</v>
      </c>
      <c r="L790">
        <f t="shared" ca="1" si="79"/>
        <v>0</v>
      </c>
      <c r="M790" s="67">
        <f ca="1">'Monte Carlo Stimulation'!$I$9</f>
        <v>-2.919314405717207E-2</v>
      </c>
      <c r="N790">
        <f t="shared" ca="1" si="80"/>
        <v>0</v>
      </c>
    </row>
    <row r="791" spans="1:14">
      <c r="A791" s="12">
        <v>44949</v>
      </c>
      <c r="B791" s="14">
        <v>-5.2246426156849143E-3</v>
      </c>
      <c r="C791" s="67">
        <f>'Parametric VAR'!$F$12</f>
        <v>-2.023068247926026E-2</v>
      </c>
      <c r="D791">
        <f t="shared" si="75"/>
        <v>0</v>
      </c>
      <c r="E791" s="67">
        <f>'Parametric VAR'!$F$13</f>
        <v>-2.8682193012943492E-2</v>
      </c>
      <c r="F791">
        <f t="shared" si="76"/>
        <v>0</v>
      </c>
      <c r="G791" s="67">
        <f>'Historical VAR'!$G$6</f>
        <v>-1.9839729167757107E-2</v>
      </c>
      <c r="H791">
        <f t="shared" si="77"/>
        <v>0</v>
      </c>
      <c r="I791" s="67">
        <f>'Historical VAR'!$G$7</f>
        <v>-3.1428916759065853E-2</v>
      </c>
      <c r="J791">
        <f t="shared" si="78"/>
        <v>0</v>
      </c>
      <c r="K791" s="67">
        <f ca="1">'Monte Carlo Stimulation'!$I$8</f>
        <v>-2.1559270710709389E-2</v>
      </c>
      <c r="L791">
        <f t="shared" ca="1" si="79"/>
        <v>0</v>
      </c>
      <c r="M791" s="67">
        <f ca="1">'Monte Carlo Stimulation'!$I$9</f>
        <v>-2.919314405717207E-2</v>
      </c>
      <c r="N791">
        <f t="shared" ca="1" si="80"/>
        <v>0</v>
      </c>
    </row>
    <row r="792" spans="1:14">
      <c r="A792" s="12">
        <v>44946</v>
      </c>
      <c r="B792" s="14">
        <v>-7.9318355579649936E-4</v>
      </c>
      <c r="C792" s="67">
        <f>'Parametric VAR'!$F$12</f>
        <v>-2.023068247926026E-2</v>
      </c>
      <c r="D792">
        <f t="shared" si="75"/>
        <v>0</v>
      </c>
      <c r="E792" s="67">
        <f>'Parametric VAR'!$F$13</f>
        <v>-2.8682193012943492E-2</v>
      </c>
      <c r="F792">
        <f t="shared" si="76"/>
        <v>0</v>
      </c>
      <c r="G792" s="67">
        <f>'Historical VAR'!$G$6</f>
        <v>-1.9839729167757107E-2</v>
      </c>
      <c r="H792">
        <f t="shared" si="77"/>
        <v>0</v>
      </c>
      <c r="I792" s="67">
        <f>'Historical VAR'!$G$7</f>
        <v>-3.1428916759065853E-2</v>
      </c>
      <c r="J792">
        <f t="shared" si="78"/>
        <v>0</v>
      </c>
      <c r="K792" s="67">
        <f ca="1">'Monte Carlo Stimulation'!$I$8</f>
        <v>-2.1559270710709389E-2</v>
      </c>
      <c r="L792">
        <f t="shared" ca="1" si="79"/>
        <v>0</v>
      </c>
      <c r="M792" s="67">
        <f ca="1">'Monte Carlo Stimulation'!$I$9</f>
        <v>-2.919314405717207E-2</v>
      </c>
      <c r="N792">
        <f t="shared" ca="1" si="80"/>
        <v>0</v>
      </c>
    </row>
    <row r="793" spans="1:14">
      <c r="A793" s="12">
        <v>44945</v>
      </c>
      <c r="B793" s="14">
        <v>2.2997715618715317E-2</v>
      </c>
      <c r="C793" s="67">
        <f>'Parametric VAR'!$F$12</f>
        <v>-2.023068247926026E-2</v>
      </c>
      <c r="D793">
        <f t="shared" si="75"/>
        <v>0</v>
      </c>
      <c r="E793" s="67">
        <f>'Parametric VAR'!$F$13</f>
        <v>-2.8682193012943492E-2</v>
      </c>
      <c r="F793">
        <f t="shared" si="76"/>
        <v>0</v>
      </c>
      <c r="G793" s="67">
        <f>'Historical VAR'!$G$6</f>
        <v>-1.9839729167757107E-2</v>
      </c>
      <c r="H793">
        <f t="shared" si="77"/>
        <v>0</v>
      </c>
      <c r="I793" s="67">
        <f>'Historical VAR'!$G$7</f>
        <v>-3.1428916759065853E-2</v>
      </c>
      <c r="J793">
        <f t="shared" si="78"/>
        <v>0</v>
      </c>
      <c r="K793" s="67">
        <f ca="1">'Monte Carlo Stimulation'!$I$8</f>
        <v>-2.1559270710709389E-2</v>
      </c>
      <c r="L793">
        <f t="shared" ca="1" si="79"/>
        <v>0</v>
      </c>
      <c r="M793" s="67">
        <f ca="1">'Monte Carlo Stimulation'!$I$9</f>
        <v>-2.919314405717207E-2</v>
      </c>
      <c r="N793">
        <f t="shared" ca="1" si="80"/>
        <v>0</v>
      </c>
    </row>
    <row r="794" spans="1:14">
      <c r="A794" s="12">
        <v>44944</v>
      </c>
      <c r="B794" s="14">
        <v>2.2139566150868224E-2</v>
      </c>
      <c r="C794" s="67">
        <f>'Parametric VAR'!$F$12</f>
        <v>-2.023068247926026E-2</v>
      </c>
      <c r="D794">
        <f t="shared" si="75"/>
        <v>0</v>
      </c>
      <c r="E794" s="67">
        <f>'Parametric VAR'!$F$13</f>
        <v>-2.8682193012943492E-2</v>
      </c>
      <c r="F794">
        <f t="shared" si="76"/>
        <v>0</v>
      </c>
      <c r="G794" s="67">
        <f>'Historical VAR'!$G$6</f>
        <v>-1.9839729167757107E-2</v>
      </c>
      <c r="H794">
        <f t="shared" si="77"/>
        <v>0</v>
      </c>
      <c r="I794" s="67">
        <f>'Historical VAR'!$G$7</f>
        <v>-3.1428916759065853E-2</v>
      </c>
      <c r="J794">
        <f t="shared" si="78"/>
        <v>0</v>
      </c>
      <c r="K794" s="67">
        <f ca="1">'Monte Carlo Stimulation'!$I$8</f>
        <v>-2.1559270710709389E-2</v>
      </c>
      <c r="L794">
        <f t="shared" ca="1" si="79"/>
        <v>0</v>
      </c>
      <c r="M794" s="67">
        <f ca="1">'Monte Carlo Stimulation'!$I$9</f>
        <v>-2.919314405717207E-2</v>
      </c>
      <c r="N794">
        <f t="shared" ca="1" si="80"/>
        <v>0</v>
      </c>
    </row>
    <row r="795" spans="1:14">
      <c r="A795" s="12">
        <v>44943</v>
      </c>
      <c r="B795" s="14">
        <v>-4.2687701836036608E-3</v>
      </c>
      <c r="C795" s="67">
        <f>'Parametric VAR'!$F$12</f>
        <v>-2.023068247926026E-2</v>
      </c>
      <c r="D795">
        <f t="shared" si="75"/>
        <v>0</v>
      </c>
      <c r="E795" s="67">
        <f>'Parametric VAR'!$F$13</f>
        <v>-2.8682193012943492E-2</v>
      </c>
      <c r="F795">
        <f t="shared" si="76"/>
        <v>0</v>
      </c>
      <c r="G795" s="67">
        <f>'Historical VAR'!$G$6</f>
        <v>-1.9839729167757107E-2</v>
      </c>
      <c r="H795">
        <f t="shared" si="77"/>
        <v>0</v>
      </c>
      <c r="I795" s="67">
        <f>'Historical VAR'!$G$7</f>
        <v>-3.1428916759065853E-2</v>
      </c>
      <c r="J795">
        <f t="shared" si="78"/>
        <v>0</v>
      </c>
      <c r="K795" s="67">
        <f ca="1">'Monte Carlo Stimulation'!$I$8</f>
        <v>-2.1559270710709389E-2</v>
      </c>
      <c r="L795">
        <f t="shared" ca="1" si="79"/>
        <v>0</v>
      </c>
      <c r="M795" s="67">
        <f ca="1">'Monte Carlo Stimulation'!$I$9</f>
        <v>-2.919314405717207E-2</v>
      </c>
      <c r="N795">
        <f t="shared" ca="1" si="80"/>
        <v>0</v>
      </c>
    </row>
    <row r="796" spans="1:14">
      <c r="A796" s="12">
        <v>44942</v>
      </c>
      <c r="B796" s="14">
        <v>-8.6163474381895297E-3</v>
      </c>
      <c r="C796" s="67">
        <f>'Parametric VAR'!$F$12</f>
        <v>-2.023068247926026E-2</v>
      </c>
      <c r="D796">
        <f t="shared" si="75"/>
        <v>0</v>
      </c>
      <c r="E796" s="67">
        <f>'Parametric VAR'!$F$13</f>
        <v>-2.8682193012943492E-2</v>
      </c>
      <c r="F796">
        <f t="shared" si="76"/>
        <v>0</v>
      </c>
      <c r="G796" s="67">
        <f>'Historical VAR'!$G$6</f>
        <v>-1.9839729167757107E-2</v>
      </c>
      <c r="H796">
        <f t="shared" si="77"/>
        <v>0</v>
      </c>
      <c r="I796" s="67">
        <f>'Historical VAR'!$G$7</f>
        <v>-3.1428916759065853E-2</v>
      </c>
      <c r="J796">
        <f t="shared" si="78"/>
        <v>0</v>
      </c>
      <c r="K796" s="67">
        <f ca="1">'Monte Carlo Stimulation'!$I$8</f>
        <v>-2.1559270710709389E-2</v>
      </c>
      <c r="L796">
        <f t="shared" ca="1" si="79"/>
        <v>0</v>
      </c>
      <c r="M796" s="67">
        <f ca="1">'Monte Carlo Stimulation'!$I$9</f>
        <v>-2.919314405717207E-2</v>
      </c>
      <c r="N796">
        <f t="shared" ca="1" si="80"/>
        <v>0</v>
      </c>
    </row>
    <row r="797" spans="1:14">
      <c r="A797" s="12">
        <v>44939</v>
      </c>
      <c r="B797" s="14">
        <v>-7.8251555308108962E-4</v>
      </c>
      <c r="C797" s="67">
        <f>'Parametric VAR'!$F$12</f>
        <v>-2.023068247926026E-2</v>
      </c>
      <c r="D797">
        <f t="shared" si="75"/>
        <v>0</v>
      </c>
      <c r="E797" s="67">
        <f>'Parametric VAR'!$F$13</f>
        <v>-2.8682193012943492E-2</v>
      </c>
      <c r="F797">
        <f t="shared" si="76"/>
        <v>0</v>
      </c>
      <c r="G797" s="67">
        <f>'Historical VAR'!$G$6</f>
        <v>-1.9839729167757107E-2</v>
      </c>
      <c r="H797">
        <f t="shared" si="77"/>
        <v>0</v>
      </c>
      <c r="I797" s="67">
        <f>'Historical VAR'!$G$7</f>
        <v>-3.1428916759065853E-2</v>
      </c>
      <c r="J797">
        <f t="shared" si="78"/>
        <v>0</v>
      </c>
      <c r="K797" s="67">
        <f ca="1">'Monte Carlo Stimulation'!$I$8</f>
        <v>-2.1559270710709389E-2</v>
      </c>
      <c r="L797">
        <f t="shared" ca="1" si="79"/>
        <v>0</v>
      </c>
      <c r="M797" s="67">
        <f ca="1">'Monte Carlo Stimulation'!$I$9</f>
        <v>-2.919314405717207E-2</v>
      </c>
      <c r="N797">
        <f t="shared" ca="1" si="80"/>
        <v>0</v>
      </c>
    </row>
    <row r="798" spans="1:14">
      <c r="A798" s="12">
        <v>44938</v>
      </c>
      <c r="B798" s="14">
        <v>-7.8235265372264486E-5</v>
      </c>
      <c r="C798" s="67">
        <f>'Parametric VAR'!$F$12</f>
        <v>-2.023068247926026E-2</v>
      </c>
      <c r="D798">
        <f t="shared" si="75"/>
        <v>0</v>
      </c>
      <c r="E798" s="67">
        <f>'Parametric VAR'!$F$13</f>
        <v>-2.8682193012943492E-2</v>
      </c>
      <c r="F798">
        <f t="shared" si="76"/>
        <v>0</v>
      </c>
      <c r="G798" s="67">
        <f>'Historical VAR'!$G$6</f>
        <v>-1.9839729167757107E-2</v>
      </c>
      <c r="H798">
        <f t="shared" si="77"/>
        <v>0</v>
      </c>
      <c r="I798" s="67">
        <f>'Historical VAR'!$G$7</f>
        <v>-3.1428916759065853E-2</v>
      </c>
      <c r="J798">
        <f t="shared" si="78"/>
        <v>0</v>
      </c>
      <c r="K798" s="67">
        <f ca="1">'Monte Carlo Stimulation'!$I$8</f>
        <v>-2.1559270710709389E-2</v>
      </c>
      <c r="L798">
        <f t="shared" ca="1" si="79"/>
        <v>0</v>
      </c>
      <c r="M798" s="67">
        <f ca="1">'Monte Carlo Stimulation'!$I$9</f>
        <v>-2.919314405717207E-2</v>
      </c>
      <c r="N798">
        <f t="shared" ca="1" si="80"/>
        <v>0</v>
      </c>
    </row>
    <row r="799" spans="1:14">
      <c r="A799" s="12">
        <v>44937</v>
      </c>
      <c r="B799" s="14">
        <v>4.7735818619602279E-3</v>
      </c>
      <c r="C799" s="67">
        <f>'Parametric VAR'!$F$12</f>
        <v>-2.023068247926026E-2</v>
      </c>
      <c r="D799">
        <f t="shared" si="75"/>
        <v>0</v>
      </c>
      <c r="E799" s="67">
        <f>'Parametric VAR'!$F$13</f>
        <v>-2.8682193012943492E-2</v>
      </c>
      <c r="F799">
        <f t="shared" si="76"/>
        <v>0</v>
      </c>
      <c r="G799" s="67">
        <f>'Historical VAR'!$G$6</f>
        <v>-1.9839729167757107E-2</v>
      </c>
      <c r="H799">
        <f t="shared" si="77"/>
        <v>0</v>
      </c>
      <c r="I799" s="67">
        <f>'Historical VAR'!$G$7</f>
        <v>-3.1428916759065853E-2</v>
      </c>
      <c r="J799">
        <f t="shared" si="78"/>
        <v>0</v>
      </c>
      <c r="K799" s="67">
        <f ca="1">'Monte Carlo Stimulation'!$I$8</f>
        <v>-2.1559270710709389E-2</v>
      </c>
      <c r="L799">
        <f t="shared" ca="1" si="79"/>
        <v>0</v>
      </c>
      <c r="M799" s="67">
        <f ca="1">'Monte Carlo Stimulation'!$I$9</f>
        <v>-2.919314405717207E-2</v>
      </c>
      <c r="N799">
        <f t="shared" ca="1" si="80"/>
        <v>0</v>
      </c>
    </row>
    <row r="800" spans="1:14">
      <c r="A800" s="12">
        <v>44936</v>
      </c>
      <c r="B800" s="14">
        <v>7.8861218275577127E-3</v>
      </c>
      <c r="C800" s="67">
        <f>'Parametric VAR'!$F$12</f>
        <v>-2.023068247926026E-2</v>
      </c>
      <c r="D800">
        <f t="shared" si="75"/>
        <v>0</v>
      </c>
      <c r="E800" s="67">
        <f>'Parametric VAR'!$F$13</f>
        <v>-2.8682193012943492E-2</v>
      </c>
      <c r="F800">
        <f t="shared" si="76"/>
        <v>0</v>
      </c>
      <c r="G800" s="67">
        <f>'Historical VAR'!$G$6</f>
        <v>-1.9839729167757107E-2</v>
      </c>
      <c r="H800">
        <f t="shared" si="77"/>
        <v>0</v>
      </c>
      <c r="I800" s="67">
        <f>'Historical VAR'!$G$7</f>
        <v>-3.1428916759065853E-2</v>
      </c>
      <c r="J800">
        <f t="shared" si="78"/>
        <v>0</v>
      </c>
      <c r="K800" s="67">
        <f ca="1">'Monte Carlo Stimulation'!$I$8</f>
        <v>-2.1559270710709389E-2</v>
      </c>
      <c r="L800">
        <f t="shared" ca="1" si="79"/>
        <v>0</v>
      </c>
      <c r="M800" s="67">
        <f ca="1">'Monte Carlo Stimulation'!$I$9</f>
        <v>-2.919314405717207E-2</v>
      </c>
      <c r="N800">
        <f t="shared" ca="1" si="80"/>
        <v>0</v>
      </c>
    </row>
    <row r="801" spans="1:14">
      <c r="A801" s="12">
        <v>44935</v>
      </c>
      <c r="B801" s="14">
        <v>5.3921960376031152E-3</v>
      </c>
      <c r="C801" s="67">
        <f>'Parametric VAR'!$F$12</f>
        <v>-2.023068247926026E-2</v>
      </c>
      <c r="D801">
        <f t="shared" si="75"/>
        <v>0</v>
      </c>
      <c r="E801" s="67">
        <f>'Parametric VAR'!$F$13</f>
        <v>-2.8682193012943492E-2</v>
      </c>
      <c r="F801">
        <f t="shared" si="76"/>
        <v>0</v>
      </c>
      <c r="G801" s="67">
        <f>'Historical VAR'!$G$6</f>
        <v>-1.9839729167757107E-2</v>
      </c>
      <c r="H801">
        <f t="shared" si="77"/>
        <v>0</v>
      </c>
      <c r="I801" s="67">
        <f>'Historical VAR'!$G$7</f>
        <v>-3.1428916759065853E-2</v>
      </c>
      <c r="J801">
        <f t="shared" si="78"/>
        <v>0</v>
      </c>
      <c r="K801" s="67">
        <f ca="1">'Monte Carlo Stimulation'!$I$8</f>
        <v>-2.1559270710709389E-2</v>
      </c>
      <c r="L801">
        <f t="shared" ca="1" si="79"/>
        <v>0</v>
      </c>
      <c r="M801" s="67">
        <f ca="1">'Monte Carlo Stimulation'!$I$9</f>
        <v>-2.919314405717207E-2</v>
      </c>
      <c r="N801">
        <f t="shared" ca="1" si="80"/>
        <v>0</v>
      </c>
    </row>
    <row r="802" spans="1:14">
      <c r="A802" s="12">
        <v>44932</v>
      </c>
      <c r="B802" s="14">
        <v>1.2187809979696449E-3</v>
      </c>
      <c r="C802" s="67">
        <f>'Parametric VAR'!$F$12</f>
        <v>-2.023068247926026E-2</v>
      </c>
      <c r="D802">
        <f t="shared" si="75"/>
        <v>0</v>
      </c>
      <c r="E802" s="67">
        <f>'Parametric VAR'!$F$13</f>
        <v>-2.8682193012943492E-2</v>
      </c>
      <c r="F802">
        <f t="shared" si="76"/>
        <v>0</v>
      </c>
      <c r="G802" s="67">
        <f>'Historical VAR'!$G$6</f>
        <v>-1.9839729167757107E-2</v>
      </c>
      <c r="H802">
        <f t="shared" si="77"/>
        <v>0</v>
      </c>
      <c r="I802" s="67">
        <f>'Historical VAR'!$G$7</f>
        <v>-3.1428916759065853E-2</v>
      </c>
      <c r="J802">
        <f t="shared" si="78"/>
        <v>0</v>
      </c>
      <c r="K802" s="67">
        <f ca="1">'Monte Carlo Stimulation'!$I$8</f>
        <v>-2.1559270710709389E-2</v>
      </c>
      <c r="L802">
        <f t="shared" ca="1" si="79"/>
        <v>0</v>
      </c>
      <c r="M802" s="67">
        <f ca="1">'Monte Carlo Stimulation'!$I$9</f>
        <v>-2.919314405717207E-2</v>
      </c>
      <c r="N802">
        <f t="shared" ca="1" si="80"/>
        <v>0</v>
      </c>
    </row>
    <row r="803" spans="1:14">
      <c r="A803" s="12">
        <v>44931</v>
      </c>
      <c r="B803" s="14">
        <v>8.9400490351336358E-3</v>
      </c>
      <c r="C803" s="67">
        <f>'Parametric VAR'!$F$12</f>
        <v>-2.023068247926026E-2</v>
      </c>
      <c r="D803">
        <f t="shared" si="75"/>
        <v>0</v>
      </c>
      <c r="E803" s="67">
        <f>'Parametric VAR'!$F$13</f>
        <v>-2.8682193012943492E-2</v>
      </c>
      <c r="F803">
        <f t="shared" si="76"/>
        <v>0</v>
      </c>
      <c r="G803" s="67">
        <f>'Historical VAR'!$G$6</f>
        <v>-1.9839729167757107E-2</v>
      </c>
      <c r="H803">
        <f t="shared" si="77"/>
        <v>0</v>
      </c>
      <c r="I803" s="67">
        <f>'Historical VAR'!$G$7</f>
        <v>-3.1428916759065853E-2</v>
      </c>
      <c r="J803">
        <f t="shared" si="78"/>
        <v>0</v>
      </c>
      <c r="K803" s="67">
        <f ca="1">'Monte Carlo Stimulation'!$I$8</f>
        <v>-2.1559270710709389E-2</v>
      </c>
      <c r="L803">
        <f t="shared" ca="1" si="79"/>
        <v>0</v>
      </c>
      <c r="M803" s="67">
        <f ca="1">'Monte Carlo Stimulation'!$I$9</f>
        <v>-2.919314405717207E-2</v>
      </c>
      <c r="N803">
        <f t="shared" ca="1" si="80"/>
        <v>0</v>
      </c>
    </row>
    <row r="804" spans="1:14">
      <c r="A804" s="12">
        <v>44930</v>
      </c>
      <c r="B804" s="14">
        <v>3.1071839568142133E-3</v>
      </c>
      <c r="C804" s="67">
        <f>'Parametric VAR'!$F$12</f>
        <v>-2.023068247926026E-2</v>
      </c>
      <c r="D804">
        <f t="shared" si="75"/>
        <v>0</v>
      </c>
      <c r="E804" s="67">
        <f>'Parametric VAR'!$F$13</f>
        <v>-2.8682193012943492E-2</v>
      </c>
      <c r="F804">
        <f t="shared" si="76"/>
        <v>0</v>
      </c>
      <c r="G804" s="67">
        <f>'Historical VAR'!$G$6</f>
        <v>-1.9839729167757107E-2</v>
      </c>
      <c r="H804">
        <f t="shared" si="77"/>
        <v>0</v>
      </c>
      <c r="I804" s="67">
        <f>'Historical VAR'!$G$7</f>
        <v>-3.1428916759065853E-2</v>
      </c>
      <c r="J804">
        <f t="shared" si="78"/>
        <v>0</v>
      </c>
      <c r="K804" s="67">
        <f ca="1">'Monte Carlo Stimulation'!$I$8</f>
        <v>-2.1559270710709389E-2</v>
      </c>
      <c r="L804">
        <f t="shared" ca="1" si="79"/>
        <v>0</v>
      </c>
      <c r="M804" s="67">
        <f ca="1">'Monte Carlo Stimulation'!$I$9</f>
        <v>-2.919314405717207E-2</v>
      </c>
      <c r="N804">
        <f t="shared" ca="1" si="80"/>
        <v>0</v>
      </c>
    </row>
    <row r="805" spans="1:14">
      <c r="A805" s="12">
        <v>44929</v>
      </c>
      <c r="B805" s="14">
        <v>4.9387024456052121E-3</v>
      </c>
      <c r="C805" s="67">
        <f>'Parametric VAR'!$F$12</f>
        <v>-2.023068247926026E-2</v>
      </c>
      <c r="D805">
        <f t="shared" si="75"/>
        <v>0</v>
      </c>
      <c r="E805" s="67">
        <f>'Parametric VAR'!$F$13</f>
        <v>-2.8682193012943492E-2</v>
      </c>
      <c r="F805">
        <f t="shared" si="76"/>
        <v>0</v>
      </c>
      <c r="G805" s="67">
        <f>'Historical VAR'!$G$6</f>
        <v>-1.9839729167757107E-2</v>
      </c>
      <c r="H805">
        <f t="shared" si="77"/>
        <v>0</v>
      </c>
      <c r="I805" s="67">
        <f>'Historical VAR'!$G$7</f>
        <v>-3.1428916759065853E-2</v>
      </c>
      <c r="J805">
        <f t="shared" si="78"/>
        <v>0</v>
      </c>
      <c r="K805" s="67">
        <f ca="1">'Monte Carlo Stimulation'!$I$8</f>
        <v>-2.1559270710709389E-2</v>
      </c>
      <c r="L805">
        <f t="shared" ca="1" si="79"/>
        <v>0</v>
      </c>
      <c r="M805" s="67">
        <f ca="1">'Monte Carlo Stimulation'!$I$9</f>
        <v>-2.919314405717207E-2</v>
      </c>
      <c r="N805">
        <f t="shared" ca="1" si="80"/>
        <v>0</v>
      </c>
    </row>
    <row r="806" spans="1:14">
      <c r="A806" s="12">
        <v>44928</v>
      </c>
      <c r="B806" s="14">
        <v>4.6033040946088857E-3</v>
      </c>
      <c r="C806" s="67">
        <f>'Parametric VAR'!$F$12</f>
        <v>-2.023068247926026E-2</v>
      </c>
      <c r="D806">
        <f t="shared" si="75"/>
        <v>0</v>
      </c>
      <c r="E806" s="67">
        <f>'Parametric VAR'!$F$13</f>
        <v>-2.8682193012943492E-2</v>
      </c>
      <c r="F806">
        <f t="shared" si="76"/>
        <v>0</v>
      </c>
      <c r="G806" s="67">
        <f>'Historical VAR'!$G$6</f>
        <v>-1.9839729167757107E-2</v>
      </c>
      <c r="H806">
        <f t="shared" si="77"/>
        <v>0</v>
      </c>
      <c r="I806" s="67">
        <f>'Historical VAR'!$G$7</f>
        <v>-3.1428916759065853E-2</v>
      </c>
      <c r="J806">
        <f t="shared" si="78"/>
        <v>0</v>
      </c>
      <c r="K806" s="67">
        <f ca="1">'Monte Carlo Stimulation'!$I$8</f>
        <v>-2.1559270710709389E-2</v>
      </c>
      <c r="L806">
        <f t="shared" ca="1" si="79"/>
        <v>0</v>
      </c>
      <c r="M806" s="67">
        <f ca="1">'Monte Carlo Stimulation'!$I$9</f>
        <v>-2.919314405717207E-2</v>
      </c>
      <c r="N806">
        <f t="shared" ca="1" si="80"/>
        <v>0</v>
      </c>
    </row>
    <row r="807" spans="1:14">
      <c r="A807" s="12">
        <v>44925</v>
      </c>
      <c r="B807" s="14">
        <v>1.0716693343934502E-2</v>
      </c>
      <c r="C807" s="67">
        <f>'Parametric VAR'!$F$12</f>
        <v>-2.023068247926026E-2</v>
      </c>
      <c r="D807">
        <f t="shared" si="75"/>
        <v>0</v>
      </c>
      <c r="E807" s="67">
        <f>'Parametric VAR'!$F$13</f>
        <v>-2.8682193012943492E-2</v>
      </c>
      <c r="F807">
        <f t="shared" si="76"/>
        <v>0</v>
      </c>
      <c r="G807" s="67">
        <f>'Historical VAR'!$G$6</f>
        <v>-1.9839729167757107E-2</v>
      </c>
      <c r="H807">
        <f t="shared" si="77"/>
        <v>0</v>
      </c>
      <c r="I807" s="67">
        <f>'Historical VAR'!$G$7</f>
        <v>-3.1428916759065853E-2</v>
      </c>
      <c r="J807">
        <f t="shared" si="78"/>
        <v>0</v>
      </c>
      <c r="K807" s="67">
        <f ca="1">'Monte Carlo Stimulation'!$I$8</f>
        <v>-2.1559270710709389E-2</v>
      </c>
      <c r="L807">
        <f t="shared" ca="1" si="79"/>
        <v>0</v>
      </c>
      <c r="M807" s="67">
        <f ca="1">'Monte Carlo Stimulation'!$I$9</f>
        <v>-2.919314405717207E-2</v>
      </c>
      <c r="N807">
        <f t="shared" ca="1" si="80"/>
        <v>0</v>
      </c>
    </row>
    <row r="808" spans="1:14">
      <c r="A808" s="12">
        <v>44924</v>
      </c>
      <c r="B808" s="14">
        <v>6.5286608153480412E-3</v>
      </c>
      <c r="C808" s="67">
        <f>'Parametric VAR'!$F$12</f>
        <v>-2.023068247926026E-2</v>
      </c>
      <c r="D808">
        <f t="shared" si="75"/>
        <v>0</v>
      </c>
      <c r="E808" s="67">
        <f>'Parametric VAR'!$F$13</f>
        <v>-2.8682193012943492E-2</v>
      </c>
      <c r="F808">
        <f t="shared" si="76"/>
        <v>0</v>
      </c>
      <c r="G808" s="67">
        <f>'Historical VAR'!$G$6</f>
        <v>-1.9839729167757107E-2</v>
      </c>
      <c r="H808">
        <f t="shared" si="77"/>
        <v>0</v>
      </c>
      <c r="I808" s="67">
        <f>'Historical VAR'!$G$7</f>
        <v>-3.1428916759065853E-2</v>
      </c>
      <c r="J808">
        <f t="shared" si="78"/>
        <v>0</v>
      </c>
      <c r="K808" s="67">
        <f ca="1">'Monte Carlo Stimulation'!$I$8</f>
        <v>-2.1559270710709389E-2</v>
      </c>
      <c r="L808">
        <f t="shared" ca="1" si="79"/>
        <v>0</v>
      </c>
      <c r="M808" s="67">
        <f ca="1">'Monte Carlo Stimulation'!$I$9</f>
        <v>-2.919314405717207E-2</v>
      </c>
      <c r="N808">
        <f t="shared" ca="1" si="80"/>
        <v>0</v>
      </c>
    </row>
    <row r="809" spans="1:14">
      <c r="A809" s="12">
        <v>44923</v>
      </c>
      <c r="B809" s="14">
        <v>3.9767392343231338E-3</v>
      </c>
      <c r="C809" s="67">
        <f>'Parametric VAR'!$F$12</f>
        <v>-2.023068247926026E-2</v>
      </c>
      <c r="D809">
        <f t="shared" si="75"/>
        <v>0</v>
      </c>
      <c r="E809" s="67">
        <f>'Parametric VAR'!$F$13</f>
        <v>-2.8682193012943492E-2</v>
      </c>
      <c r="F809">
        <f t="shared" si="76"/>
        <v>0</v>
      </c>
      <c r="G809" s="67">
        <f>'Historical VAR'!$G$6</f>
        <v>-1.9839729167757107E-2</v>
      </c>
      <c r="H809">
        <f t="shared" si="77"/>
        <v>0</v>
      </c>
      <c r="I809" s="67">
        <f>'Historical VAR'!$G$7</f>
        <v>-3.1428916759065853E-2</v>
      </c>
      <c r="J809">
        <f t="shared" si="78"/>
        <v>0</v>
      </c>
      <c r="K809" s="67">
        <f ca="1">'Monte Carlo Stimulation'!$I$8</f>
        <v>-2.1559270710709389E-2</v>
      </c>
      <c r="L809">
        <f t="shared" ca="1" si="79"/>
        <v>0</v>
      </c>
      <c r="M809" s="67">
        <f ca="1">'Monte Carlo Stimulation'!$I$9</f>
        <v>-2.919314405717207E-2</v>
      </c>
      <c r="N809">
        <f t="shared" ca="1" si="80"/>
        <v>0</v>
      </c>
    </row>
    <row r="810" spans="1:14">
      <c r="A810" s="12">
        <v>44922</v>
      </c>
      <c r="B810" s="14">
        <v>-3.8317897399587362E-3</v>
      </c>
      <c r="C810" s="67">
        <f>'Parametric VAR'!$F$12</f>
        <v>-2.023068247926026E-2</v>
      </c>
      <c r="D810">
        <f t="shared" si="75"/>
        <v>0</v>
      </c>
      <c r="E810" s="67">
        <f>'Parametric VAR'!$F$13</f>
        <v>-2.8682193012943492E-2</v>
      </c>
      <c r="F810">
        <f t="shared" si="76"/>
        <v>0</v>
      </c>
      <c r="G810" s="67">
        <f>'Historical VAR'!$G$6</f>
        <v>-1.9839729167757107E-2</v>
      </c>
      <c r="H810">
        <f t="shared" si="77"/>
        <v>0</v>
      </c>
      <c r="I810" s="67">
        <f>'Historical VAR'!$G$7</f>
        <v>-3.1428916759065853E-2</v>
      </c>
      <c r="J810">
        <f t="shared" si="78"/>
        <v>0</v>
      </c>
      <c r="K810" s="67">
        <f ca="1">'Monte Carlo Stimulation'!$I$8</f>
        <v>-2.1559270710709389E-2</v>
      </c>
      <c r="L810">
        <f t="shared" ca="1" si="79"/>
        <v>0</v>
      </c>
      <c r="M810" s="67">
        <f ca="1">'Monte Carlo Stimulation'!$I$9</f>
        <v>-2.919314405717207E-2</v>
      </c>
      <c r="N810">
        <f t="shared" ca="1" si="80"/>
        <v>0</v>
      </c>
    </row>
    <row r="811" spans="1:14">
      <c r="A811" s="12">
        <v>44921</v>
      </c>
      <c r="B811" s="14">
        <v>-1.5313371235145408E-2</v>
      </c>
      <c r="C811" s="67">
        <f>'Parametric VAR'!$F$12</f>
        <v>-2.023068247926026E-2</v>
      </c>
      <c r="D811">
        <f t="shared" si="75"/>
        <v>0</v>
      </c>
      <c r="E811" s="67">
        <f>'Parametric VAR'!$F$13</f>
        <v>-2.8682193012943492E-2</v>
      </c>
      <c r="F811">
        <f t="shared" si="76"/>
        <v>0</v>
      </c>
      <c r="G811" s="67">
        <f>'Historical VAR'!$G$6</f>
        <v>-1.9839729167757107E-2</v>
      </c>
      <c r="H811">
        <f t="shared" si="77"/>
        <v>0</v>
      </c>
      <c r="I811" s="67">
        <f>'Historical VAR'!$G$7</f>
        <v>-3.1428916759065853E-2</v>
      </c>
      <c r="J811">
        <f t="shared" si="78"/>
        <v>0</v>
      </c>
      <c r="K811" s="67">
        <f ca="1">'Monte Carlo Stimulation'!$I$8</f>
        <v>-2.1559270710709389E-2</v>
      </c>
      <c r="L811">
        <f t="shared" ca="1" si="79"/>
        <v>0</v>
      </c>
      <c r="M811" s="67">
        <f ca="1">'Monte Carlo Stimulation'!$I$9</f>
        <v>-2.919314405717207E-2</v>
      </c>
      <c r="N811">
        <f t="shared" ca="1" si="80"/>
        <v>0</v>
      </c>
    </row>
    <row r="812" spans="1:14">
      <c r="A812" s="12">
        <v>44918</v>
      </c>
      <c r="B812" s="14">
        <v>-3.5818704152556172E-3</v>
      </c>
      <c r="C812" s="67">
        <f>'Parametric VAR'!$F$12</f>
        <v>-2.023068247926026E-2</v>
      </c>
      <c r="D812">
        <f t="shared" si="75"/>
        <v>0</v>
      </c>
      <c r="E812" s="67">
        <f>'Parametric VAR'!$F$13</f>
        <v>-2.8682193012943492E-2</v>
      </c>
      <c r="F812">
        <f t="shared" si="76"/>
        <v>0</v>
      </c>
      <c r="G812" s="67">
        <f>'Historical VAR'!$G$6</f>
        <v>-1.9839729167757107E-2</v>
      </c>
      <c r="H812">
        <f t="shared" si="77"/>
        <v>0</v>
      </c>
      <c r="I812" s="67">
        <f>'Historical VAR'!$G$7</f>
        <v>-3.1428916759065853E-2</v>
      </c>
      <c r="J812">
        <f t="shared" si="78"/>
        <v>0</v>
      </c>
      <c r="K812" s="67">
        <f ca="1">'Monte Carlo Stimulation'!$I$8</f>
        <v>-2.1559270710709389E-2</v>
      </c>
      <c r="L812">
        <f t="shared" ca="1" si="79"/>
        <v>0</v>
      </c>
      <c r="M812" s="67">
        <f ca="1">'Monte Carlo Stimulation'!$I$9</f>
        <v>-2.919314405717207E-2</v>
      </c>
      <c r="N812">
        <f t="shared" ca="1" si="80"/>
        <v>0</v>
      </c>
    </row>
    <row r="813" spans="1:14">
      <c r="A813" s="12">
        <v>44917</v>
      </c>
      <c r="B813" s="14">
        <v>1.3427479278915471E-2</v>
      </c>
      <c r="C813" s="67">
        <f>'Parametric VAR'!$F$12</f>
        <v>-2.023068247926026E-2</v>
      </c>
      <c r="D813">
        <f t="shared" si="75"/>
        <v>0</v>
      </c>
      <c r="E813" s="67">
        <f>'Parametric VAR'!$F$13</f>
        <v>-2.8682193012943492E-2</v>
      </c>
      <c r="F813">
        <f t="shared" si="76"/>
        <v>0</v>
      </c>
      <c r="G813" s="67">
        <f>'Historical VAR'!$G$6</f>
        <v>-1.9839729167757107E-2</v>
      </c>
      <c r="H813">
        <f t="shared" si="77"/>
        <v>0</v>
      </c>
      <c r="I813" s="67">
        <f>'Historical VAR'!$G$7</f>
        <v>-3.1428916759065853E-2</v>
      </c>
      <c r="J813">
        <f t="shared" si="78"/>
        <v>0</v>
      </c>
      <c r="K813" s="67">
        <f ca="1">'Monte Carlo Stimulation'!$I$8</f>
        <v>-2.1559270710709389E-2</v>
      </c>
      <c r="L813">
        <f t="shared" ca="1" si="79"/>
        <v>0</v>
      </c>
      <c r="M813" s="67">
        <f ca="1">'Monte Carlo Stimulation'!$I$9</f>
        <v>-2.919314405717207E-2</v>
      </c>
      <c r="N813">
        <f t="shared" ca="1" si="80"/>
        <v>0</v>
      </c>
    </row>
    <row r="814" spans="1:14">
      <c r="A814" s="12">
        <v>44916</v>
      </c>
      <c r="B814" s="14">
        <v>-2.8173674896500348E-3</v>
      </c>
      <c r="C814" s="67">
        <f>'Parametric VAR'!$F$12</f>
        <v>-2.023068247926026E-2</v>
      </c>
      <c r="D814">
        <f t="shared" si="75"/>
        <v>0</v>
      </c>
      <c r="E814" s="67">
        <f>'Parametric VAR'!$F$13</f>
        <v>-2.8682193012943492E-2</v>
      </c>
      <c r="F814">
        <f t="shared" si="76"/>
        <v>0</v>
      </c>
      <c r="G814" s="67">
        <f>'Historical VAR'!$G$6</f>
        <v>-1.9839729167757107E-2</v>
      </c>
      <c r="H814">
        <f t="shared" si="77"/>
        <v>0</v>
      </c>
      <c r="I814" s="67">
        <f>'Historical VAR'!$G$7</f>
        <v>-3.1428916759065853E-2</v>
      </c>
      <c r="J814">
        <f t="shared" si="78"/>
        <v>0</v>
      </c>
      <c r="K814" s="67">
        <f ca="1">'Monte Carlo Stimulation'!$I$8</f>
        <v>-2.1559270710709389E-2</v>
      </c>
      <c r="L814">
        <f t="shared" ca="1" si="79"/>
        <v>0</v>
      </c>
      <c r="M814" s="67">
        <f ca="1">'Monte Carlo Stimulation'!$I$9</f>
        <v>-2.919314405717207E-2</v>
      </c>
      <c r="N814">
        <f t="shared" ca="1" si="80"/>
        <v>0</v>
      </c>
    </row>
    <row r="815" spans="1:14">
      <c r="A815" s="12">
        <v>44915</v>
      </c>
      <c r="B815" s="14">
        <v>3.7741846257689868E-3</v>
      </c>
      <c r="C815" s="67">
        <f>'Parametric VAR'!$F$12</f>
        <v>-2.023068247926026E-2</v>
      </c>
      <c r="D815">
        <f t="shared" si="75"/>
        <v>0</v>
      </c>
      <c r="E815" s="67">
        <f>'Parametric VAR'!$F$13</f>
        <v>-2.8682193012943492E-2</v>
      </c>
      <c r="F815">
        <f t="shared" si="76"/>
        <v>0</v>
      </c>
      <c r="G815" s="67">
        <f>'Historical VAR'!$G$6</f>
        <v>-1.9839729167757107E-2</v>
      </c>
      <c r="H815">
        <f t="shared" si="77"/>
        <v>0</v>
      </c>
      <c r="I815" s="67">
        <f>'Historical VAR'!$G$7</f>
        <v>-3.1428916759065853E-2</v>
      </c>
      <c r="J815">
        <f t="shared" si="78"/>
        <v>0</v>
      </c>
      <c r="K815" s="67">
        <f ca="1">'Monte Carlo Stimulation'!$I$8</f>
        <v>-2.1559270710709389E-2</v>
      </c>
      <c r="L815">
        <f t="shared" ca="1" si="79"/>
        <v>0</v>
      </c>
      <c r="M815" s="67">
        <f ca="1">'Monte Carlo Stimulation'!$I$9</f>
        <v>-2.919314405717207E-2</v>
      </c>
      <c r="N815">
        <f t="shared" ca="1" si="80"/>
        <v>0</v>
      </c>
    </row>
    <row r="816" spans="1:14">
      <c r="A816" s="12">
        <v>44914</v>
      </c>
      <c r="B816" s="14">
        <v>5.0688060303446191E-4</v>
      </c>
      <c r="C816" s="67">
        <f>'Parametric VAR'!$F$12</f>
        <v>-2.023068247926026E-2</v>
      </c>
      <c r="D816">
        <f t="shared" si="75"/>
        <v>0</v>
      </c>
      <c r="E816" s="67">
        <f>'Parametric VAR'!$F$13</f>
        <v>-2.8682193012943492E-2</v>
      </c>
      <c r="F816">
        <f t="shared" si="76"/>
        <v>0</v>
      </c>
      <c r="G816" s="67">
        <f>'Historical VAR'!$G$6</f>
        <v>-1.9839729167757107E-2</v>
      </c>
      <c r="H816">
        <f t="shared" si="77"/>
        <v>0</v>
      </c>
      <c r="I816" s="67">
        <f>'Historical VAR'!$G$7</f>
        <v>-3.1428916759065853E-2</v>
      </c>
      <c r="J816">
        <f t="shared" si="78"/>
        <v>0</v>
      </c>
      <c r="K816" s="67">
        <f ca="1">'Monte Carlo Stimulation'!$I$8</f>
        <v>-2.1559270710709389E-2</v>
      </c>
      <c r="L816">
        <f t="shared" ca="1" si="79"/>
        <v>0</v>
      </c>
      <c r="M816" s="67">
        <f ca="1">'Monte Carlo Stimulation'!$I$9</f>
        <v>-2.919314405717207E-2</v>
      </c>
      <c r="N816">
        <f t="shared" ca="1" si="80"/>
        <v>0</v>
      </c>
    </row>
    <row r="817" spans="1:14">
      <c r="A817" s="12">
        <v>44911</v>
      </c>
      <c r="B817" s="14">
        <v>-5.0421254838612312E-3</v>
      </c>
      <c r="C817" s="67">
        <f>'Parametric VAR'!$F$12</f>
        <v>-2.023068247926026E-2</v>
      </c>
      <c r="D817">
        <f t="shared" si="75"/>
        <v>0</v>
      </c>
      <c r="E817" s="67">
        <f>'Parametric VAR'!$F$13</f>
        <v>-2.8682193012943492E-2</v>
      </c>
      <c r="F817">
        <f t="shared" si="76"/>
        <v>0</v>
      </c>
      <c r="G817" s="67">
        <f>'Historical VAR'!$G$6</f>
        <v>-1.9839729167757107E-2</v>
      </c>
      <c r="H817">
        <f t="shared" si="77"/>
        <v>0</v>
      </c>
      <c r="I817" s="67">
        <f>'Historical VAR'!$G$7</f>
        <v>-3.1428916759065853E-2</v>
      </c>
      <c r="J817">
        <f t="shared" si="78"/>
        <v>0</v>
      </c>
      <c r="K817" s="67">
        <f ca="1">'Monte Carlo Stimulation'!$I$8</f>
        <v>-2.1559270710709389E-2</v>
      </c>
      <c r="L817">
        <f t="shared" ca="1" si="79"/>
        <v>0</v>
      </c>
      <c r="M817" s="67">
        <f ca="1">'Monte Carlo Stimulation'!$I$9</f>
        <v>-2.919314405717207E-2</v>
      </c>
      <c r="N817">
        <f t="shared" ca="1" si="80"/>
        <v>0</v>
      </c>
    </row>
    <row r="818" spans="1:14">
      <c r="A818" s="12">
        <v>44910</v>
      </c>
      <c r="B818" s="14">
        <v>2.1660612737578026E-2</v>
      </c>
      <c r="C818" s="67">
        <f>'Parametric VAR'!$F$12</f>
        <v>-2.023068247926026E-2</v>
      </c>
      <c r="D818">
        <f t="shared" si="75"/>
        <v>0</v>
      </c>
      <c r="E818" s="67">
        <f>'Parametric VAR'!$F$13</f>
        <v>-2.8682193012943492E-2</v>
      </c>
      <c r="F818">
        <f t="shared" si="76"/>
        <v>0</v>
      </c>
      <c r="G818" s="67">
        <f>'Historical VAR'!$G$6</f>
        <v>-1.9839729167757107E-2</v>
      </c>
      <c r="H818">
        <f t="shared" si="77"/>
        <v>0</v>
      </c>
      <c r="I818" s="67">
        <f>'Historical VAR'!$G$7</f>
        <v>-3.1428916759065853E-2</v>
      </c>
      <c r="J818">
        <f t="shared" si="78"/>
        <v>0</v>
      </c>
      <c r="K818" s="67">
        <f ca="1">'Monte Carlo Stimulation'!$I$8</f>
        <v>-2.1559270710709389E-2</v>
      </c>
      <c r="L818">
        <f t="shared" ca="1" si="79"/>
        <v>0</v>
      </c>
      <c r="M818" s="67">
        <f ca="1">'Monte Carlo Stimulation'!$I$9</f>
        <v>-2.919314405717207E-2</v>
      </c>
      <c r="N818">
        <f t="shared" ca="1" si="80"/>
        <v>0</v>
      </c>
    </row>
    <row r="819" spans="1:14">
      <c r="A819" s="12">
        <v>44909</v>
      </c>
      <c r="B819" s="14">
        <v>5.0837869451429924E-3</v>
      </c>
      <c r="C819" s="67">
        <f>'Parametric VAR'!$F$12</f>
        <v>-2.023068247926026E-2</v>
      </c>
      <c r="D819">
        <f t="shared" si="75"/>
        <v>0</v>
      </c>
      <c r="E819" s="67">
        <f>'Parametric VAR'!$F$13</f>
        <v>-2.8682193012943492E-2</v>
      </c>
      <c r="F819">
        <f t="shared" si="76"/>
        <v>0</v>
      </c>
      <c r="G819" s="67">
        <f>'Historical VAR'!$G$6</f>
        <v>-1.9839729167757107E-2</v>
      </c>
      <c r="H819">
        <f t="shared" si="77"/>
        <v>0</v>
      </c>
      <c r="I819" s="67">
        <f>'Historical VAR'!$G$7</f>
        <v>-3.1428916759065853E-2</v>
      </c>
      <c r="J819">
        <f t="shared" si="78"/>
        <v>0</v>
      </c>
      <c r="K819" s="67">
        <f ca="1">'Monte Carlo Stimulation'!$I$8</f>
        <v>-2.1559270710709389E-2</v>
      </c>
      <c r="L819">
        <f t="shared" ca="1" si="79"/>
        <v>0</v>
      </c>
      <c r="M819" s="67">
        <f ca="1">'Monte Carlo Stimulation'!$I$9</f>
        <v>-2.919314405717207E-2</v>
      </c>
      <c r="N819">
        <f t="shared" ca="1" si="80"/>
        <v>0</v>
      </c>
    </row>
    <row r="820" spans="1:14">
      <c r="A820" s="12">
        <v>44908</v>
      </c>
      <c r="B820" s="14">
        <v>7.7746117931847139E-3</v>
      </c>
      <c r="C820" s="67">
        <f>'Parametric VAR'!$F$12</f>
        <v>-2.023068247926026E-2</v>
      </c>
      <c r="D820">
        <f t="shared" si="75"/>
        <v>0</v>
      </c>
      <c r="E820" s="67">
        <f>'Parametric VAR'!$F$13</f>
        <v>-2.8682193012943492E-2</v>
      </c>
      <c r="F820">
        <f t="shared" si="76"/>
        <v>0</v>
      </c>
      <c r="G820" s="67">
        <f>'Historical VAR'!$G$6</f>
        <v>-1.9839729167757107E-2</v>
      </c>
      <c r="H820">
        <f t="shared" si="77"/>
        <v>0</v>
      </c>
      <c r="I820" s="67">
        <f>'Historical VAR'!$G$7</f>
        <v>-3.1428916759065853E-2</v>
      </c>
      <c r="J820">
        <f t="shared" si="78"/>
        <v>0</v>
      </c>
      <c r="K820" s="67">
        <f ca="1">'Monte Carlo Stimulation'!$I$8</f>
        <v>-2.1559270710709389E-2</v>
      </c>
      <c r="L820">
        <f t="shared" ca="1" si="79"/>
        <v>0</v>
      </c>
      <c r="M820" s="67">
        <f ca="1">'Monte Carlo Stimulation'!$I$9</f>
        <v>-2.919314405717207E-2</v>
      </c>
      <c r="N820">
        <f t="shared" ca="1" si="80"/>
        <v>0</v>
      </c>
    </row>
    <row r="821" spans="1:14">
      <c r="A821" s="12">
        <v>44907</v>
      </c>
      <c r="B821" s="14">
        <v>-1.5006038387004511E-5</v>
      </c>
      <c r="C821" s="67">
        <f>'Parametric VAR'!$F$12</f>
        <v>-2.023068247926026E-2</v>
      </c>
      <c r="D821">
        <f t="shared" si="75"/>
        <v>0</v>
      </c>
      <c r="E821" s="67">
        <f>'Parametric VAR'!$F$13</f>
        <v>-2.8682193012943492E-2</v>
      </c>
      <c r="F821">
        <f t="shared" si="76"/>
        <v>0</v>
      </c>
      <c r="G821" s="67">
        <f>'Historical VAR'!$G$6</f>
        <v>-1.9839729167757107E-2</v>
      </c>
      <c r="H821">
        <f t="shared" si="77"/>
        <v>0</v>
      </c>
      <c r="I821" s="67">
        <f>'Historical VAR'!$G$7</f>
        <v>-3.1428916759065853E-2</v>
      </c>
      <c r="J821">
        <f t="shared" si="78"/>
        <v>0</v>
      </c>
      <c r="K821" s="67">
        <f ca="1">'Monte Carlo Stimulation'!$I$8</f>
        <v>-2.1559270710709389E-2</v>
      </c>
      <c r="L821">
        <f t="shared" ca="1" si="79"/>
        <v>0</v>
      </c>
      <c r="M821" s="67">
        <f ca="1">'Monte Carlo Stimulation'!$I$9</f>
        <v>-2.919314405717207E-2</v>
      </c>
      <c r="N821">
        <f t="shared" ca="1" si="80"/>
        <v>0</v>
      </c>
    </row>
    <row r="822" spans="1:14">
      <c r="A822" s="12">
        <v>44904</v>
      </c>
      <c r="B822" s="14">
        <v>1.0937172774925093E-2</v>
      </c>
      <c r="C822" s="67">
        <f>'Parametric VAR'!$F$12</f>
        <v>-2.023068247926026E-2</v>
      </c>
      <c r="D822">
        <f t="shared" si="75"/>
        <v>0</v>
      </c>
      <c r="E822" s="67">
        <f>'Parametric VAR'!$F$13</f>
        <v>-2.8682193012943492E-2</v>
      </c>
      <c r="F822">
        <f t="shared" si="76"/>
        <v>0</v>
      </c>
      <c r="G822" s="67">
        <f>'Historical VAR'!$G$6</f>
        <v>-1.9839729167757107E-2</v>
      </c>
      <c r="H822">
        <f t="shared" si="77"/>
        <v>0</v>
      </c>
      <c r="I822" s="67">
        <f>'Historical VAR'!$G$7</f>
        <v>-3.1428916759065853E-2</v>
      </c>
      <c r="J822">
        <f t="shared" si="78"/>
        <v>0</v>
      </c>
      <c r="K822" s="67">
        <f ca="1">'Monte Carlo Stimulation'!$I$8</f>
        <v>-2.1559270710709389E-2</v>
      </c>
      <c r="L822">
        <f t="shared" ca="1" si="79"/>
        <v>0</v>
      </c>
      <c r="M822" s="67">
        <f ca="1">'Monte Carlo Stimulation'!$I$9</f>
        <v>-2.919314405717207E-2</v>
      </c>
      <c r="N822">
        <f t="shared" ca="1" si="80"/>
        <v>0</v>
      </c>
    </row>
    <row r="823" spans="1:14">
      <c r="A823" s="12">
        <v>44903</v>
      </c>
      <c r="B823" s="14">
        <v>-1.6522390894660108E-4</v>
      </c>
      <c r="C823" s="67">
        <f>'Parametric VAR'!$F$12</f>
        <v>-2.023068247926026E-2</v>
      </c>
      <c r="D823">
        <f t="shared" si="75"/>
        <v>0</v>
      </c>
      <c r="E823" s="67">
        <f>'Parametric VAR'!$F$13</f>
        <v>-2.8682193012943492E-2</v>
      </c>
      <c r="F823">
        <f t="shared" si="76"/>
        <v>0</v>
      </c>
      <c r="G823" s="67">
        <f>'Historical VAR'!$G$6</f>
        <v>-1.9839729167757107E-2</v>
      </c>
      <c r="H823">
        <f t="shared" si="77"/>
        <v>0</v>
      </c>
      <c r="I823" s="67">
        <f>'Historical VAR'!$G$7</f>
        <v>-3.1428916759065853E-2</v>
      </c>
      <c r="J823">
        <f t="shared" si="78"/>
        <v>0</v>
      </c>
      <c r="K823" s="67">
        <f ca="1">'Monte Carlo Stimulation'!$I$8</f>
        <v>-2.1559270710709389E-2</v>
      </c>
      <c r="L823">
        <f t="shared" ca="1" si="79"/>
        <v>0</v>
      </c>
      <c r="M823" s="67">
        <f ca="1">'Monte Carlo Stimulation'!$I$9</f>
        <v>-2.919314405717207E-2</v>
      </c>
      <c r="N823">
        <f t="shared" ca="1" si="80"/>
        <v>0</v>
      </c>
    </row>
    <row r="824" spans="1:14">
      <c r="A824" s="12">
        <v>44902</v>
      </c>
      <c r="B824" s="14">
        <v>1.6963722198761653E-3</v>
      </c>
      <c r="C824" s="67">
        <f>'Parametric VAR'!$F$12</f>
        <v>-2.023068247926026E-2</v>
      </c>
      <c r="D824">
        <f t="shared" si="75"/>
        <v>0</v>
      </c>
      <c r="E824" s="67">
        <f>'Parametric VAR'!$F$13</f>
        <v>-2.8682193012943492E-2</v>
      </c>
      <c r="F824">
        <f t="shared" si="76"/>
        <v>0</v>
      </c>
      <c r="G824" s="67">
        <f>'Historical VAR'!$G$6</f>
        <v>-1.9839729167757107E-2</v>
      </c>
      <c r="H824">
        <f t="shared" si="77"/>
        <v>0</v>
      </c>
      <c r="I824" s="67">
        <f>'Historical VAR'!$G$7</f>
        <v>-3.1428916759065853E-2</v>
      </c>
      <c r="J824">
        <f t="shared" si="78"/>
        <v>0</v>
      </c>
      <c r="K824" s="67">
        <f ca="1">'Monte Carlo Stimulation'!$I$8</f>
        <v>-2.1559270710709389E-2</v>
      </c>
      <c r="L824">
        <f t="shared" ca="1" si="79"/>
        <v>0</v>
      </c>
      <c r="M824" s="67">
        <f ca="1">'Monte Carlo Stimulation'!$I$9</f>
        <v>-2.919314405717207E-2</v>
      </c>
      <c r="N824">
        <f t="shared" ca="1" si="80"/>
        <v>0</v>
      </c>
    </row>
    <row r="825" spans="1:14">
      <c r="A825" s="12">
        <v>44901</v>
      </c>
      <c r="B825" s="14">
        <v>-1.4637349326839104E-2</v>
      </c>
      <c r="C825" s="67">
        <f>'Parametric VAR'!$F$12</f>
        <v>-2.023068247926026E-2</v>
      </c>
      <c r="D825">
        <f t="shared" si="75"/>
        <v>0</v>
      </c>
      <c r="E825" s="67">
        <f>'Parametric VAR'!$F$13</f>
        <v>-2.8682193012943492E-2</v>
      </c>
      <c r="F825">
        <f t="shared" si="76"/>
        <v>0</v>
      </c>
      <c r="G825" s="67">
        <f>'Historical VAR'!$G$6</f>
        <v>-1.9839729167757107E-2</v>
      </c>
      <c r="H825">
        <f t="shared" si="77"/>
        <v>0</v>
      </c>
      <c r="I825" s="67">
        <f>'Historical VAR'!$G$7</f>
        <v>-3.1428916759065853E-2</v>
      </c>
      <c r="J825">
        <f t="shared" si="78"/>
        <v>0</v>
      </c>
      <c r="K825" s="67">
        <f ca="1">'Monte Carlo Stimulation'!$I$8</f>
        <v>-2.1559270710709389E-2</v>
      </c>
      <c r="L825">
        <f t="shared" ca="1" si="79"/>
        <v>0</v>
      </c>
      <c r="M825" s="67">
        <f ca="1">'Monte Carlo Stimulation'!$I$9</f>
        <v>-2.919314405717207E-2</v>
      </c>
      <c r="N825">
        <f t="shared" ca="1" si="80"/>
        <v>0</v>
      </c>
    </row>
    <row r="826" spans="1:14">
      <c r="A826" s="12">
        <v>44900</v>
      </c>
      <c r="B826" s="14">
        <v>3.4430598024348213E-4</v>
      </c>
      <c r="C826" s="67">
        <f>'Parametric VAR'!$F$12</f>
        <v>-2.023068247926026E-2</v>
      </c>
      <c r="D826">
        <f t="shared" si="75"/>
        <v>0</v>
      </c>
      <c r="E826" s="67">
        <f>'Parametric VAR'!$F$13</f>
        <v>-2.8682193012943492E-2</v>
      </c>
      <c r="F826">
        <f t="shared" si="76"/>
        <v>0</v>
      </c>
      <c r="G826" s="67">
        <f>'Historical VAR'!$G$6</f>
        <v>-1.9839729167757107E-2</v>
      </c>
      <c r="H826">
        <f t="shared" si="77"/>
        <v>0</v>
      </c>
      <c r="I826" s="67">
        <f>'Historical VAR'!$G$7</f>
        <v>-3.1428916759065853E-2</v>
      </c>
      <c r="J826">
        <f t="shared" si="78"/>
        <v>0</v>
      </c>
      <c r="K826" s="67">
        <f ca="1">'Monte Carlo Stimulation'!$I$8</f>
        <v>-2.1559270710709389E-2</v>
      </c>
      <c r="L826">
        <f t="shared" ca="1" si="79"/>
        <v>0</v>
      </c>
      <c r="M826" s="67">
        <f ca="1">'Monte Carlo Stimulation'!$I$9</f>
        <v>-2.919314405717207E-2</v>
      </c>
      <c r="N826">
        <f t="shared" ca="1" si="80"/>
        <v>0</v>
      </c>
    </row>
    <row r="827" spans="1:14">
      <c r="A827" s="12">
        <v>44897</v>
      </c>
      <c r="B827" s="14">
        <v>-5.1881791470417436E-3</v>
      </c>
      <c r="C827" s="67">
        <f>'Parametric VAR'!$F$12</f>
        <v>-2.023068247926026E-2</v>
      </c>
      <c r="D827">
        <f t="shared" si="75"/>
        <v>0</v>
      </c>
      <c r="E827" s="67">
        <f>'Parametric VAR'!$F$13</f>
        <v>-2.8682193012943492E-2</v>
      </c>
      <c r="F827">
        <f t="shared" si="76"/>
        <v>0</v>
      </c>
      <c r="G827" s="67">
        <f>'Historical VAR'!$G$6</f>
        <v>-1.9839729167757107E-2</v>
      </c>
      <c r="H827">
        <f t="shared" si="77"/>
        <v>0</v>
      </c>
      <c r="I827" s="67">
        <f>'Historical VAR'!$G$7</f>
        <v>-3.1428916759065853E-2</v>
      </c>
      <c r="J827">
        <f t="shared" si="78"/>
        <v>0</v>
      </c>
      <c r="K827" s="67">
        <f ca="1">'Monte Carlo Stimulation'!$I$8</f>
        <v>-2.1559270710709389E-2</v>
      </c>
      <c r="L827">
        <f t="shared" ca="1" si="79"/>
        <v>0</v>
      </c>
      <c r="M827" s="67">
        <f ca="1">'Monte Carlo Stimulation'!$I$9</f>
        <v>-2.919314405717207E-2</v>
      </c>
      <c r="N827">
        <f t="shared" ca="1" si="80"/>
        <v>0</v>
      </c>
    </row>
    <row r="828" spans="1:14">
      <c r="A828" s="12">
        <v>44896</v>
      </c>
      <c r="B828" s="14">
        <v>9.2633642896052283E-3</v>
      </c>
      <c r="C828" s="67">
        <f>'Parametric VAR'!$F$12</f>
        <v>-2.023068247926026E-2</v>
      </c>
      <c r="D828">
        <f t="shared" si="75"/>
        <v>0</v>
      </c>
      <c r="E828" s="67">
        <f>'Parametric VAR'!$F$13</f>
        <v>-2.8682193012943492E-2</v>
      </c>
      <c r="F828">
        <f t="shared" si="76"/>
        <v>0</v>
      </c>
      <c r="G828" s="67">
        <f>'Historical VAR'!$G$6</f>
        <v>-1.9839729167757107E-2</v>
      </c>
      <c r="H828">
        <f t="shared" si="77"/>
        <v>0</v>
      </c>
      <c r="I828" s="67">
        <f>'Historical VAR'!$G$7</f>
        <v>-3.1428916759065853E-2</v>
      </c>
      <c r="J828">
        <f t="shared" si="78"/>
        <v>0</v>
      </c>
      <c r="K828" s="67">
        <f ca="1">'Monte Carlo Stimulation'!$I$8</f>
        <v>-2.1559270710709389E-2</v>
      </c>
      <c r="L828">
        <f t="shared" ca="1" si="79"/>
        <v>0</v>
      </c>
      <c r="M828" s="67">
        <f ca="1">'Monte Carlo Stimulation'!$I$9</f>
        <v>-2.919314405717207E-2</v>
      </c>
      <c r="N828">
        <f t="shared" ca="1" si="80"/>
        <v>0</v>
      </c>
    </row>
    <row r="829" spans="1:14">
      <c r="A829" s="12">
        <v>44895</v>
      </c>
      <c r="B829" s="14">
        <v>1.9637873293009938E-4</v>
      </c>
      <c r="C829" s="67">
        <f>'Parametric VAR'!$F$12</f>
        <v>-2.023068247926026E-2</v>
      </c>
      <c r="D829">
        <f t="shared" si="75"/>
        <v>0</v>
      </c>
      <c r="E829" s="67">
        <f>'Parametric VAR'!$F$13</f>
        <v>-2.8682193012943492E-2</v>
      </c>
      <c r="F829">
        <f t="shared" si="76"/>
        <v>0</v>
      </c>
      <c r="G829" s="67">
        <f>'Historical VAR'!$G$6</f>
        <v>-1.9839729167757107E-2</v>
      </c>
      <c r="H829">
        <f t="shared" si="77"/>
        <v>0</v>
      </c>
      <c r="I829" s="67">
        <f>'Historical VAR'!$G$7</f>
        <v>-3.1428916759065853E-2</v>
      </c>
      <c r="J829">
        <f t="shared" si="78"/>
        <v>0</v>
      </c>
      <c r="K829" s="67">
        <f ca="1">'Monte Carlo Stimulation'!$I$8</f>
        <v>-2.1559270710709389E-2</v>
      </c>
      <c r="L829">
        <f t="shared" ca="1" si="79"/>
        <v>0</v>
      </c>
      <c r="M829" s="67">
        <f ca="1">'Monte Carlo Stimulation'!$I$9</f>
        <v>-2.919314405717207E-2</v>
      </c>
      <c r="N829">
        <f t="shared" ca="1" si="80"/>
        <v>0</v>
      </c>
    </row>
    <row r="830" spans="1:14">
      <c r="A830" s="12">
        <v>44894</v>
      </c>
      <c r="B830" s="14">
        <v>-1.1720553571213065E-2</v>
      </c>
      <c r="C830" s="67">
        <f>'Parametric VAR'!$F$12</f>
        <v>-2.023068247926026E-2</v>
      </c>
      <c r="D830">
        <f t="shared" si="75"/>
        <v>0</v>
      </c>
      <c r="E830" s="67">
        <f>'Parametric VAR'!$F$13</f>
        <v>-2.8682193012943492E-2</v>
      </c>
      <c r="F830">
        <f t="shared" si="76"/>
        <v>0</v>
      </c>
      <c r="G830" s="67">
        <f>'Historical VAR'!$G$6</f>
        <v>-1.9839729167757107E-2</v>
      </c>
      <c r="H830">
        <f t="shared" si="77"/>
        <v>0</v>
      </c>
      <c r="I830" s="67">
        <f>'Historical VAR'!$G$7</f>
        <v>-3.1428916759065853E-2</v>
      </c>
      <c r="J830">
        <f t="shared" si="78"/>
        <v>0</v>
      </c>
      <c r="K830" s="67">
        <f ca="1">'Monte Carlo Stimulation'!$I$8</f>
        <v>-2.1559270710709389E-2</v>
      </c>
      <c r="L830">
        <f t="shared" ca="1" si="79"/>
        <v>0</v>
      </c>
      <c r="M830" s="67">
        <f ca="1">'Monte Carlo Stimulation'!$I$9</f>
        <v>-2.919314405717207E-2</v>
      </c>
      <c r="N830">
        <f t="shared" ca="1" si="80"/>
        <v>0</v>
      </c>
    </row>
    <row r="831" spans="1:14">
      <c r="A831" s="12">
        <v>44893</v>
      </c>
      <c r="B831" s="14">
        <v>5.2987844854492277E-3</v>
      </c>
      <c r="C831" s="67">
        <f>'Parametric VAR'!$F$12</f>
        <v>-2.023068247926026E-2</v>
      </c>
      <c r="D831">
        <f t="shared" si="75"/>
        <v>0</v>
      </c>
      <c r="E831" s="67">
        <f>'Parametric VAR'!$F$13</f>
        <v>-2.8682193012943492E-2</v>
      </c>
      <c r="F831">
        <f t="shared" si="76"/>
        <v>0</v>
      </c>
      <c r="G831" s="67">
        <f>'Historical VAR'!$G$6</f>
        <v>-1.9839729167757107E-2</v>
      </c>
      <c r="H831">
        <f t="shared" si="77"/>
        <v>0</v>
      </c>
      <c r="I831" s="67">
        <f>'Historical VAR'!$G$7</f>
        <v>-3.1428916759065853E-2</v>
      </c>
      <c r="J831">
        <f t="shared" si="78"/>
        <v>0</v>
      </c>
      <c r="K831" s="67">
        <f ca="1">'Monte Carlo Stimulation'!$I$8</f>
        <v>-2.1559270710709389E-2</v>
      </c>
      <c r="L831">
        <f t="shared" ca="1" si="79"/>
        <v>0</v>
      </c>
      <c r="M831" s="67">
        <f ca="1">'Monte Carlo Stimulation'!$I$9</f>
        <v>-2.919314405717207E-2</v>
      </c>
      <c r="N831">
        <f t="shared" ca="1" si="80"/>
        <v>0</v>
      </c>
    </row>
    <row r="832" spans="1:14">
      <c r="A832" s="12">
        <v>44890</v>
      </c>
      <c r="B832" s="14">
        <v>-1.1612526433458108E-2</v>
      </c>
      <c r="C832" s="67">
        <f>'Parametric VAR'!$F$12</f>
        <v>-2.023068247926026E-2</v>
      </c>
      <c r="D832">
        <f t="shared" si="75"/>
        <v>0</v>
      </c>
      <c r="E832" s="67">
        <f>'Parametric VAR'!$F$13</f>
        <v>-2.8682193012943492E-2</v>
      </c>
      <c r="F832">
        <f t="shared" si="76"/>
        <v>0</v>
      </c>
      <c r="G832" s="67">
        <f>'Historical VAR'!$G$6</f>
        <v>-1.9839729167757107E-2</v>
      </c>
      <c r="H832">
        <f t="shared" si="77"/>
        <v>0</v>
      </c>
      <c r="I832" s="67">
        <f>'Historical VAR'!$G$7</f>
        <v>-3.1428916759065853E-2</v>
      </c>
      <c r="J832">
        <f t="shared" si="78"/>
        <v>0</v>
      </c>
      <c r="K832" s="67">
        <f ca="1">'Monte Carlo Stimulation'!$I$8</f>
        <v>-2.1559270710709389E-2</v>
      </c>
      <c r="L832">
        <f t="shared" ca="1" si="79"/>
        <v>0</v>
      </c>
      <c r="M832" s="67">
        <f ca="1">'Monte Carlo Stimulation'!$I$9</f>
        <v>-2.919314405717207E-2</v>
      </c>
      <c r="N832">
        <f t="shared" ca="1" si="80"/>
        <v>0</v>
      </c>
    </row>
    <row r="833" spans="1:14">
      <c r="A833" s="12">
        <v>44889</v>
      </c>
      <c r="B833" s="14">
        <v>1.5584409413043649E-3</v>
      </c>
      <c r="C833" s="67">
        <f>'Parametric VAR'!$F$12</f>
        <v>-2.023068247926026E-2</v>
      </c>
      <c r="D833">
        <f t="shared" si="75"/>
        <v>0</v>
      </c>
      <c r="E833" s="67">
        <f>'Parametric VAR'!$F$13</f>
        <v>-2.8682193012943492E-2</v>
      </c>
      <c r="F833">
        <f t="shared" si="76"/>
        <v>0</v>
      </c>
      <c r="G833" s="67">
        <f>'Historical VAR'!$G$6</f>
        <v>-1.9839729167757107E-2</v>
      </c>
      <c r="H833">
        <f t="shared" si="77"/>
        <v>0</v>
      </c>
      <c r="I833" s="67">
        <f>'Historical VAR'!$G$7</f>
        <v>-3.1428916759065853E-2</v>
      </c>
      <c r="J833">
        <f t="shared" si="78"/>
        <v>0</v>
      </c>
      <c r="K833" s="67">
        <f ca="1">'Monte Carlo Stimulation'!$I$8</f>
        <v>-2.1559270710709389E-2</v>
      </c>
      <c r="L833">
        <f t="shared" ca="1" si="79"/>
        <v>0</v>
      </c>
      <c r="M833" s="67">
        <f ca="1">'Monte Carlo Stimulation'!$I$9</f>
        <v>-2.919314405717207E-2</v>
      </c>
      <c r="N833">
        <f t="shared" ca="1" si="80"/>
        <v>0</v>
      </c>
    </row>
    <row r="834" spans="1:14">
      <c r="A834" s="12">
        <v>44888</v>
      </c>
      <c r="B834" s="14">
        <v>-3.7358920628330753E-3</v>
      </c>
      <c r="C834" s="67">
        <f>'Parametric VAR'!$F$12</f>
        <v>-2.023068247926026E-2</v>
      </c>
      <c r="D834">
        <f t="shared" si="75"/>
        <v>0</v>
      </c>
      <c r="E834" s="67">
        <f>'Parametric VAR'!$F$13</f>
        <v>-2.8682193012943492E-2</v>
      </c>
      <c r="F834">
        <f t="shared" si="76"/>
        <v>0</v>
      </c>
      <c r="G834" s="67">
        <f>'Historical VAR'!$G$6</f>
        <v>-1.9839729167757107E-2</v>
      </c>
      <c r="H834">
        <f t="shared" si="77"/>
        <v>0</v>
      </c>
      <c r="I834" s="67">
        <f>'Historical VAR'!$G$7</f>
        <v>-3.1428916759065853E-2</v>
      </c>
      <c r="J834">
        <f t="shared" si="78"/>
        <v>0</v>
      </c>
      <c r="K834" s="67">
        <f ca="1">'Monte Carlo Stimulation'!$I$8</f>
        <v>-2.1559270710709389E-2</v>
      </c>
      <c r="L834">
        <f t="shared" ca="1" si="79"/>
        <v>0</v>
      </c>
      <c r="M834" s="67">
        <f ca="1">'Monte Carlo Stimulation'!$I$9</f>
        <v>-2.919314405717207E-2</v>
      </c>
      <c r="N834">
        <f t="shared" ca="1" si="80"/>
        <v>0</v>
      </c>
    </row>
    <row r="835" spans="1:14">
      <c r="A835" s="12">
        <v>44887</v>
      </c>
      <c r="B835" s="14">
        <v>-1.105842193529989E-4</v>
      </c>
      <c r="C835" s="67">
        <f>'Parametric VAR'!$F$12</f>
        <v>-2.023068247926026E-2</v>
      </c>
      <c r="D835">
        <f t="shared" si="75"/>
        <v>0</v>
      </c>
      <c r="E835" s="67">
        <f>'Parametric VAR'!$F$13</f>
        <v>-2.8682193012943492E-2</v>
      </c>
      <c r="F835">
        <f t="shared" si="76"/>
        <v>0</v>
      </c>
      <c r="G835" s="67">
        <f>'Historical VAR'!$G$6</f>
        <v>-1.9839729167757107E-2</v>
      </c>
      <c r="H835">
        <f t="shared" si="77"/>
        <v>0</v>
      </c>
      <c r="I835" s="67">
        <f>'Historical VAR'!$G$7</f>
        <v>-3.1428916759065853E-2</v>
      </c>
      <c r="J835">
        <f t="shared" si="78"/>
        <v>0</v>
      </c>
      <c r="K835" s="67">
        <f ca="1">'Monte Carlo Stimulation'!$I$8</f>
        <v>-2.1559270710709389E-2</v>
      </c>
      <c r="L835">
        <f t="shared" ca="1" si="79"/>
        <v>0</v>
      </c>
      <c r="M835" s="67">
        <f ca="1">'Monte Carlo Stimulation'!$I$9</f>
        <v>-2.919314405717207E-2</v>
      </c>
      <c r="N835">
        <f t="shared" ca="1" si="80"/>
        <v>0</v>
      </c>
    </row>
    <row r="836" spans="1:14">
      <c r="A836" s="12">
        <v>44886</v>
      </c>
      <c r="B836" s="14">
        <v>-3.1621334526069781E-3</v>
      </c>
      <c r="C836" s="67">
        <f>'Parametric VAR'!$F$12</f>
        <v>-2.023068247926026E-2</v>
      </c>
      <c r="D836">
        <f t="shared" ref="D836:D899" si="81">IF(B836&lt;C836,1,0)</f>
        <v>0</v>
      </c>
      <c r="E836" s="67">
        <f>'Parametric VAR'!$F$13</f>
        <v>-2.8682193012943492E-2</v>
      </c>
      <c r="F836">
        <f t="shared" ref="F836:F899" si="82">IF(B836&lt;E836,1,0)</f>
        <v>0</v>
      </c>
      <c r="G836" s="67">
        <f>'Historical VAR'!$G$6</f>
        <v>-1.9839729167757107E-2</v>
      </c>
      <c r="H836">
        <f t="shared" ref="H836:H899" si="83">IF(B836&lt;G836,1,0)</f>
        <v>0</v>
      </c>
      <c r="I836" s="67">
        <f>'Historical VAR'!$G$7</f>
        <v>-3.1428916759065853E-2</v>
      </c>
      <c r="J836">
        <f t="shared" ref="J836:J899" si="84">IF(B836&lt;I836,1,0)</f>
        <v>0</v>
      </c>
      <c r="K836" s="67">
        <f ca="1">'Monte Carlo Stimulation'!$I$8</f>
        <v>-2.1559270710709389E-2</v>
      </c>
      <c r="L836">
        <f t="shared" ref="L836:L899" ca="1" si="85">IF(B836&lt;K836,1,0)</f>
        <v>0</v>
      </c>
      <c r="M836" s="67">
        <f ca="1">'Monte Carlo Stimulation'!$I$9</f>
        <v>-2.919314405717207E-2</v>
      </c>
      <c r="N836">
        <f t="shared" ref="N836:N899" ca="1" si="86">IF(B836&lt;M836,1,0)</f>
        <v>0</v>
      </c>
    </row>
    <row r="837" spans="1:14">
      <c r="A837" s="12">
        <v>44883</v>
      </c>
      <c r="B837" s="14">
        <v>-4.7580123815258878E-4</v>
      </c>
      <c r="C837" s="67">
        <f>'Parametric VAR'!$F$12</f>
        <v>-2.023068247926026E-2</v>
      </c>
      <c r="D837">
        <f t="shared" si="81"/>
        <v>0</v>
      </c>
      <c r="E837" s="67">
        <f>'Parametric VAR'!$F$13</f>
        <v>-2.8682193012943492E-2</v>
      </c>
      <c r="F837">
        <f t="shared" si="82"/>
        <v>0</v>
      </c>
      <c r="G837" s="67">
        <f>'Historical VAR'!$G$6</f>
        <v>-1.9839729167757107E-2</v>
      </c>
      <c r="H837">
        <f t="shared" si="83"/>
        <v>0</v>
      </c>
      <c r="I837" s="67">
        <f>'Historical VAR'!$G$7</f>
        <v>-3.1428916759065853E-2</v>
      </c>
      <c r="J837">
        <f t="shared" si="84"/>
        <v>0</v>
      </c>
      <c r="K837" s="67">
        <f ca="1">'Monte Carlo Stimulation'!$I$8</f>
        <v>-2.1559270710709389E-2</v>
      </c>
      <c r="L837">
        <f t="shared" ca="1" si="85"/>
        <v>0</v>
      </c>
      <c r="M837" s="67">
        <f ca="1">'Monte Carlo Stimulation'!$I$9</f>
        <v>-2.919314405717207E-2</v>
      </c>
      <c r="N837">
        <f t="shared" ca="1" si="86"/>
        <v>0</v>
      </c>
    </row>
    <row r="838" spans="1:14">
      <c r="A838" s="12">
        <v>44882</v>
      </c>
      <c r="B838" s="14">
        <v>-3.4764303025480981E-3</v>
      </c>
      <c r="C838" s="67">
        <f>'Parametric VAR'!$F$12</f>
        <v>-2.023068247926026E-2</v>
      </c>
      <c r="D838">
        <f t="shared" si="81"/>
        <v>0</v>
      </c>
      <c r="E838" s="67">
        <f>'Parametric VAR'!$F$13</f>
        <v>-2.8682193012943492E-2</v>
      </c>
      <c r="F838">
        <f t="shared" si="82"/>
        <v>0</v>
      </c>
      <c r="G838" s="67">
        <f>'Historical VAR'!$G$6</f>
        <v>-1.9839729167757107E-2</v>
      </c>
      <c r="H838">
        <f t="shared" si="83"/>
        <v>0</v>
      </c>
      <c r="I838" s="67">
        <f>'Historical VAR'!$G$7</f>
        <v>-3.1428916759065853E-2</v>
      </c>
      <c r="J838">
        <f t="shared" si="84"/>
        <v>0</v>
      </c>
      <c r="K838" s="67">
        <f ca="1">'Monte Carlo Stimulation'!$I$8</f>
        <v>-2.1559270710709389E-2</v>
      </c>
      <c r="L838">
        <f t="shared" ca="1" si="85"/>
        <v>0</v>
      </c>
      <c r="M838" s="67">
        <f ca="1">'Monte Carlo Stimulation'!$I$9</f>
        <v>-2.919314405717207E-2</v>
      </c>
      <c r="N838">
        <f t="shared" ca="1" si="86"/>
        <v>0</v>
      </c>
    </row>
    <row r="839" spans="1:14">
      <c r="A839" s="12">
        <v>44881</v>
      </c>
      <c r="B839" s="14">
        <v>2.149661806738598E-3</v>
      </c>
      <c r="C839" s="67">
        <f>'Parametric VAR'!$F$12</f>
        <v>-2.023068247926026E-2</v>
      </c>
      <c r="D839">
        <f t="shared" si="81"/>
        <v>0</v>
      </c>
      <c r="E839" s="67">
        <f>'Parametric VAR'!$F$13</f>
        <v>-2.8682193012943492E-2</v>
      </c>
      <c r="F839">
        <f t="shared" si="82"/>
        <v>0</v>
      </c>
      <c r="G839" s="67">
        <f>'Historical VAR'!$G$6</f>
        <v>-1.9839729167757107E-2</v>
      </c>
      <c r="H839">
        <f t="shared" si="83"/>
        <v>0</v>
      </c>
      <c r="I839" s="67">
        <f>'Historical VAR'!$G$7</f>
        <v>-3.1428916759065853E-2</v>
      </c>
      <c r="J839">
        <f t="shared" si="84"/>
        <v>0</v>
      </c>
      <c r="K839" s="67">
        <f ca="1">'Monte Carlo Stimulation'!$I$8</f>
        <v>-2.1559270710709389E-2</v>
      </c>
      <c r="L839">
        <f t="shared" ca="1" si="85"/>
        <v>0</v>
      </c>
      <c r="M839" s="67">
        <f ca="1">'Monte Carlo Stimulation'!$I$9</f>
        <v>-2.919314405717207E-2</v>
      </c>
      <c r="N839">
        <f t="shared" ca="1" si="86"/>
        <v>0</v>
      </c>
    </row>
    <row r="840" spans="1:14">
      <c r="A840" s="12">
        <v>44880</v>
      </c>
      <c r="B840" s="14">
        <v>-6.4481265541336977E-4</v>
      </c>
      <c r="C840" s="67">
        <f>'Parametric VAR'!$F$12</f>
        <v>-2.023068247926026E-2</v>
      </c>
      <c r="D840">
        <f t="shared" si="81"/>
        <v>0</v>
      </c>
      <c r="E840" s="67">
        <f>'Parametric VAR'!$F$13</f>
        <v>-2.8682193012943492E-2</v>
      </c>
      <c r="F840">
        <f t="shared" si="82"/>
        <v>0</v>
      </c>
      <c r="G840" s="67">
        <f>'Historical VAR'!$G$6</f>
        <v>-1.9839729167757107E-2</v>
      </c>
      <c r="H840">
        <f t="shared" si="83"/>
        <v>0</v>
      </c>
      <c r="I840" s="67">
        <f>'Historical VAR'!$G$7</f>
        <v>-3.1428916759065853E-2</v>
      </c>
      <c r="J840">
        <f t="shared" si="84"/>
        <v>0</v>
      </c>
      <c r="K840" s="67">
        <f ca="1">'Monte Carlo Stimulation'!$I$8</f>
        <v>-2.1559270710709389E-2</v>
      </c>
      <c r="L840">
        <f t="shared" ca="1" si="85"/>
        <v>0</v>
      </c>
      <c r="M840" s="67">
        <f ca="1">'Monte Carlo Stimulation'!$I$9</f>
        <v>-2.919314405717207E-2</v>
      </c>
      <c r="N840">
        <f t="shared" ca="1" si="86"/>
        <v>0</v>
      </c>
    </row>
    <row r="841" spans="1:14">
      <c r="A841" s="12">
        <v>44879</v>
      </c>
      <c r="B841" s="14">
        <v>-7.2513990388098862E-3</v>
      </c>
      <c r="C841" s="67">
        <f>'Parametric VAR'!$F$12</f>
        <v>-2.023068247926026E-2</v>
      </c>
      <c r="D841">
        <f t="shared" si="81"/>
        <v>0</v>
      </c>
      <c r="E841" s="67">
        <f>'Parametric VAR'!$F$13</f>
        <v>-2.8682193012943492E-2</v>
      </c>
      <c r="F841">
        <f t="shared" si="82"/>
        <v>0</v>
      </c>
      <c r="G841" s="67">
        <f>'Historical VAR'!$G$6</f>
        <v>-1.9839729167757107E-2</v>
      </c>
      <c r="H841">
        <f t="shared" si="83"/>
        <v>0</v>
      </c>
      <c r="I841" s="67">
        <f>'Historical VAR'!$G$7</f>
        <v>-3.1428916759065853E-2</v>
      </c>
      <c r="J841">
        <f t="shared" si="84"/>
        <v>0</v>
      </c>
      <c r="K841" s="67">
        <f ca="1">'Monte Carlo Stimulation'!$I$8</f>
        <v>-2.1559270710709389E-2</v>
      </c>
      <c r="L841">
        <f t="shared" ca="1" si="85"/>
        <v>0</v>
      </c>
      <c r="M841" s="67">
        <f ca="1">'Monte Carlo Stimulation'!$I$9</f>
        <v>-2.919314405717207E-2</v>
      </c>
      <c r="N841">
        <f t="shared" ca="1" si="86"/>
        <v>0</v>
      </c>
    </row>
    <row r="842" spans="1:14">
      <c r="A842" s="12">
        <v>44876</v>
      </c>
      <c r="B842" s="14">
        <v>-9.5152638124536184E-4</v>
      </c>
      <c r="C842" s="67">
        <f>'Parametric VAR'!$F$12</f>
        <v>-2.023068247926026E-2</v>
      </c>
      <c r="D842">
        <f t="shared" si="81"/>
        <v>0</v>
      </c>
      <c r="E842" s="67">
        <f>'Parametric VAR'!$F$13</f>
        <v>-2.8682193012943492E-2</v>
      </c>
      <c r="F842">
        <f t="shared" si="82"/>
        <v>0</v>
      </c>
      <c r="G842" s="67">
        <f>'Historical VAR'!$G$6</f>
        <v>-1.9839729167757107E-2</v>
      </c>
      <c r="H842">
        <f t="shared" si="83"/>
        <v>0</v>
      </c>
      <c r="I842" s="67">
        <f>'Historical VAR'!$G$7</f>
        <v>-3.1428916759065853E-2</v>
      </c>
      <c r="J842">
        <f t="shared" si="84"/>
        <v>0</v>
      </c>
      <c r="K842" s="67">
        <f ca="1">'Monte Carlo Stimulation'!$I$8</f>
        <v>-2.1559270710709389E-2</v>
      </c>
      <c r="L842">
        <f t="shared" ca="1" si="85"/>
        <v>0</v>
      </c>
      <c r="M842" s="67">
        <f ca="1">'Monte Carlo Stimulation'!$I$9</f>
        <v>-2.919314405717207E-2</v>
      </c>
      <c r="N842">
        <f t="shared" ca="1" si="86"/>
        <v>0</v>
      </c>
    </row>
    <row r="843" spans="1:14">
      <c r="A843" s="12">
        <v>44875</v>
      </c>
      <c r="B843" s="14">
        <v>-8.2006594254992269E-3</v>
      </c>
      <c r="C843" s="67">
        <f>'Parametric VAR'!$F$12</f>
        <v>-2.023068247926026E-2</v>
      </c>
      <c r="D843">
        <f t="shared" si="81"/>
        <v>0</v>
      </c>
      <c r="E843" s="67">
        <f>'Parametric VAR'!$F$13</f>
        <v>-2.8682193012943492E-2</v>
      </c>
      <c r="F843">
        <f t="shared" si="82"/>
        <v>0</v>
      </c>
      <c r="G843" s="67">
        <f>'Historical VAR'!$G$6</f>
        <v>-1.9839729167757107E-2</v>
      </c>
      <c r="H843">
        <f t="shared" si="83"/>
        <v>0</v>
      </c>
      <c r="I843" s="67">
        <f>'Historical VAR'!$G$7</f>
        <v>-3.1428916759065853E-2</v>
      </c>
      <c r="J843">
        <f t="shared" si="84"/>
        <v>0</v>
      </c>
      <c r="K843" s="67">
        <f ca="1">'Monte Carlo Stimulation'!$I$8</f>
        <v>-2.1559270710709389E-2</v>
      </c>
      <c r="L843">
        <f t="shared" ca="1" si="85"/>
        <v>0</v>
      </c>
      <c r="M843" s="67">
        <f ca="1">'Monte Carlo Stimulation'!$I$9</f>
        <v>-2.919314405717207E-2</v>
      </c>
      <c r="N843">
        <f t="shared" ca="1" si="86"/>
        <v>0</v>
      </c>
    </row>
    <row r="844" spans="1:14">
      <c r="A844" s="12">
        <v>44874</v>
      </c>
      <c r="B844" s="14">
        <v>1.0436371162435827E-2</v>
      </c>
      <c r="C844" s="67">
        <f>'Parametric VAR'!$F$12</f>
        <v>-2.023068247926026E-2</v>
      </c>
      <c r="D844">
        <f t="shared" si="81"/>
        <v>0</v>
      </c>
      <c r="E844" s="67">
        <f>'Parametric VAR'!$F$13</f>
        <v>-2.8682193012943492E-2</v>
      </c>
      <c r="F844">
        <f t="shared" si="82"/>
        <v>0</v>
      </c>
      <c r="G844" s="67">
        <f>'Historical VAR'!$G$6</f>
        <v>-1.9839729167757107E-2</v>
      </c>
      <c r="H844">
        <f t="shared" si="83"/>
        <v>0</v>
      </c>
      <c r="I844" s="67">
        <f>'Historical VAR'!$G$7</f>
        <v>-3.1428916759065853E-2</v>
      </c>
      <c r="J844">
        <f t="shared" si="84"/>
        <v>0</v>
      </c>
      <c r="K844" s="67">
        <f ca="1">'Monte Carlo Stimulation'!$I$8</f>
        <v>-2.1559270710709389E-2</v>
      </c>
      <c r="L844">
        <f t="shared" ca="1" si="85"/>
        <v>0</v>
      </c>
      <c r="M844" s="67">
        <f ca="1">'Monte Carlo Stimulation'!$I$9</f>
        <v>-2.919314405717207E-2</v>
      </c>
      <c r="N844">
        <f t="shared" ca="1" si="86"/>
        <v>0</v>
      </c>
    </row>
    <row r="845" spans="1:14">
      <c r="A845" s="12">
        <v>44872</v>
      </c>
      <c r="B845" s="14">
        <v>1.099841498132594E-2</v>
      </c>
      <c r="C845" s="67">
        <f>'Parametric VAR'!$F$12</f>
        <v>-2.023068247926026E-2</v>
      </c>
      <c r="D845">
        <f t="shared" si="81"/>
        <v>0</v>
      </c>
      <c r="E845" s="67">
        <f>'Parametric VAR'!$F$13</f>
        <v>-2.8682193012943492E-2</v>
      </c>
      <c r="F845">
        <f t="shared" si="82"/>
        <v>0</v>
      </c>
      <c r="G845" s="67">
        <f>'Historical VAR'!$G$6</f>
        <v>-1.9839729167757107E-2</v>
      </c>
      <c r="H845">
        <f t="shared" si="83"/>
        <v>0</v>
      </c>
      <c r="I845" s="67">
        <f>'Historical VAR'!$G$7</f>
        <v>-3.1428916759065853E-2</v>
      </c>
      <c r="J845">
        <f t="shared" si="84"/>
        <v>0</v>
      </c>
      <c r="K845" s="67">
        <f ca="1">'Monte Carlo Stimulation'!$I$8</f>
        <v>-2.1559270710709389E-2</v>
      </c>
      <c r="L845">
        <f t="shared" ca="1" si="85"/>
        <v>0</v>
      </c>
      <c r="M845" s="67">
        <f ca="1">'Monte Carlo Stimulation'!$I$9</f>
        <v>-2.919314405717207E-2</v>
      </c>
      <c r="N845">
        <f t="shared" ca="1" si="86"/>
        <v>0</v>
      </c>
    </row>
    <row r="846" spans="1:14">
      <c r="A846" s="12">
        <v>44869</v>
      </c>
      <c r="B846" s="14">
        <v>1.4686999193909301E-2</v>
      </c>
      <c r="C846" s="67">
        <f>'Parametric VAR'!$F$12</f>
        <v>-2.023068247926026E-2</v>
      </c>
      <c r="D846">
        <f t="shared" si="81"/>
        <v>0</v>
      </c>
      <c r="E846" s="67">
        <f>'Parametric VAR'!$F$13</f>
        <v>-2.8682193012943492E-2</v>
      </c>
      <c r="F846">
        <f t="shared" si="82"/>
        <v>0</v>
      </c>
      <c r="G846" s="67">
        <f>'Historical VAR'!$G$6</f>
        <v>-1.9839729167757107E-2</v>
      </c>
      <c r="H846">
        <f t="shared" si="83"/>
        <v>0</v>
      </c>
      <c r="I846" s="67">
        <f>'Historical VAR'!$G$7</f>
        <v>-3.1428916759065853E-2</v>
      </c>
      <c r="J846">
        <f t="shared" si="84"/>
        <v>0</v>
      </c>
      <c r="K846" s="67">
        <f ca="1">'Monte Carlo Stimulation'!$I$8</f>
        <v>-2.1559270710709389E-2</v>
      </c>
      <c r="L846">
        <f t="shared" ca="1" si="85"/>
        <v>0</v>
      </c>
      <c r="M846" s="67">
        <f ca="1">'Monte Carlo Stimulation'!$I$9</f>
        <v>-2.919314405717207E-2</v>
      </c>
      <c r="N846">
        <f t="shared" ca="1" si="86"/>
        <v>0</v>
      </c>
    </row>
    <row r="847" spans="1:14">
      <c r="A847" s="12">
        <v>44868</v>
      </c>
      <c r="B847" s="14">
        <v>-5.1570014846818333E-3</v>
      </c>
      <c r="C847" s="67">
        <f>'Parametric VAR'!$F$12</f>
        <v>-2.023068247926026E-2</v>
      </c>
      <c r="D847">
        <f t="shared" si="81"/>
        <v>0</v>
      </c>
      <c r="E847" s="67">
        <f>'Parametric VAR'!$F$13</f>
        <v>-2.8682193012943492E-2</v>
      </c>
      <c r="F847">
        <f t="shared" si="82"/>
        <v>0</v>
      </c>
      <c r="G847" s="67">
        <f>'Historical VAR'!$G$6</f>
        <v>-1.9839729167757107E-2</v>
      </c>
      <c r="H847">
        <f t="shared" si="83"/>
        <v>0</v>
      </c>
      <c r="I847" s="67">
        <f>'Historical VAR'!$G$7</f>
        <v>-3.1428916759065853E-2</v>
      </c>
      <c r="J847">
        <f t="shared" si="84"/>
        <v>0</v>
      </c>
      <c r="K847" s="67">
        <f ca="1">'Monte Carlo Stimulation'!$I$8</f>
        <v>-2.1559270710709389E-2</v>
      </c>
      <c r="L847">
        <f t="shared" ca="1" si="85"/>
        <v>0</v>
      </c>
      <c r="M847" s="67">
        <f ca="1">'Monte Carlo Stimulation'!$I$9</f>
        <v>-2.919314405717207E-2</v>
      </c>
      <c r="N847">
        <f t="shared" ca="1" si="86"/>
        <v>0</v>
      </c>
    </row>
    <row r="848" spans="1:14">
      <c r="A848" s="12">
        <v>44867</v>
      </c>
      <c r="B848" s="14">
        <v>-6.4727488067415047E-3</v>
      </c>
      <c r="C848" s="67">
        <f>'Parametric VAR'!$F$12</f>
        <v>-2.023068247926026E-2</v>
      </c>
      <c r="D848">
        <f t="shared" si="81"/>
        <v>0</v>
      </c>
      <c r="E848" s="67">
        <f>'Parametric VAR'!$F$13</f>
        <v>-2.8682193012943492E-2</v>
      </c>
      <c r="F848">
        <f t="shared" si="82"/>
        <v>0</v>
      </c>
      <c r="G848" s="67">
        <f>'Historical VAR'!$G$6</f>
        <v>-1.9839729167757107E-2</v>
      </c>
      <c r="H848">
        <f t="shared" si="83"/>
        <v>0</v>
      </c>
      <c r="I848" s="67">
        <f>'Historical VAR'!$G$7</f>
        <v>-3.1428916759065853E-2</v>
      </c>
      <c r="J848">
        <f t="shared" si="84"/>
        <v>0</v>
      </c>
      <c r="K848" s="67">
        <f ca="1">'Monte Carlo Stimulation'!$I$8</f>
        <v>-2.1559270710709389E-2</v>
      </c>
      <c r="L848">
        <f t="shared" ca="1" si="85"/>
        <v>0</v>
      </c>
      <c r="M848" s="67">
        <f ca="1">'Monte Carlo Stimulation'!$I$9</f>
        <v>-2.919314405717207E-2</v>
      </c>
      <c r="N848">
        <f t="shared" ca="1" si="86"/>
        <v>0</v>
      </c>
    </row>
    <row r="849" spans="1:14">
      <c r="A849" s="12">
        <v>44866</v>
      </c>
      <c r="B849" s="14">
        <v>8.3109799549928656E-3</v>
      </c>
      <c r="C849" s="67">
        <f>'Parametric VAR'!$F$12</f>
        <v>-2.023068247926026E-2</v>
      </c>
      <c r="D849">
        <f t="shared" si="81"/>
        <v>0</v>
      </c>
      <c r="E849" s="67">
        <f>'Parametric VAR'!$F$13</f>
        <v>-2.8682193012943492E-2</v>
      </c>
      <c r="F849">
        <f t="shared" si="82"/>
        <v>0</v>
      </c>
      <c r="G849" s="67">
        <f>'Historical VAR'!$G$6</f>
        <v>-1.9839729167757107E-2</v>
      </c>
      <c r="H849">
        <f t="shared" si="83"/>
        <v>0</v>
      </c>
      <c r="I849" s="67">
        <f>'Historical VAR'!$G$7</f>
        <v>-3.1428916759065853E-2</v>
      </c>
      <c r="J849">
        <f t="shared" si="84"/>
        <v>0</v>
      </c>
      <c r="K849" s="67">
        <f ca="1">'Monte Carlo Stimulation'!$I$8</f>
        <v>-2.1559270710709389E-2</v>
      </c>
      <c r="L849">
        <f t="shared" ca="1" si="85"/>
        <v>0</v>
      </c>
      <c r="M849" s="67">
        <f ca="1">'Monte Carlo Stimulation'!$I$9</f>
        <v>-2.919314405717207E-2</v>
      </c>
      <c r="N849">
        <f t="shared" ca="1" si="86"/>
        <v>0</v>
      </c>
    </row>
    <row r="850" spans="1:14">
      <c r="A850" s="12">
        <v>44865</v>
      </c>
      <c r="B850" s="14">
        <v>-1.5645567123041954E-2</v>
      </c>
      <c r="C850" s="67">
        <f>'Parametric VAR'!$F$12</f>
        <v>-2.023068247926026E-2</v>
      </c>
      <c r="D850">
        <f t="shared" si="81"/>
        <v>0</v>
      </c>
      <c r="E850" s="67">
        <f>'Parametric VAR'!$F$13</f>
        <v>-2.8682193012943492E-2</v>
      </c>
      <c r="F850">
        <f t="shared" si="82"/>
        <v>0</v>
      </c>
      <c r="G850" s="67">
        <f>'Historical VAR'!$G$6</f>
        <v>-1.9839729167757107E-2</v>
      </c>
      <c r="H850">
        <f t="shared" si="83"/>
        <v>0</v>
      </c>
      <c r="I850" s="67">
        <f>'Historical VAR'!$G$7</f>
        <v>-3.1428916759065853E-2</v>
      </c>
      <c r="J850">
        <f t="shared" si="84"/>
        <v>0</v>
      </c>
      <c r="K850" s="67">
        <f ca="1">'Monte Carlo Stimulation'!$I$8</f>
        <v>-2.1559270710709389E-2</v>
      </c>
      <c r="L850">
        <f t="shared" ca="1" si="85"/>
        <v>0</v>
      </c>
      <c r="M850" s="67">
        <f ca="1">'Monte Carlo Stimulation'!$I$9</f>
        <v>-2.919314405717207E-2</v>
      </c>
      <c r="N850">
        <f t="shared" ca="1" si="86"/>
        <v>0</v>
      </c>
    </row>
    <row r="851" spans="1:14">
      <c r="A851" s="12">
        <v>44862</v>
      </c>
      <c r="B851" s="14">
        <v>-1.694086188188686E-2</v>
      </c>
      <c r="C851" s="67">
        <f>'Parametric VAR'!$F$12</f>
        <v>-2.023068247926026E-2</v>
      </c>
      <c r="D851">
        <f t="shared" si="81"/>
        <v>0</v>
      </c>
      <c r="E851" s="67">
        <f>'Parametric VAR'!$F$13</f>
        <v>-2.8682193012943492E-2</v>
      </c>
      <c r="F851">
        <f t="shared" si="82"/>
        <v>0</v>
      </c>
      <c r="G851" s="67">
        <f>'Historical VAR'!$G$6</f>
        <v>-1.9839729167757107E-2</v>
      </c>
      <c r="H851">
        <f t="shared" si="83"/>
        <v>0</v>
      </c>
      <c r="I851" s="67">
        <f>'Historical VAR'!$G$7</f>
        <v>-3.1428916759065853E-2</v>
      </c>
      <c r="J851">
        <f t="shared" si="84"/>
        <v>0</v>
      </c>
      <c r="K851" s="67">
        <f ca="1">'Monte Carlo Stimulation'!$I$8</f>
        <v>-2.1559270710709389E-2</v>
      </c>
      <c r="L851">
        <f t="shared" ca="1" si="85"/>
        <v>0</v>
      </c>
      <c r="M851" s="67">
        <f ca="1">'Monte Carlo Stimulation'!$I$9</f>
        <v>-2.919314405717207E-2</v>
      </c>
      <c r="N851">
        <f t="shared" ca="1" si="86"/>
        <v>0</v>
      </c>
    </row>
    <row r="852" spans="1:14">
      <c r="A852" s="12">
        <v>44861</v>
      </c>
      <c r="B852" s="14">
        <v>-2.3784038741258449E-3</v>
      </c>
      <c r="C852" s="67">
        <f>'Parametric VAR'!$F$12</f>
        <v>-2.023068247926026E-2</v>
      </c>
      <c r="D852">
        <f t="shared" si="81"/>
        <v>0</v>
      </c>
      <c r="E852" s="67">
        <f>'Parametric VAR'!$F$13</f>
        <v>-2.8682193012943492E-2</v>
      </c>
      <c r="F852">
        <f t="shared" si="82"/>
        <v>0</v>
      </c>
      <c r="G852" s="67">
        <f>'Historical VAR'!$G$6</f>
        <v>-1.9839729167757107E-2</v>
      </c>
      <c r="H852">
        <f t="shared" si="83"/>
        <v>0</v>
      </c>
      <c r="I852" s="67">
        <f>'Historical VAR'!$G$7</f>
        <v>-3.1428916759065853E-2</v>
      </c>
      <c r="J852">
        <f t="shared" si="84"/>
        <v>0</v>
      </c>
      <c r="K852" s="67">
        <f ca="1">'Monte Carlo Stimulation'!$I$8</f>
        <v>-2.1559270710709389E-2</v>
      </c>
      <c r="L852">
        <f t="shared" ca="1" si="85"/>
        <v>0</v>
      </c>
      <c r="M852" s="67">
        <f ca="1">'Monte Carlo Stimulation'!$I$9</f>
        <v>-2.919314405717207E-2</v>
      </c>
      <c r="N852">
        <f t="shared" ca="1" si="86"/>
        <v>0</v>
      </c>
    </row>
    <row r="853" spans="1:14">
      <c r="A853" s="12">
        <v>44859</v>
      </c>
      <c r="B853" s="14">
        <v>1.2760755333064646E-2</v>
      </c>
      <c r="C853" s="67">
        <f>'Parametric VAR'!$F$12</f>
        <v>-2.023068247926026E-2</v>
      </c>
      <c r="D853">
        <f t="shared" si="81"/>
        <v>0</v>
      </c>
      <c r="E853" s="67">
        <f>'Parametric VAR'!$F$13</f>
        <v>-2.8682193012943492E-2</v>
      </c>
      <c r="F853">
        <f t="shared" si="82"/>
        <v>0</v>
      </c>
      <c r="G853" s="67">
        <f>'Historical VAR'!$G$6</f>
        <v>-1.9839729167757107E-2</v>
      </c>
      <c r="H853">
        <f t="shared" si="83"/>
        <v>0</v>
      </c>
      <c r="I853" s="67">
        <f>'Historical VAR'!$G$7</f>
        <v>-3.1428916759065853E-2</v>
      </c>
      <c r="J853">
        <f t="shared" si="84"/>
        <v>0</v>
      </c>
      <c r="K853" s="67">
        <f ca="1">'Monte Carlo Stimulation'!$I$8</f>
        <v>-2.1559270710709389E-2</v>
      </c>
      <c r="L853">
        <f t="shared" ca="1" si="85"/>
        <v>0</v>
      </c>
      <c r="M853" s="67">
        <f ca="1">'Monte Carlo Stimulation'!$I$9</f>
        <v>-2.919314405717207E-2</v>
      </c>
      <c r="N853">
        <f t="shared" ca="1" si="86"/>
        <v>0</v>
      </c>
    </row>
    <row r="854" spans="1:14">
      <c r="A854" s="12">
        <v>44858</v>
      </c>
      <c r="B854" s="14">
        <v>1.1054286230934145E-2</v>
      </c>
      <c r="C854" s="67">
        <f>'Parametric VAR'!$F$12</f>
        <v>-2.023068247926026E-2</v>
      </c>
      <c r="D854">
        <f t="shared" si="81"/>
        <v>0</v>
      </c>
      <c r="E854" s="67">
        <f>'Parametric VAR'!$F$13</f>
        <v>-2.8682193012943492E-2</v>
      </c>
      <c r="F854">
        <f t="shared" si="82"/>
        <v>0</v>
      </c>
      <c r="G854" s="67">
        <f>'Historical VAR'!$G$6</f>
        <v>-1.9839729167757107E-2</v>
      </c>
      <c r="H854">
        <f t="shared" si="83"/>
        <v>0</v>
      </c>
      <c r="I854" s="67">
        <f>'Historical VAR'!$G$7</f>
        <v>-3.1428916759065853E-2</v>
      </c>
      <c r="J854">
        <f t="shared" si="84"/>
        <v>0</v>
      </c>
      <c r="K854" s="67">
        <f ca="1">'Monte Carlo Stimulation'!$I$8</f>
        <v>-2.1559270710709389E-2</v>
      </c>
      <c r="L854">
        <f t="shared" ca="1" si="85"/>
        <v>0</v>
      </c>
      <c r="M854" s="67">
        <f ca="1">'Monte Carlo Stimulation'!$I$9</f>
        <v>-2.919314405717207E-2</v>
      </c>
      <c r="N854">
        <f t="shared" ca="1" si="86"/>
        <v>0</v>
      </c>
    </row>
    <row r="855" spans="1:14">
      <c r="A855" s="12">
        <v>44855</v>
      </c>
      <c r="B855" s="14">
        <v>-8.3475286520927599E-3</v>
      </c>
      <c r="C855" s="67">
        <f>'Parametric VAR'!$F$12</f>
        <v>-2.023068247926026E-2</v>
      </c>
      <c r="D855">
        <f t="shared" si="81"/>
        <v>0</v>
      </c>
      <c r="E855" s="67">
        <f>'Parametric VAR'!$F$13</f>
        <v>-2.8682193012943492E-2</v>
      </c>
      <c r="F855">
        <f t="shared" si="82"/>
        <v>0</v>
      </c>
      <c r="G855" s="67">
        <f>'Historical VAR'!$G$6</f>
        <v>-1.9839729167757107E-2</v>
      </c>
      <c r="H855">
        <f t="shared" si="83"/>
        <v>0</v>
      </c>
      <c r="I855" s="67">
        <f>'Historical VAR'!$G$7</f>
        <v>-3.1428916759065853E-2</v>
      </c>
      <c r="J855">
        <f t="shared" si="84"/>
        <v>0</v>
      </c>
      <c r="K855" s="67">
        <f ca="1">'Monte Carlo Stimulation'!$I$8</f>
        <v>-2.1559270710709389E-2</v>
      </c>
      <c r="L855">
        <f t="shared" ca="1" si="85"/>
        <v>0</v>
      </c>
      <c r="M855" s="67">
        <f ca="1">'Monte Carlo Stimulation'!$I$9</f>
        <v>-2.919314405717207E-2</v>
      </c>
      <c r="N855">
        <f t="shared" ca="1" si="86"/>
        <v>0</v>
      </c>
    </row>
    <row r="856" spans="1:14">
      <c r="A856" s="12">
        <v>44854</v>
      </c>
      <c r="B856" s="14">
        <v>2.1736903860096107E-2</v>
      </c>
      <c r="C856" s="67">
        <f>'Parametric VAR'!$F$12</f>
        <v>-2.023068247926026E-2</v>
      </c>
      <c r="D856">
        <f t="shared" si="81"/>
        <v>0</v>
      </c>
      <c r="E856" s="67">
        <f>'Parametric VAR'!$F$13</f>
        <v>-2.8682193012943492E-2</v>
      </c>
      <c r="F856">
        <f t="shared" si="82"/>
        <v>0</v>
      </c>
      <c r="G856" s="67">
        <f>'Historical VAR'!$G$6</f>
        <v>-1.9839729167757107E-2</v>
      </c>
      <c r="H856">
        <f t="shared" si="83"/>
        <v>0</v>
      </c>
      <c r="I856" s="67">
        <f>'Historical VAR'!$G$7</f>
        <v>-3.1428916759065853E-2</v>
      </c>
      <c r="J856">
        <f t="shared" si="84"/>
        <v>0</v>
      </c>
      <c r="K856" s="67">
        <f ca="1">'Monte Carlo Stimulation'!$I$8</f>
        <v>-2.1559270710709389E-2</v>
      </c>
      <c r="L856">
        <f t="shared" ca="1" si="85"/>
        <v>0</v>
      </c>
      <c r="M856" s="67">
        <f ca="1">'Monte Carlo Stimulation'!$I$9</f>
        <v>-2.919314405717207E-2</v>
      </c>
      <c r="N856">
        <f t="shared" ca="1" si="86"/>
        <v>0</v>
      </c>
    </row>
    <row r="857" spans="1:14">
      <c r="A857" s="12">
        <v>44853</v>
      </c>
      <c r="B857" s="14">
        <v>1.5185854183207306E-2</v>
      </c>
      <c r="C857" s="67">
        <f>'Parametric VAR'!$F$12</f>
        <v>-2.023068247926026E-2</v>
      </c>
      <c r="D857">
        <f t="shared" si="81"/>
        <v>0</v>
      </c>
      <c r="E857" s="67">
        <f>'Parametric VAR'!$F$13</f>
        <v>-2.8682193012943492E-2</v>
      </c>
      <c r="F857">
        <f t="shared" si="82"/>
        <v>0</v>
      </c>
      <c r="G857" s="67">
        <f>'Historical VAR'!$G$6</f>
        <v>-1.9839729167757107E-2</v>
      </c>
      <c r="H857">
        <f t="shared" si="83"/>
        <v>0</v>
      </c>
      <c r="I857" s="67">
        <f>'Historical VAR'!$G$7</f>
        <v>-3.1428916759065853E-2</v>
      </c>
      <c r="J857">
        <f t="shared" si="84"/>
        <v>0</v>
      </c>
      <c r="K857" s="67">
        <f ca="1">'Monte Carlo Stimulation'!$I$8</f>
        <v>-2.1559270710709389E-2</v>
      </c>
      <c r="L857">
        <f t="shared" ca="1" si="85"/>
        <v>0</v>
      </c>
      <c r="M857" s="67">
        <f ca="1">'Monte Carlo Stimulation'!$I$9</f>
        <v>-2.919314405717207E-2</v>
      </c>
      <c r="N857">
        <f t="shared" ca="1" si="86"/>
        <v>0</v>
      </c>
    </row>
    <row r="858" spans="1:14">
      <c r="A858" s="12">
        <v>44852</v>
      </c>
      <c r="B858" s="14">
        <v>4.0907777225467597E-3</v>
      </c>
      <c r="C858" s="67">
        <f>'Parametric VAR'!$F$12</f>
        <v>-2.023068247926026E-2</v>
      </c>
      <c r="D858">
        <f t="shared" si="81"/>
        <v>0</v>
      </c>
      <c r="E858" s="67">
        <f>'Parametric VAR'!$F$13</f>
        <v>-2.8682193012943492E-2</v>
      </c>
      <c r="F858">
        <f t="shared" si="82"/>
        <v>0</v>
      </c>
      <c r="G858" s="67">
        <f>'Historical VAR'!$G$6</f>
        <v>-1.9839729167757107E-2</v>
      </c>
      <c r="H858">
        <f t="shared" si="83"/>
        <v>0</v>
      </c>
      <c r="I858" s="67">
        <f>'Historical VAR'!$G$7</f>
        <v>-3.1428916759065853E-2</v>
      </c>
      <c r="J858">
        <f t="shared" si="84"/>
        <v>0</v>
      </c>
      <c r="K858" s="67">
        <f ca="1">'Monte Carlo Stimulation'!$I$8</f>
        <v>-2.1559270710709389E-2</v>
      </c>
      <c r="L858">
        <f t="shared" ca="1" si="85"/>
        <v>0</v>
      </c>
      <c r="M858" s="67">
        <f ca="1">'Monte Carlo Stimulation'!$I$9</f>
        <v>-2.919314405717207E-2</v>
      </c>
      <c r="N858">
        <f t="shared" ca="1" si="86"/>
        <v>0</v>
      </c>
    </row>
    <row r="859" spans="1:14">
      <c r="A859" s="12">
        <v>44851</v>
      </c>
      <c r="B859" s="14">
        <v>-8.300026264662563E-3</v>
      </c>
      <c r="C859" s="67">
        <f>'Parametric VAR'!$F$12</f>
        <v>-2.023068247926026E-2</v>
      </c>
      <c r="D859">
        <f t="shared" si="81"/>
        <v>0</v>
      </c>
      <c r="E859" s="67">
        <f>'Parametric VAR'!$F$13</f>
        <v>-2.8682193012943492E-2</v>
      </c>
      <c r="F859">
        <f t="shared" si="82"/>
        <v>0</v>
      </c>
      <c r="G859" s="67">
        <f>'Historical VAR'!$G$6</f>
        <v>-1.9839729167757107E-2</v>
      </c>
      <c r="H859">
        <f t="shared" si="83"/>
        <v>0</v>
      </c>
      <c r="I859" s="67">
        <f>'Historical VAR'!$G$7</f>
        <v>-3.1428916759065853E-2</v>
      </c>
      <c r="J859">
        <f t="shared" si="84"/>
        <v>0</v>
      </c>
      <c r="K859" s="67">
        <f ca="1">'Monte Carlo Stimulation'!$I$8</f>
        <v>-2.1559270710709389E-2</v>
      </c>
      <c r="L859">
        <f t="shared" ca="1" si="85"/>
        <v>0</v>
      </c>
      <c r="M859" s="67">
        <f ca="1">'Monte Carlo Stimulation'!$I$9</f>
        <v>-2.919314405717207E-2</v>
      </c>
      <c r="N859">
        <f t="shared" ca="1" si="86"/>
        <v>0</v>
      </c>
    </row>
    <row r="860" spans="1:14">
      <c r="A860" s="12">
        <v>44848</v>
      </c>
      <c r="B860" s="14">
        <v>-5.3959543718542571E-3</v>
      </c>
      <c r="C860" s="67">
        <f>'Parametric VAR'!$F$12</f>
        <v>-2.023068247926026E-2</v>
      </c>
      <c r="D860">
        <f t="shared" si="81"/>
        <v>0</v>
      </c>
      <c r="E860" s="67">
        <f>'Parametric VAR'!$F$13</f>
        <v>-2.8682193012943492E-2</v>
      </c>
      <c r="F860">
        <f t="shared" si="82"/>
        <v>0</v>
      </c>
      <c r="G860" s="67">
        <f>'Historical VAR'!$G$6</f>
        <v>-1.9839729167757107E-2</v>
      </c>
      <c r="H860">
        <f t="shared" si="83"/>
        <v>0</v>
      </c>
      <c r="I860" s="67">
        <f>'Historical VAR'!$G$7</f>
        <v>-3.1428916759065853E-2</v>
      </c>
      <c r="J860">
        <f t="shared" si="84"/>
        <v>0</v>
      </c>
      <c r="K860" s="67">
        <f ca="1">'Monte Carlo Stimulation'!$I$8</f>
        <v>-2.1559270710709389E-2</v>
      </c>
      <c r="L860">
        <f t="shared" ca="1" si="85"/>
        <v>0</v>
      </c>
      <c r="M860" s="67">
        <f ca="1">'Monte Carlo Stimulation'!$I$9</f>
        <v>-2.919314405717207E-2</v>
      </c>
      <c r="N860">
        <f t="shared" ca="1" si="86"/>
        <v>0</v>
      </c>
    </row>
    <row r="861" spans="1:14">
      <c r="A861" s="12">
        <v>44847</v>
      </c>
      <c r="B861" s="14">
        <v>6.6280046023336385E-3</v>
      </c>
      <c r="C861" s="67">
        <f>'Parametric VAR'!$F$12</f>
        <v>-2.023068247926026E-2</v>
      </c>
      <c r="D861">
        <f t="shared" si="81"/>
        <v>0</v>
      </c>
      <c r="E861" s="67">
        <f>'Parametric VAR'!$F$13</f>
        <v>-2.8682193012943492E-2</v>
      </c>
      <c r="F861">
        <f t="shared" si="82"/>
        <v>0</v>
      </c>
      <c r="G861" s="67">
        <f>'Historical VAR'!$G$6</f>
        <v>-1.9839729167757107E-2</v>
      </c>
      <c r="H861">
        <f t="shared" si="83"/>
        <v>0</v>
      </c>
      <c r="I861" s="67">
        <f>'Historical VAR'!$G$7</f>
        <v>-3.1428916759065853E-2</v>
      </c>
      <c r="J861">
        <f t="shared" si="84"/>
        <v>0</v>
      </c>
      <c r="K861" s="67">
        <f ca="1">'Monte Carlo Stimulation'!$I$8</f>
        <v>-2.1559270710709389E-2</v>
      </c>
      <c r="L861">
        <f t="shared" ca="1" si="85"/>
        <v>0</v>
      </c>
      <c r="M861" s="67">
        <f ca="1">'Monte Carlo Stimulation'!$I$9</f>
        <v>-2.919314405717207E-2</v>
      </c>
      <c r="N861">
        <f t="shared" ca="1" si="86"/>
        <v>0</v>
      </c>
    </row>
    <row r="862" spans="1:14">
      <c r="A862" s="12">
        <v>44846</v>
      </c>
      <c r="B862" s="14">
        <v>1.2822891498084257E-2</v>
      </c>
      <c r="C862" s="67">
        <f>'Parametric VAR'!$F$12</f>
        <v>-2.023068247926026E-2</v>
      </c>
      <c r="D862">
        <f t="shared" si="81"/>
        <v>0</v>
      </c>
      <c r="E862" s="67">
        <f>'Parametric VAR'!$F$13</f>
        <v>-2.8682193012943492E-2</v>
      </c>
      <c r="F862">
        <f t="shared" si="82"/>
        <v>0</v>
      </c>
      <c r="G862" s="67">
        <f>'Historical VAR'!$G$6</f>
        <v>-1.9839729167757107E-2</v>
      </c>
      <c r="H862">
        <f t="shared" si="83"/>
        <v>0</v>
      </c>
      <c r="I862" s="67">
        <f>'Historical VAR'!$G$7</f>
        <v>-3.1428916759065853E-2</v>
      </c>
      <c r="J862">
        <f t="shared" si="84"/>
        <v>0</v>
      </c>
      <c r="K862" s="67">
        <f ca="1">'Monte Carlo Stimulation'!$I$8</f>
        <v>-2.1559270710709389E-2</v>
      </c>
      <c r="L862">
        <f t="shared" ca="1" si="85"/>
        <v>0</v>
      </c>
      <c r="M862" s="67">
        <f ca="1">'Monte Carlo Stimulation'!$I$9</f>
        <v>-2.919314405717207E-2</v>
      </c>
      <c r="N862">
        <f t="shared" ca="1" si="86"/>
        <v>0</v>
      </c>
    </row>
    <row r="863" spans="1:14">
      <c r="A863" s="12">
        <v>44845</v>
      </c>
      <c r="B863" s="14">
        <v>9.6729171405737658E-3</v>
      </c>
      <c r="C863" s="67">
        <f>'Parametric VAR'!$F$12</f>
        <v>-2.023068247926026E-2</v>
      </c>
      <c r="D863">
        <f t="shared" si="81"/>
        <v>0</v>
      </c>
      <c r="E863" s="67">
        <f>'Parametric VAR'!$F$13</f>
        <v>-2.8682193012943492E-2</v>
      </c>
      <c r="F863">
        <f t="shared" si="82"/>
        <v>0</v>
      </c>
      <c r="G863" s="67">
        <f>'Historical VAR'!$G$6</f>
        <v>-1.9839729167757107E-2</v>
      </c>
      <c r="H863">
        <f t="shared" si="83"/>
        <v>0</v>
      </c>
      <c r="I863" s="67">
        <f>'Historical VAR'!$G$7</f>
        <v>-3.1428916759065853E-2</v>
      </c>
      <c r="J863">
        <f t="shared" si="84"/>
        <v>0</v>
      </c>
      <c r="K863" s="67">
        <f ca="1">'Monte Carlo Stimulation'!$I$8</f>
        <v>-2.1559270710709389E-2</v>
      </c>
      <c r="L863">
        <f t="shared" ca="1" si="85"/>
        <v>0</v>
      </c>
      <c r="M863" s="67">
        <f ca="1">'Monte Carlo Stimulation'!$I$9</f>
        <v>-2.919314405717207E-2</v>
      </c>
      <c r="N863">
        <f t="shared" ca="1" si="86"/>
        <v>0</v>
      </c>
    </row>
    <row r="864" spans="1:14">
      <c r="A864" s="12">
        <v>44844</v>
      </c>
      <c r="B864" s="14">
        <v>-2.3272722286674483E-3</v>
      </c>
      <c r="C864" s="67">
        <f>'Parametric VAR'!$F$12</f>
        <v>-2.023068247926026E-2</v>
      </c>
      <c r="D864">
        <f t="shared" si="81"/>
        <v>0</v>
      </c>
      <c r="E864" s="67">
        <f>'Parametric VAR'!$F$13</f>
        <v>-2.8682193012943492E-2</v>
      </c>
      <c r="F864">
        <f t="shared" si="82"/>
        <v>0</v>
      </c>
      <c r="G864" s="67">
        <f>'Historical VAR'!$G$6</f>
        <v>-1.9839729167757107E-2</v>
      </c>
      <c r="H864">
        <f t="shared" si="83"/>
        <v>0</v>
      </c>
      <c r="I864" s="67">
        <f>'Historical VAR'!$G$7</f>
        <v>-3.1428916759065853E-2</v>
      </c>
      <c r="J864">
        <f t="shared" si="84"/>
        <v>0</v>
      </c>
      <c r="K864" s="67">
        <f ca="1">'Monte Carlo Stimulation'!$I$8</f>
        <v>-2.1559270710709389E-2</v>
      </c>
      <c r="L864">
        <f t="shared" ca="1" si="85"/>
        <v>0</v>
      </c>
      <c r="M864" s="67">
        <f ca="1">'Monte Carlo Stimulation'!$I$9</f>
        <v>-2.919314405717207E-2</v>
      </c>
      <c r="N864">
        <f t="shared" ca="1" si="86"/>
        <v>0</v>
      </c>
    </row>
    <row r="865" spans="1:14">
      <c r="A865" s="12">
        <v>44841</v>
      </c>
      <c r="B865" s="14">
        <v>1.5048481783504774E-2</v>
      </c>
      <c r="C865" s="67">
        <f>'Parametric VAR'!$F$12</f>
        <v>-2.023068247926026E-2</v>
      </c>
      <c r="D865">
        <f t="shared" si="81"/>
        <v>0</v>
      </c>
      <c r="E865" s="67">
        <f>'Parametric VAR'!$F$13</f>
        <v>-2.8682193012943492E-2</v>
      </c>
      <c r="F865">
        <f t="shared" si="82"/>
        <v>0</v>
      </c>
      <c r="G865" s="67">
        <f>'Historical VAR'!$G$6</f>
        <v>-1.9839729167757107E-2</v>
      </c>
      <c r="H865">
        <f t="shared" si="83"/>
        <v>0</v>
      </c>
      <c r="I865" s="67">
        <f>'Historical VAR'!$G$7</f>
        <v>-3.1428916759065853E-2</v>
      </c>
      <c r="J865">
        <f t="shared" si="84"/>
        <v>0</v>
      </c>
      <c r="K865" s="67">
        <f ca="1">'Monte Carlo Stimulation'!$I$8</f>
        <v>-2.1559270710709389E-2</v>
      </c>
      <c r="L865">
        <f t="shared" ca="1" si="85"/>
        <v>0</v>
      </c>
      <c r="M865" s="67">
        <f ca="1">'Monte Carlo Stimulation'!$I$9</f>
        <v>-2.919314405717207E-2</v>
      </c>
      <c r="N865">
        <f t="shared" ca="1" si="86"/>
        <v>0</v>
      </c>
    </row>
    <row r="866" spans="1:14">
      <c r="A866" s="12">
        <v>44840</v>
      </c>
      <c r="B866" s="14">
        <v>-5.9273456241136935E-3</v>
      </c>
      <c r="C866" s="67">
        <f>'Parametric VAR'!$F$12</f>
        <v>-2.023068247926026E-2</v>
      </c>
      <c r="D866">
        <f t="shared" si="81"/>
        <v>0</v>
      </c>
      <c r="E866" s="67">
        <f>'Parametric VAR'!$F$13</f>
        <v>-2.8682193012943492E-2</v>
      </c>
      <c r="F866">
        <f t="shared" si="82"/>
        <v>0</v>
      </c>
      <c r="G866" s="67">
        <f>'Historical VAR'!$G$6</f>
        <v>-1.9839729167757107E-2</v>
      </c>
      <c r="H866">
        <f t="shared" si="83"/>
        <v>0</v>
      </c>
      <c r="I866" s="67">
        <f>'Historical VAR'!$G$7</f>
        <v>-3.1428916759065853E-2</v>
      </c>
      <c r="J866">
        <f t="shared" si="84"/>
        <v>0</v>
      </c>
      <c r="K866" s="67">
        <f ca="1">'Monte Carlo Stimulation'!$I$8</f>
        <v>-2.1559270710709389E-2</v>
      </c>
      <c r="L866">
        <f t="shared" ca="1" si="85"/>
        <v>0</v>
      </c>
      <c r="M866" s="67">
        <f ca="1">'Monte Carlo Stimulation'!$I$9</f>
        <v>-2.919314405717207E-2</v>
      </c>
      <c r="N866">
        <f t="shared" ca="1" si="86"/>
        <v>0</v>
      </c>
    </row>
    <row r="867" spans="1:14">
      <c r="A867" s="12">
        <v>44838</v>
      </c>
      <c r="B867" s="14">
        <v>1.9649506926600014E-3</v>
      </c>
      <c r="C867" s="67">
        <f>'Parametric VAR'!$F$12</f>
        <v>-2.023068247926026E-2</v>
      </c>
      <c r="D867">
        <f t="shared" si="81"/>
        <v>0</v>
      </c>
      <c r="E867" s="67">
        <f>'Parametric VAR'!$F$13</f>
        <v>-2.8682193012943492E-2</v>
      </c>
      <c r="F867">
        <f t="shared" si="82"/>
        <v>0</v>
      </c>
      <c r="G867" s="67">
        <f>'Historical VAR'!$G$6</f>
        <v>-1.9839729167757107E-2</v>
      </c>
      <c r="H867">
        <f t="shared" si="83"/>
        <v>0</v>
      </c>
      <c r="I867" s="67">
        <f>'Historical VAR'!$G$7</f>
        <v>-3.1428916759065853E-2</v>
      </c>
      <c r="J867">
        <f t="shared" si="84"/>
        <v>0</v>
      </c>
      <c r="K867" s="67">
        <f ca="1">'Monte Carlo Stimulation'!$I$8</f>
        <v>-2.1559270710709389E-2</v>
      </c>
      <c r="L867">
        <f t="shared" ca="1" si="85"/>
        <v>0</v>
      </c>
      <c r="M867" s="67">
        <f ca="1">'Monte Carlo Stimulation'!$I$9</f>
        <v>-2.919314405717207E-2</v>
      </c>
      <c r="N867">
        <f t="shared" ca="1" si="86"/>
        <v>0</v>
      </c>
    </row>
    <row r="868" spans="1:14">
      <c r="A868" s="12">
        <v>44837</v>
      </c>
      <c r="B868" s="14">
        <v>-8.9862407157692559E-3</v>
      </c>
      <c r="C868" s="67">
        <f>'Parametric VAR'!$F$12</f>
        <v>-2.023068247926026E-2</v>
      </c>
      <c r="D868">
        <f t="shared" si="81"/>
        <v>0</v>
      </c>
      <c r="E868" s="67">
        <f>'Parametric VAR'!$F$13</f>
        <v>-2.8682193012943492E-2</v>
      </c>
      <c r="F868">
        <f t="shared" si="82"/>
        <v>0</v>
      </c>
      <c r="G868" s="67">
        <f>'Historical VAR'!$G$6</f>
        <v>-1.9839729167757107E-2</v>
      </c>
      <c r="H868">
        <f t="shared" si="83"/>
        <v>0</v>
      </c>
      <c r="I868" s="67">
        <f>'Historical VAR'!$G$7</f>
        <v>-3.1428916759065853E-2</v>
      </c>
      <c r="J868">
        <f t="shared" si="84"/>
        <v>0</v>
      </c>
      <c r="K868" s="67">
        <f ca="1">'Monte Carlo Stimulation'!$I$8</f>
        <v>-2.1559270710709389E-2</v>
      </c>
      <c r="L868">
        <f t="shared" ca="1" si="85"/>
        <v>0</v>
      </c>
      <c r="M868" s="67">
        <f ca="1">'Monte Carlo Stimulation'!$I$9</f>
        <v>-2.919314405717207E-2</v>
      </c>
      <c r="N868">
        <f t="shared" ca="1" si="86"/>
        <v>0</v>
      </c>
    </row>
    <row r="869" spans="1:14">
      <c r="A869" s="12">
        <v>44834</v>
      </c>
      <c r="B869" s="14">
        <v>1.1146058671712268E-2</v>
      </c>
      <c r="C869" s="67">
        <f>'Parametric VAR'!$F$12</f>
        <v>-2.023068247926026E-2</v>
      </c>
      <c r="D869">
        <f t="shared" si="81"/>
        <v>0</v>
      </c>
      <c r="E869" s="67">
        <f>'Parametric VAR'!$F$13</f>
        <v>-2.8682193012943492E-2</v>
      </c>
      <c r="F869">
        <f t="shared" si="82"/>
        <v>0</v>
      </c>
      <c r="G869" s="67">
        <f>'Historical VAR'!$G$6</f>
        <v>-1.9839729167757107E-2</v>
      </c>
      <c r="H869">
        <f t="shared" si="83"/>
        <v>0</v>
      </c>
      <c r="I869" s="67">
        <f>'Historical VAR'!$G$7</f>
        <v>-3.1428916759065853E-2</v>
      </c>
      <c r="J869">
        <f t="shared" si="84"/>
        <v>0</v>
      </c>
      <c r="K869" s="67">
        <f ca="1">'Monte Carlo Stimulation'!$I$8</f>
        <v>-2.1559270710709389E-2</v>
      </c>
      <c r="L869">
        <f t="shared" ca="1" si="85"/>
        <v>0</v>
      </c>
      <c r="M869" s="67">
        <f ca="1">'Monte Carlo Stimulation'!$I$9</f>
        <v>-2.919314405717207E-2</v>
      </c>
      <c r="N869">
        <f t="shared" ca="1" si="86"/>
        <v>0</v>
      </c>
    </row>
    <row r="870" spans="1:14">
      <c r="A870" s="12">
        <v>44833</v>
      </c>
      <c r="B870" s="14">
        <v>9.8420190196070786E-3</v>
      </c>
      <c r="C870" s="67">
        <f>'Parametric VAR'!$F$12</f>
        <v>-2.023068247926026E-2</v>
      </c>
      <c r="D870">
        <f t="shared" si="81"/>
        <v>0</v>
      </c>
      <c r="E870" s="67">
        <f>'Parametric VAR'!$F$13</f>
        <v>-2.8682193012943492E-2</v>
      </c>
      <c r="F870">
        <f t="shared" si="82"/>
        <v>0</v>
      </c>
      <c r="G870" s="67">
        <f>'Historical VAR'!$G$6</f>
        <v>-1.9839729167757107E-2</v>
      </c>
      <c r="H870">
        <f t="shared" si="83"/>
        <v>0</v>
      </c>
      <c r="I870" s="67">
        <f>'Historical VAR'!$G$7</f>
        <v>-3.1428916759065853E-2</v>
      </c>
      <c r="J870">
        <f t="shared" si="84"/>
        <v>0</v>
      </c>
      <c r="K870" s="67">
        <f ca="1">'Monte Carlo Stimulation'!$I$8</f>
        <v>-2.1559270710709389E-2</v>
      </c>
      <c r="L870">
        <f t="shared" ca="1" si="85"/>
        <v>0</v>
      </c>
      <c r="M870" s="67">
        <f ca="1">'Monte Carlo Stimulation'!$I$9</f>
        <v>-2.919314405717207E-2</v>
      </c>
      <c r="N870">
        <f t="shared" ca="1" si="86"/>
        <v>0</v>
      </c>
    </row>
    <row r="871" spans="1:14">
      <c r="A871" s="12">
        <v>44832</v>
      </c>
      <c r="B871" s="14">
        <v>4.0016440289292639E-2</v>
      </c>
      <c r="C871" s="67">
        <f>'Parametric VAR'!$F$12</f>
        <v>-2.023068247926026E-2</v>
      </c>
      <c r="D871">
        <f t="shared" si="81"/>
        <v>0</v>
      </c>
      <c r="E871" s="67">
        <f>'Parametric VAR'!$F$13</f>
        <v>-2.8682193012943492E-2</v>
      </c>
      <c r="F871">
        <f t="shared" si="82"/>
        <v>0</v>
      </c>
      <c r="G871" s="67">
        <f>'Historical VAR'!$G$6</f>
        <v>-1.9839729167757107E-2</v>
      </c>
      <c r="H871">
        <f t="shared" si="83"/>
        <v>0</v>
      </c>
      <c r="I871" s="67">
        <f>'Historical VAR'!$G$7</f>
        <v>-3.1428916759065853E-2</v>
      </c>
      <c r="J871">
        <f t="shared" si="84"/>
        <v>0</v>
      </c>
      <c r="K871" s="67">
        <f ca="1">'Monte Carlo Stimulation'!$I$8</f>
        <v>-2.1559270710709389E-2</v>
      </c>
      <c r="L871">
        <f t="shared" ca="1" si="85"/>
        <v>0</v>
      </c>
      <c r="M871" s="67">
        <f ca="1">'Monte Carlo Stimulation'!$I$9</f>
        <v>-2.919314405717207E-2</v>
      </c>
      <c r="N871">
        <f t="shared" ca="1" si="86"/>
        <v>0</v>
      </c>
    </row>
    <row r="872" spans="1:14">
      <c r="A872" s="12">
        <v>44831</v>
      </c>
      <c r="B872" s="14">
        <v>-2.109863471024476E-2</v>
      </c>
      <c r="C872" s="67">
        <f>'Parametric VAR'!$F$12</f>
        <v>-2.023068247926026E-2</v>
      </c>
      <c r="D872">
        <f t="shared" si="81"/>
        <v>1</v>
      </c>
      <c r="E872" s="67">
        <f>'Parametric VAR'!$F$13</f>
        <v>-2.8682193012943492E-2</v>
      </c>
      <c r="F872">
        <f t="shared" si="82"/>
        <v>0</v>
      </c>
      <c r="G872" s="67">
        <f>'Historical VAR'!$G$6</f>
        <v>-1.9839729167757107E-2</v>
      </c>
      <c r="H872">
        <f t="shared" si="83"/>
        <v>1</v>
      </c>
      <c r="I872" s="67">
        <f>'Historical VAR'!$G$7</f>
        <v>-3.1428916759065853E-2</v>
      </c>
      <c r="J872">
        <f t="shared" si="84"/>
        <v>0</v>
      </c>
      <c r="K872" s="67">
        <f ca="1">'Monte Carlo Stimulation'!$I$8</f>
        <v>-2.1559270710709389E-2</v>
      </c>
      <c r="L872">
        <f t="shared" ca="1" si="85"/>
        <v>0</v>
      </c>
      <c r="M872" s="67">
        <f ca="1">'Monte Carlo Stimulation'!$I$9</f>
        <v>-2.919314405717207E-2</v>
      </c>
      <c r="N872">
        <f t="shared" ca="1" si="86"/>
        <v>0</v>
      </c>
    </row>
    <row r="873" spans="1:14">
      <c r="A873" s="12">
        <v>44830</v>
      </c>
      <c r="B873" s="14">
        <v>-8.8097049684401282E-3</v>
      </c>
      <c r="C873" s="67">
        <f>'Parametric VAR'!$F$12</f>
        <v>-2.023068247926026E-2</v>
      </c>
      <c r="D873">
        <f t="shared" si="81"/>
        <v>0</v>
      </c>
      <c r="E873" s="67">
        <f>'Parametric VAR'!$F$13</f>
        <v>-2.8682193012943492E-2</v>
      </c>
      <c r="F873">
        <f t="shared" si="82"/>
        <v>0</v>
      </c>
      <c r="G873" s="67">
        <f>'Historical VAR'!$G$6</f>
        <v>-1.9839729167757107E-2</v>
      </c>
      <c r="H873">
        <f t="shared" si="83"/>
        <v>0</v>
      </c>
      <c r="I873" s="67">
        <f>'Historical VAR'!$G$7</f>
        <v>-3.1428916759065853E-2</v>
      </c>
      <c r="J873">
        <f t="shared" si="84"/>
        <v>0</v>
      </c>
      <c r="K873" s="67">
        <f ca="1">'Monte Carlo Stimulation'!$I$8</f>
        <v>-2.1559270710709389E-2</v>
      </c>
      <c r="L873">
        <f t="shared" ca="1" si="85"/>
        <v>0</v>
      </c>
      <c r="M873" s="67">
        <f ca="1">'Monte Carlo Stimulation'!$I$9</f>
        <v>-2.919314405717207E-2</v>
      </c>
      <c r="N873">
        <f t="shared" ca="1" si="86"/>
        <v>0</v>
      </c>
    </row>
    <row r="874" spans="1:14">
      <c r="A874" s="12">
        <v>44827</v>
      </c>
      <c r="B874" s="14">
        <v>-6.1751541203474147E-3</v>
      </c>
      <c r="C874" s="67">
        <f>'Parametric VAR'!$F$12</f>
        <v>-2.023068247926026E-2</v>
      </c>
      <c r="D874">
        <f t="shared" si="81"/>
        <v>0</v>
      </c>
      <c r="E874" s="67">
        <f>'Parametric VAR'!$F$13</f>
        <v>-2.8682193012943492E-2</v>
      </c>
      <c r="F874">
        <f t="shared" si="82"/>
        <v>0</v>
      </c>
      <c r="G874" s="67">
        <f>'Historical VAR'!$G$6</f>
        <v>-1.9839729167757107E-2</v>
      </c>
      <c r="H874">
        <f t="shared" si="83"/>
        <v>0</v>
      </c>
      <c r="I874" s="67">
        <f>'Historical VAR'!$G$7</f>
        <v>-3.1428916759065853E-2</v>
      </c>
      <c r="J874">
        <f t="shared" si="84"/>
        <v>0</v>
      </c>
      <c r="K874" s="67">
        <f ca="1">'Monte Carlo Stimulation'!$I$8</f>
        <v>-2.1559270710709389E-2</v>
      </c>
      <c r="L874">
        <f t="shared" ca="1" si="85"/>
        <v>0</v>
      </c>
      <c r="M874" s="67">
        <f ca="1">'Monte Carlo Stimulation'!$I$9</f>
        <v>-2.919314405717207E-2</v>
      </c>
      <c r="N874">
        <f t="shared" ca="1" si="86"/>
        <v>0</v>
      </c>
    </row>
    <row r="875" spans="1:14">
      <c r="A875" s="12">
        <v>44826</v>
      </c>
      <c r="B875" s="14">
        <v>1.0300614894881483E-2</v>
      </c>
      <c r="C875" s="67">
        <f>'Parametric VAR'!$F$12</f>
        <v>-2.023068247926026E-2</v>
      </c>
      <c r="D875">
        <f t="shared" si="81"/>
        <v>0</v>
      </c>
      <c r="E875" s="67">
        <f>'Parametric VAR'!$F$13</f>
        <v>-2.8682193012943492E-2</v>
      </c>
      <c r="F875">
        <f t="shared" si="82"/>
        <v>0</v>
      </c>
      <c r="G875" s="67">
        <f>'Historical VAR'!$G$6</f>
        <v>-1.9839729167757107E-2</v>
      </c>
      <c r="H875">
        <f t="shared" si="83"/>
        <v>0</v>
      </c>
      <c r="I875" s="67">
        <f>'Historical VAR'!$G$7</f>
        <v>-3.1428916759065853E-2</v>
      </c>
      <c r="J875">
        <f t="shared" si="84"/>
        <v>0</v>
      </c>
      <c r="K875" s="67">
        <f ca="1">'Monte Carlo Stimulation'!$I$8</f>
        <v>-2.1559270710709389E-2</v>
      </c>
      <c r="L875">
        <f t="shared" ca="1" si="85"/>
        <v>0</v>
      </c>
      <c r="M875" s="67">
        <f ca="1">'Monte Carlo Stimulation'!$I$9</f>
        <v>-2.919314405717207E-2</v>
      </c>
      <c r="N875">
        <f t="shared" ca="1" si="86"/>
        <v>0</v>
      </c>
    </row>
    <row r="876" spans="1:14">
      <c r="A876" s="12">
        <v>44825</v>
      </c>
      <c r="B876" s="14">
        <v>-1.9820432608750948E-2</v>
      </c>
      <c r="C876" s="67">
        <f>'Parametric VAR'!$F$12</f>
        <v>-2.023068247926026E-2</v>
      </c>
      <c r="D876">
        <f t="shared" si="81"/>
        <v>0</v>
      </c>
      <c r="E876" s="67">
        <f>'Parametric VAR'!$F$13</f>
        <v>-2.8682193012943492E-2</v>
      </c>
      <c r="F876">
        <f t="shared" si="82"/>
        <v>0</v>
      </c>
      <c r="G876" s="67">
        <f>'Historical VAR'!$G$6</f>
        <v>-1.9839729167757107E-2</v>
      </c>
      <c r="H876">
        <f t="shared" si="83"/>
        <v>0</v>
      </c>
      <c r="I876" s="67">
        <f>'Historical VAR'!$G$7</f>
        <v>-3.1428916759065853E-2</v>
      </c>
      <c r="J876">
        <f t="shared" si="84"/>
        <v>0</v>
      </c>
      <c r="K876" s="67">
        <f ca="1">'Monte Carlo Stimulation'!$I$8</f>
        <v>-2.1559270710709389E-2</v>
      </c>
      <c r="L876">
        <f t="shared" ca="1" si="85"/>
        <v>0</v>
      </c>
      <c r="M876" s="67">
        <f ca="1">'Monte Carlo Stimulation'!$I$9</f>
        <v>-2.919314405717207E-2</v>
      </c>
      <c r="N876">
        <f t="shared" ca="1" si="86"/>
        <v>0</v>
      </c>
    </row>
    <row r="877" spans="1:14">
      <c r="A877" s="12">
        <v>44824</v>
      </c>
      <c r="B877" s="14">
        <v>1.0265060516212952E-2</v>
      </c>
      <c r="C877" s="67">
        <f>'Parametric VAR'!$F$12</f>
        <v>-2.023068247926026E-2</v>
      </c>
      <c r="D877">
        <f t="shared" si="81"/>
        <v>0</v>
      </c>
      <c r="E877" s="67">
        <f>'Parametric VAR'!$F$13</f>
        <v>-2.8682193012943492E-2</v>
      </c>
      <c r="F877">
        <f t="shared" si="82"/>
        <v>0</v>
      </c>
      <c r="G877" s="67">
        <f>'Historical VAR'!$G$6</f>
        <v>-1.9839729167757107E-2</v>
      </c>
      <c r="H877">
        <f t="shared" si="83"/>
        <v>0</v>
      </c>
      <c r="I877" s="67">
        <f>'Historical VAR'!$G$7</f>
        <v>-3.1428916759065853E-2</v>
      </c>
      <c r="J877">
        <f t="shared" si="84"/>
        <v>0</v>
      </c>
      <c r="K877" s="67">
        <f ca="1">'Monte Carlo Stimulation'!$I$8</f>
        <v>-2.1559270710709389E-2</v>
      </c>
      <c r="L877">
        <f t="shared" ca="1" si="85"/>
        <v>0</v>
      </c>
      <c r="M877" s="67">
        <f ca="1">'Monte Carlo Stimulation'!$I$9</f>
        <v>-2.919314405717207E-2</v>
      </c>
      <c r="N877">
        <f t="shared" ca="1" si="86"/>
        <v>0</v>
      </c>
    </row>
    <row r="878" spans="1:14">
      <c r="A878" s="12">
        <v>44823</v>
      </c>
      <c r="B878" s="14">
        <v>-1.7039566745303426E-2</v>
      </c>
      <c r="C878" s="67">
        <f>'Parametric VAR'!$F$12</f>
        <v>-2.023068247926026E-2</v>
      </c>
      <c r="D878">
        <f t="shared" si="81"/>
        <v>0</v>
      </c>
      <c r="E878" s="67">
        <f>'Parametric VAR'!$F$13</f>
        <v>-2.8682193012943492E-2</v>
      </c>
      <c r="F878">
        <f t="shared" si="82"/>
        <v>0</v>
      </c>
      <c r="G878" s="67">
        <f>'Historical VAR'!$G$6</f>
        <v>-1.9839729167757107E-2</v>
      </c>
      <c r="H878">
        <f t="shared" si="83"/>
        <v>0</v>
      </c>
      <c r="I878" s="67">
        <f>'Historical VAR'!$G$7</f>
        <v>-3.1428916759065853E-2</v>
      </c>
      <c r="J878">
        <f t="shared" si="84"/>
        <v>0</v>
      </c>
      <c r="K878" s="67">
        <f ca="1">'Monte Carlo Stimulation'!$I$8</f>
        <v>-2.1559270710709389E-2</v>
      </c>
      <c r="L878">
        <f t="shared" ca="1" si="85"/>
        <v>0</v>
      </c>
      <c r="M878" s="67">
        <f ca="1">'Monte Carlo Stimulation'!$I$9</f>
        <v>-2.919314405717207E-2</v>
      </c>
      <c r="N878">
        <f t="shared" ca="1" si="86"/>
        <v>0</v>
      </c>
    </row>
    <row r="879" spans="1:14">
      <c r="A879" s="12">
        <v>44820</v>
      </c>
      <c r="B879" s="14">
        <v>2.4501658681346148E-3</v>
      </c>
      <c r="C879" s="67">
        <f>'Parametric VAR'!$F$12</f>
        <v>-2.023068247926026E-2</v>
      </c>
      <c r="D879">
        <f t="shared" si="81"/>
        <v>0</v>
      </c>
      <c r="E879" s="67">
        <f>'Parametric VAR'!$F$13</f>
        <v>-2.8682193012943492E-2</v>
      </c>
      <c r="F879">
        <f t="shared" si="82"/>
        <v>0</v>
      </c>
      <c r="G879" s="67">
        <f>'Historical VAR'!$G$6</f>
        <v>-1.9839729167757107E-2</v>
      </c>
      <c r="H879">
        <f t="shared" si="83"/>
        <v>0</v>
      </c>
      <c r="I879" s="67">
        <f>'Historical VAR'!$G$7</f>
        <v>-3.1428916759065853E-2</v>
      </c>
      <c r="J879">
        <f t="shared" si="84"/>
        <v>0</v>
      </c>
      <c r="K879" s="67">
        <f ca="1">'Monte Carlo Stimulation'!$I$8</f>
        <v>-2.1559270710709389E-2</v>
      </c>
      <c r="L879">
        <f t="shared" ca="1" si="85"/>
        <v>0</v>
      </c>
      <c r="M879" s="67">
        <f ca="1">'Monte Carlo Stimulation'!$I$9</f>
        <v>-2.919314405717207E-2</v>
      </c>
      <c r="N879">
        <f t="shared" ca="1" si="86"/>
        <v>0</v>
      </c>
    </row>
    <row r="880" spans="1:14">
      <c r="A880" s="12">
        <v>44819</v>
      </c>
      <c r="B880" s="14">
        <v>2.2244752319806119E-2</v>
      </c>
      <c r="C880" s="67">
        <f>'Parametric VAR'!$F$12</f>
        <v>-2.023068247926026E-2</v>
      </c>
      <c r="D880">
        <f t="shared" si="81"/>
        <v>0</v>
      </c>
      <c r="E880" s="67">
        <f>'Parametric VAR'!$F$13</f>
        <v>-2.8682193012943492E-2</v>
      </c>
      <c r="F880">
        <f t="shared" si="82"/>
        <v>0</v>
      </c>
      <c r="G880" s="67">
        <f>'Historical VAR'!$G$6</f>
        <v>-1.9839729167757107E-2</v>
      </c>
      <c r="H880">
        <f t="shared" si="83"/>
        <v>0</v>
      </c>
      <c r="I880" s="67">
        <f>'Historical VAR'!$G$7</f>
        <v>-3.1428916759065853E-2</v>
      </c>
      <c r="J880">
        <f t="shared" si="84"/>
        <v>0</v>
      </c>
      <c r="K880" s="67">
        <f ca="1">'Monte Carlo Stimulation'!$I$8</f>
        <v>-2.1559270710709389E-2</v>
      </c>
      <c r="L880">
        <f t="shared" ca="1" si="85"/>
        <v>0</v>
      </c>
      <c r="M880" s="67">
        <f ca="1">'Monte Carlo Stimulation'!$I$9</f>
        <v>-2.919314405717207E-2</v>
      </c>
      <c r="N880">
        <f t="shared" ca="1" si="86"/>
        <v>0</v>
      </c>
    </row>
    <row r="881" spans="1:14">
      <c r="A881" s="12">
        <v>44818</v>
      </c>
      <c r="B881" s="14">
        <v>9.5141100504527714E-3</v>
      </c>
      <c r="C881" s="67">
        <f>'Parametric VAR'!$F$12</f>
        <v>-2.023068247926026E-2</v>
      </c>
      <c r="D881">
        <f t="shared" si="81"/>
        <v>0</v>
      </c>
      <c r="E881" s="67">
        <f>'Parametric VAR'!$F$13</f>
        <v>-2.8682193012943492E-2</v>
      </c>
      <c r="F881">
        <f t="shared" si="82"/>
        <v>0</v>
      </c>
      <c r="G881" s="67">
        <f>'Historical VAR'!$G$6</f>
        <v>-1.9839729167757107E-2</v>
      </c>
      <c r="H881">
        <f t="shared" si="83"/>
        <v>0</v>
      </c>
      <c r="I881" s="67">
        <f>'Historical VAR'!$G$7</f>
        <v>-3.1428916759065853E-2</v>
      </c>
      <c r="J881">
        <f t="shared" si="84"/>
        <v>0</v>
      </c>
      <c r="K881" s="67">
        <f ca="1">'Monte Carlo Stimulation'!$I$8</f>
        <v>-2.1559270710709389E-2</v>
      </c>
      <c r="L881">
        <f t="shared" ca="1" si="85"/>
        <v>0</v>
      </c>
      <c r="M881" s="67">
        <f ca="1">'Monte Carlo Stimulation'!$I$9</f>
        <v>-2.919314405717207E-2</v>
      </c>
      <c r="N881">
        <f t="shared" ca="1" si="86"/>
        <v>0</v>
      </c>
    </row>
    <row r="882" spans="1:14">
      <c r="A882" s="12">
        <v>44817</v>
      </c>
      <c r="B882" s="14">
        <v>-2.8973515491480493E-3</v>
      </c>
      <c r="C882" s="67">
        <f>'Parametric VAR'!$F$12</f>
        <v>-2.023068247926026E-2</v>
      </c>
      <c r="D882">
        <f t="shared" si="81"/>
        <v>0</v>
      </c>
      <c r="E882" s="67">
        <f>'Parametric VAR'!$F$13</f>
        <v>-2.8682193012943492E-2</v>
      </c>
      <c r="F882">
        <f t="shared" si="82"/>
        <v>0</v>
      </c>
      <c r="G882" s="67">
        <f>'Historical VAR'!$G$6</f>
        <v>-1.9839729167757107E-2</v>
      </c>
      <c r="H882">
        <f t="shared" si="83"/>
        <v>0</v>
      </c>
      <c r="I882" s="67">
        <f>'Historical VAR'!$G$7</f>
        <v>-3.1428916759065853E-2</v>
      </c>
      <c r="J882">
        <f t="shared" si="84"/>
        <v>0</v>
      </c>
      <c r="K882" s="67">
        <f ca="1">'Monte Carlo Stimulation'!$I$8</f>
        <v>-2.1559270710709389E-2</v>
      </c>
      <c r="L882">
        <f t="shared" ca="1" si="85"/>
        <v>0</v>
      </c>
      <c r="M882" s="67">
        <f ca="1">'Monte Carlo Stimulation'!$I$9</f>
        <v>-2.919314405717207E-2</v>
      </c>
      <c r="N882">
        <f t="shared" ca="1" si="86"/>
        <v>0</v>
      </c>
    </row>
    <row r="883" spans="1:14">
      <c r="A883" s="12">
        <v>44816</v>
      </c>
      <c r="B883" s="14">
        <v>1.0005607380263242E-3</v>
      </c>
      <c r="C883" s="67">
        <f>'Parametric VAR'!$F$12</f>
        <v>-2.023068247926026E-2</v>
      </c>
      <c r="D883">
        <f t="shared" si="81"/>
        <v>0</v>
      </c>
      <c r="E883" s="67">
        <f>'Parametric VAR'!$F$13</f>
        <v>-2.8682193012943492E-2</v>
      </c>
      <c r="F883">
        <f t="shared" si="82"/>
        <v>0</v>
      </c>
      <c r="G883" s="67">
        <f>'Historical VAR'!$G$6</f>
        <v>-1.9839729167757107E-2</v>
      </c>
      <c r="H883">
        <f t="shared" si="83"/>
        <v>0</v>
      </c>
      <c r="I883" s="67">
        <f>'Historical VAR'!$G$7</f>
        <v>-3.1428916759065853E-2</v>
      </c>
      <c r="J883">
        <f t="shared" si="84"/>
        <v>0</v>
      </c>
      <c r="K883" s="67">
        <f ca="1">'Monte Carlo Stimulation'!$I$8</f>
        <v>-2.1559270710709389E-2</v>
      </c>
      <c r="L883">
        <f t="shared" ca="1" si="85"/>
        <v>0</v>
      </c>
      <c r="M883" s="67">
        <f ca="1">'Monte Carlo Stimulation'!$I$9</f>
        <v>-2.919314405717207E-2</v>
      </c>
      <c r="N883">
        <f t="shared" ca="1" si="86"/>
        <v>0</v>
      </c>
    </row>
    <row r="884" spans="1:14">
      <c r="A884" s="12">
        <v>44813</v>
      </c>
      <c r="B884" s="14">
        <v>2.4314644001116868E-3</v>
      </c>
      <c r="C884" s="67">
        <f>'Parametric VAR'!$F$12</f>
        <v>-2.023068247926026E-2</v>
      </c>
      <c r="D884">
        <f t="shared" si="81"/>
        <v>0</v>
      </c>
      <c r="E884" s="67">
        <f>'Parametric VAR'!$F$13</f>
        <v>-2.8682193012943492E-2</v>
      </c>
      <c r="F884">
        <f t="shared" si="82"/>
        <v>0</v>
      </c>
      <c r="G884" s="67">
        <f>'Historical VAR'!$G$6</f>
        <v>-1.9839729167757107E-2</v>
      </c>
      <c r="H884">
        <f t="shared" si="83"/>
        <v>0</v>
      </c>
      <c r="I884" s="67">
        <f>'Historical VAR'!$G$7</f>
        <v>-3.1428916759065853E-2</v>
      </c>
      <c r="J884">
        <f t="shared" si="84"/>
        <v>0</v>
      </c>
      <c r="K884" s="67">
        <f ca="1">'Monte Carlo Stimulation'!$I$8</f>
        <v>-2.1559270710709389E-2</v>
      </c>
      <c r="L884">
        <f t="shared" ca="1" si="85"/>
        <v>0</v>
      </c>
      <c r="M884" s="67">
        <f ca="1">'Monte Carlo Stimulation'!$I$9</f>
        <v>-2.919314405717207E-2</v>
      </c>
      <c r="N884">
        <f t="shared" ca="1" si="86"/>
        <v>0</v>
      </c>
    </row>
    <row r="885" spans="1:14">
      <c r="A885" s="12">
        <v>44812</v>
      </c>
      <c r="B885" s="14">
        <v>2.4276264546385126E-3</v>
      </c>
      <c r="C885" s="67">
        <f>'Parametric VAR'!$F$12</f>
        <v>-2.023068247926026E-2</v>
      </c>
      <c r="D885">
        <f t="shared" si="81"/>
        <v>0</v>
      </c>
      <c r="E885" s="67">
        <f>'Parametric VAR'!$F$13</f>
        <v>-2.8682193012943492E-2</v>
      </c>
      <c r="F885">
        <f t="shared" si="82"/>
        <v>0</v>
      </c>
      <c r="G885" s="67">
        <f>'Historical VAR'!$G$6</f>
        <v>-1.9839729167757107E-2</v>
      </c>
      <c r="H885">
        <f t="shared" si="83"/>
        <v>0</v>
      </c>
      <c r="I885" s="67">
        <f>'Historical VAR'!$G$7</f>
        <v>-3.1428916759065853E-2</v>
      </c>
      <c r="J885">
        <f t="shared" si="84"/>
        <v>0</v>
      </c>
      <c r="K885" s="67">
        <f ca="1">'Monte Carlo Stimulation'!$I$8</f>
        <v>-2.1559270710709389E-2</v>
      </c>
      <c r="L885">
        <f t="shared" ca="1" si="85"/>
        <v>0</v>
      </c>
      <c r="M885" s="67">
        <f ca="1">'Monte Carlo Stimulation'!$I$9</f>
        <v>-2.919314405717207E-2</v>
      </c>
      <c r="N885">
        <f t="shared" ca="1" si="86"/>
        <v>0</v>
      </c>
    </row>
    <row r="886" spans="1:14">
      <c r="A886" s="12">
        <v>44811</v>
      </c>
      <c r="B886" s="14">
        <v>-1.4198709874804E-2</v>
      </c>
      <c r="C886" s="67">
        <f>'Parametric VAR'!$F$12</f>
        <v>-2.023068247926026E-2</v>
      </c>
      <c r="D886">
        <f t="shared" si="81"/>
        <v>0</v>
      </c>
      <c r="E886" s="67">
        <f>'Parametric VAR'!$F$13</f>
        <v>-2.8682193012943492E-2</v>
      </c>
      <c r="F886">
        <f t="shared" si="82"/>
        <v>0</v>
      </c>
      <c r="G886" s="67">
        <f>'Historical VAR'!$G$6</f>
        <v>-1.9839729167757107E-2</v>
      </c>
      <c r="H886">
        <f t="shared" si="83"/>
        <v>0</v>
      </c>
      <c r="I886" s="67">
        <f>'Historical VAR'!$G$7</f>
        <v>-3.1428916759065853E-2</v>
      </c>
      <c r="J886">
        <f t="shared" si="84"/>
        <v>0</v>
      </c>
      <c r="K886" s="67">
        <f ca="1">'Monte Carlo Stimulation'!$I$8</f>
        <v>-2.1559270710709389E-2</v>
      </c>
      <c r="L886">
        <f t="shared" ca="1" si="85"/>
        <v>0</v>
      </c>
      <c r="M886" s="67">
        <f ca="1">'Monte Carlo Stimulation'!$I$9</f>
        <v>-2.919314405717207E-2</v>
      </c>
      <c r="N886">
        <f t="shared" ca="1" si="86"/>
        <v>0</v>
      </c>
    </row>
    <row r="887" spans="1:14">
      <c r="A887" s="12">
        <v>44810</v>
      </c>
      <c r="B887" s="14">
        <v>-3.7899641365373468E-3</v>
      </c>
      <c r="C887" s="67">
        <f>'Parametric VAR'!$F$12</f>
        <v>-2.023068247926026E-2</v>
      </c>
      <c r="D887">
        <f t="shared" si="81"/>
        <v>0</v>
      </c>
      <c r="E887" s="67">
        <f>'Parametric VAR'!$F$13</f>
        <v>-2.8682193012943492E-2</v>
      </c>
      <c r="F887">
        <f t="shared" si="82"/>
        <v>0</v>
      </c>
      <c r="G887" s="67">
        <f>'Historical VAR'!$G$6</f>
        <v>-1.9839729167757107E-2</v>
      </c>
      <c r="H887">
        <f t="shared" si="83"/>
        <v>0</v>
      </c>
      <c r="I887" s="67">
        <f>'Historical VAR'!$G$7</f>
        <v>-3.1428916759065853E-2</v>
      </c>
      <c r="J887">
        <f t="shared" si="84"/>
        <v>0</v>
      </c>
      <c r="K887" s="67">
        <f ca="1">'Monte Carlo Stimulation'!$I$8</f>
        <v>-2.1559270710709389E-2</v>
      </c>
      <c r="L887">
        <f t="shared" ca="1" si="85"/>
        <v>0</v>
      </c>
      <c r="M887" s="67">
        <f ca="1">'Monte Carlo Stimulation'!$I$9</f>
        <v>-2.919314405717207E-2</v>
      </c>
      <c r="N887">
        <f t="shared" ca="1" si="86"/>
        <v>0</v>
      </c>
    </row>
    <row r="888" spans="1:14">
      <c r="A888" s="12">
        <v>44809</v>
      </c>
      <c r="B888" s="14">
        <v>6.7254202099182557E-3</v>
      </c>
      <c r="C888" s="67">
        <f>'Parametric VAR'!$F$12</f>
        <v>-2.023068247926026E-2</v>
      </c>
      <c r="D888">
        <f t="shared" si="81"/>
        <v>0</v>
      </c>
      <c r="E888" s="67">
        <f>'Parametric VAR'!$F$13</f>
        <v>-2.8682193012943492E-2</v>
      </c>
      <c r="F888">
        <f t="shared" si="82"/>
        <v>0</v>
      </c>
      <c r="G888" s="67">
        <f>'Historical VAR'!$G$6</f>
        <v>-1.9839729167757107E-2</v>
      </c>
      <c r="H888">
        <f t="shared" si="83"/>
        <v>0</v>
      </c>
      <c r="I888" s="67">
        <f>'Historical VAR'!$G$7</f>
        <v>-3.1428916759065853E-2</v>
      </c>
      <c r="J888">
        <f t="shared" si="84"/>
        <v>0</v>
      </c>
      <c r="K888" s="67">
        <f ca="1">'Monte Carlo Stimulation'!$I$8</f>
        <v>-2.1559270710709389E-2</v>
      </c>
      <c r="L888">
        <f t="shared" ca="1" si="85"/>
        <v>0</v>
      </c>
      <c r="M888" s="67">
        <f ca="1">'Monte Carlo Stimulation'!$I$9</f>
        <v>-2.919314405717207E-2</v>
      </c>
      <c r="N888">
        <f t="shared" ca="1" si="86"/>
        <v>0</v>
      </c>
    </row>
    <row r="889" spans="1:14">
      <c r="A889" s="12">
        <v>44806</v>
      </c>
      <c r="B889" s="14">
        <v>3.6742320667009268E-3</v>
      </c>
      <c r="C889" s="67">
        <f>'Parametric VAR'!$F$12</f>
        <v>-2.023068247926026E-2</v>
      </c>
      <c r="D889">
        <f t="shared" si="81"/>
        <v>0</v>
      </c>
      <c r="E889" s="67">
        <f>'Parametric VAR'!$F$13</f>
        <v>-2.8682193012943492E-2</v>
      </c>
      <c r="F889">
        <f t="shared" si="82"/>
        <v>0</v>
      </c>
      <c r="G889" s="67">
        <f>'Historical VAR'!$G$6</f>
        <v>-1.9839729167757107E-2</v>
      </c>
      <c r="H889">
        <f t="shared" si="83"/>
        <v>0</v>
      </c>
      <c r="I889" s="67">
        <f>'Historical VAR'!$G$7</f>
        <v>-3.1428916759065853E-2</v>
      </c>
      <c r="J889">
        <f t="shared" si="84"/>
        <v>0</v>
      </c>
      <c r="K889" s="67">
        <f ca="1">'Monte Carlo Stimulation'!$I$8</f>
        <v>-2.1559270710709389E-2</v>
      </c>
      <c r="L889">
        <f t="shared" ca="1" si="85"/>
        <v>0</v>
      </c>
      <c r="M889" s="67">
        <f ca="1">'Monte Carlo Stimulation'!$I$9</f>
        <v>-2.919314405717207E-2</v>
      </c>
      <c r="N889">
        <f t="shared" ca="1" si="86"/>
        <v>0</v>
      </c>
    </row>
    <row r="890" spans="1:14">
      <c r="A890" s="12">
        <v>44805</v>
      </c>
      <c r="B890" s="14">
        <v>5.8336479922694254E-3</v>
      </c>
      <c r="C890" s="67">
        <f>'Parametric VAR'!$F$12</f>
        <v>-2.023068247926026E-2</v>
      </c>
      <c r="D890">
        <f t="shared" si="81"/>
        <v>0</v>
      </c>
      <c r="E890" s="67">
        <f>'Parametric VAR'!$F$13</f>
        <v>-2.8682193012943492E-2</v>
      </c>
      <c r="F890">
        <f t="shared" si="82"/>
        <v>0</v>
      </c>
      <c r="G890" s="67">
        <f>'Historical VAR'!$G$6</f>
        <v>-1.9839729167757107E-2</v>
      </c>
      <c r="H890">
        <f t="shared" si="83"/>
        <v>0</v>
      </c>
      <c r="I890" s="67">
        <f>'Historical VAR'!$G$7</f>
        <v>-3.1428916759065853E-2</v>
      </c>
      <c r="J890">
        <f t="shared" si="84"/>
        <v>0</v>
      </c>
      <c r="K890" s="67">
        <f ca="1">'Monte Carlo Stimulation'!$I$8</f>
        <v>-2.1559270710709389E-2</v>
      </c>
      <c r="L890">
        <f t="shared" ca="1" si="85"/>
        <v>0</v>
      </c>
      <c r="M890" s="67">
        <f ca="1">'Monte Carlo Stimulation'!$I$9</f>
        <v>-2.919314405717207E-2</v>
      </c>
      <c r="N890">
        <f t="shared" ca="1" si="86"/>
        <v>0</v>
      </c>
    </row>
    <row r="891" spans="1:14">
      <c r="A891" s="12">
        <v>44803</v>
      </c>
      <c r="B891" s="14">
        <v>-1.1574085308734071E-2</v>
      </c>
      <c r="C891" s="67">
        <f>'Parametric VAR'!$F$12</f>
        <v>-2.023068247926026E-2</v>
      </c>
      <c r="D891">
        <f t="shared" si="81"/>
        <v>0</v>
      </c>
      <c r="E891" s="67">
        <f>'Parametric VAR'!$F$13</f>
        <v>-2.8682193012943492E-2</v>
      </c>
      <c r="F891">
        <f t="shared" si="82"/>
        <v>0</v>
      </c>
      <c r="G891" s="67">
        <f>'Historical VAR'!$G$6</f>
        <v>-1.9839729167757107E-2</v>
      </c>
      <c r="H891">
        <f t="shared" si="83"/>
        <v>0</v>
      </c>
      <c r="I891" s="67">
        <f>'Historical VAR'!$G$7</f>
        <v>-3.1428916759065853E-2</v>
      </c>
      <c r="J891">
        <f t="shared" si="84"/>
        <v>0</v>
      </c>
      <c r="K891" s="67">
        <f ca="1">'Monte Carlo Stimulation'!$I$8</f>
        <v>-2.1559270710709389E-2</v>
      </c>
      <c r="L891">
        <f t="shared" ca="1" si="85"/>
        <v>0</v>
      </c>
      <c r="M891" s="67">
        <f ca="1">'Monte Carlo Stimulation'!$I$9</f>
        <v>-2.919314405717207E-2</v>
      </c>
      <c r="N891">
        <f t="shared" ca="1" si="86"/>
        <v>0</v>
      </c>
    </row>
    <row r="892" spans="1:14">
      <c r="A892" s="12">
        <v>44802</v>
      </c>
      <c r="B892" s="14">
        <v>-1.5282426879178647E-2</v>
      </c>
      <c r="C892" s="67">
        <f>'Parametric VAR'!$F$12</f>
        <v>-2.023068247926026E-2</v>
      </c>
      <c r="D892">
        <f t="shared" si="81"/>
        <v>0</v>
      </c>
      <c r="E892" s="67">
        <f>'Parametric VAR'!$F$13</f>
        <v>-2.8682193012943492E-2</v>
      </c>
      <c r="F892">
        <f t="shared" si="82"/>
        <v>0</v>
      </c>
      <c r="G892" s="67">
        <f>'Historical VAR'!$G$6</f>
        <v>-1.9839729167757107E-2</v>
      </c>
      <c r="H892">
        <f t="shared" si="83"/>
        <v>0</v>
      </c>
      <c r="I892" s="67">
        <f>'Historical VAR'!$G$7</f>
        <v>-3.1428916759065853E-2</v>
      </c>
      <c r="J892">
        <f t="shared" si="84"/>
        <v>0</v>
      </c>
      <c r="K892" s="67">
        <f ca="1">'Monte Carlo Stimulation'!$I$8</f>
        <v>-2.1559270710709389E-2</v>
      </c>
      <c r="L892">
        <f t="shared" ca="1" si="85"/>
        <v>0</v>
      </c>
      <c r="M892" s="67">
        <f ca="1">'Monte Carlo Stimulation'!$I$9</f>
        <v>-2.919314405717207E-2</v>
      </c>
      <c r="N892">
        <f t="shared" ca="1" si="86"/>
        <v>0</v>
      </c>
    </row>
    <row r="893" spans="1:14">
      <c r="A893" s="12">
        <v>44799</v>
      </c>
      <c r="B893" s="14">
        <v>-4.1044174418780419E-3</v>
      </c>
      <c r="C893" s="67">
        <f>'Parametric VAR'!$F$12</f>
        <v>-2.023068247926026E-2</v>
      </c>
      <c r="D893">
        <f t="shared" si="81"/>
        <v>0</v>
      </c>
      <c r="E893" s="67">
        <f>'Parametric VAR'!$F$13</f>
        <v>-2.8682193012943492E-2</v>
      </c>
      <c r="F893">
        <f t="shared" si="82"/>
        <v>0</v>
      </c>
      <c r="G893" s="67">
        <f>'Historical VAR'!$G$6</f>
        <v>-1.9839729167757107E-2</v>
      </c>
      <c r="H893">
        <f t="shared" si="83"/>
        <v>0</v>
      </c>
      <c r="I893" s="67">
        <f>'Historical VAR'!$G$7</f>
        <v>-3.1428916759065853E-2</v>
      </c>
      <c r="J893">
        <f t="shared" si="84"/>
        <v>0</v>
      </c>
      <c r="K893" s="67">
        <f ca="1">'Monte Carlo Stimulation'!$I$8</f>
        <v>-2.1559270710709389E-2</v>
      </c>
      <c r="L893">
        <f t="shared" ca="1" si="85"/>
        <v>0</v>
      </c>
      <c r="M893" s="67">
        <f ca="1">'Monte Carlo Stimulation'!$I$9</f>
        <v>-2.919314405717207E-2</v>
      </c>
      <c r="N893">
        <f t="shared" ca="1" si="86"/>
        <v>0</v>
      </c>
    </row>
    <row r="894" spans="1:14">
      <c r="A894" s="12">
        <v>44798</v>
      </c>
      <c r="B894" s="14">
        <v>6.4982588821542167E-3</v>
      </c>
      <c r="C894" s="67">
        <f>'Parametric VAR'!$F$12</f>
        <v>-2.023068247926026E-2</v>
      </c>
      <c r="D894">
        <f t="shared" si="81"/>
        <v>0</v>
      </c>
      <c r="E894" s="67">
        <f>'Parametric VAR'!$F$13</f>
        <v>-2.8682193012943492E-2</v>
      </c>
      <c r="F894">
        <f t="shared" si="82"/>
        <v>0</v>
      </c>
      <c r="G894" s="67">
        <f>'Historical VAR'!$G$6</f>
        <v>-1.9839729167757107E-2</v>
      </c>
      <c r="H894">
        <f t="shared" si="83"/>
        <v>0</v>
      </c>
      <c r="I894" s="67">
        <f>'Historical VAR'!$G$7</f>
        <v>-3.1428916759065853E-2</v>
      </c>
      <c r="J894">
        <f t="shared" si="84"/>
        <v>0</v>
      </c>
      <c r="K894" s="67">
        <f ca="1">'Monte Carlo Stimulation'!$I$8</f>
        <v>-2.1559270710709389E-2</v>
      </c>
      <c r="L894">
        <f t="shared" ca="1" si="85"/>
        <v>0</v>
      </c>
      <c r="M894" s="67">
        <f ca="1">'Monte Carlo Stimulation'!$I$9</f>
        <v>-2.919314405717207E-2</v>
      </c>
      <c r="N894">
        <f t="shared" ca="1" si="86"/>
        <v>0</v>
      </c>
    </row>
    <row r="895" spans="1:14">
      <c r="A895" s="12">
        <v>44797</v>
      </c>
      <c r="B895" s="14">
        <v>5.1286102480548445E-3</v>
      </c>
      <c r="C895" s="67">
        <f>'Parametric VAR'!$F$12</f>
        <v>-2.023068247926026E-2</v>
      </c>
      <c r="D895">
        <f t="shared" si="81"/>
        <v>0</v>
      </c>
      <c r="E895" s="67">
        <f>'Parametric VAR'!$F$13</f>
        <v>-2.8682193012943492E-2</v>
      </c>
      <c r="F895">
        <f t="shared" si="82"/>
        <v>0</v>
      </c>
      <c r="G895" s="67">
        <f>'Historical VAR'!$G$6</f>
        <v>-1.9839729167757107E-2</v>
      </c>
      <c r="H895">
        <f t="shared" si="83"/>
        <v>0</v>
      </c>
      <c r="I895" s="67">
        <f>'Historical VAR'!$G$7</f>
        <v>-3.1428916759065853E-2</v>
      </c>
      <c r="J895">
        <f t="shared" si="84"/>
        <v>0</v>
      </c>
      <c r="K895" s="67">
        <f ca="1">'Monte Carlo Stimulation'!$I$8</f>
        <v>-2.1559270710709389E-2</v>
      </c>
      <c r="L895">
        <f t="shared" ca="1" si="85"/>
        <v>0</v>
      </c>
      <c r="M895" s="67">
        <f ca="1">'Monte Carlo Stimulation'!$I$9</f>
        <v>-2.919314405717207E-2</v>
      </c>
      <c r="N895">
        <f t="shared" ca="1" si="86"/>
        <v>0</v>
      </c>
    </row>
    <row r="896" spans="1:14">
      <c r="A896" s="12">
        <v>44796</v>
      </c>
      <c r="B896" s="14">
        <v>-4.0304804484955405E-3</v>
      </c>
      <c r="C896" s="67">
        <f>'Parametric VAR'!$F$12</f>
        <v>-2.023068247926026E-2</v>
      </c>
      <c r="D896">
        <f t="shared" si="81"/>
        <v>0</v>
      </c>
      <c r="E896" s="67">
        <f>'Parametric VAR'!$F$13</f>
        <v>-2.8682193012943492E-2</v>
      </c>
      <c r="F896">
        <f t="shared" si="82"/>
        <v>0</v>
      </c>
      <c r="G896" s="67">
        <f>'Historical VAR'!$G$6</f>
        <v>-1.9839729167757107E-2</v>
      </c>
      <c r="H896">
        <f t="shared" si="83"/>
        <v>0</v>
      </c>
      <c r="I896" s="67">
        <f>'Historical VAR'!$G$7</f>
        <v>-3.1428916759065853E-2</v>
      </c>
      <c r="J896">
        <f t="shared" si="84"/>
        <v>0</v>
      </c>
      <c r="K896" s="67">
        <f ca="1">'Monte Carlo Stimulation'!$I$8</f>
        <v>-2.1559270710709389E-2</v>
      </c>
      <c r="L896">
        <f t="shared" ca="1" si="85"/>
        <v>0</v>
      </c>
      <c r="M896" s="67">
        <f ca="1">'Monte Carlo Stimulation'!$I$9</f>
        <v>-2.919314405717207E-2</v>
      </c>
      <c r="N896">
        <f t="shared" ca="1" si="86"/>
        <v>0</v>
      </c>
    </row>
    <row r="897" spans="1:14">
      <c r="A897" s="12">
        <v>44795</v>
      </c>
      <c r="B897" s="14">
        <v>-9.7536576710064045E-4</v>
      </c>
      <c r="C897" s="67">
        <f>'Parametric VAR'!$F$12</f>
        <v>-2.023068247926026E-2</v>
      </c>
      <c r="D897">
        <f t="shared" si="81"/>
        <v>0</v>
      </c>
      <c r="E897" s="67">
        <f>'Parametric VAR'!$F$13</f>
        <v>-2.8682193012943492E-2</v>
      </c>
      <c r="F897">
        <f t="shared" si="82"/>
        <v>0</v>
      </c>
      <c r="G897" s="67">
        <f>'Historical VAR'!$G$6</f>
        <v>-1.9839729167757107E-2</v>
      </c>
      <c r="H897">
        <f t="shared" si="83"/>
        <v>0</v>
      </c>
      <c r="I897" s="67">
        <f>'Historical VAR'!$G$7</f>
        <v>-3.1428916759065853E-2</v>
      </c>
      <c r="J897">
        <f t="shared" si="84"/>
        <v>0</v>
      </c>
      <c r="K897" s="67">
        <f ca="1">'Monte Carlo Stimulation'!$I$8</f>
        <v>-2.1559270710709389E-2</v>
      </c>
      <c r="L897">
        <f t="shared" ca="1" si="85"/>
        <v>0</v>
      </c>
      <c r="M897" s="67">
        <f ca="1">'Monte Carlo Stimulation'!$I$9</f>
        <v>-2.919314405717207E-2</v>
      </c>
      <c r="N897">
        <f t="shared" ca="1" si="86"/>
        <v>0</v>
      </c>
    </row>
    <row r="898" spans="1:14">
      <c r="A898" s="12">
        <v>44792</v>
      </c>
      <c r="B898" s="14">
        <v>3.5125031880386522E-2</v>
      </c>
      <c r="C898" s="67">
        <f>'Parametric VAR'!$F$12</f>
        <v>-2.023068247926026E-2</v>
      </c>
      <c r="D898">
        <f t="shared" si="81"/>
        <v>0</v>
      </c>
      <c r="E898" s="67">
        <f>'Parametric VAR'!$F$13</f>
        <v>-2.8682193012943492E-2</v>
      </c>
      <c r="F898">
        <f t="shared" si="82"/>
        <v>0</v>
      </c>
      <c r="G898" s="67">
        <f>'Historical VAR'!$G$6</f>
        <v>-1.9839729167757107E-2</v>
      </c>
      <c r="H898">
        <f t="shared" si="83"/>
        <v>0</v>
      </c>
      <c r="I898" s="67">
        <f>'Historical VAR'!$G$7</f>
        <v>-3.1428916759065853E-2</v>
      </c>
      <c r="J898">
        <f t="shared" si="84"/>
        <v>0</v>
      </c>
      <c r="K898" s="67">
        <f ca="1">'Monte Carlo Stimulation'!$I$8</f>
        <v>-2.1559270710709389E-2</v>
      </c>
      <c r="L898">
        <f t="shared" ca="1" si="85"/>
        <v>0</v>
      </c>
      <c r="M898" s="67">
        <f ca="1">'Monte Carlo Stimulation'!$I$9</f>
        <v>-2.919314405717207E-2</v>
      </c>
      <c r="N898">
        <f t="shared" ca="1" si="86"/>
        <v>0</v>
      </c>
    </row>
    <row r="899" spans="1:14">
      <c r="A899" s="12">
        <v>44791</v>
      </c>
      <c r="B899" s="14">
        <v>1.4246929023463436E-2</v>
      </c>
      <c r="C899" s="67">
        <f>'Parametric VAR'!$F$12</f>
        <v>-2.023068247926026E-2</v>
      </c>
      <c r="D899">
        <f t="shared" si="81"/>
        <v>0</v>
      </c>
      <c r="E899" s="67">
        <f>'Parametric VAR'!$F$13</f>
        <v>-2.8682193012943492E-2</v>
      </c>
      <c r="F899">
        <f t="shared" si="82"/>
        <v>0</v>
      </c>
      <c r="G899" s="67">
        <f>'Historical VAR'!$G$6</f>
        <v>-1.9839729167757107E-2</v>
      </c>
      <c r="H899">
        <f t="shared" si="83"/>
        <v>0</v>
      </c>
      <c r="I899" s="67">
        <f>'Historical VAR'!$G$7</f>
        <v>-3.1428916759065853E-2</v>
      </c>
      <c r="J899">
        <f t="shared" si="84"/>
        <v>0</v>
      </c>
      <c r="K899" s="67">
        <f ca="1">'Monte Carlo Stimulation'!$I$8</f>
        <v>-2.1559270710709389E-2</v>
      </c>
      <c r="L899">
        <f t="shared" ca="1" si="85"/>
        <v>0</v>
      </c>
      <c r="M899" s="67">
        <f ca="1">'Monte Carlo Stimulation'!$I$9</f>
        <v>-2.919314405717207E-2</v>
      </c>
      <c r="N899">
        <f t="shared" ca="1" si="86"/>
        <v>0</v>
      </c>
    </row>
    <row r="900" spans="1:14">
      <c r="A900" s="12">
        <v>44790</v>
      </c>
      <c r="B900" s="14">
        <v>-2.7311782845559763E-3</v>
      </c>
      <c r="C900" s="67">
        <f>'Parametric VAR'!$F$12</f>
        <v>-2.023068247926026E-2</v>
      </c>
      <c r="D900">
        <f t="shared" ref="D900:D963" si="87">IF(B900&lt;C900,1,0)</f>
        <v>0</v>
      </c>
      <c r="E900" s="67">
        <f>'Parametric VAR'!$F$13</f>
        <v>-2.8682193012943492E-2</v>
      </c>
      <c r="F900">
        <f t="shared" ref="F900:F963" si="88">IF(B900&lt;E900,1,0)</f>
        <v>0</v>
      </c>
      <c r="G900" s="67">
        <f>'Historical VAR'!$G$6</f>
        <v>-1.9839729167757107E-2</v>
      </c>
      <c r="H900">
        <f t="shared" ref="H900:H963" si="89">IF(B900&lt;G900,1,0)</f>
        <v>0</v>
      </c>
      <c r="I900" s="67">
        <f>'Historical VAR'!$G$7</f>
        <v>-3.1428916759065853E-2</v>
      </c>
      <c r="J900">
        <f t="shared" ref="J900:J963" si="90">IF(B900&lt;I900,1,0)</f>
        <v>0</v>
      </c>
      <c r="K900" s="67">
        <f ca="1">'Monte Carlo Stimulation'!$I$8</f>
        <v>-2.1559270710709389E-2</v>
      </c>
      <c r="L900">
        <f t="shared" ref="L900:L963" ca="1" si="91">IF(B900&lt;K900,1,0)</f>
        <v>0</v>
      </c>
      <c r="M900" s="67">
        <f ca="1">'Monte Carlo Stimulation'!$I$9</f>
        <v>-2.919314405717207E-2</v>
      </c>
      <c r="N900">
        <f t="shared" ref="N900:N963" ca="1" si="92">IF(B900&lt;M900,1,0)</f>
        <v>0</v>
      </c>
    </row>
    <row r="901" spans="1:14">
      <c r="A901" s="12">
        <v>44789</v>
      </c>
      <c r="B901" s="14">
        <v>-1.1560230285656262E-2</v>
      </c>
      <c r="C901" s="67">
        <f>'Parametric VAR'!$F$12</f>
        <v>-2.023068247926026E-2</v>
      </c>
      <c r="D901">
        <f t="shared" si="87"/>
        <v>0</v>
      </c>
      <c r="E901" s="67">
        <f>'Parametric VAR'!$F$13</f>
        <v>-2.8682193012943492E-2</v>
      </c>
      <c r="F901">
        <f t="shared" si="88"/>
        <v>0</v>
      </c>
      <c r="G901" s="67">
        <f>'Historical VAR'!$G$6</f>
        <v>-1.9839729167757107E-2</v>
      </c>
      <c r="H901">
        <f t="shared" si="89"/>
        <v>0</v>
      </c>
      <c r="I901" s="67">
        <f>'Historical VAR'!$G$7</f>
        <v>-3.1428916759065853E-2</v>
      </c>
      <c r="J901">
        <f t="shared" si="90"/>
        <v>0</v>
      </c>
      <c r="K901" s="67">
        <f ca="1">'Monte Carlo Stimulation'!$I$8</f>
        <v>-2.1559270710709389E-2</v>
      </c>
      <c r="L901">
        <f t="shared" ca="1" si="91"/>
        <v>0</v>
      </c>
      <c r="M901" s="67">
        <f ca="1">'Monte Carlo Stimulation'!$I$9</f>
        <v>-2.919314405717207E-2</v>
      </c>
      <c r="N901">
        <f t="shared" ca="1" si="92"/>
        <v>0</v>
      </c>
    </row>
    <row r="902" spans="1:14">
      <c r="A902" s="12">
        <v>44785</v>
      </c>
      <c r="B902" s="14">
        <v>-1.6981960476833986E-2</v>
      </c>
      <c r="C902" s="67">
        <f>'Parametric VAR'!$F$12</f>
        <v>-2.023068247926026E-2</v>
      </c>
      <c r="D902">
        <f t="shared" si="87"/>
        <v>0</v>
      </c>
      <c r="E902" s="67">
        <f>'Parametric VAR'!$F$13</f>
        <v>-2.8682193012943492E-2</v>
      </c>
      <c r="F902">
        <f t="shared" si="88"/>
        <v>0</v>
      </c>
      <c r="G902" s="67">
        <f>'Historical VAR'!$G$6</f>
        <v>-1.9839729167757107E-2</v>
      </c>
      <c r="H902">
        <f t="shared" si="89"/>
        <v>0</v>
      </c>
      <c r="I902" s="67">
        <f>'Historical VAR'!$G$7</f>
        <v>-3.1428916759065853E-2</v>
      </c>
      <c r="J902">
        <f t="shared" si="90"/>
        <v>0</v>
      </c>
      <c r="K902" s="67">
        <f ca="1">'Monte Carlo Stimulation'!$I$8</f>
        <v>-2.1559270710709389E-2</v>
      </c>
      <c r="L902">
        <f t="shared" ca="1" si="91"/>
        <v>0</v>
      </c>
      <c r="M902" s="67">
        <f ca="1">'Monte Carlo Stimulation'!$I$9</f>
        <v>-2.919314405717207E-2</v>
      </c>
      <c r="N902">
        <f t="shared" ca="1" si="92"/>
        <v>0</v>
      </c>
    </row>
    <row r="903" spans="1:14">
      <c r="A903" s="12">
        <v>44784</v>
      </c>
      <c r="B903" s="14">
        <v>-3.1712889924422135E-3</v>
      </c>
      <c r="C903" s="67">
        <f>'Parametric VAR'!$F$12</f>
        <v>-2.023068247926026E-2</v>
      </c>
      <c r="D903">
        <f t="shared" si="87"/>
        <v>0</v>
      </c>
      <c r="E903" s="67">
        <f>'Parametric VAR'!$F$13</f>
        <v>-2.8682193012943492E-2</v>
      </c>
      <c r="F903">
        <f t="shared" si="88"/>
        <v>0</v>
      </c>
      <c r="G903" s="67">
        <f>'Historical VAR'!$G$6</f>
        <v>-1.9839729167757107E-2</v>
      </c>
      <c r="H903">
        <f t="shared" si="89"/>
        <v>0</v>
      </c>
      <c r="I903" s="67">
        <f>'Historical VAR'!$G$7</f>
        <v>-3.1428916759065853E-2</v>
      </c>
      <c r="J903">
        <f t="shared" si="90"/>
        <v>0</v>
      </c>
      <c r="K903" s="67">
        <f ca="1">'Monte Carlo Stimulation'!$I$8</f>
        <v>-2.1559270710709389E-2</v>
      </c>
      <c r="L903">
        <f t="shared" ca="1" si="91"/>
        <v>0</v>
      </c>
      <c r="M903" s="67">
        <f ca="1">'Monte Carlo Stimulation'!$I$9</f>
        <v>-2.919314405717207E-2</v>
      </c>
      <c r="N903">
        <f t="shared" ca="1" si="92"/>
        <v>0</v>
      </c>
    </row>
    <row r="904" spans="1:14">
      <c r="A904" s="12">
        <v>44783</v>
      </c>
      <c r="B904" s="14">
        <v>-1.6109933056752651E-3</v>
      </c>
      <c r="C904" s="67">
        <f>'Parametric VAR'!$F$12</f>
        <v>-2.023068247926026E-2</v>
      </c>
      <c r="D904">
        <f t="shared" si="87"/>
        <v>0</v>
      </c>
      <c r="E904" s="67">
        <f>'Parametric VAR'!$F$13</f>
        <v>-2.8682193012943492E-2</v>
      </c>
      <c r="F904">
        <f t="shared" si="88"/>
        <v>0</v>
      </c>
      <c r="G904" s="67">
        <f>'Historical VAR'!$G$6</f>
        <v>-1.9839729167757107E-2</v>
      </c>
      <c r="H904">
        <f t="shared" si="89"/>
        <v>0</v>
      </c>
      <c r="I904" s="67">
        <f>'Historical VAR'!$G$7</f>
        <v>-3.1428916759065853E-2</v>
      </c>
      <c r="J904">
        <f t="shared" si="90"/>
        <v>0</v>
      </c>
      <c r="K904" s="67">
        <f ca="1">'Monte Carlo Stimulation'!$I$8</f>
        <v>-2.1559270710709389E-2</v>
      </c>
      <c r="L904">
        <f t="shared" ca="1" si="91"/>
        <v>0</v>
      </c>
      <c r="M904" s="67">
        <f ca="1">'Monte Carlo Stimulation'!$I$9</f>
        <v>-2.919314405717207E-2</v>
      </c>
      <c r="N904">
        <f t="shared" ca="1" si="92"/>
        <v>0</v>
      </c>
    </row>
    <row r="905" spans="1:14">
      <c r="A905" s="12">
        <v>44781</v>
      </c>
      <c r="B905" s="14">
        <v>1.1488851018946755E-2</v>
      </c>
      <c r="C905" s="67">
        <f>'Parametric VAR'!$F$12</f>
        <v>-2.023068247926026E-2</v>
      </c>
      <c r="D905">
        <f t="shared" si="87"/>
        <v>0</v>
      </c>
      <c r="E905" s="67">
        <f>'Parametric VAR'!$F$13</f>
        <v>-2.8682193012943492E-2</v>
      </c>
      <c r="F905">
        <f t="shared" si="88"/>
        <v>0</v>
      </c>
      <c r="G905" s="67">
        <f>'Historical VAR'!$G$6</f>
        <v>-1.9839729167757107E-2</v>
      </c>
      <c r="H905">
        <f t="shared" si="89"/>
        <v>0</v>
      </c>
      <c r="I905" s="67">
        <f>'Historical VAR'!$G$7</f>
        <v>-3.1428916759065853E-2</v>
      </c>
      <c r="J905">
        <f t="shared" si="90"/>
        <v>0</v>
      </c>
      <c r="K905" s="67">
        <f ca="1">'Monte Carlo Stimulation'!$I$8</f>
        <v>-2.1559270710709389E-2</v>
      </c>
      <c r="L905">
        <f t="shared" ca="1" si="91"/>
        <v>0</v>
      </c>
      <c r="M905" s="67">
        <f ca="1">'Monte Carlo Stimulation'!$I$9</f>
        <v>-2.919314405717207E-2</v>
      </c>
      <c r="N905">
        <f t="shared" ca="1" si="92"/>
        <v>0</v>
      </c>
    </row>
    <row r="906" spans="1:14">
      <c r="A906" s="12">
        <v>44778</v>
      </c>
      <c r="B906" s="14">
        <v>3.1543974010574309E-3</v>
      </c>
      <c r="C906" s="67">
        <f>'Parametric VAR'!$F$12</f>
        <v>-2.023068247926026E-2</v>
      </c>
      <c r="D906">
        <f t="shared" si="87"/>
        <v>0</v>
      </c>
      <c r="E906" s="67">
        <f>'Parametric VAR'!$F$13</f>
        <v>-2.8682193012943492E-2</v>
      </c>
      <c r="F906">
        <f t="shared" si="88"/>
        <v>0</v>
      </c>
      <c r="G906" s="67">
        <f>'Historical VAR'!$G$6</f>
        <v>-1.9839729167757107E-2</v>
      </c>
      <c r="H906">
        <f t="shared" si="89"/>
        <v>0</v>
      </c>
      <c r="I906" s="67">
        <f>'Historical VAR'!$G$7</f>
        <v>-3.1428916759065853E-2</v>
      </c>
      <c r="J906">
        <f t="shared" si="90"/>
        <v>0</v>
      </c>
      <c r="K906" s="67">
        <f ca="1">'Monte Carlo Stimulation'!$I$8</f>
        <v>-2.1559270710709389E-2</v>
      </c>
      <c r="L906">
        <f t="shared" ca="1" si="91"/>
        <v>0</v>
      </c>
      <c r="M906" s="67">
        <f ca="1">'Monte Carlo Stimulation'!$I$9</f>
        <v>-2.919314405717207E-2</v>
      </c>
      <c r="N906">
        <f t="shared" ca="1" si="92"/>
        <v>0</v>
      </c>
    </row>
    <row r="907" spans="1:14">
      <c r="A907" s="12">
        <v>44777</v>
      </c>
      <c r="B907" s="14">
        <v>-4.6638626781988473E-3</v>
      </c>
      <c r="C907" s="67">
        <f>'Parametric VAR'!$F$12</f>
        <v>-2.023068247926026E-2</v>
      </c>
      <c r="D907">
        <f t="shared" si="87"/>
        <v>0</v>
      </c>
      <c r="E907" s="67">
        <f>'Parametric VAR'!$F$13</f>
        <v>-2.8682193012943492E-2</v>
      </c>
      <c r="F907">
        <f t="shared" si="88"/>
        <v>0</v>
      </c>
      <c r="G907" s="67">
        <f>'Historical VAR'!$G$6</f>
        <v>-1.9839729167757107E-2</v>
      </c>
      <c r="H907">
        <f t="shared" si="89"/>
        <v>0</v>
      </c>
      <c r="I907" s="67">
        <f>'Historical VAR'!$G$7</f>
        <v>-3.1428916759065853E-2</v>
      </c>
      <c r="J907">
        <f t="shared" si="90"/>
        <v>0</v>
      </c>
      <c r="K907" s="67">
        <f ca="1">'Monte Carlo Stimulation'!$I$8</f>
        <v>-2.1559270710709389E-2</v>
      </c>
      <c r="L907">
        <f t="shared" ca="1" si="91"/>
        <v>0</v>
      </c>
      <c r="M907" s="67">
        <f ca="1">'Monte Carlo Stimulation'!$I$9</f>
        <v>-2.919314405717207E-2</v>
      </c>
      <c r="N907">
        <f t="shared" ca="1" si="92"/>
        <v>0</v>
      </c>
    </row>
    <row r="908" spans="1:14">
      <c r="A908" s="12">
        <v>44776</v>
      </c>
      <c r="B908" s="14">
        <v>-5.5449512980781457E-3</v>
      </c>
      <c r="C908" s="67">
        <f>'Parametric VAR'!$F$12</f>
        <v>-2.023068247926026E-2</v>
      </c>
      <c r="D908">
        <f t="shared" si="87"/>
        <v>0</v>
      </c>
      <c r="E908" s="67">
        <f>'Parametric VAR'!$F$13</f>
        <v>-2.8682193012943492E-2</v>
      </c>
      <c r="F908">
        <f t="shared" si="88"/>
        <v>0</v>
      </c>
      <c r="G908" s="67">
        <f>'Historical VAR'!$G$6</f>
        <v>-1.9839729167757107E-2</v>
      </c>
      <c r="H908">
        <f t="shared" si="89"/>
        <v>0</v>
      </c>
      <c r="I908" s="67">
        <f>'Historical VAR'!$G$7</f>
        <v>-3.1428916759065853E-2</v>
      </c>
      <c r="J908">
        <f t="shared" si="90"/>
        <v>0</v>
      </c>
      <c r="K908" s="67">
        <f ca="1">'Monte Carlo Stimulation'!$I$8</f>
        <v>-2.1559270710709389E-2</v>
      </c>
      <c r="L908">
        <f t="shared" ca="1" si="91"/>
        <v>0</v>
      </c>
      <c r="M908" s="67">
        <f ca="1">'Monte Carlo Stimulation'!$I$9</f>
        <v>-2.919314405717207E-2</v>
      </c>
      <c r="N908">
        <f t="shared" ca="1" si="92"/>
        <v>0</v>
      </c>
    </row>
    <row r="909" spans="1:14">
      <c r="A909" s="12">
        <v>44775</v>
      </c>
      <c r="B909" s="14">
        <v>-9.5996083022701871E-3</v>
      </c>
      <c r="C909" s="67">
        <f>'Parametric VAR'!$F$12</f>
        <v>-2.023068247926026E-2</v>
      </c>
      <c r="D909">
        <f t="shared" si="87"/>
        <v>0</v>
      </c>
      <c r="E909" s="67">
        <f>'Parametric VAR'!$F$13</f>
        <v>-2.8682193012943492E-2</v>
      </c>
      <c r="F909">
        <f t="shared" si="88"/>
        <v>0</v>
      </c>
      <c r="G909" s="67">
        <f>'Historical VAR'!$G$6</f>
        <v>-1.9839729167757107E-2</v>
      </c>
      <c r="H909">
        <f t="shared" si="89"/>
        <v>0</v>
      </c>
      <c r="I909" s="67">
        <f>'Historical VAR'!$G$7</f>
        <v>-3.1428916759065853E-2</v>
      </c>
      <c r="J909">
        <f t="shared" si="90"/>
        <v>0</v>
      </c>
      <c r="K909" s="67">
        <f ca="1">'Monte Carlo Stimulation'!$I$8</f>
        <v>-2.1559270710709389E-2</v>
      </c>
      <c r="L909">
        <f t="shared" ca="1" si="91"/>
        <v>0</v>
      </c>
      <c r="M909" s="67">
        <f ca="1">'Monte Carlo Stimulation'!$I$9</f>
        <v>-2.919314405717207E-2</v>
      </c>
      <c r="N909">
        <f t="shared" ca="1" si="92"/>
        <v>0</v>
      </c>
    </row>
    <row r="910" spans="1:14">
      <c r="A910" s="12">
        <v>44774</v>
      </c>
      <c r="B910" s="14">
        <v>-3.1405891313211184E-2</v>
      </c>
      <c r="C910" s="67">
        <f>'Parametric VAR'!$F$12</f>
        <v>-2.023068247926026E-2</v>
      </c>
      <c r="D910">
        <f t="shared" si="87"/>
        <v>1</v>
      </c>
      <c r="E910" s="67">
        <f>'Parametric VAR'!$F$13</f>
        <v>-2.8682193012943492E-2</v>
      </c>
      <c r="F910">
        <f t="shared" si="88"/>
        <v>1</v>
      </c>
      <c r="G910" s="67">
        <f>'Historical VAR'!$G$6</f>
        <v>-1.9839729167757107E-2</v>
      </c>
      <c r="H910">
        <f t="shared" si="89"/>
        <v>1</v>
      </c>
      <c r="I910" s="67">
        <f>'Historical VAR'!$G$7</f>
        <v>-3.1428916759065853E-2</v>
      </c>
      <c r="J910">
        <f t="shared" si="90"/>
        <v>0</v>
      </c>
      <c r="K910" s="67">
        <f ca="1">'Monte Carlo Stimulation'!$I$8</f>
        <v>-2.1559270710709389E-2</v>
      </c>
      <c r="L910">
        <f t="shared" ca="1" si="91"/>
        <v>1</v>
      </c>
      <c r="M910" s="67">
        <f ca="1">'Monte Carlo Stimulation'!$I$9</f>
        <v>-2.919314405717207E-2</v>
      </c>
      <c r="N910">
        <f t="shared" ca="1" si="92"/>
        <v>1</v>
      </c>
    </row>
    <row r="911" spans="1:14">
      <c r="A911" s="12">
        <v>44771</v>
      </c>
      <c r="B911" s="14">
        <v>-3.144806555549007E-3</v>
      </c>
      <c r="C911" s="67">
        <f>'Parametric VAR'!$F$12</f>
        <v>-2.023068247926026E-2</v>
      </c>
      <c r="D911">
        <f t="shared" si="87"/>
        <v>0</v>
      </c>
      <c r="E911" s="67">
        <f>'Parametric VAR'!$F$13</f>
        <v>-2.8682193012943492E-2</v>
      </c>
      <c r="F911">
        <f t="shared" si="88"/>
        <v>0</v>
      </c>
      <c r="G911" s="67">
        <f>'Historical VAR'!$G$6</f>
        <v>-1.9839729167757107E-2</v>
      </c>
      <c r="H911">
        <f t="shared" si="89"/>
        <v>0</v>
      </c>
      <c r="I911" s="67">
        <f>'Historical VAR'!$G$7</f>
        <v>-3.1428916759065853E-2</v>
      </c>
      <c r="J911">
        <f t="shared" si="90"/>
        <v>0</v>
      </c>
      <c r="K911" s="67">
        <f ca="1">'Monte Carlo Stimulation'!$I$8</f>
        <v>-2.1559270710709389E-2</v>
      </c>
      <c r="L911">
        <f t="shared" ca="1" si="91"/>
        <v>0</v>
      </c>
      <c r="M911" s="67">
        <f ca="1">'Monte Carlo Stimulation'!$I$9</f>
        <v>-2.919314405717207E-2</v>
      </c>
      <c r="N911">
        <f t="shared" ca="1" si="92"/>
        <v>0</v>
      </c>
    </row>
    <row r="912" spans="1:14">
      <c r="A912" s="12">
        <v>44770</v>
      </c>
      <c r="B912" s="14">
        <v>-1.3892205388593462E-2</v>
      </c>
      <c r="C912" s="67">
        <f>'Parametric VAR'!$F$12</f>
        <v>-2.023068247926026E-2</v>
      </c>
      <c r="D912">
        <f t="shared" si="87"/>
        <v>0</v>
      </c>
      <c r="E912" s="67">
        <f>'Parametric VAR'!$F$13</f>
        <v>-2.8682193012943492E-2</v>
      </c>
      <c r="F912">
        <f t="shared" si="88"/>
        <v>0</v>
      </c>
      <c r="G912" s="67">
        <f>'Historical VAR'!$G$6</f>
        <v>-1.9839729167757107E-2</v>
      </c>
      <c r="H912">
        <f t="shared" si="89"/>
        <v>0</v>
      </c>
      <c r="I912" s="67">
        <f>'Historical VAR'!$G$7</f>
        <v>-3.1428916759065853E-2</v>
      </c>
      <c r="J912">
        <f t="shared" si="90"/>
        <v>0</v>
      </c>
      <c r="K912" s="67">
        <f ca="1">'Monte Carlo Stimulation'!$I$8</f>
        <v>-2.1559270710709389E-2</v>
      </c>
      <c r="L912">
        <f t="shared" ca="1" si="91"/>
        <v>0</v>
      </c>
      <c r="M912" s="67">
        <f ca="1">'Monte Carlo Stimulation'!$I$9</f>
        <v>-2.919314405717207E-2</v>
      </c>
      <c r="N912">
        <f t="shared" ca="1" si="92"/>
        <v>0</v>
      </c>
    </row>
    <row r="913" spans="1:14">
      <c r="A913" s="12">
        <v>44769</v>
      </c>
      <c r="B913" s="14">
        <v>-2.5673271244713965E-2</v>
      </c>
      <c r="C913" s="67">
        <f>'Parametric VAR'!$F$12</f>
        <v>-2.023068247926026E-2</v>
      </c>
      <c r="D913">
        <f t="shared" si="87"/>
        <v>1</v>
      </c>
      <c r="E913" s="67">
        <f>'Parametric VAR'!$F$13</f>
        <v>-2.8682193012943492E-2</v>
      </c>
      <c r="F913">
        <f t="shared" si="88"/>
        <v>0</v>
      </c>
      <c r="G913" s="67">
        <f>'Historical VAR'!$G$6</f>
        <v>-1.9839729167757107E-2</v>
      </c>
      <c r="H913">
        <f t="shared" si="89"/>
        <v>1</v>
      </c>
      <c r="I913" s="67">
        <f>'Historical VAR'!$G$7</f>
        <v>-3.1428916759065853E-2</v>
      </c>
      <c r="J913">
        <f t="shared" si="90"/>
        <v>0</v>
      </c>
      <c r="K913" s="67">
        <f ca="1">'Monte Carlo Stimulation'!$I$8</f>
        <v>-2.1559270710709389E-2</v>
      </c>
      <c r="L913">
        <f t="shared" ca="1" si="91"/>
        <v>1</v>
      </c>
      <c r="M913" s="67">
        <f ca="1">'Monte Carlo Stimulation'!$I$9</f>
        <v>-2.919314405717207E-2</v>
      </c>
      <c r="N913">
        <f t="shared" ca="1" si="92"/>
        <v>0</v>
      </c>
    </row>
    <row r="914" spans="1:14">
      <c r="A914" s="12">
        <v>44768</v>
      </c>
      <c r="B914" s="14">
        <v>-2.1491521391912728E-2</v>
      </c>
      <c r="C914" s="67">
        <f>'Parametric VAR'!$F$12</f>
        <v>-2.023068247926026E-2</v>
      </c>
      <c r="D914">
        <f t="shared" si="87"/>
        <v>1</v>
      </c>
      <c r="E914" s="67">
        <f>'Parametric VAR'!$F$13</f>
        <v>-2.8682193012943492E-2</v>
      </c>
      <c r="F914">
        <f t="shared" si="88"/>
        <v>0</v>
      </c>
      <c r="G914" s="67">
        <f>'Historical VAR'!$G$6</f>
        <v>-1.9839729167757107E-2</v>
      </c>
      <c r="H914">
        <f t="shared" si="89"/>
        <v>1</v>
      </c>
      <c r="I914" s="67">
        <f>'Historical VAR'!$G$7</f>
        <v>-3.1428916759065853E-2</v>
      </c>
      <c r="J914">
        <f t="shared" si="90"/>
        <v>0</v>
      </c>
      <c r="K914" s="67">
        <f ca="1">'Monte Carlo Stimulation'!$I$8</f>
        <v>-2.1559270710709389E-2</v>
      </c>
      <c r="L914">
        <f t="shared" ca="1" si="91"/>
        <v>0</v>
      </c>
      <c r="M914" s="67">
        <f ca="1">'Monte Carlo Stimulation'!$I$9</f>
        <v>-2.919314405717207E-2</v>
      </c>
      <c r="N914">
        <f t="shared" ca="1" si="92"/>
        <v>0</v>
      </c>
    </row>
    <row r="915" spans="1:14">
      <c r="A915" s="12">
        <v>44767</v>
      </c>
      <c r="B915" s="14">
        <v>2.1366531277911913E-3</v>
      </c>
      <c r="C915" s="67">
        <f>'Parametric VAR'!$F$12</f>
        <v>-2.023068247926026E-2</v>
      </c>
      <c r="D915">
        <f t="shared" si="87"/>
        <v>0</v>
      </c>
      <c r="E915" s="67">
        <f>'Parametric VAR'!$F$13</f>
        <v>-2.8682193012943492E-2</v>
      </c>
      <c r="F915">
        <f t="shared" si="88"/>
        <v>0</v>
      </c>
      <c r="G915" s="67">
        <f>'Historical VAR'!$G$6</f>
        <v>-1.9839729167757107E-2</v>
      </c>
      <c r="H915">
        <f t="shared" si="89"/>
        <v>0</v>
      </c>
      <c r="I915" s="67">
        <f>'Historical VAR'!$G$7</f>
        <v>-3.1428916759065853E-2</v>
      </c>
      <c r="J915">
        <f t="shared" si="90"/>
        <v>0</v>
      </c>
      <c r="K915" s="67">
        <f ca="1">'Monte Carlo Stimulation'!$I$8</f>
        <v>-2.1559270710709389E-2</v>
      </c>
      <c r="L915">
        <f t="shared" ca="1" si="91"/>
        <v>0</v>
      </c>
      <c r="M915" s="67">
        <f ca="1">'Monte Carlo Stimulation'!$I$9</f>
        <v>-2.919314405717207E-2</v>
      </c>
      <c r="N915">
        <f t="shared" ca="1" si="92"/>
        <v>0</v>
      </c>
    </row>
    <row r="916" spans="1:14">
      <c r="A916" s="12">
        <v>44764</v>
      </c>
      <c r="B916" s="14">
        <v>-1.0543957090334363E-2</v>
      </c>
      <c r="C916" s="67">
        <f>'Parametric VAR'!$F$12</f>
        <v>-2.023068247926026E-2</v>
      </c>
      <c r="D916">
        <f t="shared" si="87"/>
        <v>0</v>
      </c>
      <c r="E916" s="67">
        <f>'Parametric VAR'!$F$13</f>
        <v>-2.8682193012943492E-2</v>
      </c>
      <c r="F916">
        <f t="shared" si="88"/>
        <v>0</v>
      </c>
      <c r="G916" s="67">
        <f>'Historical VAR'!$G$6</f>
        <v>-1.9839729167757107E-2</v>
      </c>
      <c r="H916">
        <f t="shared" si="89"/>
        <v>0</v>
      </c>
      <c r="I916" s="67">
        <f>'Historical VAR'!$G$7</f>
        <v>-3.1428916759065853E-2</v>
      </c>
      <c r="J916">
        <f t="shared" si="90"/>
        <v>0</v>
      </c>
      <c r="K916" s="67">
        <f ca="1">'Monte Carlo Stimulation'!$I$8</f>
        <v>-2.1559270710709389E-2</v>
      </c>
      <c r="L916">
        <f t="shared" ca="1" si="91"/>
        <v>0</v>
      </c>
      <c r="M916" s="67">
        <f ca="1">'Monte Carlo Stimulation'!$I$9</f>
        <v>-2.919314405717207E-2</v>
      </c>
      <c r="N916">
        <f t="shared" ca="1" si="92"/>
        <v>0</v>
      </c>
    </row>
    <row r="917" spans="1:14">
      <c r="A917" s="12">
        <v>44763</v>
      </c>
      <c r="B917" s="14">
        <v>7.0038221482656782E-5</v>
      </c>
      <c r="C917" s="67">
        <f>'Parametric VAR'!$F$12</f>
        <v>-2.023068247926026E-2</v>
      </c>
      <c r="D917">
        <f t="shared" si="87"/>
        <v>0</v>
      </c>
      <c r="E917" s="67">
        <f>'Parametric VAR'!$F$13</f>
        <v>-2.8682193012943492E-2</v>
      </c>
      <c r="F917">
        <f t="shared" si="88"/>
        <v>0</v>
      </c>
      <c r="G917" s="67">
        <f>'Historical VAR'!$G$6</f>
        <v>-1.9839729167757107E-2</v>
      </c>
      <c r="H917">
        <f t="shared" si="89"/>
        <v>0</v>
      </c>
      <c r="I917" s="67">
        <f>'Historical VAR'!$G$7</f>
        <v>-3.1428916759065853E-2</v>
      </c>
      <c r="J917">
        <f t="shared" si="90"/>
        <v>0</v>
      </c>
      <c r="K917" s="67">
        <f ca="1">'Monte Carlo Stimulation'!$I$8</f>
        <v>-2.1559270710709389E-2</v>
      </c>
      <c r="L917">
        <f t="shared" ca="1" si="91"/>
        <v>0</v>
      </c>
      <c r="M917" s="67">
        <f ca="1">'Monte Carlo Stimulation'!$I$9</f>
        <v>-2.919314405717207E-2</v>
      </c>
      <c r="N917">
        <f t="shared" ca="1" si="92"/>
        <v>0</v>
      </c>
    </row>
    <row r="918" spans="1:14">
      <c r="A918" s="12">
        <v>44762</v>
      </c>
      <c r="B918" s="14">
        <v>-1.8194536234724563E-2</v>
      </c>
      <c r="C918" s="67">
        <f>'Parametric VAR'!$F$12</f>
        <v>-2.023068247926026E-2</v>
      </c>
      <c r="D918">
        <f t="shared" si="87"/>
        <v>0</v>
      </c>
      <c r="E918" s="67">
        <f>'Parametric VAR'!$F$13</f>
        <v>-2.8682193012943492E-2</v>
      </c>
      <c r="F918">
        <f t="shared" si="88"/>
        <v>0</v>
      </c>
      <c r="G918" s="67">
        <f>'Historical VAR'!$G$6</f>
        <v>-1.9839729167757107E-2</v>
      </c>
      <c r="H918">
        <f t="shared" si="89"/>
        <v>0</v>
      </c>
      <c r="I918" s="67">
        <f>'Historical VAR'!$G$7</f>
        <v>-3.1428916759065853E-2</v>
      </c>
      <c r="J918">
        <f t="shared" si="90"/>
        <v>0</v>
      </c>
      <c r="K918" s="67">
        <f ca="1">'Monte Carlo Stimulation'!$I$8</f>
        <v>-2.1559270710709389E-2</v>
      </c>
      <c r="L918">
        <f t="shared" ca="1" si="91"/>
        <v>0</v>
      </c>
      <c r="M918" s="67">
        <f ca="1">'Monte Carlo Stimulation'!$I$9</f>
        <v>-2.919314405717207E-2</v>
      </c>
      <c r="N918">
        <f t="shared" ca="1" si="92"/>
        <v>0</v>
      </c>
    </row>
    <row r="919" spans="1:14">
      <c r="A919" s="12">
        <v>44761</v>
      </c>
      <c r="B919" s="14">
        <v>2.725166803044229E-3</v>
      </c>
      <c r="C919" s="67">
        <f>'Parametric VAR'!$F$12</f>
        <v>-2.023068247926026E-2</v>
      </c>
      <c r="D919">
        <f t="shared" si="87"/>
        <v>0</v>
      </c>
      <c r="E919" s="67">
        <f>'Parametric VAR'!$F$13</f>
        <v>-2.8682193012943492E-2</v>
      </c>
      <c r="F919">
        <f t="shared" si="88"/>
        <v>0</v>
      </c>
      <c r="G919" s="67">
        <f>'Historical VAR'!$G$6</f>
        <v>-1.9839729167757107E-2</v>
      </c>
      <c r="H919">
        <f t="shared" si="89"/>
        <v>0</v>
      </c>
      <c r="I919" s="67">
        <f>'Historical VAR'!$G$7</f>
        <v>-3.1428916759065853E-2</v>
      </c>
      <c r="J919">
        <f t="shared" si="90"/>
        <v>0</v>
      </c>
      <c r="K919" s="67">
        <f ca="1">'Monte Carlo Stimulation'!$I$8</f>
        <v>-2.1559270710709389E-2</v>
      </c>
      <c r="L919">
        <f t="shared" ca="1" si="91"/>
        <v>0</v>
      </c>
      <c r="M919" s="67">
        <f ca="1">'Monte Carlo Stimulation'!$I$9</f>
        <v>-2.919314405717207E-2</v>
      </c>
      <c r="N919">
        <f t="shared" ca="1" si="92"/>
        <v>0</v>
      </c>
    </row>
    <row r="920" spans="1:14">
      <c r="A920" s="12">
        <v>44760</v>
      </c>
      <c r="B920" s="14">
        <v>-8.9206389496567428E-4</v>
      </c>
      <c r="C920" s="67">
        <f>'Parametric VAR'!$F$12</f>
        <v>-2.023068247926026E-2</v>
      </c>
      <c r="D920">
        <f t="shared" si="87"/>
        <v>0</v>
      </c>
      <c r="E920" s="67">
        <f>'Parametric VAR'!$F$13</f>
        <v>-2.8682193012943492E-2</v>
      </c>
      <c r="F920">
        <f t="shared" si="88"/>
        <v>0</v>
      </c>
      <c r="G920" s="67">
        <f>'Historical VAR'!$G$6</f>
        <v>-1.9839729167757107E-2</v>
      </c>
      <c r="H920">
        <f t="shared" si="89"/>
        <v>0</v>
      </c>
      <c r="I920" s="67">
        <f>'Historical VAR'!$G$7</f>
        <v>-3.1428916759065853E-2</v>
      </c>
      <c r="J920">
        <f t="shared" si="90"/>
        <v>0</v>
      </c>
      <c r="K920" s="67">
        <f ca="1">'Monte Carlo Stimulation'!$I$8</f>
        <v>-2.1559270710709389E-2</v>
      </c>
      <c r="L920">
        <f t="shared" ca="1" si="91"/>
        <v>0</v>
      </c>
      <c r="M920" s="67">
        <f ca="1">'Monte Carlo Stimulation'!$I$9</f>
        <v>-2.919314405717207E-2</v>
      </c>
      <c r="N920">
        <f t="shared" ca="1" si="92"/>
        <v>0</v>
      </c>
    </row>
    <row r="921" spans="1:14">
      <c r="A921" s="12">
        <v>44757</v>
      </c>
      <c r="B921" s="14">
        <v>-1.0986036174850338E-2</v>
      </c>
      <c r="C921" s="67">
        <f>'Parametric VAR'!$F$12</f>
        <v>-2.023068247926026E-2</v>
      </c>
      <c r="D921">
        <f t="shared" si="87"/>
        <v>0</v>
      </c>
      <c r="E921" s="67">
        <f>'Parametric VAR'!$F$13</f>
        <v>-2.8682193012943492E-2</v>
      </c>
      <c r="F921">
        <f t="shared" si="88"/>
        <v>0</v>
      </c>
      <c r="G921" s="67">
        <f>'Historical VAR'!$G$6</f>
        <v>-1.9839729167757107E-2</v>
      </c>
      <c r="H921">
        <f t="shared" si="89"/>
        <v>0</v>
      </c>
      <c r="I921" s="67">
        <f>'Historical VAR'!$G$7</f>
        <v>-3.1428916759065853E-2</v>
      </c>
      <c r="J921">
        <f t="shared" si="90"/>
        <v>0</v>
      </c>
      <c r="K921" s="67">
        <f ca="1">'Monte Carlo Stimulation'!$I$8</f>
        <v>-2.1559270710709389E-2</v>
      </c>
      <c r="L921">
        <f t="shared" ca="1" si="91"/>
        <v>0</v>
      </c>
      <c r="M921" s="67">
        <f ca="1">'Monte Carlo Stimulation'!$I$9</f>
        <v>-2.919314405717207E-2</v>
      </c>
      <c r="N921">
        <f t="shared" ca="1" si="92"/>
        <v>0</v>
      </c>
    </row>
    <row r="922" spans="1:14">
      <c r="A922" s="12">
        <v>44756</v>
      </c>
      <c r="B922" s="14">
        <v>-8.3848710903974208E-3</v>
      </c>
      <c r="C922" s="67">
        <f>'Parametric VAR'!$F$12</f>
        <v>-2.023068247926026E-2</v>
      </c>
      <c r="D922">
        <f t="shared" si="87"/>
        <v>0</v>
      </c>
      <c r="E922" s="67">
        <f>'Parametric VAR'!$F$13</f>
        <v>-2.8682193012943492E-2</v>
      </c>
      <c r="F922">
        <f t="shared" si="88"/>
        <v>0</v>
      </c>
      <c r="G922" s="67">
        <f>'Historical VAR'!$G$6</f>
        <v>-1.9839729167757107E-2</v>
      </c>
      <c r="H922">
        <f t="shared" si="89"/>
        <v>0</v>
      </c>
      <c r="I922" s="67">
        <f>'Historical VAR'!$G$7</f>
        <v>-3.1428916759065853E-2</v>
      </c>
      <c r="J922">
        <f t="shared" si="90"/>
        <v>0</v>
      </c>
      <c r="K922" s="67">
        <f ca="1">'Monte Carlo Stimulation'!$I$8</f>
        <v>-2.1559270710709389E-2</v>
      </c>
      <c r="L922">
        <f t="shared" ca="1" si="91"/>
        <v>0</v>
      </c>
      <c r="M922" s="67">
        <f ca="1">'Monte Carlo Stimulation'!$I$9</f>
        <v>-2.919314405717207E-2</v>
      </c>
      <c r="N922">
        <f t="shared" ca="1" si="92"/>
        <v>0</v>
      </c>
    </row>
    <row r="923" spans="1:14">
      <c r="A923" s="12">
        <v>44755</v>
      </c>
      <c r="B923" s="14">
        <v>1.8795109159014662E-3</v>
      </c>
      <c r="C923" s="67">
        <f>'Parametric VAR'!$F$12</f>
        <v>-2.023068247926026E-2</v>
      </c>
      <c r="D923">
        <f t="shared" si="87"/>
        <v>0</v>
      </c>
      <c r="E923" s="67">
        <f>'Parametric VAR'!$F$13</f>
        <v>-2.8682193012943492E-2</v>
      </c>
      <c r="F923">
        <f t="shared" si="88"/>
        <v>0</v>
      </c>
      <c r="G923" s="67">
        <f>'Historical VAR'!$G$6</f>
        <v>-1.9839729167757107E-2</v>
      </c>
      <c r="H923">
        <f t="shared" si="89"/>
        <v>0</v>
      </c>
      <c r="I923" s="67">
        <f>'Historical VAR'!$G$7</f>
        <v>-3.1428916759065853E-2</v>
      </c>
      <c r="J923">
        <f t="shared" si="90"/>
        <v>0</v>
      </c>
      <c r="K923" s="67">
        <f ca="1">'Monte Carlo Stimulation'!$I$8</f>
        <v>-2.1559270710709389E-2</v>
      </c>
      <c r="L923">
        <f t="shared" ca="1" si="91"/>
        <v>0</v>
      </c>
      <c r="M923" s="67">
        <f ca="1">'Monte Carlo Stimulation'!$I$9</f>
        <v>-2.919314405717207E-2</v>
      </c>
      <c r="N923">
        <f t="shared" ca="1" si="92"/>
        <v>0</v>
      </c>
    </row>
    <row r="924" spans="1:14">
      <c r="A924" s="12">
        <v>44754</v>
      </c>
      <c r="B924" s="14">
        <v>-1.3056363989600177E-2</v>
      </c>
      <c r="C924" s="67">
        <f>'Parametric VAR'!$F$12</f>
        <v>-2.023068247926026E-2</v>
      </c>
      <c r="D924">
        <f t="shared" si="87"/>
        <v>0</v>
      </c>
      <c r="E924" s="67">
        <f>'Parametric VAR'!$F$13</f>
        <v>-2.8682193012943492E-2</v>
      </c>
      <c r="F924">
        <f t="shared" si="88"/>
        <v>0</v>
      </c>
      <c r="G924" s="67">
        <f>'Historical VAR'!$G$6</f>
        <v>-1.9839729167757107E-2</v>
      </c>
      <c r="H924">
        <f t="shared" si="89"/>
        <v>0</v>
      </c>
      <c r="I924" s="67">
        <f>'Historical VAR'!$G$7</f>
        <v>-3.1428916759065853E-2</v>
      </c>
      <c r="J924">
        <f t="shared" si="90"/>
        <v>0</v>
      </c>
      <c r="K924" s="67">
        <f ca="1">'Monte Carlo Stimulation'!$I$8</f>
        <v>-2.1559270710709389E-2</v>
      </c>
      <c r="L924">
        <f t="shared" ca="1" si="91"/>
        <v>0</v>
      </c>
      <c r="M924" s="67">
        <f ca="1">'Monte Carlo Stimulation'!$I$9</f>
        <v>-2.919314405717207E-2</v>
      </c>
      <c r="N924">
        <f t="shared" ca="1" si="92"/>
        <v>0</v>
      </c>
    </row>
    <row r="925" spans="1:14">
      <c r="A925" s="12">
        <v>44753</v>
      </c>
      <c r="B925" s="14">
        <v>1.4309281434776069E-2</v>
      </c>
      <c r="C925" s="67">
        <f>'Parametric VAR'!$F$12</f>
        <v>-2.023068247926026E-2</v>
      </c>
      <c r="D925">
        <f t="shared" si="87"/>
        <v>0</v>
      </c>
      <c r="E925" s="67">
        <f>'Parametric VAR'!$F$13</f>
        <v>-2.8682193012943492E-2</v>
      </c>
      <c r="F925">
        <f t="shared" si="88"/>
        <v>0</v>
      </c>
      <c r="G925" s="67">
        <f>'Historical VAR'!$G$6</f>
        <v>-1.9839729167757107E-2</v>
      </c>
      <c r="H925">
        <f t="shared" si="89"/>
        <v>0</v>
      </c>
      <c r="I925" s="67">
        <f>'Historical VAR'!$G$7</f>
        <v>-3.1428916759065853E-2</v>
      </c>
      <c r="J925">
        <f t="shared" si="90"/>
        <v>0</v>
      </c>
      <c r="K925" s="67">
        <f ca="1">'Monte Carlo Stimulation'!$I$8</f>
        <v>-2.1559270710709389E-2</v>
      </c>
      <c r="L925">
        <f t="shared" ca="1" si="91"/>
        <v>0</v>
      </c>
      <c r="M925" s="67">
        <f ca="1">'Monte Carlo Stimulation'!$I$9</f>
        <v>-2.919314405717207E-2</v>
      </c>
      <c r="N925">
        <f t="shared" ca="1" si="92"/>
        <v>0</v>
      </c>
    </row>
    <row r="926" spans="1:14">
      <c r="A926" s="12">
        <v>44750</v>
      </c>
      <c r="B926" s="14">
        <v>-1.585556698405554E-2</v>
      </c>
      <c r="C926" s="67">
        <f>'Parametric VAR'!$F$12</f>
        <v>-2.023068247926026E-2</v>
      </c>
      <c r="D926">
        <f t="shared" si="87"/>
        <v>0</v>
      </c>
      <c r="E926" s="67">
        <f>'Parametric VAR'!$F$13</f>
        <v>-2.8682193012943492E-2</v>
      </c>
      <c r="F926">
        <f t="shared" si="88"/>
        <v>0</v>
      </c>
      <c r="G926" s="67">
        <f>'Historical VAR'!$G$6</f>
        <v>-1.9839729167757107E-2</v>
      </c>
      <c r="H926">
        <f t="shared" si="89"/>
        <v>0</v>
      </c>
      <c r="I926" s="67">
        <f>'Historical VAR'!$G$7</f>
        <v>-3.1428916759065853E-2</v>
      </c>
      <c r="J926">
        <f t="shared" si="90"/>
        <v>0</v>
      </c>
      <c r="K926" s="67">
        <f ca="1">'Monte Carlo Stimulation'!$I$8</f>
        <v>-2.1559270710709389E-2</v>
      </c>
      <c r="L926">
        <f t="shared" ca="1" si="91"/>
        <v>0</v>
      </c>
      <c r="M926" s="67">
        <f ca="1">'Monte Carlo Stimulation'!$I$9</f>
        <v>-2.919314405717207E-2</v>
      </c>
      <c r="N926">
        <f t="shared" ca="1" si="92"/>
        <v>0</v>
      </c>
    </row>
    <row r="927" spans="1:14">
      <c r="A927" s="12">
        <v>44749</v>
      </c>
      <c r="B927" s="14">
        <v>5.5818644319257866E-3</v>
      </c>
      <c r="C927" s="67">
        <f>'Parametric VAR'!$F$12</f>
        <v>-2.023068247926026E-2</v>
      </c>
      <c r="D927">
        <f t="shared" si="87"/>
        <v>0</v>
      </c>
      <c r="E927" s="67">
        <f>'Parametric VAR'!$F$13</f>
        <v>-2.8682193012943492E-2</v>
      </c>
      <c r="F927">
        <f t="shared" si="88"/>
        <v>0</v>
      </c>
      <c r="G927" s="67">
        <f>'Historical VAR'!$G$6</f>
        <v>-1.9839729167757107E-2</v>
      </c>
      <c r="H927">
        <f t="shared" si="89"/>
        <v>0</v>
      </c>
      <c r="I927" s="67">
        <f>'Historical VAR'!$G$7</f>
        <v>-3.1428916759065853E-2</v>
      </c>
      <c r="J927">
        <f t="shared" si="90"/>
        <v>0</v>
      </c>
      <c r="K927" s="67">
        <f ca="1">'Monte Carlo Stimulation'!$I$8</f>
        <v>-2.1559270710709389E-2</v>
      </c>
      <c r="L927">
        <f t="shared" ca="1" si="91"/>
        <v>0</v>
      </c>
      <c r="M927" s="67">
        <f ca="1">'Monte Carlo Stimulation'!$I$9</f>
        <v>-2.919314405717207E-2</v>
      </c>
      <c r="N927">
        <f t="shared" ca="1" si="92"/>
        <v>0</v>
      </c>
    </row>
    <row r="928" spans="1:14">
      <c r="A928" s="12">
        <v>44748</v>
      </c>
      <c r="B928" s="14">
        <v>-8.3863090496174072E-3</v>
      </c>
      <c r="C928" s="67">
        <f>'Parametric VAR'!$F$12</f>
        <v>-2.023068247926026E-2</v>
      </c>
      <c r="D928">
        <f t="shared" si="87"/>
        <v>0</v>
      </c>
      <c r="E928" s="67">
        <f>'Parametric VAR'!$F$13</f>
        <v>-2.8682193012943492E-2</v>
      </c>
      <c r="F928">
        <f t="shared" si="88"/>
        <v>0</v>
      </c>
      <c r="G928" s="67">
        <f>'Historical VAR'!$G$6</f>
        <v>-1.9839729167757107E-2</v>
      </c>
      <c r="H928">
        <f t="shared" si="89"/>
        <v>0</v>
      </c>
      <c r="I928" s="67">
        <f>'Historical VAR'!$G$7</f>
        <v>-3.1428916759065853E-2</v>
      </c>
      <c r="J928">
        <f t="shared" si="90"/>
        <v>0</v>
      </c>
      <c r="K928" s="67">
        <f ca="1">'Monte Carlo Stimulation'!$I$8</f>
        <v>-2.1559270710709389E-2</v>
      </c>
      <c r="L928">
        <f t="shared" ca="1" si="91"/>
        <v>0</v>
      </c>
      <c r="M928" s="67">
        <f ca="1">'Monte Carlo Stimulation'!$I$9</f>
        <v>-2.919314405717207E-2</v>
      </c>
      <c r="N928">
        <f t="shared" ca="1" si="92"/>
        <v>0</v>
      </c>
    </row>
    <row r="929" spans="1:14">
      <c r="A929" s="12">
        <v>44747</v>
      </c>
      <c r="B929" s="14">
        <v>-3.2919073848439159E-2</v>
      </c>
      <c r="C929" s="67">
        <f>'Parametric VAR'!$F$12</f>
        <v>-2.023068247926026E-2</v>
      </c>
      <c r="D929">
        <f t="shared" si="87"/>
        <v>1</v>
      </c>
      <c r="E929" s="67">
        <f>'Parametric VAR'!$F$13</f>
        <v>-2.8682193012943492E-2</v>
      </c>
      <c r="F929">
        <f t="shared" si="88"/>
        <v>1</v>
      </c>
      <c r="G929" s="67">
        <f>'Historical VAR'!$G$6</f>
        <v>-1.9839729167757107E-2</v>
      </c>
      <c r="H929">
        <f t="shared" si="89"/>
        <v>1</v>
      </c>
      <c r="I929" s="67">
        <f>'Historical VAR'!$G$7</f>
        <v>-3.1428916759065853E-2</v>
      </c>
      <c r="J929">
        <f t="shared" si="90"/>
        <v>1</v>
      </c>
      <c r="K929" s="67">
        <f ca="1">'Monte Carlo Stimulation'!$I$8</f>
        <v>-2.1559270710709389E-2</v>
      </c>
      <c r="L929">
        <f t="shared" ca="1" si="91"/>
        <v>1</v>
      </c>
      <c r="M929" s="67">
        <f ca="1">'Monte Carlo Stimulation'!$I$9</f>
        <v>-2.919314405717207E-2</v>
      </c>
      <c r="N929">
        <f t="shared" ca="1" si="92"/>
        <v>1</v>
      </c>
    </row>
    <row r="930" spans="1:14">
      <c r="A930" s="12">
        <v>44746</v>
      </c>
      <c r="B930" s="14">
        <v>8.7907443630518885E-3</v>
      </c>
      <c r="C930" s="67">
        <f>'Parametric VAR'!$F$12</f>
        <v>-2.023068247926026E-2</v>
      </c>
      <c r="D930">
        <f t="shared" si="87"/>
        <v>0</v>
      </c>
      <c r="E930" s="67">
        <f>'Parametric VAR'!$F$13</f>
        <v>-2.8682193012943492E-2</v>
      </c>
      <c r="F930">
        <f t="shared" si="88"/>
        <v>0</v>
      </c>
      <c r="G930" s="67">
        <f>'Historical VAR'!$G$6</f>
        <v>-1.9839729167757107E-2</v>
      </c>
      <c r="H930">
        <f t="shared" si="89"/>
        <v>0</v>
      </c>
      <c r="I930" s="67">
        <f>'Historical VAR'!$G$7</f>
        <v>-3.1428916759065853E-2</v>
      </c>
      <c r="J930">
        <f t="shared" si="90"/>
        <v>0</v>
      </c>
      <c r="K930" s="67">
        <f ca="1">'Monte Carlo Stimulation'!$I$8</f>
        <v>-2.1559270710709389E-2</v>
      </c>
      <c r="L930">
        <f t="shared" ca="1" si="91"/>
        <v>0</v>
      </c>
      <c r="M930" s="67">
        <f ca="1">'Monte Carlo Stimulation'!$I$9</f>
        <v>-2.919314405717207E-2</v>
      </c>
      <c r="N930">
        <f t="shared" ca="1" si="92"/>
        <v>0</v>
      </c>
    </row>
    <row r="931" spans="1:14">
      <c r="A931" s="12">
        <v>44743</v>
      </c>
      <c r="B931" s="14">
        <v>-5.133629220637633E-3</v>
      </c>
      <c r="C931" s="67">
        <f>'Parametric VAR'!$F$12</f>
        <v>-2.023068247926026E-2</v>
      </c>
      <c r="D931">
        <f t="shared" si="87"/>
        <v>0</v>
      </c>
      <c r="E931" s="67">
        <f>'Parametric VAR'!$F$13</f>
        <v>-2.8682193012943492E-2</v>
      </c>
      <c r="F931">
        <f t="shared" si="88"/>
        <v>0</v>
      </c>
      <c r="G931" s="67">
        <f>'Historical VAR'!$G$6</f>
        <v>-1.9839729167757107E-2</v>
      </c>
      <c r="H931">
        <f t="shared" si="89"/>
        <v>0</v>
      </c>
      <c r="I931" s="67">
        <f>'Historical VAR'!$G$7</f>
        <v>-3.1428916759065853E-2</v>
      </c>
      <c r="J931">
        <f t="shared" si="90"/>
        <v>0</v>
      </c>
      <c r="K931" s="67">
        <f ca="1">'Monte Carlo Stimulation'!$I$8</f>
        <v>-2.1559270710709389E-2</v>
      </c>
      <c r="L931">
        <f t="shared" ca="1" si="91"/>
        <v>0</v>
      </c>
      <c r="M931" s="67">
        <f ca="1">'Monte Carlo Stimulation'!$I$9</f>
        <v>-2.919314405717207E-2</v>
      </c>
      <c r="N931">
        <f t="shared" ca="1" si="92"/>
        <v>0</v>
      </c>
    </row>
    <row r="932" spans="1:14">
      <c r="A932" s="12">
        <v>44742</v>
      </c>
      <c r="B932" s="14">
        <v>-2.4312074425583245E-2</v>
      </c>
      <c r="C932" s="67">
        <f>'Parametric VAR'!$F$12</f>
        <v>-2.023068247926026E-2</v>
      </c>
      <c r="D932">
        <f t="shared" si="87"/>
        <v>1</v>
      </c>
      <c r="E932" s="67">
        <f>'Parametric VAR'!$F$13</f>
        <v>-2.8682193012943492E-2</v>
      </c>
      <c r="F932">
        <f t="shared" si="88"/>
        <v>0</v>
      </c>
      <c r="G932" s="67">
        <f>'Historical VAR'!$G$6</f>
        <v>-1.9839729167757107E-2</v>
      </c>
      <c r="H932">
        <f t="shared" si="89"/>
        <v>1</v>
      </c>
      <c r="I932" s="67">
        <f>'Historical VAR'!$G$7</f>
        <v>-3.1428916759065853E-2</v>
      </c>
      <c r="J932">
        <f t="shared" si="90"/>
        <v>0</v>
      </c>
      <c r="K932" s="67">
        <f ca="1">'Monte Carlo Stimulation'!$I$8</f>
        <v>-2.1559270710709389E-2</v>
      </c>
      <c r="L932">
        <f t="shared" ca="1" si="91"/>
        <v>1</v>
      </c>
      <c r="M932" s="67">
        <f ca="1">'Monte Carlo Stimulation'!$I$9</f>
        <v>-2.919314405717207E-2</v>
      </c>
      <c r="N932">
        <f t="shared" ca="1" si="92"/>
        <v>0</v>
      </c>
    </row>
    <row r="933" spans="1:14">
      <c r="A933" s="12">
        <v>44741</v>
      </c>
      <c r="B933" s="14">
        <v>-1.1117631802185599E-3</v>
      </c>
      <c r="C933" s="67">
        <f>'Parametric VAR'!$F$12</f>
        <v>-2.023068247926026E-2</v>
      </c>
      <c r="D933">
        <f t="shared" si="87"/>
        <v>0</v>
      </c>
      <c r="E933" s="67">
        <f>'Parametric VAR'!$F$13</f>
        <v>-2.8682193012943492E-2</v>
      </c>
      <c r="F933">
        <f t="shared" si="88"/>
        <v>0</v>
      </c>
      <c r="G933" s="67">
        <f>'Historical VAR'!$G$6</f>
        <v>-1.9839729167757107E-2</v>
      </c>
      <c r="H933">
        <f t="shared" si="89"/>
        <v>0</v>
      </c>
      <c r="I933" s="67">
        <f>'Historical VAR'!$G$7</f>
        <v>-3.1428916759065853E-2</v>
      </c>
      <c r="J933">
        <f t="shared" si="90"/>
        <v>0</v>
      </c>
      <c r="K933" s="67">
        <f ca="1">'Monte Carlo Stimulation'!$I$8</f>
        <v>-2.1559270710709389E-2</v>
      </c>
      <c r="L933">
        <f t="shared" ca="1" si="91"/>
        <v>0</v>
      </c>
      <c r="M933" s="67">
        <f ca="1">'Monte Carlo Stimulation'!$I$9</f>
        <v>-2.919314405717207E-2</v>
      </c>
      <c r="N933">
        <f t="shared" ca="1" si="92"/>
        <v>0</v>
      </c>
    </row>
    <row r="934" spans="1:14">
      <c r="A934" s="12">
        <v>44740</v>
      </c>
      <c r="B934" s="14">
        <v>1.1494065467834318E-2</v>
      </c>
      <c r="C934" s="67">
        <f>'Parametric VAR'!$F$12</f>
        <v>-2.023068247926026E-2</v>
      </c>
      <c r="D934">
        <f t="shared" si="87"/>
        <v>0</v>
      </c>
      <c r="E934" s="67">
        <f>'Parametric VAR'!$F$13</f>
        <v>-2.8682193012943492E-2</v>
      </c>
      <c r="F934">
        <f t="shared" si="88"/>
        <v>0</v>
      </c>
      <c r="G934" s="67">
        <f>'Historical VAR'!$G$6</f>
        <v>-1.9839729167757107E-2</v>
      </c>
      <c r="H934">
        <f t="shared" si="89"/>
        <v>0</v>
      </c>
      <c r="I934" s="67">
        <f>'Historical VAR'!$G$7</f>
        <v>-3.1428916759065853E-2</v>
      </c>
      <c r="J934">
        <f t="shared" si="90"/>
        <v>0</v>
      </c>
      <c r="K934" s="67">
        <f ca="1">'Monte Carlo Stimulation'!$I$8</f>
        <v>-2.1559270710709389E-2</v>
      </c>
      <c r="L934">
        <f t="shared" ca="1" si="91"/>
        <v>0</v>
      </c>
      <c r="M934" s="67">
        <f ca="1">'Monte Carlo Stimulation'!$I$9</f>
        <v>-2.919314405717207E-2</v>
      </c>
      <c r="N934">
        <f t="shared" ca="1" si="92"/>
        <v>0</v>
      </c>
    </row>
    <row r="935" spans="1:14">
      <c r="A935" s="12">
        <v>44739</v>
      </c>
      <c r="B935" s="14">
        <v>3.004697188726662E-2</v>
      </c>
      <c r="C935" s="67">
        <f>'Parametric VAR'!$F$12</f>
        <v>-2.023068247926026E-2</v>
      </c>
      <c r="D935">
        <f t="shared" si="87"/>
        <v>0</v>
      </c>
      <c r="E935" s="67">
        <f>'Parametric VAR'!$F$13</f>
        <v>-2.8682193012943492E-2</v>
      </c>
      <c r="F935">
        <f t="shared" si="88"/>
        <v>0</v>
      </c>
      <c r="G935" s="67">
        <f>'Historical VAR'!$G$6</f>
        <v>-1.9839729167757107E-2</v>
      </c>
      <c r="H935">
        <f t="shared" si="89"/>
        <v>0</v>
      </c>
      <c r="I935" s="67">
        <f>'Historical VAR'!$G$7</f>
        <v>-3.1428916759065853E-2</v>
      </c>
      <c r="J935">
        <f t="shared" si="90"/>
        <v>0</v>
      </c>
      <c r="K935" s="67">
        <f ca="1">'Monte Carlo Stimulation'!$I$8</f>
        <v>-2.1559270710709389E-2</v>
      </c>
      <c r="L935">
        <f t="shared" ca="1" si="91"/>
        <v>0</v>
      </c>
      <c r="M935" s="67">
        <f ca="1">'Monte Carlo Stimulation'!$I$9</f>
        <v>-2.919314405717207E-2</v>
      </c>
      <c r="N935">
        <f t="shared" ca="1" si="92"/>
        <v>0</v>
      </c>
    </row>
    <row r="936" spans="1:14">
      <c r="A936" s="12">
        <v>44736</v>
      </c>
      <c r="B936" s="14">
        <v>-1.7947577896842783E-2</v>
      </c>
      <c r="C936" s="67">
        <f>'Parametric VAR'!$F$12</f>
        <v>-2.023068247926026E-2</v>
      </c>
      <c r="D936">
        <f t="shared" si="87"/>
        <v>0</v>
      </c>
      <c r="E936" s="67">
        <f>'Parametric VAR'!$F$13</f>
        <v>-2.8682193012943492E-2</v>
      </c>
      <c r="F936">
        <f t="shared" si="88"/>
        <v>0</v>
      </c>
      <c r="G936" s="67">
        <f>'Historical VAR'!$G$6</f>
        <v>-1.9839729167757107E-2</v>
      </c>
      <c r="H936">
        <f t="shared" si="89"/>
        <v>0</v>
      </c>
      <c r="I936" s="67">
        <f>'Historical VAR'!$G$7</f>
        <v>-3.1428916759065853E-2</v>
      </c>
      <c r="J936">
        <f t="shared" si="90"/>
        <v>0</v>
      </c>
      <c r="K936" s="67">
        <f ca="1">'Monte Carlo Stimulation'!$I$8</f>
        <v>-2.1559270710709389E-2</v>
      </c>
      <c r="L936">
        <f t="shared" ca="1" si="91"/>
        <v>0</v>
      </c>
      <c r="M936" s="67">
        <f ca="1">'Monte Carlo Stimulation'!$I$9</f>
        <v>-2.919314405717207E-2</v>
      </c>
      <c r="N936">
        <f t="shared" ca="1" si="92"/>
        <v>0</v>
      </c>
    </row>
    <row r="937" spans="1:14">
      <c r="A937" s="12">
        <v>44735</v>
      </c>
      <c r="B937" s="14">
        <v>-1.2580677285695943E-3</v>
      </c>
      <c r="C937" s="67">
        <f>'Parametric VAR'!$F$12</f>
        <v>-2.023068247926026E-2</v>
      </c>
      <c r="D937">
        <f t="shared" si="87"/>
        <v>0</v>
      </c>
      <c r="E937" s="67">
        <f>'Parametric VAR'!$F$13</f>
        <v>-2.8682193012943492E-2</v>
      </c>
      <c r="F937">
        <f t="shared" si="88"/>
        <v>0</v>
      </c>
      <c r="G937" s="67">
        <f>'Historical VAR'!$G$6</f>
        <v>-1.9839729167757107E-2</v>
      </c>
      <c r="H937">
        <f t="shared" si="89"/>
        <v>0</v>
      </c>
      <c r="I937" s="67">
        <f>'Historical VAR'!$G$7</f>
        <v>-3.1428916759065853E-2</v>
      </c>
      <c r="J937">
        <f t="shared" si="90"/>
        <v>0</v>
      </c>
      <c r="K937" s="67">
        <f ca="1">'Monte Carlo Stimulation'!$I$8</f>
        <v>-2.1559270710709389E-2</v>
      </c>
      <c r="L937">
        <f t="shared" ca="1" si="91"/>
        <v>0</v>
      </c>
      <c r="M937" s="67">
        <f ca="1">'Monte Carlo Stimulation'!$I$9</f>
        <v>-2.919314405717207E-2</v>
      </c>
      <c r="N937">
        <f t="shared" ca="1" si="92"/>
        <v>0</v>
      </c>
    </row>
    <row r="938" spans="1:14">
      <c r="A938" s="12">
        <v>44734</v>
      </c>
      <c r="B938" s="14">
        <v>-2.8345144698015322E-2</v>
      </c>
      <c r="C938" s="67">
        <f>'Parametric VAR'!$F$12</f>
        <v>-2.023068247926026E-2</v>
      </c>
      <c r="D938">
        <f t="shared" si="87"/>
        <v>1</v>
      </c>
      <c r="E938" s="67">
        <f>'Parametric VAR'!$F$13</f>
        <v>-2.8682193012943492E-2</v>
      </c>
      <c r="F938">
        <f t="shared" si="88"/>
        <v>0</v>
      </c>
      <c r="G938" s="67">
        <f>'Historical VAR'!$G$6</f>
        <v>-1.9839729167757107E-2</v>
      </c>
      <c r="H938">
        <f t="shared" si="89"/>
        <v>1</v>
      </c>
      <c r="I938" s="67">
        <f>'Historical VAR'!$G$7</f>
        <v>-3.1428916759065853E-2</v>
      </c>
      <c r="J938">
        <f t="shared" si="90"/>
        <v>0</v>
      </c>
      <c r="K938" s="67">
        <f ca="1">'Monte Carlo Stimulation'!$I$8</f>
        <v>-2.1559270710709389E-2</v>
      </c>
      <c r="L938">
        <f t="shared" ca="1" si="91"/>
        <v>1</v>
      </c>
      <c r="M938" s="67">
        <f ca="1">'Monte Carlo Stimulation'!$I$9</f>
        <v>-2.919314405717207E-2</v>
      </c>
      <c r="N938">
        <f t="shared" ca="1" si="92"/>
        <v>0</v>
      </c>
    </row>
    <row r="939" spans="1:14">
      <c r="A939" s="12">
        <v>44733</v>
      </c>
      <c r="B939" s="14">
        <v>3.3517128499043168E-3</v>
      </c>
      <c r="C939" s="67">
        <f>'Parametric VAR'!$F$12</f>
        <v>-2.023068247926026E-2</v>
      </c>
      <c r="D939">
        <f t="shared" si="87"/>
        <v>0</v>
      </c>
      <c r="E939" s="67">
        <f>'Parametric VAR'!$F$13</f>
        <v>-2.8682193012943492E-2</v>
      </c>
      <c r="F939">
        <f t="shared" si="88"/>
        <v>0</v>
      </c>
      <c r="G939" s="67">
        <f>'Historical VAR'!$G$6</f>
        <v>-1.9839729167757107E-2</v>
      </c>
      <c r="H939">
        <f t="shared" si="89"/>
        <v>0</v>
      </c>
      <c r="I939" s="67">
        <f>'Historical VAR'!$G$7</f>
        <v>-3.1428916759065853E-2</v>
      </c>
      <c r="J939">
        <f t="shared" si="90"/>
        <v>0</v>
      </c>
      <c r="K939" s="67">
        <f ca="1">'Monte Carlo Stimulation'!$I$8</f>
        <v>-2.1559270710709389E-2</v>
      </c>
      <c r="L939">
        <f t="shared" ca="1" si="91"/>
        <v>0</v>
      </c>
      <c r="M939" s="67">
        <f ca="1">'Monte Carlo Stimulation'!$I$9</f>
        <v>-2.919314405717207E-2</v>
      </c>
      <c r="N939">
        <f t="shared" ca="1" si="92"/>
        <v>0</v>
      </c>
    </row>
    <row r="940" spans="1:14">
      <c r="A940" s="12">
        <v>44732</v>
      </c>
      <c r="B940" s="14">
        <v>-5.0453655202143477E-3</v>
      </c>
      <c r="C940" s="67">
        <f>'Parametric VAR'!$F$12</f>
        <v>-2.023068247926026E-2</v>
      </c>
      <c r="D940">
        <f t="shared" si="87"/>
        <v>0</v>
      </c>
      <c r="E940" s="67">
        <f>'Parametric VAR'!$F$13</f>
        <v>-2.8682193012943492E-2</v>
      </c>
      <c r="F940">
        <f t="shared" si="88"/>
        <v>0</v>
      </c>
      <c r="G940" s="67">
        <f>'Historical VAR'!$G$6</f>
        <v>-1.9839729167757107E-2</v>
      </c>
      <c r="H940">
        <f t="shared" si="89"/>
        <v>0</v>
      </c>
      <c r="I940" s="67">
        <f>'Historical VAR'!$G$7</f>
        <v>-3.1428916759065853E-2</v>
      </c>
      <c r="J940">
        <f t="shared" si="90"/>
        <v>0</v>
      </c>
      <c r="K940" s="67">
        <f ca="1">'Monte Carlo Stimulation'!$I$8</f>
        <v>-2.1559270710709389E-2</v>
      </c>
      <c r="L940">
        <f t="shared" ca="1" si="91"/>
        <v>0</v>
      </c>
      <c r="M940" s="67">
        <f ca="1">'Monte Carlo Stimulation'!$I$9</f>
        <v>-2.919314405717207E-2</v>
      </c>
      <c r="N940">
        <f t="shared" ca="1" si="92"/>
        <v>0</v>
      </c>
    </row>
    <row r="941" spans="1:14">
      <c r="A941" s="12">
        <v>44729</v>
      </c>
      <c r="B941" s="14">
        <v>-2.9530206308512358E-2</v>
      </c>
      <c r="C941" s="67">
        <f>'Parametric VAR'!$F$12</f>
        <v>-2.023068247926026E-2</v>
      </c>
      <c r="D941">
        <f t="shared" si="87"/>
        <v>1</v>
      </c>
      <c r="E941" s="67">
        <f>'Parametric VAR'!$F$13</f>
        <v>-2.8682193012943492E-2</v>
      </c>
      <c r="F941">
        <f t="shared" si="88"/>
        <v>1</v>
      </c>
      <c r="G941" s="67">
        <f>'Historical VAR'!$G$6</f>
        <v>-1.9839729167757107E-2</v>
      </c>
      <c r="H941">
        <f t="shared" si="89"/>
        <v>1</v>
      </c>
      <c r="I941" s="67">
        <f>'Historical VAR'!$G$7</f>
        <v>-3.1428916759065853E-2</v>
      </c>
      <c r="J941">
        <f t="shared" si="90"/>
        <v>0</v>
      </c>
      <c r="K941" s="67">
        <f ca="1">'Monte Carlo Stimulation'!$I$8</f>
        <v>-2.1559270710709389E-2</v>
      </c>
      <c r="L941">
        <f t="shared" ca="1" si="91"/>
        <v>1</v>
      </c>
      <c r="M941" s="67">
        <f ca="1">'Monte Carlo Stimulation'!$I$9</f>
        <v>-2.919314405717207E-2</v>
      </c>
      <c r="N941">
        <f t="shared" ca="1" si="92"/>
        <v>1</v>
      </c>
    </row>
    <row r="942" spans="1:14">
      <c r="A942" s="12">
        <v>44728</v>
      </c>
      <c r="B942" s="14">
        <v>2.6721396770925346E-2</v>
      </c>
      <c r="C942" s="67">
        <f>'Parametric VAR'!$F$12</f>
        <v>-2.023068247926026E-2</v>
      </c>
      <c r="D942">
        <f t="shared" si="87"/>
        <v>0</v>
      </c>
      <c r="E942" s="67">
        <f>'Parametric VAR'!$F$13</f>
        <v>-2.8682193012943492E-2</v>
      </c>
      <c r="F942">
        <f t="shared" si="88"/>
        <v>0</v>
      </c>
      <c r="G942" s="67">
        <f>'Historical VAR'!$G$6</f>
        <v>-1.9839729167757107E-2</v>
      </c>
      <c r="H942">
        <f t="shared" si="89"/>
        <v>0</v>
      </c>
      <c r="I942" s="67">
        <f>'Historical VAR'!$G$7</f>
        <v>-3.1428916759065853E-2</v>
      </c>
      <c r="J942">
        <f t="shared" si="90"/>
        <v>0</v>
      </c>
      <c r="K942" s="67">
        <f ca="1">'Monte Carlo Stimulation'!$I$8</f>
        <v>-2.1559270710709389E-2</v>
      </c>
      <c r="L942">
        <f t="shared" ca="1" si="91"/>
        <v>0</v>
      </c>
      <c r="M942" s="67">
        <f ca="1">'Monte Carlo Stimulation'!$I$9</f>
        <v>-2.919314405717207E-2</v>
      </c>
      <c r="N942">
        <f t="shared" ca="1" si="92"/>
        <v>0</v>
      </c>
    </row>
    <row r="943" spans="1:14">
      <c r="A943" s="12">
        <v>44727</v>
      </c>
      <c r="B943" s="14">
        <v>5.8555735211181618E-3</v>
      </c>
      <c r="C943" s="67">
        <f>'Parametric VAR'!$F$12</f>
        <v>-2.023068247926026E-2</v>
      </c>
      <c r="D943">
        <f t="shared" si="87"/>
        <v>0</v>
      </c>
      <c r="E943" s="67">
        <f>'Parametric VAR'!$F$13</f>
        <v>-2.8682193012943492E-2</v>
      </c>
      <c r="F943">
        <f t="shared" si="88"/>
        <v>0</v>
      </c>
      <c r="G943" s="67">
        <f>'Historical VAR'!$G$6</f>
        <v>-1.9839729167757107E-2</v>
      </c>
      <c r="H943">
        <f t="shared" si="89"/>
        <v>0</v>
      </c>
      <c r="I943" s="67">
        <f>'Historical VAR'!$G$7</f>
        <v>-3.1428916759065853E-2</v>
      </c>
      <c r="J943">
        <f t="shared" si="90"/>
        <v>0</v>
      </c>
      <c r="K943" s="67">
        <f ca="1">'Monte Carlo Stimulation'!$I$8</f>
        <v>-2.1559270710709389E-2</v>
      </c>
      <c r="L943">
        <f t="shared" ca="1" si="91"/>
        <v>0</v>
      </c>
      <c r="M943" s="67">
        <f ca="1">'Monte Carlo Stimulation'!$I$9</f>
        <v>-2.919314405717207E-2</v>
      </c>
      <c r="N943">
        <f t="shared" ca="1" si="92"/>
        <v>0</v>
      </c>
    </row>
    <row r="944" spans="1:14">
      <c r="A944" s="12">
        <v>44726</v>
      </c>
      <c r="B944" s="14">
        <v>-8.783607840629518E-3</v>
      </c>
      <c r="C944" s="67">
        <f>'Parametric VAR'!$F$12</f>
        <v>-2.023068247926026E-2</v>
      </c>
      <c r="D944">
        <f t="shared" si="87"/>
        <v>0</v>
      </c>
      <c r="E944" s="67">
        <f>'Parametric VAR'!$F$13</f>
        <v>-2.8682193012943492E-2</v>
      </c>
      <c r="F944">
        <f t="shared" si="88"/>
        <v>0</v>
      </c>
      <c r="G944" s="67">
        <f>'Historical VAR'!$G$6</f>
        <v>-1.9839729167757107E-2</v>
      </c>
      <c r="H944">
        <f t="shared" si="89"/>
        <v>0</v>
      </c>
      <c r="I944" s="67">
        <f>'Historical VAR'!$G$7</f>
        <v>-3.1428916759065853E-2</v>
      </c>
      <c r="J944">
        <f t="shared" si="90"/>
        <v>0</v>
      </c>
      <c r="K944" s="67">
        <f ca="1">'Monte Carlo Stimulation'!$I$8</f>
        <v>-2.1559270710709389E-2</v>
      </c>
      <c r="L944">
        <f t="shared" ca="1" si="91"/>
        <v>0</v>
      </c>
      <c r="M944" s="67">
        <f ca="1">'Monte Carlo Stimulation'!$I$9</f>
        <v>-2.919314405717207E-2</v>
      </c>
      <c r="N944">
        <f t="shared" ca="1" si="92"/>
        <v>0</v>
      </c>
    </row>
    <row r="945" spans="1:14">
      <c r="A945" s="12">
        <v>44725</v>
      </c>
      <c r="B945" s="14">
        <v>7.2433445423452994E-3</v>
      </c>
      <c r="C945" s="67">
        <f>'Parametric VAR'!$F$12</f>
        <v>-2.023068247926026E-2</v>
      </c>
      <c r="D945">
        <f t="shared" si="87"/>
        <v>0</v>
      </c>
      <c r="E945" s="67">
        <f>'Parametric VAR'!$F$13</f>
        <v>-2.8682193012943492E-2</v>
      </c>
      <c r="F945">
        <f t="shared" si="88"/>
        <v>0</v>
      </c>
      <c r="G945" s="67">
        <f>'Historical VAR'!$G$6</f>
        <v>-1.9839729167757107E-2</v>
      </c>
      <c r="H945">
        <f t="shared" si="89"/>
        <v>0</v>
      </c>
      <c r="I945" s="67">
        <f>'Historical VAR'!$G$7</f>
        <v>-3.1428916759065853E-2</v>
      </c>
      <c r="J945">
        <f t="shared" si="90"/>
        <v>0</v>
      </c>
      <c r="K945" s="67">
        <f ca="1">'Monte Carlo Stimulation'!$I$8</f>
        <v>-2.1559270710709389E-2</v>
      </c>
      <c r="L945">
        <f t="shared" ca="1" si="91"/>
        <v>0</v>
      </c>
      <c r="M945" s="67">
        <f ca="1">'Monte Carlo Stimulation'!$I$9</f>
        <v>-2.919314405717207E-2</v>
      </c>
      <c r="N945">
        <f t="shared" ca="1" si="92"/>
        <v>0</v>
      </c>
    </row>
    <row r="946" spans="1:14">
      <c r="A946" s="12">
        <v>44722</v>
      </c>
      <c r="B946" s="14">
        <v>1.7072164437336713E-2</v>
      </c>
      <c r="C946" s="67">
        <f>'Parametric VAR'!$F$12</f>
        <v>-2.023068247926026E-2</v>
      </c>
      <c r="D946">
        <f t="shared" si="87"/>
        <v>0</v>
      </c>
      <c r="E946" s="67">
        <f>'Parametric VAR'!$F$13</f>
        <v>-2.8682193012943492E-2</v>
      </c>
      <c r="F946">
        <f t="shared" si="88"/>
        <v>0</v>
      </c>
      <c r="G946" s="67">
        <f>'Historical VAR'!$G$6</f>
        <v>-1.9839729167757107E-2</v>
      </c>
      <c r="H946">
        <f t="shared" si="89"/>
        <v>0</v>
      </c>
      <c r="I946" s="67">
        <f>'Historical VAR'!$G$7</f>
        <v>-3.1428916759065853E-2</v>
      </c>
      <c r="J946">
        <f t="shared" si="90"/>
        <v>0</v>
      </c>
      <c r="K946" s="67">
        <f ca="1">'Monte Carlo Stimulation'!$I$8</f>
        <v>-2.1559270710709389E-2</v>
      </c>
      <c r="L946">
        <f t="shared" ca="1" si="91"/>
        <v>0</v>
      </c>
      <c r="M946" s="67">
        <f ca="1">'Monte Carlo Stimulation'!$I$9</f>
        <v>-2.919314405717207E-2</v>
      </c>
      <c r="N946">
        <f t="shared" ca="1" si="92"/>
        <v>0</v>
      </c>
    </row>
    <row r="947" spans="1:14">
      <c r="A947" s="12">
        <v>44721</v>
      </c>
      <c r="B947" s="14">
        <v>-5.9038907638144667E-3</v>
      </c>
      <c r="C947" s="67">
        <f>'Parametric VAR'!$F$12</f>
        <v>-2.023068247926026E-2</v>
      </c>
      <c r="D947">
        <f t="shared" si="87"/>
        <v>0</v>
      </c>
      <c r="E947" s="67">
        <f>'Parametric VAR'!$F$13</f>
        <v>-2.8682193012943492E-2</v>
      </c>
      <c r="F947">
        <f t="shared" si="88"/>
        <v>0</v>
      </c>
      <c r="G947" s="67">
        <f>'Historical VAR'!$G$6</f>
        <v>-1.9839729167757107E-2</v>
      </c>
      <c r="H947">
        <f t="shared" si="89"/>
        <v>0</v>
      </c>
      <c r="I947" s="67">
        <f>'Historical VAR'!$G$7</f>
        <v>-3.1428916759065853E-2</v>
      </c>
      <c r="J947">
        <f t="shared" si="90"/>
        <v>0</v>
      </c>
      <c r="K947" s="67">
        <f ca="1">'Monte Carlo Stimulation'!$I$8</f>
        <v>-2.1559270710709389E-2</v>
      </c>
      <c r="L947">
        <f t="shared" ca="1" si="91"/>
        <v>0</v>
      </c>
      <c r="M947" s="67">
        <f ca="1">'Monte Carlo Stimulation'!$I$9</f>
        <v>-2.919314405717207E-2</v>
      </c>
      <c r="N947">
        <f t="shared" ca="1" si="92"/>
        <v>0</v>
      </c>
    </row>
    <row r="948" spans="1:14">
      <c r="A948" s="12">
        <v>44720</v>
      </c>
      <c r="B948" s="14">
        <v>5.0434214880345947E-3</v>
      </c>
      <c r="C948" s="67">
        <f>'Parametric VAR'!$F$12</f>
        <v>-2.023068247926026E-2</v>
      </c>
      <c r="D948">
        <f t="shared" si="87"/>
        <v>0</v>
      </c>
      <c r="E948" s="67">
        <f>'Parametric VAR'!$F$13</f>
        <v>-2.8682193012943492E-2</v>
      </c>
      <c r="F948">
        <f t="shared" si="88"/>
        <v>0</v>
      </c>
      <c r="G948" s="67">
        <f>'Historical VAR'!$G$6</f>
        <v>-1.9839729167757107E-2</v>
      </c>
      <c r="H948">
        <f t="shared" si="89"/>
        <v>0</v>
      </c>
      <c r="I948" s="67">
        <f>'Historical VAR'!$G$7</f>
        <v>-3.1428916759065853E-2</v>
      </c>
      <c r="J948">
        <f t="shared" si="90"/>
        <v>0</v>
      </c>
      <c r="K948" s="67">
        <f ca="1">'Monte Carlo Stimulation'!$I$8</f>
        <v>-2.1559270710709389E-2</v>
      </c>
      <c r="L948">
        <f t="shared" ca="1" si="91"/>
        <v>0</v>
      </c>
      <c r="M948" s="67">
        <f ca="1">'Monte Carlo Stimulation'!$I$9</f>
        <v>-2.919314405717207E-2</v>
      </c>
      <c r="N948">
        <f t="shared" ca="1" si="92"/>
        <v>0</v>
      </c>
    </row>
    <row r="949" spans="1:14">
      <c r="A949" s="12">
        <v>44719</v>
      </c>
      <c r="B949" s="14">
        <v>1.100117717983023E-2</v>
      </c>
      <c r="C949" s="67">
        <f>'Parametric VAR'!$F$12</f>
        <v>-2.023068247926026E-2</v>
      </c>
      <c r="D949">
        <f t="shared" si="87"/>
        <v>0</v>
      </c>
      <c r="E949" s="67">
        <f>'Parametric VAR'!$F$13</f>
        <v>-2.8682193012943492E-2</v>
      </c>
      <c r="F949">
        <f t="shared" si="88"/>
        <v>0</v>
      </c>
      <c r="G949" s="67">
        <f>'Historical VAR'!$G$6</f>
        <v>-1.9839729167757107E-2</v>
      </c>
      <c r="H949">
        <f t="shared" si="89"/>
        <v>0</v>
      </c>
      <c r="I949" s="67">
        <f>'Historical VAR'!$G$7</f>
        <v>-3.1428916759065853E-2</v>
      </c>
      <c r="J949">
        <f t="shared" si="90"/>
        <v>0</v>
      </c>
      <c r="K949" s="67">
        <f ca="1">'Monte Carlo Stimulation'!$I$8</f>
        <v>-2.1559270710709389E-2</v>
      </c>
      <c r="L949">
        <f t="shared" ca="1" si="91"/>
        <v>0</v>
      </c>
      <c r="M949" s="67">
        <f ca="1">'Monte Carlo Stimulation'!$I$9</f>
        <v>-2.919314405717207E-2</v>
      </c>
      <c r="N949">
        <f t="shared" ca="1" si="92"/>
        <v>0</v>
      </c>
    </row>
    <row r="950" spans="1:14">
      <c r="A950" s="12">
        <v>44718</v>
      </c>
      <c r="B950" s="14">
        <v>2.233659619830802E-2</v>
      </c>
      <c r="C950" s="67">
        <f>'Parametric VAR'!$F$12</f>
        <v>-2.023068247926026E-2</v>
      </c>
      <c r="D950">
        <f t="shared" si="87"/>
        <v>0</v>
      </c>
      <c r="E950" s="67">
        <f>'Parametric VAR'!$F$13</f>
        <v>-2.8682193012943492E-2</v>
      </c>
      <c r="F950">
        <f t="shared" si="88"/>
        <v>0</v>
      </c>
      <c r="G950" s="67">
        <f>'Historical VAR'!$G$6</f>
        <v>-1.9839729167757107E-2</v>
      </c>
      <c r="H950">
        <f t="shared" si="89"/>
        <v>0</v>
      </c>
      <c r="I950" s="67">
        <f>'Historical VAR'!$G$7</f>
        <v>-3.1428916759065853E-2</v>
      </c>
      <c r="J950">
        <f t="shared" si="90"/>
        <v>0</v>
      </c>
      <c r="K950" s="67">
        <f ca="1">'Monte Carlo Stimulation'!$I$8</f>
        <v>-2.1559270710709389E-2</v>
      </c>
      <c r="L950">
        <f t="shared" ca="1" si="91"/>
        <v>0</v>
      </c>
      <c r="M950" s="67">
        <f ca="1">'Monte Carlo Stimulation'!$I$9</f>
        <v>-2.919314405717207E-2</v>
      </c>
      <c r="N950">
        <f t="shared" ca="1" si="92"/>
        <v>0</v>
      </c>
    </row>
    <row r="951" spans="1:14">
      <c r="A951" s="12">
        <v>44715</v>
      </c>
      <c r="B951" s="14">
        <v>2.3156716257846786E-2</v>
      </c>
      <c r="C951" s="67">
        <f>'Parametric VAR'!$F$12</f>
        <v>-2.023068247926026E-2</v>
      </c>
      <c r="D951">
        <f t="shared" si="87"/>
        <v>0</v>
      </c>
      <c r="E951" s="67">
        <f>'Parametric VAR'!$F$13</f>
        <v>-2.8682193012943492E-2</v>
      </c>
      <c r="F951">
        <f t="shared" si="88"/>
        <v>0</v>
      </c>
      <c r="G951" s="67">
        <f>'Historical VAR'!$G$6</f>
        <v>-1.9839729167757107E-2</v>
      </c>
      <c r="H951">
        <f t="shared" si="89"/>
        <v>0</v>
      </c>
      <c r="I951" s="67">
        <f>'Historical VAR'!$G$7</f>
        <v>-3.1428916759065853E-2</v>
      </c>
      <c r="J951">
        <f t="shared" si="90"/>
        <v>0</v>
      </c>
      <c r="K951" s="67">
        <f ca="1">'Monte Carlo Stimulation'!$I$8</f>
        <v>-2.1559270710709389E-2</v>
      </c>
      <c r="L951">
        <f t="shared" ca="1" si="91"/>
        <v>0</v>
      </c>
      <c r="M951" s="67">
        <f ca="1">'Monte Carlo Stimulation'!$I$9</f>
        <v>-2.919314405717207E-2</v>
      </c>
      <c r="N951">
        <f t="shared" ca="1" si="92"/>
        <v>0</v>
      </c>
    </row>
    <row r="952" spans="1:14">
      <c r="A952" s="12">
        <v>44714</v>
      </c>
      <c r="B952" s="14">
        <v>9.3224981681955376E-3</v>
      </c>
      <c r="C952" s="67">
        <f>'Parametric VAR'!$F$12</f>
        <v>-2.023068247926026E-2</v>
      </c>
      <c r="D952">
        <f t="shared" si="87"/>
        <v>0</v>
      </c>
      <c r="E952" s="67">
        <f>'Parametric VAR'!$F$13</f>
        <v>-2.8682193012943492E-2</v>
      </c>
      <c r="F952">
        <f t="shared" si="88"/>
        <v>0</v>
      </c>
      <c r="G952" s="67">
        <f>'Historical VAR'!$G$6</f>
        <v>-1.9839729167757107E-2</v>
      </c>
      <c r="H952">
        <f t="shared" si="89"/>
        <v>0</v>
      </c>
      <c r="I952" s="67">
        <f>'Historical VAR'!$G$7</f>
        <v>-3.1428916759065853E-2</v>
      </c>
      <c r="J952">
        <f t="shared" si="90"/>
        <v>0</v>
      </c>
      <c r="K952" s="67">
        <f ca="1">'Monte Carlo Stimulation'!$I$8</f>
        <v>-2.1559270710709389E-2</v>
      </c>
      <c r="L952">
        <f t="shared" ca="1" si="91"/>
        <v>0</v>
      </c>
      <c r="M952" s="67">
        <f ca="1">'Monte Carlo Stimulation'!$I$9</f>
        <v>-2.919314405717207E-2</v>
      </c>
      <c r="N952">
        <f t="shared" ca="1" si="92"/>
        <v>0</v>
      </c>
    </row>
    <row r="953" spans="1:14">
      <c r="A953" s="12">
        <v>44713</v>
      </c>
      <c r="B953" s="14">
        <v>-2.0400949014860888E-2</v>
      </c>
      <c r="C953" s="67">
        <f>'Parametric VAR'!$F$12</f>
        <v>-2.023068247926026E-2</v>
      </c>
      <c r="D953">
        <f t="shared" si="87"/>
        <v>1</v>
      </c>
      <c r="E953" s="67">
        <f>'Parametric VAR'!$F$13</f>
        <v>-2.8682193012943492E-2</v>
      </c>
      <c r="F953">
        <f t="shared" si="88"/>
        <v>0</v>
      </c>
      <c r="G953" s="67">
        <f>'Historical VAR'!$G$6</f>
        <v>-1.9839729167757107E-2</v>
      </c>
      <c r="H953">
        <f t="shared" si="89"/>
        <v>1</v>
      </c>
      <c r="I953" s="67">
        <f>'Historical VAR'!$G$7</f>
        <v>-3.1428916759065853E-2</v>
      </c>
      <c r="J953">
        <f t="shared" si="90"/>
        <v>0</v>
      </c>
      <c r="K953" s="67">
        <f ca="1">'Monte Carlo Stimulation'!$I$8</f>
        <v>-2.1559270710709389E-2</v>
      </c>
      <c r="L953">
        <f t="shared" ca="1" si="91"/>
        <v>0</v>
      </c>
      <c r="M953" s="67">
        <f ca="1">'Monte Carlo Stimulation'!$I$9</f>
        <v>-2.919314405717207E-2</v>
      </c>
      <c r="N953">
        <f t="shared" ca="1" si="92"/>
        <v>0</v>
      </c>
    </row>
    <row r="954" spans="1:14">
      <c r="A954" s="12">
        <v>44712</v>
      </c>
      <c r="B954" s="14">
        <v>5.8574340147144249E-3</v>
      </c>
      <c r="C954" s="67">
        <f>'Parametric VAR'!$F$12</f>
        <v>-2.023068247926026E-2</v>
      </c>
      <c r="D954">
        <f t="shared" si="87"/>
        <v>0</v>
      </c>
      <c r="E954" s="67">
        <f>'Parametric VAR'!$F$13</f>
        <v>-2.8682193012943492E-2</v>
      </c>
      <c r="F954">
        <f t="shared" si="88"/>
        <v>0</v>
      </c>
      <c r="G954" s="67">
        <f>'Historical VAR'!$G$6</f>
        <v>-1.9839729167757107E-2</v>
      </c>
      <c r="H954">
        <f t="shared" si="89"/>
        <v>0</v>
      </c>
      <c r="I954" s="67">
        <f>'Historical VAR'!$G$7</f>
        <v>-3.1428916759065853E-2</v>
      </c>
      <c r="J954">
        <f t="shared" si="90"/>
        <v>0</v>
      </c>
      <c r="K954" s="67">
        <f ca="1">'Monte Carlo Stimulation'!$I$8</f>
        <v>-2.1559270710709389E-2</v>
      </c>
      <c r="L954">
        <f t="shared" ca="1" si="91"/>
        <v>0</v>
      </c>
      <c r="M954" s="67">
        <f ca="1">'Monte Carlo Stimulation'!$I$9</f>
        <v>-2.919314405717207E-2</v>
      </c>
      <c r="N954">
        <f t="shared" ca="1" si="92"/>
        <v>0</v>
      </c>
    </row>
    <row r="955" spans="1:14">
      <c r="A955" s="12">
        <v>44711</v>
      </c>
      <c r="B955" s="14">
        <v>-8.2717265309454526E-3</v>
      </c>
      <c r="C955" s="67">
        <f>'Parametric VAR'!$F$12</f>
        <v>-2.023068247926026E-2</v>
      </c>
      <c r="D955">
        <f t="shared" si="87"/>
        <v>0</v>
      </c>
      <c r="E955" s="67">
        <f>'Parametric VAR'!$F$13</f>
        <v>-2.8682193012943492E-2</v>
      </c>
      <c r="F955">
        <f t="shared" si="88"/>
        <v>0</v>
      </c>
      <c r="G955" s="67">
        <f>'Historical VAR'!$G$6</f>
        <v>-1.9839729167757107E-2</v>
      </c>
      <c r="H955">
        <f t="shared" si="89"/>
        <v>0</v>
      </c>
      <c r="I955" s="67">
        <f>'Historical VAR'!$G$7</f>
        <v>-3.1428916759065853E-2</v>
      </c>
      <c r="J955">
        <f t="shared" si="90"/>
        <v>0</v>
      </c>
      <c r="K955" s="67">
        <f ca="1">'Monte Carlo Stimulation'!$I$8</f>
        <v>-2.1559270710709389E-2</v>
      </c>
      <c r="L955">
        <f t="shared" ca="1" si="91"/>
        <v>0</v>
      </c>
      <c r="M955" s="67">
        <f ca="1">'Monte Carlo Stimulation'!$I$9</f>
        <v>-2.919314405717207E-2</v>
      </c>
      <c r="N955">
        <f t="shared" ca="1" si="92"/>
        <v>0</v>
      </c>
    </row>
    <row r="956" spans="1:14">
      <c r="A956" s="12">
        <v>44708</v>
      </c>
      <c r="B956" s="14">
        <v>-1.1550712282022866E-2</v>
      </c>
      <c r="C956" s="67">
        <f>'Parametric VAR'!$F$12</f>
        <v>-2.023068247926026E-2</v>
      </c>
      <c r="D956">
        <f t="shared" si="87"/>
        <v>0</v>
      </c>
      <c r="E956" s="67">
        <f>'Parametric VAR'!$F$13</f>
        <v>-2.8682193012943492E-2</v>
      </c>
      <c r="F956">
        <f t="shared" si="88"/>
        <v>0</v>
      </c>
      <c r="G956" s="67">
        <f>'Historical VAR'!$G$6</f>
        <v>-1.9839729167757107E-2</v>
      </c>
      <c r="H956">
        <f t="shared" si="89"/>
        <v>0</v>
      </c>
      <c r="I956" s="67">
        <f>'Historical VAR'!$G$7</f>
        <v>-3.1428916759065853E-2</v>
      </c>
      <c r="J956">
        <f t="shared" si="90"/>
        <v>0</v>
      </c>
      <c r="K956" s="67">
        <f ca="1">'Monte Carlo Stimulation'!$I$8</f>
        <v>-2.1559270710709389E-2</v>
      </c>
      <c r="L956">
        <f t="shared" ca="1" si="91"/>
        <v>0</v>
      </c>
      <c r="M956" s="67">
        <f ca="1">'Monte Carlo Stimulation'!$I$9</f>
        <v>-2.919314405717207E-2</v>
      </c>
      <c r="N956">
        <f t="shared" ca="1" si="92"/>
        <v>0</v>
      </c>
    </row>
    <row r="957" spans="1:14">
      <c r="A957" s="12">
        <v>44707</v>
      </c>
      <c r="B957" s="14">
        <v>-1.6735562482330353E-3</v>
      </c>
      <c r="C957" s="67">
        <f>'Parametric VAR'!$F$12</f>
        <v>-2.023068247926026E-2</v>
      </c>
      <c r="D957">
        <f t="shared" si="87"/>
        <v>0</v>
      </c>
      <c r="E957" s="67">
        <f>'Parametric VAR'!$F$13</f>
        <v>-2.8682193012943492E-2</v>
      </c>
      <c r="F957">
        <f t="shared" si="88"/>
        <v>0</v>
      </c>
      <c r="G957" s="67">
        <f>'Historical VAR'!$G$6</f>
        <v>-1.9839729167757107E-2</v>
      </c>
      <c r="H957">
        <f t="shared" si="89"/>
        <v>0</v>
      </c>
      <c r="I957" s="67">
        <f>'Historical VAR'!$G$7</f>
        <v>-3.1428916759065853E-2</v>
      </c>
      <c r="J957">
        <f t="shared" si="90"/>
        <v>0</v>
      </c>
      <c r="K957" s="67">
        <f ca="1">'Monte Carlo Stimulation'!$I$8</f>
        <v>-2.1559270710709389E-2</v>
      </c>
      <c r="L957">
        <f t="shared" ca="1" si="91"/>
        <v>0</v>
      </c>
      <c r="M957" s="67">
        <f ca="1">'Monte Carlo Stimulation'!$I$9</f>
        <v>-2.919314405717207E-2</v>
      </c>
      <c r="N957">
        <f t="shared" ca="1" si="92"/>
        <v>0</v>
      </c>
    </row>
    <row r="958" spans="1:14">
      <c r="A958" s="12">
        <v>44706</v>
      </c>
      <c r="B958" s="14">
        <v>-5.3043187365461571E-4</v>
      </c>
      <c r="C958" s="67">
        <f>'Parametric VAR'!$F$12</f>
        <v>-2.023068247926026E-2</v>
      </c>
      <c r="D958">
        <f t="shared" si="87"/>
        <v>0</v>
      </c>
      <c r="E958" s="67">
        <f>'Parametric VAR'!$F$13</f>
        <v>-2.8682193012943492E-2</v>
      </c>
      <c r="F958">
        <f t="shared" si="88"/>
        <v>0</v>
      </c>
      <c r="G958" s="67">
        <f>'Historical VAR'!$G$6</f>
        <v>-1.9839729167757107E-2</v>
      </c>
      <c r="H958">
        <f t="shared" si="89"/>
        <v>0</v>
      </c>
      <c r="I958" s="67">
        <f>'Historical VAR'!$G$7</f>
        <v>-3.1428916759065853E-2</v>
      </c>
      <c r="J958">
        <f t="shared" si="90"/>
        <v>0</v>
      </c>
      <c r="K958" s="67">
        <f ca="1">'Monte Carlo Stimulation'!$I$8</f>
        <v>-2.1559270710709389E-2</v>
      </c>
      <c r="L958">
        <f t="shared" ca="1" si="91"/>
        <v>0</v>
      </c>
      <c r="M958" s="67">
        <f ca="1">'Monte Carlo Stimulation'!$I$9</f>
        <v>-2.919314405717207E-2</v>
      </c>
      <c r="N958">
        <f t="shared" ca="1" si="92"/>
        <v>0</v>
      </c>
    </row>
    <row r="959" spans="1:14">
      <c r="A959" s="12">
        <v>44705</v>
      </c>
      <c r="B959" s="14">
        <v>7.4863036022180876E-2</v>
      </c>
      <c r="C959" s="67">
        <f>'Parametric VAR'!$F$12</f>
        <v>-2.023068247926026E-2</v>
      </c>
      <c r="D959">
        <f t="shared" si="87"/>
        <v>0</v>
      </c>
      <c r="E959" s="67">
        <f>'Parametric VAR'!$F$13</f>
        <v>-2.8682193012943492E-2</v>
      </c>
      <c r="F959">
        <f t="shared" si="88"/>
        <v>0</v>
      </c>
      <c r="G959" s="67">
        <f>'Historical VAR'!$G$6</f>
        <v>-1.9839729167757107E-2</v>
      </c>
      <c r="H959">
        <f t="shared" si="89"/>
        <v>0</v>
      </c>
      <c r="I959" s="67">
        <f>'Historical VAR'!$G$7</f>
        <v>-3.1428916759065853E-2</v>
      </c>
      <c r="J959">
        <f t="shared" si="90"/>
        <v>0</v>
      </c>
      <c r="K959" s="67">
        <f ca="1">'Monte Carlo Stimulation'!$I$8</f>
        <v>-2.1559270710709389E-2</v>
      </c>
      <c r="L959">
        <f t="shared" ca="1" si="91"/>
        <v>0</v>
      </c>
      <c r="M959" s="67">
        <f ca="1">'Monte Carlo Stimulation'!$I$9</f>
        <v>-2.919314405717207E-2</v>
      </c>
      <c r="N959">
        <f t="shared" ca="1" si="92"/>
        <v>0</v>
      </c>
    </row>
    <row r="960" spans="1:14">
      <c r="A960" s="12">
        <v>44704</v>
      </c>
      <c r="B960" s="14">
        <v>2.4033655589991355E-2</v>
      </c>
      <c r="C960" s="67">
        <f>'Parametric VAR'!$F$12</f>
        <v>-2.023068247926026E-2</v>
      </c>
      <c r="D960">
        <f t="shared" si="87"/>
        <v>0</v>
      </c>
      <c r="E960" s="67">
        <f>'Parametric VAR'!$F$13</f>
        <v>-2.8682193012943492E-2</v>
      </c>
      <c r="F960">
        <f t="shared" si="88"/>
        <v>0</v>
      </c>
      <c r="G960" s="67">
        <f>'Historical VAR'!$G$6</f>
        <v>-1.9839729167757107E-2</v>
      </c>
      <c r="H960">
        <f t="shared" si="89"/>
        <v>0</v>
      </c>
      <c r="I960" s="67">
        <f>'Historical VAR'!$G$7</f>
        <v>-3.1428916759065853E-2</v>
      </c>
      <c r="J960">
        <f t="shared" si="90"/>
        <v>0</v>
      </c>
      <c r="K960" s="67">
        <f ca="1">'Monte Carlo Stimulation'!$I$8</f>
        <v>-2.1559270710709389E-2</v>
      </c>
      <c r="L960">
        <f t="shared" ca="1" si="91"/>
        <v>0</v>
      </c>
      <c r="M960" s="67">
        <f ca="1">'Monte Carlo Stimulation'!$I$9</f>
        <v>-2.919314405717207E-2</v>
      </c>
      <c r="N960">
        <f t="shared" ca="1" si="92"/>
        <v>0</v>
      </c>
    </row>
    <row r="961" spans="1:14">
      <c r="A961" s="12">
        <v>44701</v>
      </c>
      <c r="B961" s="14">
        <v>-1.4599270105388808E-2</v>
      </c>
      <c r="C961" s="67">
        <f>'Parametric VAR'!$F$12</f>
        <v>-2.023068247926026E-2</v>
      </c>
      <c r="D961">
        <f t="shared" si="87"/>
        <v>0</v>
      </c>
      <c r="E961" s="67">
        <f>'Parametric VAR'!$F$13</f>
        <v>-2.8682193012943492E-2</v>
      </c>
      <c r="F961">
        <f t="shared" si="88"/>
        <v>0</v>
      </c>
      <c r="G961" s="67">
        <f>'Historical VAR'!$G$6</f>
        <v>-1.9839729167757107E-2</v>
      </c>
      <c r="H961">
        <f t="shared" si="89"/>
        <v>0</v>
      </c>
      <c r="I961" s="67">
        <f>'Historical VAR'!$G$7</f>
        <v>-3.1428916759065853E-2</v>
      </c>
      <c r="J961">
        <f t="shared" si="90"/>
        <v>0</v>
      </c>
      <c r="K961" s="67">
        <f ca="1">'Monte Carlo Stimulation'!$I$8</f>
        <v>-2.1559270710709389E-2</v>
      </c>
      <c r="L961">
        <f t="shared" ca="1" si="91"/>
        <v>0</v>
      </c>
      <c r="M961" s="67">
        <f ca="1">'Monte Carlo Stimulation'!$I$9</f>
        <v>-2.919314405717207E-2</v>
      </c>
      <c r="N961">
        <f t="shared" ca="1" si="92"/>
        <v>0</v>
      </c>
    </row>
    <row r="962" spans="1:14">
      <c r="A962" s="12">
        <v>44700</v>
      </c>
      <c r="B962" s="14">
        <v>-1.6258247587496853E-2</v>
      </c>
      <c r="C962" s="67">
        <f>'Parametric VAR'!$F$12</f>
        <v>-2.023068247926026E-2</v>
      </c>
      <c r="D962">
        <f t="shared" si="87"/>
        <v>0</v>
      </c>
      <c r="E962" s="67">
        <f>'Parametric VAR'!$F$13</f>
        <v>-2.8682193012943492E-2</v>
      </c>
      <c r="F962">
        <f t="shared" si="88"/>
        <v>0</v>
      </c>
      <c r="G962" s="67">
        <f>'Historical VAR'!$G$6</f>
        <v>-1.9839729167757107E-2</v>
      </c>
      <c r="H962">
        <f t="shared" si="89"/>
        <v>0</v>
      </c>
      <c r="I962" s="67">
        <f>'Historical VAR'!$G$7</f>
        <v>-3.1428916759065853E-2</v>
      </c>
      <c r="J962">
        <f t="shared" si="90"/>
        <v>0</v>
      </c>
      <c r="K962" s="67">
        <f ca="1">'Monte Carlo Stimulation'!$I$8</f>
        <v>-2.1559270710709389E-2</v>
      </c>
      <c r="L962">
        <f t="shared" ca="1" si="91"/>
        <v>0</v>
      </c>
      <c r="M962" s="67">
        <f ca="1">'Monte Carlo Stimulation'!$I$9</f>
        <v>-2.919314405717207E-2</v>
      </c>
      <c r="N962">
        <f t="shared" ca="1" si="92"/>
        <v>0</v>
      </c>
    </row>
    <row r="963" spans="1:14">
      <c r="A963" s="12">
        <v>44699</v>
      </c>
      <c r="B963" s="14">
        <v>1.6370200303019018E-2</v>
      </c>
      <c r="C963" s="67">
        <f>'Parametric VAR'!$F$12</f>
        <v>-2.023068247926026E-2</v>
      </c>
      <c r="D963">
        <f t="shared" si="87"/>
        <v>0</v>
      </c>
      <c r="E963" s="67">
        <f>'Parametric VAR'!$F$13</f>
        <v>-2.8682193012943492E-2</v>
      </c>
      <c r="F963">
        <f t="shared" si="88"/>
        <v>0</v>
      </c>
      <c r="G963" s="67">
        <f>'Historical VAR'!$G$6</f>
        <v>-1.9839729167757107E-2</v>
      </c>
      <c r="H963">
        <f t="shared" si="89"/>
        <v>0</v>
      </c>
      <c r="I963" s="67">
        <f>'Historical VAR'!$G$7</f>
        <v>-3.1428916759065853E-2</v>
      </c>
      <c r="J963">
        <f t="shared" si="90"/>
        <v>0</v>
      </c>
      <c r="K963" s="67">
        <f ca="1">'Monte Carlo Stimulation'!$I$8</f>
        <v>-2.1559270710709389E-2</v>
      </c>
      <c r="L963">
        <f t="shared" ca="1" si="91"/>
        <v>0</v>
      </c>
      <c r="M963" s="67">
        <f ca="1">'Monte Carlo Stimulation'!$I$9</f>
        <v>-2.919314405717207E-2</v>
      </c>
      <c r="N963">
        <f t="shared" ca="1" si="92"/>
        <v>0</v>
      </c>
    </row>
    <row r="964" spans="1:14">
      <c r="A964" s="12">
        <v>44698</v>
      </c>
      <c r="B964" s="14">
        <v>-1.1488611890967414E-2</v>
      </c>
      <c r="C964" s="67">
        <f>'Parametric VAR'!$F$12</f>
        <v>-2.023068247926026E-2</v>
      </c>
      <c r="D964">
        <f t="shared" ref="D964:D1027" si="93">IF(B964&lt;C964,1,0)</f>
        <v>0</v>
      </c>
      <c r="E964" s="67">
        <f>'Parametric VAR'!$F$13</f>
        <v>-2.8682193012943492E-2</v>
      </c>
      <c r="F964">
        <f t="shared" ref="F964:F1027" si="94">IF(B964&lt;E964,1,0)</f>
        <v>0</v>
      </c>
      <c r="G964" s="67">
        <f>'Historical VAR'!$G$6</f>
        <v>-1.9839729167757107E-2</v>
      </c>
      <c r="H964">
        <f t="shared" ref="H964:H1027" si="95">IF(B964&lt;G964,1,0)</f>
        <v>0</v>
      </c>
      <c r="I964" s="67">
        <f>'Historical VAR'!$G$7</f>
        <v>-3.1428916759065853E-2</v>
      </c>
      <c r="J964">
        <f t="shared" ref="J964:J1027" si="96">IF(B964&lt;I964,1,0)</f>
        <v>0</v>
      </c>
      <c r="K964" s="67">
        <f ca="1">'Monte Carlo Stimulation'!$I$8</f>
        <v>-2.1559270710709389E-2</v>
      </c>
      <c r="L964">
        <f t="shared" ref="L964:L1027" ca="1" si="97">IF(B964&lt;K964,1,0)</f>
        <v>0</v>
      </c>
      <c r="M964" s="67">
        <f ca="1">'Monte Carlo Stimulation'!$I$9</f>
        <v>-2.919314405717207E-2</v>
      </c>
      <c r="N964">
        <f t="shared" ref="N964:N1027" ca="1" si="98">IF(B964&lt;M964,1,0)</f>
        <v>0</v>
      </c>
    </row>
    <row r="965" spans="1:14">
      <c r="A965" s="12">
        <v>44697</v>
      </c>
      <c r="B965" s="14">
        <v>-1.4512804056667248E-2</v>
      </c>
      <c r="C965" s="67">
        <f>'Parametric VAR'!$F$12</f>
        <v>-2.023068247926026E-2</v>
      </c>
      <c r="D965">
        <f t="shared" si="93"/>
        <v>0</v>
      </c>
      <c r="E965" s="67">
        <f>'Parametric VAR'!$F$13</f>
        <v>-2.8682193012943492E-2</v>
      </c>
      <c r="F965">
        <f t="shared" si="94"/>
        <v>0</v>
      </c>
      <c r="G965" s="67">
        <f>'Historical VAR'!$G$6</f>
        <v>-1.9839729167757107E-2</v>
      </c>
      <c r="H965">
        <f t="shared" si="95"/>
        <v>0</v>
      </c>
      <c r="I965" s="67">
        <f>'Historical VAR'!$G$7</f>
        <v>-3.1428916759065853E-2</v>
      </c>
      <c r="J965">
        <f t="shared" si="96"/>
        <v>0</v>
      </c>
      <c r="K965" s="67">
        <f ca="1">'Monte Carlo Stimulation'!$I$8</f>
        <v>-2.1559270710709389E-2</v>
      </c>
      <c r="L965">
        <f t="shared" ca="1" si="97"/>
        <v>0</v>
      </c>
      <c r="M965" s="67">
        <f ca="1">'Monte Carlo Stimulation'!$I$9</f>
        <v>-2.919314405717207E-2</v>
      </c>
      <c r="N965">
        <f t="shared" ca="1" si="98"/>
        <v>0</v>
      </c>
    </row>
    <row r="966" spans="1:14">
      <c r="A966" s="12">
        <v>44694</v>
      </c>
      <c r="B966" s="14">
        <v>1.9894905500446508E-2</v>
      </c>
      <c r="C966" s="67">
        <f>'Parametric VAR'!$F$12</f>
        <v>-2.023068247926026E-2</v>
      </c>
      <c r="D966">
        <f t="shared" si="93"/>
        <v>0</v>
      </c>
      <c r="E966" s="67">
        <f>'Parametric VAR'!$F$13</f>
        <v>-2.8682193012943492E-2</v>
      </c>
      <c r="F966">
        <f t="shared" si="94"/>
        <v>0</v>
      </c>
      <c r="G966" s="67">
        <f>'Historical VAR'!$G$6</f>
        <v>-1.9839729167757107E-2</v>
      </c>
      <c r="H966">
        <f t="shared" si="95"/>
        <v>0</v>
      </c>
      <c r="I966" s="67">
        <f>'Historical VAR'!$G$7</f>
        <v>-3.1428916759065853E-2</v>
      </c>
      <c r="J966">
        <f t="shared" si="96"/>
        <v>0</v>
      </c>
      <c r="K966" s="67">
        <f ca="1">'Monte Carlo Stimulation'!$I$8</f>
        <v>-2.1559270710709389E-2</v>
      </c>
      <c r="L966">
        <f t="shared" ca="1" si="97"/>
        <v>0</v>
      </c>
      <c r="M966" s="67">
        <f ca="1">'Monte Carlo Stimulation'!$I$9</f>
        <v>-2.919314405717207E-2</v>
      </c>
      <c r="N966">
        <f t="shared" ca="1" si="98"/>
        <v>0</v>
      </c>
    </row>
    <row r="967" spans="1:14">
      <c r="A967" s="12">
        <v>44693</v>
      </c>
      <c r="B967" s="14">
        <v>-5.4200133859797547E-3</v>
      </c>
      <c r="C967" s="67">
        <f>'Parametric VAR'!$F$12</f>
        <v>-2.023068247926026E-2</v>
      </c>
      <c r="D967">
        <f t="shared" si="93"/>
        <v>0</v>
      </c>
      <c r="E967" s="67">
        <f>'Parametric VAR'!$F$13</f>
        <v>-2.8682193012943492E-2</v>
      </c>
      <c r="F967">
        <f t="shared" si="94"/>
        <v>0</v>
      </c>
      <c r="G967" s="67">
        <f>'Historical VAR'!$G$6</f>
        <v>-1.9839729167757107E-2</v>
      </c>
      <c r="H967">
        <f t="shared" si="95"/>
        <v>0</v>
      </c>
      <c r="I967" s="67">
        <f>'Historical VAR'!$G$7</f>
        <v>-3.1428916759065853E-2</v>
      </c>
      <c r="J967">
        <f t="shared" si="96"/>
        <v>0</v>
      </c>
      <c r="K967" s="67">
        <f ca="1">'Monte Carlo Stimulation'!$I$8</f>
        <v>-2.1559270710709389E-2</v>
      </c>
      <c r="L967">
        <f t="shared" ca="1" si="97"/>
        <v>0</v>
      </c>
      <c r="M967" s="67">
        <f ca="1">'Monte Carlo Stimulation'!$I$9</f>
        <v>-2.919314405717207E-2</v>
      </c>
      <c r="N967">
        <f t="shared" ca="1" si="98"/>
        <v>0</v>
      </c>
    </row>
    <row r="968" spans="1:14">
      <c r="A968" s="12">
        <v>44692</v>
      </c>
      <c r="B968" s="14">
        <v>6.843704630270982E-3</v>
      </c>
      <c r="C968" s="67">
        <f>'Parametric VAR'!$F$12</f>
        <v>-2.023068247926026E-2</v>
      </c>
      <c r="D968">
        <f t="shared" si="93"/>
        <v>0</v>
      </c>
      <c r="E968" s="67">
        <f>'Parametric VAR'!$F$13</f>
        <v>-2.8682193012943492E-2</v>
      </c>
      <c r="F968">
        <f t="shared" si="94"/>
        <v>0</v>
      </c>
      <c r="G968" s="67">
        <f>'Historical VAR'!$G$6</f>
        <v>-1.9839729167757107E-2</v>
      </c>
      <c r="H968">
        <f t="shared" si="95"/>
        <v>0</v>
      </c>
      <c r="I968" s="67">
        <f>'Historical VAR'!$G$7</f>
        <v>-3.1428916759065853E-2</v>
      </c>
      <c r="J968">
        <f t="shared" si="96"/>
        <v>0</v>
      </c>
      <c r="K968" s="67">
        <f ca="1">'Monte Carlo Stimulation'!$I$8</f>
        <v>-2.1559270710709389E-2</v>
      </c>
      <c r="L968">
        <f t="shared" ca="1" si="97"/>
        <v>0</v>
      </c>
      <c r="M968" s="67">
        <f ca="1">'Monte Carlo Stimulation'!$I$9</f>
        <v>-2.919314405717207E-2</v>
      </c>
      <c r="N968">
        <f t="shared" ca="1" si="98"/>
        <v>0</v>
      </c>
    </row>
    <row r="969" spans="1:14">
      <c r="A969" s="12">
        <v>44691</v>
      </c>
      <c r="B969" s="14">
        <v>1.4937371500519004E-2</v>
      </c>
      <c r="C969" s="67">
        <f>'Parametric VAR'!$F$12</f>
        <v>-2.023068247926026E-2</v>
      </c>
      <c r="D969">
        <f t="shared" si="93"/>
        <v>0</v>
      </c>
      <c r="E969" s="67">
        <f>'Parametric VAR'!$F$13</f>
        <v>-2.8682193012943492E-2</v>
      </c>
      <c r="F969">
        <f t="shared" si="94"/>
        <v>0</v>
      </c>
      <c r="G969" s="67">
        <f>'Historical VAR'!$G$6</f>
        <v>-1.9839729167757107E-2</v>
      </c>
      <c r="H969">
        <f t="shared" si="95"/>
        <v>0</v>
      </c>
      <c r="I969" s="67">
        <f>'Historical VAR'!$G$7</f>
        <v>-3.1428916759065853E-2</v>
      </c>
      <c r="J969">
        <f t="shared" si="96"/>
        <v>0</v>
      </c>
      <c r="K969" s="67">
        <f ca="1">'Monte Carlo Stimulation'!$I$8</f>
        <v>-2.1559270710709389E-2</v>
      </c>
      <c r="L969">
        <f t="shared" ca="1" si="97"/>
        <v>0</v>
      </c>
      <c r="M969" s="67">
        <f ca="1">'Monte Carlo Stimulation'!$I$9</f>
        <v>-2.919314405717207E-2</v>
      </c>
      <c r="N969">
        <f t="shared" ca="1" si="98"/>
        <v>0</v>
      </c>
    </row>
    <row r="970" spans="1:14">
      <c r="A970" s="12">
        <v>44690</v>
      </c>
      <c r="B970" s="14">
        <v>-2.0797096471070878E-2</v>
      </c>
      <c r="C970" s="67">
        <f>'Parametric VAR'!$F$12</f>
        <v>-2.023068247926026E-2</v>
      </c>
      <c r="D970">
        <f t="shared" si="93"/>
        <v>1</v>
      </c>
      <c r="E970" s="67">
        <f>'Parametric VAR'!$F$13</f>
        <v>-2.8682193012943492E-2</v>
      </c>
      <c r="F970">
        <f t="shared" si="94"/>
        <v>0</v>
      </c>
      <c r="G970" s="67">
        <f>'Historical VAR'!$G$6</f>
        <v>-1.9839729167757107E-2</v>
      </c>
      <c r="H970">
        <f t="shared" si="95"/>
        <v>1</v>
      </c>
      <c r="I970" s="67">
        <f>'Historical VAR'!$G$7</f>
        <v>-3.1428916759065853E-2</v>
      </c>
      <c r="J970">
        <f t="shared" si="96"/>
        <v>0</v>
      </c>
      <c r="K970" s="67">
        <f ca="1">'Monte Carlo Stimulation'!$I$8</f>
        <v>-2.1559270710709389E-2</v>
      </c>
      <c r="L970">
        <f t="shared" ca="1" si="97"/>
        <v>0</v>
      </c>
      <c r="M970" s="67">
        <f ca="1">'Monte Carlo Stimulation'!$I$9</f>
        <v>-2.919314405717207E-2</v>
      </c>
      <c r="N970">
        <f t="shared" ca="1" si="98"/>
        <v>0</v>
      </c>
    </row>
    <row r="971" spans="1:14">
      <c r="A971" s="12">
        <v>44687</v>
      </c>
      <c r="B971" s="14">
        <v>5.0190616918545554E-3</v>
      </c>
      <c r="C971" s="67">
        <f>'Parametric VAR'!$F$12</f>
        <v>-2.023068247926026E-2</v>
      </c>
      <c r="D971">
        <f t="shared" si="93"/>
        <v>0</v>
      </c>
      <c r="E971" s="67">
        <f>'Parametric VAR'!$F$13</f>
        <v>-2.8682193012943492E-2</v>
      </c>
      <c r="F971">
        <f t="shared" si="94"/>
        <v>0</v>
      </c>
      <c r="G971" s="67">
        <f>'Historical VAR'!$G$6</f>
        <v>-1.9839729167757107E-2</v>
      </c>
      <c r="H971">
        <f t="shared" si="95"/>
        <v>0</v>
      </c>
      <c r="I971" s="67">
        <f>'Historical VAR'!$G$7</f>
        <v>-3.1428916759065853E-2</v>
      </c>
      <c r="J971">
        <f t="shared" si="96"/>
        <v>0</v>
      </c>
      <c r="K971" s="67">
        <f ca="1">'Monte Carlo Stimulation'!$I$8</f>
        <v>-2.1559270710709389E-2</v>
      </c>
      <c r="L971">
        <f t="shared" ca="1" si="97"/>
        <v>0</v>
      </c>
      <c r="M971" s="67">
        <f ca="1">'Monte Carlo Stimulation'!$I$9</f>
        <v>-2.919314405717207E-2</v>
      </c>
      <c r="N971">
        <f t="shared" ca="1" si="98"/>
        <v>0</v>
      </c>
    </row>
    <row r="972" spans="1:14">
      <c r="A972" s="12">
        <v>44686</v>
      </c>
      <c r="B972" s="14">
        <v>1.9979148843401111E-2</v>
      </c>
      <c r="C972" s="67">
        <f>'Parametric VAR'!$F$12</f>
        <v>-2.023068247926026E-2</v>
      </c>
      <c r="D972">
        <f t="shared" si="93"/>
        <v>0</v>
      </c>
      <c r="E972" s="67">
        <f>'Parametric VAR'!$F$13</f>
        <v>-2.8682193012943492E-2</v>
      </c>
      <c r="F972">
        <f t="shared" si="94"/>
        <v>0</v>
      </c>
      <c r="G972" s="67">
        <f>'Historical VAR'!$G$6</f>
        <v>-1.9839729167757107E-2</v>
      </c>
      <c r="H972">
        <f t="shared" si="95"/>
        <v>0</v>
      </c>
      <c r="I972" s="67">
        <f>'Historical VAR'!$G$7</f>
        <v>-3.1428916759065853E-2</v>
      </c>
      <c r="J972">
        <f t="shared" si="96"/>
        <v>0</v>
      </c>
      <c r="K972" s="67">
        <f ca="1">'Monte Carlo Stimulation'!$I$8</f>
        <v>-2.1559270710709389E-2</v>
      </c>
      <c r="L972">
        <f t="shared" ca="1" si="97"/>
        <v>0</v>
      </c>
      <c r="M972" s="67">
        <f ca="1">'Monte Carlo Stimulation'!$I$9</f>
        <v>-2.919314405717207E-2</v>
      </c>
      <c r="N972">
        <f t="shared" ca="1" si="98"/>
        <v>0</v>
      </c>
    </row>
    <row r="973" spans="1:14">
      <c r="A973" s="12">
        <v>44685</v>
      </c>
      <c r="B973" s="14">
        <v>6.1646188046072126E-3</v>
      </c>
      <c r="C973" s="67">
        <f>'Parametric VAR'!$F$12</f>
        <v>-2.023068247926026E-2</v>
      </c>
      <c r="D973">
        <f t="shared" si="93"/>
        <v>0</v>
      </c>
      <c r="E973" s="67">
        <f>'Parametric VAR'!$F$13</f>
        <v>-2.8682193012943492E-2</v>
      </c>
      <c r="F973">
        <f t="shared" si="94"/>
        <v>0</v>
      </c>
      <c r="G973" s="67">
        <f>'Historical VAR'!$G$6</f>
        <v>-1.9839729167757107E-2</v>
      </c>
      <c r="H973">
        <f t="shared" si="95"/>
        <v>0</v>
      </c>
      <c r="I973" s="67">
        <f>'Historical VAR'!$G$7</f>
        <v>-3.1428916759065853E-2</v>
      </c>
      <c r="J973">
        <f t="shared" si="96"/>
        <v>0</v>
      </c>
      <c r="K973" s="67">
        <f ca="1">'Monte Carlo Stimulation'!$I$8</f>
        <v>-2.1559270710709389E-2</v>
      </c>
      <c r="L973">
        <f t="shared" ca="1" si="97"/>
        <v>0</v>
      </c>
      <c r="M973" s="67">
        <f ca="1">'Monte Carlo Stimulation'!$I$9</f>
        <v>-2.919314405717207E-2</v>
      </c>
      <c r="N973">
        <f t="shared" ca="1" si="98"/>
        <v>0</v>
      </c>
    </row>
    <row r="974" spans="1:14">
      <c r="A974" s="12">
        <v>44683</v>
      </c>
      <c r="B974" s="14">
        <v>3.0560122446097886E-2</v>
      </c>
      <c r="C974" s="67">
        <f>'Parametric VAR'!$F$12</f>
        <v>-2.023068247926026E-2</v>
      </c>
      <c r="D974">
        <f t="shared" si="93"/>
        <v>0</v>
      </c>
      <c r="E974" s="67">
        <f>'Parametric VAR'!$F$13</f>
        <v>-2.8682193012943492E-2</v>
      </c>
      <c r="F974">
        <f t="shared" si="94"/>
        <v>0</v>
      </c>
      <c r="G974" s="67">
        <f>'Historical VAR'!$G$6</f>
        <v>-1.9839729167757107E-2</v>
      </c>
      <c r="H974">
        <f t="shared" si="95"/>
        <v>0</v>
      </c>
      <c r="I974" s="67">
        <f>'Historical VAR'!$G$7</f>
        <v>-3.1428916759065853E-2</v>
      </c>
      <c r="J974">
        <f t="shared" si="96"/>
        <v>0</v>
      </c>
      <c r="K974" s="67">
        <f ca="1">'Monte Carlo Stimulation'!$I$8</f>
        <v>-2.1559270710709389E-2</v>
      </c>
      <c r="L974">
        <f t="shared" ca="1" si="97"/>
        <v>0</v>
      </c>
      <c r="M974" s="67">
        <f ca="1">'Monte Carlo Stimulation'!$I$9</f>
        <v>-2.919314405717207E-2</v>
      </c>
      <c r="N974">
        <f t="shared" ca="1" si="98"/>
        <v>0</v>
      </c>
    </row>
    <row r="975" spans="1:14">
      <c r="A975" s="12">
        <v>44680</v>
      </c>
      <c r="B975" s="14">
        <v>1.0313243064522248E-2</v>
      </c>
      <c r="C975" s="67">
        <f>'Parametric VAR'!$F$12</f>
        <v>-2.023068247926026E-2</v>
      </c>
      <c r="D975">
        <f t="shared" si="93"/>
        <v>0</v>
      </c>
      <c r="E975" s="67">
        <f>'Parametric VAR'!$F$13</f>
        <v>-2.8682193012943492E-2</v>
      </c>
      <c r="F975">
        <f t="shared" si="94"/>
        <v>0</v>
      </c>
      <c r="G975" s="67">
        <f>'Historical VAR'!$G$6</f>
        <v>-1.9839729167757107E-2</v>
      </c>
      <c r="H975">
        <f t="shared" si="95"/>
        <v>0</v>
      </c>
      <c r="I975" s="67">
        <f>'Historical VAR'!$G$7</f>
        <v>-3.1428916759065853E-2</v>
      </c>
      <c r="J975">
        <f t="shared" si="96"/>
        <v>0</v>
      </c>
      <c r="K975" s="67">
        <f ca="1">'Monte Carlo Stimulation'!$I$8</f>
        <v>-2.1559270710709389E-2</v>
      </c>
      <c r="L975">
        <f t="shared" ca="1" si="97"/>
        <v>0</v>
      </c>
      <c r="M975" s="67">
        <f ca="1">'Monte Carlo Stimulation'!$I$9</f>
        <v>-2.919314405717207E-2</v>
      </c>
      <c r="N975">
        <f t="shared" ca="1" si="98"/>
        <v>0</v>
      </c>
    </row>
    <row r="976" spans="1:14">
      <c r="A976" s="12">
        <v>44679</v>
      </c>
      <c r="B976" s="14">
        <v>5.2873983891264433E-3</v>
      </c>
      <c r="C976" s="67">
        <f>'Parametric VAR'!$F$12</f>
        <v>-2.023068247926026E-2</v>
      </c>
      <c r="D976">
        <f t="shared" si="93"/>
        <v>0</v>
      </c>
      <c r="E976" s="67">
        <f>'Parametric VAR'!$F$13</f>
        <v>-2.8682193012943492E-2</v>
      </c>
      <c r="F976">
        <f t="shared" si="94"/>
        <v>0</v>
      </c>
      <c r="G976" s="67">
        <f>'Historical VAR'!$G$6</f>
        <v>-1.9839729167757107E-2</v>
      </c>
      <c r="H976">
        <f t="shared" si="95"/>
        <v>0</v>
      </c>
      <c r="I976" s="67">
        <f>'Historical VAR'!$G$7</f>
        <v>-3.1428916759065853E-2</v>
      </c>
      <c r="J976">
        <f t="shared" si="96"/>
        <v>0</v>
      </c>
      <c r="K976" s="67">
        <f ca="1">'Monte Carlo Stimulation'!$I$8</f>
        <v>-2.1559270710709389E-2</v>
      </c>
      <c r="L976">
        <f t="shared" ca="1" si="97"/>
        <v>0</v>
      </c>
      <c r="M976" s="67">
        <f ca="1">'Monte Carlo Stimulation'!$I$9</f>
        <v>-2.919314405717207E-2</v>
      </c>
      <c r="N976">
        <f t="shared" ca="1" si="98"/>
        <v>0</v>
      </c>
    </row>
    <row r="977" spans="1:14">
      <c r="A977" s="12">
        <v>44678</v>
      </c>
      <c r="B977" s="14">
        <v>-2.434526123200036E-2</v>
      </c>
      <c r="C977" s="67">
        <f>'Parametric VAR'!$F$12</f>
        <v>-2.023068247926026E-2</v>
      </c>
      <c r="D977">
        <f t="shared" si="93"/>
        <v>1</v>
      </c>
      <c r="E977" s="67">
        <f>'Parametric VAR'!$F$13</f>
        <v>-2.8682193012943492E-2</v>
      </c>
      <c r="F977">
        <f t="shared" si="94"/>
        <v>0</v>
      </c>
      <c r="G977" s="67">
        <f>'Historical VAR'!$G$6</f>
        <v>-1.9839729167757107E-2</v>
      </c>
      <c r="H977">
        <f t="shared" si="95"/>
        <v>1</v>
      </c>
      <c r="I977" s="67">
        <f>'Historical VAR'!$G$7</f>
        <v>-3.1428916759065853E-2</v>
      </c>
      <c r="J977">
        <f t="shared" si="96"/>
        <v>0</v>
      </c>
      <c r="K977" s="67">
        <f ca="1">'Monte Carlo Stimulation'!$I$8</f>
        <v>-2.1559270710709389E-2</v>
      </c>
      <c r="L977">
        <f t="shared" ca="1" si="97"/>
        <v>1</v>
      </c>
      <c r="M977" s="67">
        <f ca="1">'Monte Carlo Stimulation'!$I$9</f>
        <v>-2.919314405717207E-2</v>
      </c>
      <c r="N977">
        <f t="shared" ca="1" si="98"/>
        <v>0</v>
      </c>
    </row>
    <row r="978" spans="1:14">
      <c r="A978" s="12">
        <v>44677</v>
      </c>
      <c r="B978" s="14">
        <v>-4.4600714524751627E-3</v>
      </c>
      <c r="C978" s="67">
        <f>'Parametric VAR'!$F$12</f>
        <v>-2.023068247926026E-2</v>
      </c>
      <c r="D978">
        <f t="shared" si="93"/>
        <v>0</v>
      </c>
      <c r="E978" s="67">
        <f>'Parametric VAR'!$F$13</f>
        <v>-2.8682193012943492E-2</v>
      </c>
      <c r="F978">
        <f t="shared" si="94"/>
        <v>0</v>
      </c>
      <c r="G978" s="67">
        <f>'Historical VAR'!$G$6</f>
        <v>-1.9839729167757107E-2</v>
      </c>
      <c r="H978">
        <f t="shared" si="95"/>
        <v>0</v>
      </c>
      <c r="I978" s="67">
        <f>'Historical VAR'!$G$7</f>
        <v>-3.1428916759065853E-2</v>
      </c>
      <c r="J978">
        <f t="shared" si="96"/>
        <v>0</v>
      </c>
      <c r="K978" s="67">
        <f ca="1">'Monte Carlo Stimulation'!$I$8</f>
        <v>-2.1559270710709389E-2</v>
      </c>
      <c r="L978">
        <f t="shared" ca="1" si="97"/>
        <v>0</v>
      </c>
      <c r="M978" s="67">
        <f ca="1">'Monte Carlo Stimulation'!$I$9</f>
        <v>-2.919314405717207E-2</v>
      </c>
      <c r="N978">
        <f t="shared" ca="1" si="98"/>
        <v>0</v>
      </c>
    </row>
    <row r="979" spans="1:14">
      <c r="A979" s="12">
        <v>44676</v>
      </c>
      <c r="B979" s="14">
        <v>-6.7068642453581794E-4</v>
      </c>
      <c r="C979" s="67">
        <f>'Parametric VAR'!$F$12</f>
        <v>-2.023068247926026E-2</v>
      </c>
      <c r="D979">
        <f t="shared" si="93"/>
        <v>0</v>
      </c>
      <c r="E979" s="67">
        <f>'Parametric VAR'!$F$13</f>
        <v>-2.8682193012943492E-2</v>
      </c>
      <c r="F979">
        <f t="shared" si="94"/>
        <v>0</v>
      </c>
      <c r="G979" s="67">
        <f>'Historical VAR'!$G$6</f>
        <v>-1.9839729167757107E-2</v>
      </c>
      <c r="H979">
        <f t="shared" si="95"/>
        <v>0</v>
      </c>
      <c r="I979" s="67">
        <f>'Historical VAR'!$G$7</f>
        <v>-3.1428916759065853E-2</v>
      </c>
      <c r="J979">
        <f t="shared" si="96"/>
        <v>0</v>
      </c>
      <c r="K979" s="67">
        <f ca="1">'Monte Carlo Stimulation'!$I$8</f>
        <v>-2.1559270710709389E-2</v>
      </c>
      <c r="L979">
        <f t="shared" ca="1" si="97"/>
        <v>0</v>
      </c>
      <c r="M979" s="67">
        <f ca="1">'Monte Carlo Stimulation'!$I$9</f>
        <v>-2.919314405717207E-2</v>
      </c>
      <c r="N979">
        <f t="shared" ca="1" si="98"/>
        <v>0</v>
      </c>
    </row>
    <row r="980" spans="1:14">
      <c r="A980" s="12">
        <v>44673</v>
      </c>
      <c r="B980" s="14">
        <v>8.7021567489277852E-3</v>
      </c>
      <c r="C980" s="67">
        <f>'Parametric VAR'!$F$12</f>
        <v>-2.023068247926026E-2</v>
      </c>
      <c r="D980">
        <f t="shared" si="93"/>
        <v>0</v>
      </c>
      <c r="E980" s="67">
        <f>'Parametric VAR'!$F$13</f>
        <v>-2.8682193012943492E-2</v>
      </c>
      <c r="F980">
        <f t="shared" si="94"/>
        <v>0</v>
      </c>
      <c r="G980" s="67">
        <f>'Historical VAR'!$G$6</f>
        <v>-1.9839729167757107E-2</v>
      </c>
      <c r="H980">
        <f t="shared" si="95"/>
        <v>0</v>
      </c>
      <c r="I980" s="67">
        <f>'Historical VAR'!$G$7</f>
        <v>-3.1428916759065853E-2</v>
      </c>
      <c r="J980">
        <f t="shared" si="96"/>
        <v>0</v>
      </c>
      <c r="K980" s="67">
        <f ca="1">'Monte Carlo Stimulation'!$I$8</f>
        <v>-2.1559270710709389E-2</v>
      </c>
      <c r="L980">
        <f t="shared" ca="1" si="97"/>
        <v>0</v>
      </c>
      <c r="M980" s="67">
        <f ca="1">'Monte Carlo Stimulation'!$I$9</f>
        <v>-2.919314405717207E-2</v>
      </c>
      <c r="N980">
        <f t="shared" ca="1" si="98"/>
        <v>0</v>
      </c>
    </row>
    <row r="981" spans="1:14">
      <c r="A981" s="12">
        <v>44672</v>
      </c>
      <c r="B981" s="14">
        <v>-9.7315366401096951E-4</v>
      </c>
      <c r="C981" s="67">
        <f>'Parametric VAR'!$F$12</f>
        <v>-2.023068247926026E-2</v>
      </c>
      <c r="D981">
        <f t="shared" si="93"/>
        <v>0</v>
      </c>
      <c r="E981" s="67">
        <f>'Parametric VAR'!$F$13</f>
        <v>-2.8682193012943492E-2</v>
      </c>
      <c r="F981">
        <f t="shared" si="94"/>
        <v>0</v>
      </c>
      <c r="G981" s="67">
        <f>'Historical VAR'!$G$6</f>
        <v>-1.9839729167757107E-2</v>
      </c>
      <c r="H981">
        <f t="shared" si="95"/>
        <v>0</v>
      </c>
      <c r="I981" s="67">
        <f>'Historical VAR'!$G$7</f>
        <v>-3.1428916759065853E-2</v>
      </c>
      <c r="J981">
        <f t="shared" si="96"/>
        <v>0</v>
      </c>
      <c r="K981" s="67">
        <f ca="1">'Monte Carlo Stimulation'!$I$8</f>
        <v>-2.1559270710709389E-2</v>
      </c>
      <c r="L981">
        <f t="shared" ca="1" si="97"/>
        <v>0</v>
      </c>
      <c r="M981" s="67">
        <f ca="1">'Monte Carlo Stimulation'!$I$9</f>
        <v>-2.919314405717207E-2</v>
      </c>
      <c r="N981">
        <f t="shared" ca="1" si="98"/>
        <v>0</v>
      </c>
    </row>
    <row r="982" spans="1:14">
      <c r="A982" s="12">
        <v>44671</v>
      </c>
      <c r="B982" s="14">
        <v>-1.8832293469713553E-2</v>
      </c>
      <c r="C982" s="67">
        <f>'Parametric VAR'!$F$12</f>
        <v>-2.023068247926026E-2</v>
      </c>
      <c r="D982">
        <f t="shared" si="93"/>
        <v>0</v>
      </c>
      <c r="E982" s="67">
        <f>'Parametric VAR'!$F$13</f>
        <v>-2.8682193012943492E-2</v>
      </c>
      <c r="F982">
        <f t="shared" si="94"/>
        <v>0</v>
      </c>
      <c r="G982" s="67">
        <f>'Historical VAR'!$G$6</f>
        <v>-1.9839729167757107E-2</v>
      </c>
      <c r="H982">
        <f t="shared" si="95"/>
        <v>0</v>
      </c>
      <c r="I982" s="67">
        <f>'Historical VAR'!$G$7</f>
        <v>-3.1428916759065853E-2</v>
      </c>
      <c r="J982">
        <f t="shared" si="96"/>
        <v>0</v>
      </c>
      <c r="K982" s="67">
        <f ca="1">'Monte Carlo Stimulation'!$I$8</f>
        <v>-2.1559270710709389E-2</v>
      </c>
      <c r="L982">
        <f t="shared" ca="1" si="97"/>
        <v>0</v>
      </c>
      <c r="M982" s="67">
        <f ca="1">'Monte Carlo Stimulation'!$I$9</f>
        <v>-2.919314405717207E-2</v>
      </c>
      <c r="N982">
        <f t="shared" ca="1" si="98"/>
        <v>0</v>
      </c>
    </row>
    <row r="983" spans="1:14">
      <c r="A983" s="12">
        <v>44670</v>
      </c>
      <c r="B983" s="14">
        <v>-2.3898524361520679E-2</v>
      </c>
      <c r="C983" s="67">
        <f>'Parametric VAR'!$F$12</f>
        <v>-2.023068247926026E-2</v>
      </c>
      <c r="D983">
        <f t="shared" si="93"/>
        <v>1</v>
      </c>
      <c r="E983" s="67">
        <f>'Parametric VAR'!$F$13</f>
        <v>-2.8682193012943492E-2</v>
      </c>
      <c r="F983">
        <f t="shared" si="94"/>
        <v>0</v>
      </c>
      <c r="G983" s="67">
        <f>'Historical VAR'!$G$6</f>
        <v>-1.9839729167757107E-2</v>
      </c>
      <c r="H983">
        <f t="shared" si="95"/>
        <v>1</v>
      </c>
      <c r="I983" s="67">
        <f>'Historical VAR'!$G$7</f>
        <v>-3.1428916759065853E-2</v>
      </c>
      <c r="J983">
        <f t="shared" si="96"/>
        <v>0</v>
      </c>
      <c r="K983" s="67">
        <f ca="1">'Monte Carlo Stimulation'!$I$8</f>
        <v>-2.1559270710709389E-2</v>
      </c>
      <c r="L983">
        <f t="shared" ca="1" si="97"/>
        <v>1</v>
      </c>
      <c r="M983" s="67">
        <f ca="1">'Monte Carlo Stimulation'!$I$9</f>
        <v>-2.919314405717207E-2</v>
      </c>
      <c r="N983">
        <f t="shared" ca="1" si="98"/>
        <v>0</v>
      </c>
    </row>
    <row r="984" spans="1:14">
      <c r="A984" s="12">
        <v>44669</v>
      </c>
      <c r="B984" s="14">
        <v>1.1301999530142425E-2</v>
      </c>
      <c r="C984" s="67">
        <f>'Parametric VAR'!$F$12</f>
        <v>-2.023068247926026E-2</v>
      </c>
      <c r="D984">
        <f t="shared" si="93"/>
        <v>0</v>
      </c>
      <c r="E984" s="67">
        <f>'Parametric VAR'!$F$13</f>
        <v>-2.8682193012943492E-2</v>
      </c>
      <c r="F984">
        <f t="shared" si="94"/>
        <v>0</v>
      </c>
      <c r="G984" s="67">
        <f>'Historical VAR'!$G$6</f>
        <v>-1.9839729167757107E-2</v>
      </c>
      <c r="H984">
        <f t="shared" si="95"/>
        <v>0</v>
      </c>
      <c r="I984" s="67">
        <f>'Historical VAR'!$G$7</f>
        <v>-3.1428916759065853E-2</v>
      </c>
      <c r="J984">
        <f t="shared" si="96"/>
        <v>0</v>
      </c>
      <c r="K984" s="67">
        <f ca="1">'Monte Carlo Stimulation'!$I$8</f>
        <v>-2.1559270710709389E-2</v>
      </c>
      <c r="L984">
        <f t="shared" ca="1" si="97"/>
        <v>0</v>
      </c>
      <c r="M984" s="67">
        <f ca="1">'Monte Carlo Stimulation'!$I$9</f>
        <v>-2.919314405717207E-2</v>
      </c>
      <c r="N984">
        <f t="shared" ca="1" si="98"/>
        <v>0</v>
      </c>
    </row>
    <row r="985" spans="1:14">
      <c r="A985" s="12">
        <v>44664</v>
      </c>
      <c r="B985" s="14">
        <v>1.4577344838146331E-2</v>
      </c>
      <c r="C985" s="67">
        <f>'Parametric VAR'!$F$12</f>
        <v>-2.023068247926026E-2</v>
      </c>
      <c r="D985">
        <f t="shared" si="93"/>
        <v>0</v>
      </c>
      <c r="E985" s="67">
        <f>'Parametric VAR'!$F$13</f>
        <v>-2.8682193012943492E-2</v>
      </c>
      <c r="F985">
        <f t="shared" si="94"/>
        <v>0</v>
      </c>
      <c r="G985" s="67">
        <f>'Historical VAR'!$G$6</f>
        <v>-1.9839729167757107E-2</v>
      </c>
      <c r="H985">
        <f t="shared" si="95"/>
        <v>0</v>
      </c>
      <c r="I985" s="67">
        <f>'Historical VAR'!$G$7</f>
        <v>-3.1428916759065853E-2</v>
      </c>
      <c r="J985">
        <f t="shared" si="96"/>
        <v>0</v>
      </c>
      <c r="K985" s="67">
        <f ca="1">'Monte Carlo Stimulation'!$I$8</f>
        <v>-2.1559270710709389E-2</v>
      </c>
      <c r="L985">
        <f t="shared" ca="1" si="97"/>
        <v>0</v>
      </c>
      <c r="M985" s="67">
        <f ca="1">'Monte Carlo Stimulation'!$I$9</f>
        <v>-2.919314405717207E-2</v>
      </c>
      <c r="N985">
        <f t="shared" ca="1" si="98"/>
        <v>0</v>
      </c>
    </row>
    <row r="986" spans="1:14">
      <c r="A986" s="12">
        <v>44663</v>
      </c>
      <c r="B986" s="14">
        <v>1.1559823710973879E-2</v>
      </c>
      <c r="C986" s="67">
        <f>'Parametric VAR'!$F$12</f>
        <v>-2.023068247926026E-2</v>
      </c>
      <c r="D986">
        <f t="shared" si="93"/>
        <v>0</v>
      </c>
      <c r="E986" s="67">
        <f>'Parametric VAR'!$F$13</f>
        <v>-2.8682193012943492E-2</v>
      </c>
      <c r="F986">
        <f t="shared" si="94"/>
        <v>0</v>
      </c>
      <c r="G986" s="67">
        <f>'Historical VAR'!$G$6</f>
        <v>-1.9839729167757107E-2</v>
      </c>
      <c r="H986">
        <f t="shared" si="95"/>
        <v>0</v>
      </c>
      <c r="I986" s="67">
        <f>'Historical VAR'!$G$7</f>
        <v>-3.1428916759065853E-2</v>
      </c>
      <c r="J986">
        <f t="shared" si="96"/>
        <v>0</v>
      </c>
      <c r="K986" s="67">
        <f ca="1">'Monte Carlo Stimulation'!$I$8</f>
        <v>-2.1559270710709389E-2</v>
      </c>
      <c r="L986">
        <f t="shared" ca="1" si="97"/>
        <v>0</v>
      </c>
      <c r="M986" s="67">
        <f ca="1">'Monte Carlo Stimulation'!$I$9</f>
        <v>-2.919314405717207E-2</v>
      </c>
      <c r="N986">
        <f t="shared" ca="1" si="98"/>
        <v>0</v>
      </c>
    </row>
    <row r="987" spans="1:14">
      <c r="A987" s="12">
        <v>44662</v>
      </c>
      <c r="B987" s="14">
        <v>8.6320282121986943E-3</v>
      </c>
      <c r="C987" s="67">
        <f>'Parametric VAR'!$F$12</f>
        <v>-2.023068247926026E-2</v>
      </c>
      <c r="D987">
        <f t="shared" si="93"/>
        <v>0</v>
      </c>
      <c r="E987" s="67">
        <f>'Parametric VAR'!$F$13</f>
        <v>-2.8682193012943492E-2</v>
      </c>
      <c r="F987">
        <f t="shared" si="94"/>
        <v>0</v>
      </c>
      <c r="G987" s="67">
        <f>'Historical VAR'!$G$6</f>
        <v>-1.9839729167757107E-2</v>
      </c>
      <c r="H987">
        <f t="shared" si="95"/>
        <v>0</v>
      </c>
      <c r="I987" s="67">
        <f>'Historical VAR'!$G$7</f>
        <v>-3.1428916759065853E-2</v>
      </c>
      <c r="J987">
        <f t="shared" si="96"/>
        <v>0</v>
      </c>
      <c r="K987" s="67">
        <f ca="1">'Monte Carlo Stimulation'!$I$8</f>
        <v>-2.1559270710709389E-2</v>
      </c>
      <c r="L987">
        <f t="shared" ca="1" si="97"/>
        <v>0</v>
      </c>
      <c r="M987" s="67">
        <f ca="1">'Monte Carlo Stimulation'!$I$9</f>
        <v>-2.919314405717207E-2</v>
      </c>
      <c r="N987">
        <f t="shared" ca="1" si="98"/>
        <v>0</v>
      </c>
    </row>
    <row r="988" spans="1:14">
      <c r="A988" s="12">
        <v>44659</v>
      </c>
      <c r="B988" s="14">
        <v>1.1586353686006278E-2</v>
      </c>
      <c r="C988" s="67">
        <f>'Parametric VAR'!$F$12</f>
        <v>-2.023068247926026E-2</v>
      </c>
      <c r="D988">
        <f t="shared" si="93"/>
        <v>0</v>
      </c>
      <c r="E988" s="67">
        <f>'Parametric VAR'!$F$13</f>
        <v>-2.8682193012943492E-2</v>
      </c>
      <c r="F988">
        <f t="shared" si="94"/>
        <v>0</v>
      </c>
      <c r="G988" s="67">
        <f>'Historical VAR'!$G$6</f>
        <v>-1.9839729167757107E-2</v>
      </c>
      <c r="H988">
        <f t="shared" si="95"/>
        <v>0</v>
      </c>
      <c r="I988" s="67">
        <f>'Historical VAR'!$G$7</f>
        <v>-3.1428916759065853E-2</v>
      </c>
      <c r="J988">
        <f t="shared" si="96"/>
        <v>0</v>
      </c>
      <c r="K988" s="67">
        <f ca="1">'Monte Carlo Stimulation'!$I$8</f>
        <v>-2.1559270710709389E-2</v>
      </c>
      <c r="L988">
        <f t="shared" ca="1" si="97"/>
        <v>0</v>
      </c>
      <c r="M988" s="67">
        <f ca="1">'Monte Carlo Stimulation'!$I$9</f>
        <v>-2.919314405717207E-2</v>
      </c>
      <c r="N988">
        <f t="shared" ca="1" si="98"/>
        <v>0</v>
      </c>
    </row>
    <row r="989" spans="1:14">
      <c r="A989" s="12">
        <v>44658</v>
      </c>
      <c r="B989" s="14">
        <v>-1.5255872395766482E-2</v>
      </c>
      <c r="C989" s="67">
        <f>'Parametric VAR'!$F$12</f>
        <v>-2.023068247926026E-2</v>
      </c>
      <c r="D989">
        <f t="shared" si="93"/>
        <v>0</v>
      </c>
      <c r="E989" s="67">
        <f>'Parametric VAR'!$F$13</f>
        <v>-2.8682193012943492E-2</v>
      </c>
      <c r="F989">
        <f t="shared" si="94"/>
        <v>0</v>
      </c>
      <c r="G989" s="67">
        <f>'Historical VAR'!$G$6</f>
        <v>-1.9839729167757107E-2</v>
      </c>
      <c r="H989">
        <f t="shared" si="95"/>
        <v>0</v>
      </c>
      <c r="I989" s="67">
        <f>'Historical VAR'!$G$7</f>
        <v>-3.1428916759065853E-2</v>
      </c>
      <c r="J989">
        <f t="shared" si="96"/>
        <v>0</v>
      </c>
      <c r="K989" s="67">
        <f ca="1">'Monte Carlo Stimulation'!$I$8</f>
        <v>-2.1559270710709389E-2</v>
      </c>
      <c r="L989">
        <f t="shared" ca="1" si="97"/>
        <v>0</v>
      </c>
      <c r="M989" s="67">
        <f ca="1">'Monte Carlo Stimulation'!$I$9</f>
        <v>-2.919314405717207E-2</v>
      </c>
      <c r="N989">
        <f t="shared" ca="1" si="98"/>
        <v>0</v>
      </c>
    </row>
    <row r="990" spans="1:14">
      <c r="A990" s="12">
        <v>44657</v>
      </c>
      <c r="B990" s="14">
        <v>6.8024970065707377E-4</v>
      </c>
      <c r="C990" s="67">
        <f>'Parametric VAR'!$F$12</f>
        <v>-2.023068247926026E-2</v>
      </c>
      <c r="D990">
        <f t="shared" si="93"/>
        <v>0</v>
      </c>
      <c r="E990" s="67">
        <f>'Parametric VAR'!$F$13</f>
        <v>-2.8682193012943492E-2</v>
      </c>
      <c r="F990">
        <f t="shared" si="94"/>
        <v>0</v>
      </c>
      <c r="G990" s="67">
        <f>'Historical VAR'!$G$6</f>
        <v>-1.9839729167757107E-2</v>
      </c>
      <c r="H990">
        <f t="shared" si="95"/>
        <v>0</v>
      </c>
      <c r="I990" s="67">
        <f>'Historical VAR'!$G$7</f>
        <v>-3.1428916759065853E-2</v>
      </c>
      <c r="J990">
        <f t="shared" si="96"/>
        <v>0</v>
      </c>
      <c r="K990" s="67">
        <f ca="1">'Monte Carlo Stimulation'!$I$8</f>
        <v>-2.1559270710709389E-2</v>
      </c>
      <c r="L990">
        <f t="shared" ca="1" si="97"/>
        <v>0</v>
      </c>
      <c r="M990" s="67">
        <f ca="1">'Monte Carlo Stimulation'!$I$9</f>
        <v>-2.919314405717207E-2</v>
      </c>
      <c r="N990">
        <f t="shared" ca="1" si="98"/>
        <v>0</v>
      </c>
    </row>
    <row r="991" spans="1:14">
      <c r="A991" s="12">
        <v>44656</v>
      </c>
      <c r="B991" s="14">
        <v>-2.8960639613323353E-3</v>
      </c>
      <c r="C991" s="67">
        <f>'Parametric VAR'!$F$12</f>
        <v>-2.023068247926026E-2</v>
      </c>
      <c r="D991">
        <f t="shared" si="93"/>
        <v>0</v>
      </c>
      <c r="E991" s="67">
        <f>'Parametric VAR'!$F$13</f>
        <v>-2.8682193012943492E-2</v>
      </c>
      <c r="F991">
        <f t="shared" si="94"/>
        <v>0</v>
      </c>
      <c r="G991" s="67">
        <f>'Historical VAR'!$G$6</f>
        <v>-1.9839729167757107E-2</v>
      </c>
      <c r="H991">
        <f t="shared" si="95"/>
        <v>0</v>
      </c>
      <c r="I991" s="67">
        <f>'Historical VAR'!$G$7</f>
        <v>-3.1428916759065853E-2</v>
      </c>
      <c r="J991">
        <f t="shared" si="96"/>
        <v>0</v>
      </c>
      <c r="K991" s="67">
        <f ca="1">'Monte Carlo Stimulation'!$I$8</f>
        <v>-2.1559270710709389E-2</v>
      </c>
      <c r="L991">
        <f t="shared" ca="1" si="97"/>
        <v>0</v>
      </c>
      <c r="M991" s="67">
        <f ca="1">'Monte Carlo Stimulation'!$I$9</f>
        <v>-2.919314405717207E-2</v>
      </c>
      <c r="N991">
        <f t="shared" ca="1" si="98"/>
        <v>0</v>
      </c>
    </row>
    <row r="992" spans="1:14">
      <c r="A992" s="12">
        <v>44655</v>
      </c>
      <c r="B992" s="14">
        <v>-6.0926820763502476E-3</v>
      </c>
      <c r="C992" s="67">
        <f>'Parametric VAR'!$F$12</f>
        <v>-2.023068247926026E-2</v>
      </c>
      <c r="D992">
        <f t="shared" si="93"/>
        <v>0</v>
      </c>
      <c r="E992" s="67">
        <f>'Parametric VAR'!$F$13</f>
        <v>-2.8682193012943492E-2</v>
      </c>
      <c r="F992">
        <f t="shared" si="94"/>
        <v>0</v>
      </c>
      <c r="G992" s="67">
        <f>'Historical VAR'!$G$6</f>
        <v>-1.9839729167757107E-2</v>
      </c>
      <c r="H992">
        <f t="shared" si="95"/>
        <v>0</v>
      </c>
      <c r="I992" s="67">
        <f>'Historical VAR'!$G$7</f>
        <v>-3.1428916759065853E-2</v>
      </c>
      <c r="J992">
        <f t="shared" si="96"/>
        <v>0</v>
      </c>
      <c r="K992" s="67">
        <f ca="1">'Monte Carlo Stimulation'!$I$8</f>
        <v>-2.1559270710709389E-2</v>
      </c>
      <c r="L992">
        <f t="shared" ca="1" si="97"/>
        <v>0</v>
      </c>
      <c r="M992" s="67">
        <f ca="1">'Monte Carlo Stimulation'!$I$9</f>
        <v>-2.919314405717207E-2</v>
      </c>
      <c r="N992">
        <f t="shared" ca="1" si="98"/>
        <v>0</v>
      </c>
    </row>
    <row r="993" spans="1:14">
      <c r="A993" s="12">
        <v>44652</v>
      </c>
      <c r="B993" s="14">
        <v>-2.7901489282471065E-3</v>
      </c>
      <c r="C993" s="67">
        <f>'Parametric VAR'!$F$12</f>
        <v>-2.023068247926026E-2</v>
      </c>
      <c r="D993">
        <f t="shared" si="93"/>
        <v>0</v>
      </c>
      <c r="E993" s="67">
        <f>'Parametric VAR'!$F$13</f>
        <v>-2.8682193012943492E-2</v>
      </c>
      <c r="F993">
        <f t="shared" si="94"/>
        <v>0</v>
      </c>
      <c r="G993" s="67">
        <f>'Historical VAR'!$G$6</f>
        <v>-1.9839729167757107E-2</v>
      </c>
      <c r="H993">
        <f t="shared" si="95"/>
        <v>0</v>
      </c>
      <c r="I993" s="67">
        <f>'Historical VAR'!$G$7</f>
        <v>-3.1428916759065853E-2</v>
      </c>
      <c r="J993">
        <f t="shared" si="96"/>
        <v>0</v>
      </c>
      <c r="K993" s="67">
        <f ca="1">'Monte Carlo Stimulation'!$I$8</f>
        <v>-2.1559270710709389E-2</v>
      </c>
      <c r="L993">
        <f t="shared" ca="1" si="97"/>
        <v>0</v>
      </c>
      <c r="M993" s="67">
        <f ca="1">'Monte Carlo Stimulation'!$I$9</f>
        <v>-2.919314405717207E-2</v>
      </c>
      <c r="N993">
        <f t="shared" ca="1" si="98"/>
        <v>0</v>
      </c>
    </row>
    <row r="994" spans="1:14">
      <c r="A994" s="12">
        <v>44651</v>
      </c>
      <c r="B994" s="14">
        <v>-1.1828878033964723E-2</v>
      </c>
      <c r="C994" s="67">
        <f>'Parametric VAR'!$F$12</f>
        <v>-2.023068247926026E-2</v>
      </c>
      <c r="D994">
        <f t="shared" si="93"/>
        <v>0</v>
      </c>
      <c r="E994" s="67">
        <f>'Parametric VAR'!$F$13</f>
        <v>-2.8682193012943492E-2</v>
      </c>
      <c r="F994">
        <f t="shared" si="94"/>
        <v>0</v>
      </c>
      <c r="G994" s="67">
        <f>'Historical VAR'!$G$6</f>
        <v>-1.9839729167757107E-2</v>
      </c>
      <c r="H994">
        <f t="shared" si="95"/>
        <v>0</v>
      </c>
      <c r="I994" s="67">
        <f>'Historical VAR'!$G$7</f>
        <v>-3.1428916759065853E-2</v>
      </c>
      <c r="J994">
        <f t="shared" si="96"/>
        <v>0</v>
      </c>
      <c r="K994" s="67">
        <f ca="1">'Monte Carlo Stimulation'!$I$8</f>
        <v>-2.1559270710709389E-2</v>
      </c>
      <c r="L994">
        <f t="shared" ca="1" si="97"/>
        <v>0</v>
      </c>
      <c r="M994" s="67">
        <f ca="1">'Monte Carlo Stimulation'!$I$9</f>
        <v>-2.919314405717207E-2</v>
      </c>
      <c r="N994">
        <f t="shared" ca="1" si="98"/>
        <v>0</v>
      </c>
    </row>
    <row r="995" spans="1:14">
      <c r="A995" s="12">
        <v>44650</v>
      </c>
      <c r="B995" s="14">
        <v>-2.7570456047362299E-3</v>
      </c>
      <c r="C995" s="67">
        <f>'Parametric VAR'!$F$12</f>
        <v>-2.023068247926026E-2</v>
      </c>
      <c r="D995">
        <f t="shared" si="93"/>
        <v>0</v>
      </c>
      <c r="E995" s="67">
        <f>'Parametric VAR'!$F$13</f>
        <v>-2.8682193012943492E-2</v>
      </c>
      <c r="F995">
        <f t="shared" si="94"/>
        <v>0</v>
      </c>
      <c r="G995" s="67">
        <f>'Historical VAR'!$G$6</f>
        <v>-1.9839729167757107E-2</v>
      </c>
      <c r="H995">
        <f t="shared" si="95"/>
        <v>0</v>
      </c>
      <c r="I995" s="67">
        <f>'Historical VAR'!$G$7</f>
        <v>-3.1428916759065853E-2</v>
      </c>
      <c r="J995">
        <f t="shared" si="96"/>
        <v>0</v>
      </c>
      <c r="K995" s="67">
        <f ca="1">'Monte Carlo Stimulation'!$I$8</f>
        <v>-2.1559270710709389E-2</v>
      </c>
      <c r="L995">
        <f t="shared" ca="1" si="97"/>
        <v>0</v>
      </c>
      <c r="M995" s="67">
        <f ca="1">'Monte Carlo Stimulation'!$I$9</f>
        <v>-2.919314405717207E-2</v>
      </c>
      <c r="N995">
        <f t="shared" ca="1" si="98"/>
        <v>0</v>
      </c>
    </row>
    <row r="996" spans="1:14">
      <c r="A996" s="12">
        <v>44649</v>
      </c>
      <c r="B996" s="14">
        <v>-1.232487494354321E-2</v>
      </c>
      <c r="C996" s="67">
        <f>'Parametric VAR'!$F$12</f>
        <v>-2.023068247926026E-2</v>
      </c>
      <c r="D996">
        <f t="shared" si="93"/>
        <v>0</v>
      </c>
      <c r="E996" s="67">
        <f>'Parametric VAR'!$F$13</f>
        <v>-2.8682193012943492E-2</v>
      </c>
      <c r="F996">
        <f t="shared" si="94"/>
        <v>0</v>
      </c>
      <c r="G996" s="67">
        <f>'Historical VAR'!$G$6</f>
        <v>-1.9839729167757107E-2</v>
      </c>
      <c r="H996">
        <f t="shared" si="95"/>
        <v>0</v>
      </c>
      <c r="I996" s="67">
        <f>'Historical VAR'!$G$7</f>
        <v>-3.1428916759065853E-2</v>
      </c>
      <c r="J996">
        <f t="shared" si="96"/>
        <v>0</v>
      </c>
      <c r="K996" s="67">
        <f ca="1">'Monte Carlo Stimulation'!$I$8</f>
        <v>-2.1559270710709389E-2</v>
      </c>
      <c r="L996">
        <f t="shared" ca="1" si="97"/>
        <v>0</v>
      </c>
      <c r="M996" s="67">
        <f ca="1">'Monte Carlo Stimulation'!$I$9</f>
        <v>-2.919314405717207E-2</v>
      </c>
      <c r="N996">
        <f t="shared" ca="1" si="98"/>
        <v>0</v>
      </c>
    </row>
    <row r="997" spans="1:14">
      <c r="A997" s="12">
        <v>44648</v>
      </c>
      <c r="B997" s="14">
        <v>-5.2114858477591511E-3</v>
      </c>
      <c r="C997" s="67">
        <f>'Parametric VAR'!$F$12</f>
        <v>-2.023068247926026E-2</v>
      </c>
      <c r="D997">
        <f t="shared" si="93"/>
        <v>0</v>
      </c>
      <c r="E997" s="67">
        <f>'Parametric VAR'!$F$13</f>
        <v>-2.8682193012943492E-2</v>
      </c>
      <c r="F997">
        <f t="shared" si="94"/>
        <v>0</v>
      </c>
      <c r="G997" s="67">
        <f>'Historical VAR'!$G$6</f>
        <v>-1.9839729167757107E-2</v>
      </c>
      <c r="H997">
        <f t="shared" si="95"/>
        <v>0</v>
      </c>
      <c r="I997" s="67">
        <f>'Historical VAR'!$G$7</f>
        <v>-3.1428916759065853E-2</v>
      </c>
      <c r="J997">
        <f t="shared" si="96"/>
        <v>0</v>
      </c>
      <c r="K997" s="67">
        <f ca="1">'Monte Carlo Stimulation'!$I$8</f>
        <v>-2.1559270710709389E-2</v>
      </c>
      <c r="L997">
        <f t="shared" ca="1" si="97"/>
        <v>0</v>
      </c>
      <c r="M997" s="67">
        <f ca="1">'Monte Carlo Stimulation'!$I$9</f>
        <v>-2.919314405717207E-2</v>
      </c>
      <c r="N997">
        <f t="shared" ca="1" si="98"/>
        <v>0</v>
      </c>
    </row>
    <row r="998" spans="1:14">
      <c r="A998" s="12">
        <v>44645</v>
      </c>
      <c r="B998" s="14">
        <v>8.8148225139324174E-3</v>
      </c>
      <c r="C998" s="67">
        <f>'Parametric VAR'!$F$12</f>
        <v>-2.023068247926026E-2</v>
      </c>
      <c r="D998">
        <f t="shared" si="93"/>
        <v>0</v>
      </c>
      <c r="E998" s="67">
        <f>'Parametric VAR'!$F$13</f>
        <v>-2.8682193012943492E-2</v>
      </c>
      <c r="F998">
        <f t="shared" si="94"/>
        <v>0</v>
      </c>
      <c r="G998" s="67">
        <f>'Historical VAR'!$G$6</f>
        <v>-1.9839729167757107E-2</v>
      </c>
      <c r="H998">
        <f t="shared" si="95"/>
        <v>0</v>
      </c>
      <c r="I998" s="67">
        <f>'Historical VAR'!$G$7</f>
        <v>-3.1428916759065853E-2</v>
      </c>
      <c r="J998">
        <f t="shared" si="96"/>
        <v>0</v>
      </c>
      <c r="K998" s="67">
        <f ca="1">'Monte Carlo Stimulation'!$I$8</f>
        <v>-2.1559270710709389E-2</v>
      </c>
      <c r="L998">
        <f t="shared" ca="1" si="97"/>
        <v>0</v>
      </c>
      <c r="M998" s="67">
        <f ca="1">'Monte Carlo Stimulation'!$I$9</f>
        <v>-2.919314405717207E-2</v>
      </c>
      <c r="N998">
        <f t="shared" ca="1" si="98"/>
        <v>0</v>
      </c>
    </row>
    <row r="999" spans="1:14">
      <c r="A999" s="12">
        <v>44644</v>
      </c>
      <c r="B999" s="14">
        <v>-6.2918143026052548E-3</v>
      </c>
      <c r="C999" s="67">
        <f>'Parametric VAR'!$F$12</f>
        <v>-2.023068247926026E-2</v>
      </c>
      <c r="D999">
        <f t="shared" si="93"/>
        <v>0</v>
      </c>
      <c r="E999" s="67">
        <f>'Parametric VAR'!$F$13</f>
        <v>-2.8682193012943492E-2</v>
      </c>
      <c r="F999">
        <f t="shared" si="94"/>
        <v>0</v>
      </c>
      <c r="G999" s="67">
        <f>'Historical VAR'!$G$6</f>
        <v>-1.9839729167757107E-2</v>
      </c>
      <c r="H999">
        <f t="shared" si="95"/>
        <v>0</v>
      </c>
      <c r="I999" s="67">
        <f>'Historical VAR'!$G$7</f>
        <v>-3.1428916759065853E-2</v>
      </c>
      <c r="J999">
        <f t="shared" si="96"/>
        <v>0</v>
      </c>
      <c r="K999" s="67">
        <f ca="1">'Monte Carlo Stimulation'!$I$8</f>
        <v>-2.1559270710709389E-2</v>
      </c>
      <c r="L999">
        <f t="shared" ca="1" si="97"/>
        <v>0</v>
      </c>
      <c r="M999" s="67">
        <f ca="1">'Monte Carlo Stimulation'!$I$9</f>
        <v>-2.919314405717207E-2</v>
      </c>
      <c r="N999">
        <f t="shared" ca="1" si="98"/>
        <v>0</v>
      </c>
    </row>
    <row r="1000" spans="1:14">
      <c r="A1000" s="12">
        <v>44643</v>
      </c>
      <c r="B1000" s="14">
        <v>-1.4405456439553512E-3</v>
      </c>
      <c r="C1000" s="67">
        <f>'Parametric VAR'!$F$12</f>
        <v>-2.023068247926026E-2</v>
      </c>
      <c r="D1000">
        <f t="shared" si="93"/>
        <v>0</v>
      </c>
      <c r="E1000" s="67">
        <f>'Parametric VAR'!$F$13</f>
        <v>-2.8682193012943492E-2</v>
      </c>
      <c r="F1000">
        <f t="shared" si="94"/>
        <v>0</v>
      </c>
      <c r="G1000" s="67">
        <f>'Historical VAR'!$G$6</f>
        <v>-1.9839729167757107E-2</v>
      </c>
      <c r="H1000">
        <f t="shared" si="95"/>
        <v>0</v>
      </c>
      <c r="I1000" s="67">
        <f>'Historical VAR'!$G$7</f>
        <v>-3.1428916759065853E-2</v>
      </c>
      <c r="J1000">
        <f t="shared" si="96"/>
        <v>0</v>
      </c>
      <c r="K1000" s="67">
        <f ca="1">'Monte Carlo Stimulation'!$I$8</f>
        <v>-2.1559270710709389E-2</v>
      </c>
      <c r="L1000">
        <f t="shared" ca="1" si="97"/>
        <v>0</v>
      </c>
      <c r="M1000" s="67">
        <f ca="1">'Monte Carlo Stimulation'!$I$9</f>
        <v>-2.919314405717207E-2</v>
      </c>
      <c r="N1000">
        <f t="shared" ca="1" si="98"/>
        <v>0</v>
      </c>
    </row>
    <row r="1001" spans="1:14">
      <c r="A1001" s="12">
        <v>44642</v>
      </c>
      <c r="B1001" s="14">
        <v>1.1806570323380002E-2</v>
      </c>
      <c r="C1001" s="67">
        <f>'Parametric VAR'!$F$12</f>
        <v>-2.023068247926026E-2</v>
      </c>
      <c r="D1001">
        <f t="shared" si="93"/>
        <v>0</v>
      </c>
      <c r="E1001" s="67">
        <f>'Parametric VAR'!$F$13</f>
        <v>-2.8682193012943492E-2</v>
      </c>
      <c r="F1001">
        <f t="shared" si="94"/>
        <v>0</v>
      </c>
      <c r="G1001" s="67">
        <f>'Historical VAR'!$G$6</f>
        <v>-1.9839729167757107E-2</v>
      </c>
      <c r="H1001">
        <f t="shared" si="95"/>
        <v>0</v>
      </c>
      <c r="I1001" s="67">
        <f>'Historical VAR'!$G$7</f>
        <v>-3.1428916759065853E-2</v>
      </c>
      <c r="J1001">
        <f t="shared" si="96"/>
        <v>0</v>
      </c>
      <c r="K1001" s="67">
        <f ca="1">'Monte Carlo Stimulation'!$I$8</f>
        <v>-2.1559270710709389E-2</v>
      </c>
      <c r="L1001">
        <f t="shared" ca="1" si="97"/>
        <v>0</v>
      </c>
      <c r="M1001" s="67">
        <f ca="1">'Monte Carlo Stimulation'!$I$9</f>
        <v>-2.919314405717207E-2</v>
      </c>
      <c r="N1001">
        <f t="shared" ca="1" si="98"/>
        <v>0</v>
      </c>
    </row>
    <row r="1002" spans="1:14">
      <c r="A1002" s="12">
        <v>44641</v>
      </c>
      <c r="B1002" s="14">
        <v>-5.4401414260752898E-4</v>
      </c>
      <c r="C1002" s="67">
        <f>'Parametric VAR'!$F$12</f>
        <v>-2.023068247926026E-2</v>
      </c>
      <c r="D1002">
        <f t="shared" si="93"/>
        <v>0</v>
      </c>
      <c r="E1002" s="67">
        <f>'Parametric VAR'!$F$13</f>
        <v>-2.8682193012943492E-2</v>
      </c>
      <c r="F1002">
        <f t="shared" si="94"/>
        <v>0</v>
      </c>
      <c r="G1002" s="67">
        <f>'Historical VAR'!$G$6</f>
        <v>-1.9839729167757107E-2</v>
      </c>
      <c r="H1002">
        <f t="shared" si="95"/>
        <v>0</v>
      </c>
      <c r="I1002" s="67">
        <f>'Historical VAR'!$G$7</f>
        <v>-3.1428916759065853E-2</v>
      </c>
      <c r="J1002">
        <f t="shared" si="96"/>
        <v>0</v>
      </c>
      <c r="K1002" s="67">
        <f ca="1">'Monte Carlo Stimulation'!$I$8</f>
        <v>-2.1559270710709389E-2</v>
      </c>
      <c r="L1002">
        <f t="shared" ca="1" si="97"/>
        <v>0</v>
      </c>
      <c r="M1002" s="67">
        <f ca="1">'Monte Carlo Stimulation'!$I$9</f>
        <v>-2.919314405717207E-2</v>
      </c>
      <c r="N1002">
        <f t="shared" ca="1" si="98"/>
        <v>0</v>
      </c>
    </row>
    <row r="1003" spans="1:14">
      <c r="A1003" s="12">
        <v>44637</v>
      </c>
      <c r="B1003" s="14">
        <v>2.7302740698602609E-2</v>
      </c>
      <c r="C1003" s="67">
        <f>'Parametric VAR'!$F$12</f>
        <v>-2.023068247926026E-2</v>
      </c>
      <c r="D1003">
        <f t="shared" si="93"/>
        <v>0</v>
      </c>
      <c r="E1003" s="67">
        <f>'Parametric VAR'!$F$13</f>
        <v>-2.8682193012943492E-2</v>
      </c>
      <c r="F1003">
        <f t="shared" si="94"/>
        <v>0</v>
      </c>
      <c r="G1003" s="67">
        <f>'Historical VAR'!$G$6</f>
        <v>-1.9839729167757107E-2</v>
      </c>
      <c r="H1003">
        <f t="shared" si="95"/>
        <v>0</v>
      </c>
      <c r="I1003" s="67">
        <f>'Historical VAR'!$G$7</f>
        <v>-3.1428916759065853E-2</v>
      </c>
      <c r="J1003">
        <f t="shared" si="96"/>
        <v>0</v>
      </c>
      <c r="K1003" s="67">
        <f ca="1">'Monte Carlo Stimulation'!$I$8</f>
        <v>-2.1559270710709389E-2</v>
      </c>
      <c r="L1003">
        <f t="shared" ca="1" si="97"/>
        <v>0</v>
      </c>
      <c r="M1003" s="67">
        <f ca="1">'Monte Carlo Stimulation'!$I$9</f>
        <v>-2.919314405717207E-2</v>
      </c>
      <c r="N1003">
        <f t="shared" ca="1" si="98"/>
        <v>0</v>
      </c>
    </row>
    <row r="1004" spans="1:14">
      <c r="A1004" s="12">
        <v>44636</v>
      </c>
      <c r="B1004" s="14">
        <v>-2.7163114907834941E-2</v>
      </c>
      <c r="C1004" s="67">
        <f>'Parametric VAR'!$F$12</f>
        <v>-2.023068247926026E-2</v>
      </c>
      <c r="D1004">
        <f t="shared" si="93"/>
        <v>1</v>
      </c>
      <c r="E1004" s="67">
        <f>'Parametric VAR'!$F$13</f>
        <v>-2.8682193012943492E-2</v>
      </c>
      <c r="F1004">
        <f t="shared" si="94"/>
        <v>0</v>
      </c>
      <c r="G1004" s="67">
        <f>'Historical VAR'!$G$6</f>
        <v>-1.9839729167757107E-2</v>
      </c>
      <c r="H1004">
        <f t="shared" si="95"/>
        <v>1</v>
      </c>
      <c r="I1004" s="67">
        <f>'Historical VAR'!$G$7</f>
        <v>-3.1428916759065853E-2</v>
      </c>
      <c r="J1004">
        <f t="shared" si="96"/>
        <v>0</v>
      </c>
      <c r="K1004" s="67">
        <f ca="1">'Monte Carlo Stimulation'!$I$8</f>
        <v>-2.1559270710709389E-2</v>
      </c>
      <c r="L1004">
        <f t="shared" ca="1" si="97"/>
        <v>1</v>
      </c>
      <c r="M1004" s="67">
        <f ca="1">'Monte Carlo Stimulation'!$I$9</f>
        <v>-2.919314405717207E-2</v>
      </c>
      <c r="N1004">
        <f t="shared" ca="1" si="98"/>
        <v>0</v>
      </c>
    </row>
    <row r="1005" spans="1:14">
      <c r="A1005" s="12">
        <v>44635</v>
      </c>
      <c r="B1005" s="14">
        <v>-1.5491907248083919E-2</v>
      </c>
      <c r="C1005" s="67">
        <f>'Parametric VAR'!$F$12</f>
        <v>-2.023068247926026E-2</v>
      </c>
      <c r="D1005">
        <f t="shared" si="93"/>
        <v>0</v>
      </c>
      <c r="E1005" s="67">
        <f>'Parametric VAR'!$F$13</f>
        <v>-2.8682193012943492E-2</v>
      </c>
      <c r="F1005">
        <f t="shared" si="94"/>
        <v>0</v>
      </c>
      <c r="G1005" s="67">
        <f>'Historical VAR'!$G$6</f>
        <v>-1.9839729167757107E-2</v>
      </c>
      <c r="H1005">
        <f t="shared" si="95"/>
        <v>0</v>
      </c>
      <c r="I1005" s="67">
        <f>'Historical VAR'!$G$7</f>
        <v>-3.1428916759065853E-2</v>
      </c>
      <c r="J1005">
        <f t="shared" si="96"/>
        <v>0</v>
      </c>
      <c r="K1005" s="67">
        <f ca="1">'Monte Carlo Stimulation'!$I$8</f>
        <v>-2.1559270710709389E-2</v>
      </c>
      <c r="L1005">
        <f t="shared" ca="1" si="97"/>
        <v>0</v>
      </c>
      <c r="M1005" s="67">
        <f ca="1">'Monte Carlo Stimulation'!$I$9</f>
        <v>-2.919314405717207E-2</v>
      </c>
      <c r="N1005">
        <f t="shared" ca="1" si="98"/>
        <v>0</v>
      </c>
    </row>
    <row r="1006" spans="1:14">
      <c r="A1006" s="12">
        <v>44634</v>
      </c>
      <c r="B1006" s="14">
        <v>-1.1048329926922939E-2</v>
      </c>
      <c r="C1006" s="67">
        <f>'Parametric VAR'!$F$12</f>
        <v>-2.023068247926026E-2</v>
      </c>
      <c r="D1006">
        <f t="shared" si="93"/>
        <v>0</v>
      </c>
      <c r="E1006" s="67">
        <f>'Parametric VAR'!$F$13</f>
        <v>-2.8682193012943492E-2</v>
      </c>
      <c r="F1006">
        <f t="shared" si="94"/>
        <v>0</v>
      </c>
      <c r="G1006" s="67">
        <f>'Historical VAR'!$G$6</f>
        <v>-1.9839729167757107E-2</v>
      </c>
      <c r="H1006">
        <f t="shared" si="95"/>
        <v>0</v>
      </c>
      <c r="I1006" s="67">
        <f>'Historical VAR'!$G$7</f>
        <v>-3.1428916759065853E-2</v>
      </c>
      <c r="J1006">
        <f t="shared" si="96"/>
        <v>0</v>
      </c>
      <c r="K1006" s="67">
        <f ca="1">'Monte Carlo Stimulation'!$I$8</f>
        <v>-2.1559270710709389E-2</v>
      </c>
      <c r="L1006">
        <f t="shared" ca="1" si="97"/>
        <v>0</v>
      </c>
      <c r="M1006" s="67">
        <f ca="1">'Monte Carlo Stimulation'!$I$9</f>
        <v>-2.919314405717207E-2</v>
      </c>
      <c r="N1006">
        <f t="shared" ca="1" si="98"/>
        <v>0</v>
      </c>
    </row>
    <row r="1007" spans="1:14">
      <c r="A1007" s="12">
        <v>44631</v>
      </c>
      <c r="B1007" s="14">
        <v>-6.3582272834888064E-3</v>
      </c>
      <c r="C1007" s="67">
        <f>'Parametric VAR'!$F$12</f>
        <v>-2.023068247926026E-2</v>
      </c>
      <c r="D1007">
        <f t="shared" si="93"/>
        <v>0</v>
      </c>
      <c r="E1007" s="67">
        <f>'Parametric VAR'!$F$13</f>
        <v>-2.8682193012943492E-2</v>
      </c>
      <c r="F1007">
        <f t="shared" si="94"/>
        <v>0</v>
      </c>
      <c r="G1007" s="67">
        <f>'Historical VAR'!$G$6</f>
        <v>-1.9839729167757107E-2</v>
      </c>
      <c r="H1007">
        <f t="shared" si="95"/>
        <v>0</v>
      </c>
      <c r="I1007" s="67">
        <f>'Historical VAR'!$G$7</f>
        <v>-3.1428916759065853E-2</v>
      </c>
      <c r="J1007">
        <f t="shared" si="96"/>
        <v>0</v>
      </c>
      <c r="K1007" s="67">
        <f ca="1">'Monte Carlo Stimulation'!$I$8</f>
        <v>-2.1559270710709389E-2</v>
      </c>
      <c r="L1007">
        <f t="shared" ca="1" si="97"/>
        <v>0</v>
      </c>
      <c r="M1007" s="67">
        <f ca="1">'Monte Carlo Stimulation'!$I$9</f>
        <v>-2.919314405717207E-2</v>
      </c>
      <c r="N1007">
        <f t="shared" ca="1" si="98"/>
        <v>0</v>
      </c>
    </row>
    <row r="1008" spans="1:14">
      <c r="A1008" s="12">
        <v>44630</v>
      </c>
      <c r="B1008" s="14">
        <v>-5.6311169905334463E-3</v>
      </c>
      <c r="C1008" s="67">
        <f>'Parametric VAR'!$F$12</f>
        <v>-2.023068247926026E-2</v>
      </c>
      <c r="D1008">
        <f t="shared" si="93"/>
        <v>0</v>
      </c>
      <c r="E1008" s="67">
        <f>'Parametric VAR'!$F$13</f>
        <v>-2.8682193012943492E-2</v>
      </c>
      <c r="F1008">
        <f t="shared" si="94"/>
        <v>0</v>
      </c>
      <c r="G1008" s="67">
        <f>'Historical VAR'!$G$6</f>
        <v>-1.9839729167757107E-2</v>
      </c>
      <c r="H1008">
        <f t="shared" si="95"/>
        <v>0</v>
      </c>
      <c r="I1008" s="67">
        <f>'Historical VAR'!$G$7</f>
        <v>-3.1428916759065853E-2</v>
      </c>
      <c r="J1008">
        <f t="shared" si="96"/>
        <v>0</v>
      </c>
      <c r="K1008" s="67">
        <f ca="1">'Monte Carlo Stimulation'!$I$8</f>
        <v>-2.1559270710709389E-2</v>
      </c>
      <c r="L1008">
        <f t="shared" ca="1" si="97"/>
        <v>0</v>
      </c>
      <c r="M1008" s="67">
        <f ca="1">'Monte Carlo Stimulation'!$I$9</f>
        <v>-2.919314405717207E-2</v>
      </c>
      <c r="N1008">
        <f t="shared" ca="1" si="98"/>
        <v>0</v>
      </c>
    </row>
    <row r="1009" spans="1:14">
      <c r="A1009" s="12">
        <v>44629</v>
      </c>
      <c r="B1009" s="14">
        <v>-1.7875444577515463E-2</v>
      </c>
      <c r="C1009" s="67">
        <f>'Parametric VAR'!$F$12</f>
        <v>-2.023068247926026E-2</v>
      </c>
      <c r="D1009">
        <f t="shared" si="93"/>
        <v>0</v>
      </c>
      <c r="E1009" s="67">
        <f>'Parametric VAR'!$F$13</f>
        <v>-2.8682193012943492E-2</v>
      </c>
      <c r="F1009">
        <f t="shared" si="94"/>
        <v>0</v>
      </c>
      <c r="G1009" s="67">
        <f>'Historical VAR'!$G$6</f>
        <v>-1.9839729167757107E-2</v>
      </c>
      <c r="H1009">
        <f t="shared" si="95"/>
        <v>0</v>
      </c>
      <c r="I1009" s="67">
        <f>'Historical VAR'!$G$7</f>
        <v>-3.1428916759065853E-2</v>
      </c>
      <c r="J1009">
        <f t="shared" si="96"/>
        <v>0</v>
      </c>
      <c r="K1009" s="67">
        <f ca="1">'Monte Carlo Stimulation'!$I$8</f>
        <v>-2.1559270710709389E-2</v>
      </c>
      <c r="L1009">
        <f t="shared" ca="1" si="97"/>
        <v>0</v>
      </c>
      <c r="M1009" s="67">
        <f ca="1">'Monte Carlo Stimulation'!$I$9</f>
        <v>-2.919314405717207E-2</v>
      </c>
      <c r="N1009">
        <f t="shared" ca="1" si="98"/>
        <v>0</v>
      </c>
    </row>
    <row r="1010" spans="1:14">
      <c r="A1010" s="12">
        <v>44628</v>
      </c>
      <c r="B1010" s="14">
        <v>-4.6673956668163395E-2</v>
      </c>
      <c r="C1010" s="67">
        <f>'Parametric VAR'!$F$12</f>
        <v>-2.023068247926026E-2</v>
      </c>
      <c r="D1010">
        <f t="shared" si="93"/>
        <v>1</v>
      </c>
      <c r="E1010" s="67">
        <f>'Parametric VAR'!$F$13</f>
        <v>-2.8682193012943492E-2</v>
      </c>
      <c r="F1010">
        <f t="shared" si="94"/>
        <v>1</v>
      </c>
      <c r="G1010" s="67">
        <f>'Historical VAR'!$G$6</f>
        <v>-1.9839729167757107E-2</v>
      </c>
      <c r="H1010">
        <f t="shared" si="95"/>
        <v>1</v>
      </c>
      <c r="I1010" s="67">
        <f>'Historical VAR'!$G$7</f>
        <v>-3.1428916759065853E-2</v>
      </c>
      <c r="J1010">
        <f t="shared" si="96"/>
        <v>1</v>
      </c>
      <c r="K1010" s="67">
        <f ca="1">'Monte Carlo Stimulation'!$I$8</f>
        <v>-2.1559270710709389E-2</v>
      </c>
      <c r="L1010">
        <f t="shared" ca="1" si="97"/>
        <v>1</v>
      </c>
      <c r="M1010" s="67">
        <f ca="1">'Monte Carlo Stimulation'!$I$9</f>
        <v>-2.919314405717207E-2</v>
      </c>
      <c r="N1010">
        <f t="shared" ca="1" si="98"/>
        <v>1</v>
      </c>
    </row>
    <row r="1011" spans="1:14">
      <c r="A1011" s="12">
        <v>44627</v>
      </c>
      <c r="B1011" s="14">
        <v>-6.7477664133611705E-3</v>
      </c>
      <c r="C1011" s="67">
        <f>'Parametric VAR'!$F$12</f>
        <v>-2.023068247926026E-2</v>
      </c>
      <c r="D1011">
        <f t="shared" si="93"/>
        <v>0</v>
      </c>
      <c r="E1011" s="67">
        <f>'Parametric VAR'!$F$13</f>
        <v>-2.8682193012943492E-2</v>
      </c>
      <c r="F1011">
        <f t="shared" si="94"/>
        <v>0</v>
      </c>
      <c r="G1011" s="67">
        <f>'Historical VAR'!$G$6</f>
        <v>-1.9839729167757107E-2</v>
      </c>
      <c r="H1011">
        <f t="shared" si="95"/>
        <v>0</v>
      </c>
      <c r="I1011" s="67">
        <f>'Historical VAR'!$G$7</f>
        <v>-3.1428916759065853E-2</v>
      </c>
      <c r="J1011">
        <f t="shared" si="96"/>
        <v>0</v>
      </c>
      <c r="K1011" s="67">
        <f ca="1">'Monte Carlo Stimulation'!$I$8</f>
        <v>-2.1559270710709389E-2</v>
      </c>
      <c r="L1011">
        <f t="shared" ca="1" si="97"/>
        <v>0</v>
      </c>
      <c r="M1011" s="67">
        <f ca="1">'Monte Carlo Stimulation'!$I$9</f>
        <v>-2.919314405717207E-2</v>
      </c>
      <c r="N1011">
        <f t="shared" ca="1" si="98"/>
        <v>0</v>
      </c>
    </row>
    <row r="1012" spans="1:14">
      <c r="A1012" s="12">
        <v>44624</v>
      </c>
      <c r="B1012" s="14">
        <v>1.7285672944814309E-2</v>
      </c>
      <c r="C1012" s="67">
        <f>'Parametric VAR'!$F$12</f>
        <v>-2.023068247926026E-2</v>
      </c>
      <c r="D1012">
        <f t="shared" si="93"/>
        <v>0</v>
      </c>
      <c r="E1012" s="67">
        <f>'Parametric VAR'!$F$13</f>
        <v>-2.8682193012943492E-2</v>
      </c>
      <c r="F1012">
        <f t="shared" si="94"/>
        <v>0</v>
      </c>
      <c r="G1012" s="67">
        <f>'Historical VAR'!$G$6</f>
        <v>-1.9839729167757107E-2</v>
      </c>
      <c r="H1012">
        <f t="shared" si="95"/>
        <v>0</v>
      </c>
      <c r="I1012" s="67">
        <f>'Historical VAR'!$G$7</f>
        <v>-3.1428916759065853E-2</v>
      </c>
      <c r="J1012">
        <f t="shared" si="96"/>
        <v>0</v>
      </c>
      <c r="K1012" s="67">
        <f ca="1">'Monte Carlo Stimulation'!$I$8</f>
        <v>-2.1559270710709389E-2</v>
      </c>
      <c r="L1012">
        <f t="shared" ca="1" si="97"/>
        <v>0</v>
      </c>
      <c r="M1012" s="67">
        <f ca="1">'Monte Carlo Stimulation'!$I$9</f>
        <v>-2.919314405717207E-2</v>
      </c>
      <c r="N1012">
        <f t="shared" ca="1" si="98"/>
        <v>0</v>
      </c>
    </row>
    <row r="1013" spans="1:14">
      <c r="A1013" s="12">
        <v>44623</v>
      </c>
      <c r="B1013" s="14">
        <v>3.8576310751737238E-2</v>
      </c>
      <c r="C1013" s="67">
        <f>'Parametric VAR'!$F$12</f>
        <v>-2.023068247926026E-2</v>
      </c>
      <c r="D1013">
        <f t="shared" si="93"/>
        <v>0</v>
      </c>
      <c r="E1013" s="67">
        <f>'Parametric VAR'!$F$13</f>
        <v>-2.8682193012943492E-2</v>
      </c>
      <c r="F1013">
        <f t="shared" si="94"/>
        <v>0</v>
      </c>
      <c r="G1013" s="67">
        <f>'Historical VAR'!$G$6</f>
        <v>-1.9839729167757107E-2</v>
      </c>
      <c r="H1013">
        <f t="shared" si="95"/>
        <v>0</v>
      </c>
      <c r="I1013" s="67">
        <f>'Historical VAR'!$G$7</f>
        <v>-3.1428916759065853E-2</v>
      </c>
      <c r="J1013">
        <f t="shared" si="96"/>
        <v>0</v>
      </c>
      <c r="K1013" s="67">
        <f ca="1">'Monte Carlo Stimulation'!$I$8</f>
        <v>-2.1559270710709389E-2</v>
      </c>
      <c r="L1013">
        <f t="shared" ca="1" si="97"/>
        <v>0</v>
      </c>
      <c r="M1013" s="67">
        <f ca="1">'Monte Carlo Stimulation'!$I$9</f>
        <v>-2.919314405717207E-2</v>
      </c>
      <c r="N1013">
        <f t="shared" ca="1" si="98"/>
        <v>0</v>
      </c>
    </row>
    <row r="1014" spans="1:14">
      <c r="A1014" s="12">
        <v>44622</v>
      </c>
      <c r="B1014" s="14">
        <v>4.0166800546241735E-2</v>
      </c>
      <c r="C1014" s="67">
        <f>'Parametric VAR'!$F$12</f>
        <v>-2.023068247926026E-2</v>
      </c>
      <c r="D1014">
        <f t="shared" si="93"/>
        <v>0</v>
      </c>
      <c r="E1014" s="67">
        <f>'Parametric VAR'!$F$13</f>
        <v>-2.8682193012943492E-2</v>
      </c>
      <c r="F1014">
        <f t="shared" si="94"/>
        <v>0</v>
      </c>
      <c r="G1014" s="67">
        <f>'Historical VAR'!$G$6</f>
        <v>-1.9839729167757107E-2</v>
      </c>
      <c r="H1014">
        <f t="shared" si="95"/>
        <v>0</v>
      </c>
      <c r="I1014" s="67">
        <f>'Historical VAR'!$G$7</f>
        <v>-3.1428916759065853E-2</v>
      </c>
      <c r="J1014">
        <f t="shared" si="96"/>
        <v>0</v>
      </c>
      <c r="K1014" s="67">
        <f ca="1">'Monte Carlo Stimulation'!$I$8</f>
        <v>-2.1559270710709389E-2</v>
      </c>
      <c r="L1014">
        <f t="shared" ca="1" si="97"/>
        <v>0</v>
      </c>
      <c r="M1014" s="67">
        <f ca="1">'Monte Carlo Stimulation'!$I$9</f>
        <v>-2.919314405717207E-2</v>
      </c>
      <c r="N1014">
        <f t="shared" ca="1" si="98"/>
        <v>0</v>
      </c>
    </row>
    <row r="1015" spans="1:14">
      <c r="A1015" s="12">
        <v>44620</v>
      </c>
      <c r="B1015" s="14">
        <v>4.0056285362114558E-2</v>
      </c>
      <c r="C1015" s="67">
        <f>'Parametric VAR'!$F$12</f>
        <v>-2.023068247926026E-2</v>
      </c>
      <c r="D1015">
        <f t="shared" si="93"/>
        <v>0</v>
      </c>
      <c r="E1015" s="67">
        <f>'Parametric VAR'!$F$13</f>
        <v>-2.8682193012943492E-2</v>
      </c>
      <c r="F1015">
        <f t="shared" si="94"/>
        <v>0</v>
      </c>
      <c r="G1015" s="67">
        <f>'Historical VAR'!$G$6</f>
        <v>-1.9839729167757107E-2</v>
      </c>
      <c r="H1015">
        <f t="shared" si="95"/>
        <v>0</v>
      </c>
      <c r="I1015" s="67">
        <f>'Historical VAR'!$G$7</f>
        <v>-3.1428916759065853E-2</v>
      </c>
      <c r="J1015">
        <f t="shared" si="96"/>
        <v>0</v>
      </c>
      <c r="K1015" s="67">
        <f ca="1">'Monte Carlo Stimulation'!$I$8</f>
        <v>-2.1559270710709389E-2</v>
      </c>
      <c r="L1015">
        <f t="shared" ca="1" si="97"/>
        <v>0</v>
      </c>
      <c r="M1015" s="67">
        <f ca="1">'Monte Carlo Stimulation'!$I$9</f>
        <v>-2.919314405717207E-2</v>
      </c>
      <c r="N1015">
        <f t="shared" ca="1" si="98"/>
        <v>0</v>
      </c>
    </row>
    <row r="1016" spans="1:14">
      <c r="A1016" s="12">
        <v>44617</v>
      </c>
      <c r="B1016" s="14">
        <v>-1.5229450296243128E-2</v>
      </c>
      <c r="C1016" s="67">
        <f>'Parametric VAR'!$F$12</f>
        <v>-2.023068247926026E-2</v>
      </c>
      <c r="D1016">
        <f t="shared" si="93"/>
        <v>0</v>
      </c>
      <c r="E1016" s="67">
        <f>'Parametric VAR'!$F$13</f>
        <v>-2.8682193012943492E-2</v>
      </c>
      <c r="F1016">
        <f t="shared" si="94"/>
        <v>0</v>
      </c>
      <c r="G1016" s="67">
        <f>'Historical VAR'!$G$6</f>
        <v>-1.9839729167757107E-2</v>
      </c>
      <c r="H1016">
        <f t="shared" si="95"/>
        <v>0</v>
      </c>
      <c r="I1016" s="67">
        <f>'Historical VAR'!$G$7</f>
        <v>-3.1428916759065853E-2</v>
      </c>
      <c r="J1016">
        <f t="shared" si="96"/>
        <v>0</v>
      </c>
      <c r="K1016" s="67">
        <f ca="1">'Monte Carlo Stimulation'!$I$8</f>
        <v>-2.1559270710709389E-2</v>
      </c>
      <c r="L1016">
        <f t="shared" ca="1" si="97"/>
        <v>0</v>
      </c>
      <c r="M1016" s="67">
        <f ca="1">'Monte Carlo Stimulation'!$I$9</f>
        <v>-2.919314405717207E-2</v>
      </c>
      <c r="N1016">
        <f t="shared" ca="1" si="98"/>
        <v>0</v>
      </c>
    </row>
    <row r="1017" spans="1:14">
      <c r="A1017" s="12">
        <v>44616</v>
      </c>
      <c r="B1017" s="14">
        <v>-1.3421540331429917E-2</v>
      </c>
      <c r="C1017" s="67">
        <f>'Parametric VAR'!$F$12</f>
        <v>-2.023068247926026E-2</v>
      </c>
      <c r="D1017">
        <f t="shared" si="93"/>
        <v>0</v>
      </c>
      <c r="E1017" s="67">
        <f>'Parametric VAR'!$F$13</f>
        <v>-2.8682193012943492E-2</v>
      </c>
      <c r="F1017">
        <f t="shared" si="94"/>
        <v>0</v>
      </c>
      <c r="G1017" s="67">
        <f>'Historical VAR'!$G$6</f>
        <v>-1.9839729167757107E-2</v>
      </c>
      <c r="H1017">
        <f t="shared" si="95"/>
        <v>0</v>
      </c>
      <c r="I1017" s="67">
        <f>'Historical VAR'!$G$7</f>
        <v>-3.1428916759065853E-2</v>
      </c>
      <c r="J1017">
        <f t="shared" si="96"/>
        <v>0</v>
      </c>
      <c r="K1017" s="67">
        <f ca="1">'Monte Carlo Stimulation'!$I$8</f>
        <v>-2.1559270710709389E-2</v>
      </c>
      <c r="L1017">
        <f t="shared" ca="1" si="97"/>
        <v>0</v>
      </c>
      <c r="M1017" s="67">
        <f ca="1">'Monte Carlo Stimulation'!$I$9</f>
        <v>-2.919314405717207E-2</v>
      </c>
      <c r="N1017">
        <f t="shared" ca="1" si="98"/>
        <v>0</v>
      </c>
    </row>
    <row r="1018" spans="1:14">
      <c r="A1018" s="12">
        <v>44615</v>
      </c>
      <c r="B1018" s="14">
        <v>5.3692765796669963E-2</v>
      </c>
      <c r="C1018" s="67">
        <f>'Parametric VAR'!$F$12</f>
        <v>-2.023068247926026E-2</v>
      </c>
      <c r="D1018">
        <f t="shared" si="93"/>
        <v>0</v>
      </c>
      <c r="E1018" s="67">
        <f>'Parametric VAR'!$F$13</f>
        <v>-2.8682193012943492E-2</v>
      </c>
      <c r="F1018">
        <f t="shared" si="94"/>
        <v>0</v>
      </c>
      <c r="G1018" s="67">
        <f>'Historical VAR'!$G$6</f>
        <v>-1.9839729167757107E-2</v>
      </c>
      <c r="H1018">
        <f t="shared" si="95"/>
        <v>0</v>
      </c>
      <c r="I1018" s="67">
        <f>'Historical VAR'!$G$7</f>
        <v>-3.1428916759065853E-2</v>
      </c>
      <c r="J1018">
        <f t="shared" si="96"/>
        <v>0</v>
      </c>
      <c r="K1018" s="67">
        <f ca="1">'Monte Carlo Stimulation'!$I$8</f>
        <v>-2.1559270710709389E-2</v>
      </c>
      <c r="L1018">
        <f t="shared" ca="1" si="97"/>
        <v>0</v>
      </c>
      <c r="M1018" s="67">
        <f ca="1">'Monte Carlo Stimulation'!$I$9</f>
        <v>-2.919314405717207E-2</v>
      </c>
      <c r="N1018">
        <f t="shared" ca="1" si="98"/>
        <v>0</v>
      </c>
    </row>
    <row r="1019" spans="1:14">
      <c r="A1019" s="12">
        <v>44614</v>
      </c>
      <c r="B1019" s="14">
        <v>-1.2613265377543934E-3</v>
      </c>
      <c r="C1019" s="67">
        <f>'Parametric VAR'!$F$12</f>
        <v>-2.023068247926026E-2</v>
      </c>
      <c r="D1019">
        <f t="shared" si="93"/>
        <v>0</v>
      </c>
      <c r="E1019" s="67">
        <f>'Parametric VAR'!$F$13</f>
        <v>-2.8682193012943492E-2</v>
      </c>
      <c r="F1019">
        <f t="shared" si="94"/>
        <v>0</v>
      </c>
      <c r="G1019" s="67">
        <f>'Historical VAR'!$G$6</f>
        <v>-1.9839729167757107E-2</v>
      </c>
      <c r="H1019">
        <f t="shared" si="95"/>
        <v>0</v>
      </c>
      <c r="I1019" s="67">
        <f>'Historical VAR'!$G$7</f>
        <v>-3.1428916759065853E-2</v>
      </c>
      <c r="J1019">
        <f t="shared" si="96"/>
        <v>0</v>
      </c>
      <c r="K1019" s="67">
        <f ca="1">'Monte Carlo Stimulation'!$I$8</f>
        <v>-2.1559270710709389E-2</v>
      </c>
      <c r="L1019">
        <f t="shared" ca="1" si="97"/>
        <v>0</v>
      </c>
      <c r="M1019" s="67">
        <f ca="1">'Monte Carlo Stimulation'!$I$9</f>
        <v>-2.919314405717207E-2</v>
      </c>
      <c r="N1019">
        <f t="shared" ca="1" si="98"/>
        <v>0</v>
      </c>
    </row>
    <row r="1020" spans="1:14">
      <c r="A1020" s="12">
        <v>44613</v>
      </c>
      <c r="B1020" s="14">
        <v>7.0944756736866631E-3</v>
      </c>
      <c r="C1020" s="67">
        <f>'Parametric VAR'!$F$12</f>
        <v>-2.023068247926026E-2</v>
      </c>
      <c r="D1020">
        <f t="shared" si="93"/>
        <v>0</v>
      </c>
      <c r="E1020" s="67">
        <f>'Parametric VAR'!$F$13</f>
        <v>-2.8682193012943492E-2</v>
      </c>
      <c r="F1020">
        <f t="shared" si="94"/>
        <v>0</v>
      </c>
      <c r="G1020" s="67">
        <f>'Historical VAR'!$G$6</f>
        <v>-1.9839729167757107E-2</v>
      </c>
      <c r="H1020">
        <f t="shared" si="95"/>
        <v>0</v>
      </c>
      <c r="I1020" s="67">
        <f>'Historical VAR'!$G$7</f>
        <v>-3.1428916759065853E-2</v>
      </c>
      <c r="J1020">
        <f t="shared" si="96"/>
        <v>0</v>
      </c>
      <c r="K1020" s="67">
        <f ca="1">'Monte Carlo Stimulation'!$I$8</f>
        <v>-2.1559270710709389E-2</v>
      </c>
      <c r="L1020">
        <f t="shared" ca="1" si="97"/>
        <v>0</v>
      </c>
      <c r="M1020" s="67">
        <f ca="1">'Monte Carlo Stimulation'!$I$9</f>
        <v>-2.919314405717207E-2</v>
      </c>
      <c r="N1020">
        <f t="shared" ca="1" si="98"/>
        <v>0</v>
      </c>
    </row>
    <row r="1021" spans="1:14">
      <c r="A1021" s="12">
        <v>44610</v>
      </c>
      <c r="B1021" s="14">
        <v>4.7489210371665881E-3</v>
      </c>
      <c r="C1021" s="67">
        <f>'Parametric VAR'!$F$12</f>
        <v>-2.023068247926026E-2</v>
      </c>
      <c r="D1021">
        <f t="shared" si="93"/>
        <v>0</v>
      </c>
      <c r="E1021" s="67">
        <f>'Parametric VAR'!$F$13</f>
        <v>-2.8682193012943492E-2</v>
      </c>
      <c r="F1021">
        <f t="shared" si="94"/>
        <v>0</v>
      </c>
      <c r="G1021" s="67">
        <f>'Historical VAR'!$G$6</f>
        <v>-1.9839729167757107E-2</v>
      </c>
      <c r="H1021">
        <f t="shared" si="95"/>
        <v>0</v>
      </c>
      <c r="I1021" s="67">
        <f>'Historical VAR'!$G$7</f>
        <v>-3.1428916759065853E-2</v>
      </c>
      <c r="J1021">
        <f t="shared" si="96"/>
        <v>0</v>
      </c>
      <c r="K1021" s="67">
        <f ca="1">'Monte Carlo Stimulation'!$I$8</f>
        <v>-2.1559270710709389E-2</v>
      </c>
      <c r="L1021">
        <f t="shared" ca="1" si="97"/>
        <v>0</v>
      </c>
      <c r="M1021" s="67">
        <f ca="1">'Monte Carlo Stimulation'!$I$9</f>
        <v>-2.919314405717207E-2</v>
      </c>
      <c r="N1021">
        <f t="shared" ca="1" si="98"/>
        <v>0</v>
      </c>
    </row>
    <row r="1022" spans="1:14">
      <c r="A1022" s="12">
        <v>44609</v>
      </c>
      <c r="B1022" s="14">
        <v>-6.1880770064879406E-4</v>
      </c>
      <c r="C1022" s="67">
        <f>'Parametric VAR'!$F$12</f>
        <v>-2.023068247926026E-2</v>
      </c>
      <c r="D1022">
        <f t="shared" si="93"/>
        <v>0</v>
      </c>
      <c r="E1022" s="67">
        <f>'Parametric VAR'!$F$13</f>
        <v>-2.8682193012943492E-2</v>
      </c>
      <c r="F1022">
        <f t="shared" si="94"/>
        <v>0</v>
      </c>
      <c r="G1022" s="67">
        <f>'Historical VAR'!$G$6</f>
        <v>-1.9839729167757107E-2</v>
      </c>
      <c r="H1022">
        <f t="shared" si="95"/>
        <v>0</v>
      </c>
      <c r="I1022" s="67">
        <f>'Historical VAR'!$G$7</f>
        <v>-3.1428916759065853E-2</v>
      </c>
      <c r="J1022">
        <f t="shared" si="96"/>
        <v>0</v>
      </c>
      <c r="K1022" s="67">
        <f ca="1">'Monte Carlo Stimulation'!$I$8</f>
        <v>-2.1559270710709389E-2</v>
      </c>
      <c r="L1022">
        <f t="shared" ca="1" si="97"/>
        <v>0</v>
      </c>
      <c r="M1022" s="67">
        <f ca="1">'Monte Carlo Stimulation'!$I$9</f>
        <v>-2.919314405717207E-2</v>
      </c>
      <c r="N1022">
        <f t="shared" ca="1" si="98"/>
        <v>0</v>
      </c>
    </row>
    <row r="1023" spans="1:14">
      <c r="A1023" s="12">
        <v>44608</v>
      </c>
      <c r="B1023" s="14">
        <v>-3.1061365921332415E-3</v>
      </c>
      <c r="C1023" s="67">
        <f>'Parametric VAR'!$F$12</f>
        <v>-2.023068247926026E-2</v>
      </c>
      <c r="D1023">
        <f t="shared" si="93"/>
        <v>0</v>
      </c>
      <c r="E1023" s="67">
        <f>'Parametric VAR'!$F$13</f>
        <v>-2.8682193012943492E-2</v>
      </c>
      <c r="F1023">
        <f t="shared" si="94"/>
        <v>0</v>
      </c>
      <c r="G1023" s="67">
        <f>'Historical VAR'!$G$6</f>
        <v>-1.9839729167757107E-2</v>
      </c>
      <c r="H1023">
        <f t="shared" si="95"/>
        <v>0</v>
      </c>
      <c r="I1023" s="67">
        <f>'Historical VAR'!$G$7</f>
        <v>-3.1428916759065853E-2</v>
      </c>
      <c r="J1023">
        <f t="shared" si="96"/>
        <v>0</v>
      </c>
      <c r="K1023" s="67">
        <f ca="1">'Monte Carlo Stimulation'!$I$8</f>
        <v>-2.1559270710709389E-2</v>
      </c>
      <c r="L1023">
        <f t="shared" ca="1" si="97"/>
        <v>0</v>
      </c>
      <c r="M1023" s="67">
        <f ca="1">'Monte Carlo Stimulation'!$I$9</f>
        <v>-2.919314405717207E-2</v>
      </c>
      <c r="N1023">
        <f t="shared" ca="1" si="98"/>
        <v>0</v>
      </c>
    </row>
    <row r="1024" spans="1:14">
      <c r="A1024" s="12">
        <v>44607</v>
      </c>
      <c r="B1024" s="14">
        <v>2.1666278072160544E-3</v>
      </c>
      <c r="C1024" s="67">
        <f>'Parametric VAR'!$F$12</f>
        <v>-2.023068247926026E-2</v>
      </c>
      <c r="D1024">
        <f t="shared" si="93"/>
        <v>0</v>
      </c>
      <c r="E1024" s="67">
        <f>'Parametric VAR'!$F$13</f>
        <v>-2.8682193012943492E-2</v>
      </c>
      <c r="F1024">
        <f t="shared" si="94"/>
        <v>0</v>
      </c>
      <c r="G1024" s="67">
        <f>'Historical VAR'!$G$6</f>
        <v>-1.9839729167757107E-2</v>
      </c>
      <c r="H1024">
        <f t="shared" si="95"/>
        <v>0</v>
      </c>
      <c r="I1024" s="67">
        <f>'Historical VAR'!$G$7</f>
        <v>-3.1428916759065853E-2</v>
      </c>
      <c r="J1024">
        <f t="shared" si="96"/>
        <v>0</v>
      </c>
      <c r="K1024" s="67">
        <f ca="1">'Monte Carlo Stimulation'!$I$8</f>
        <v>-2.1559270710709389E-2</v>
      </c>
      <c r="L1024">
        <f t="shared" ca="1" si="97"/>
        <v>0</v>
      </c>
      <c r="M1024" s="67">
        <f ca="1">'Monte Carlo Stimulation'!$I$9</f>
        <v>-2.919314405717207E-2</v>
      </c>
      <c r="N1024">
        <f t="shared" ca="1" si="98"/>
        <v>0</v>
      </c>
    </row>
    <row r="1025" spans="1:14">
      <c r="A1025" s="12">
        <v>44606</v>
      </c>
      <c r="B1025" s="14">
        <v>-3.365456999926468E-2</v>
      </c>
      <c r="C1025" s="67">
        <f>'Parametric VAR'!$F$12</f>
        <v>-2.023068247926026E-2</v>
      </c>
      <c r="D1025">
        <f t="shared" si="93"/>
        <v>1</v>
      </c>
      <c r="E1025" s="67">
        <f>'Parametric VAR'!$F$13</f>
        <v>-2.8682193012943492E-2</v>
      </c>
      <c r="F1025">
        <f t="shared" si="94"/>
        <v>1</v>
      </c>
      <c r="G1025" s="67">
        <f>'Historical VAR'!$G$6</f>
        <v>-1.9839729167757107E-2</v>
      </c>
      <c r="H1025">
        <f t="shared" si="95"/>
        <v>1</v>
      </c>
      <c r="I1025" s="67">
        <f>'Historical VAR'!$G$7</f>
        <v>-3.1428916759065853E-2</v>
      </c>
      <c r="J1025">
        <f t="shared" si="96"/>
        <v>1</v>
      </c>
      <c r="K1025" s="67">
        <f ca="1">'Monte Carlo Stimulation'!$I$8</f>
        <v>-2.1559270710709389E-2</v>
      </c>
      <c r="L1025">
        <f t="shared" ca="1" si="97"/>
        <v>1</v>
      </c>
      <c r="M1025" s="67">
        <f ca="1">'Monte Carlo Stimulation'!$I$9</f>
        <v>-2.919314405717207E-2</v>
      </c>
      <c r="N1025">
        <f t="shared" ca="1" si="98"/>
        <v>1</v>
      </c>
    </row>
    <row r="1026" spans="1:14">
      <c r="A1026" s="12">
        <v>44603</v>
      </c>
      <c r="B1026" s="14">
        <v>2.1799640545030523E-2</v>
      </c>
      <c r="C1026" s="67">
        <f>'Parametric VAR'!$F$12</f>
        <v>-2.023068247926026E-2</v>
      </c>
      <c r="D1026">
        <f t="shared" si="93"/>
        <v>0</v>
      </c>
      <c r="E1026" s="67">
        <f>'Parametric VAR'!$F$13</f>
        <v>-2.8682193012943492E-2</v>
      </c>
      <c r="F1026">
        <f t="shared" si="94"/>
        <v>0</v>
      </c>
      <c r="G1026" s="67">
        <f>'Historical VAR'!$G$6</f>
        <v>-1.9839729167757107E-2</v>
      </c>
      <c r="H1026">
        <f t="shared" si="95"/>
        <v>0</v>
      </c>
      <c r="I1026" s="67">
        <f>'Historical VAR'!$G$7</f>
        <v>-3.1428916759065853E-2</v>
      </c>
      <c r="J1026">
        <f t="shared" si="96"/>
        <v>0</v>
      </c>
      <c r="K1026" s="67">
        <f ca="1">'Monte Carlo Stimulation'!$I$8</f>
        <v>-2.1559270710709389E-2</v>
      </c>
      <c r="L1026">
        <f t="shared" ca="1" si="97"/>
        <v>0</v>
      </c>
      <c r="M1026" s="67">
        <f ca="1">'Monte Carlo Stimulation'!$I$9</f>
        <v>-2.919314405717207E-2</v>
      </c>
      <c r="N1026">
        <f t="shared" ca="1" si="98"/>
        <v>0</v>
      </c>
    </row>
    <row r="1027" spans="1:14">
      <c r="A1027" s="12">
        <v>44602</v>
      </c>
      <c r="B1027" s="14">
        <v>8.4720983163243946E-3</v>
      </c>
      <c r="C1027" s="67">
        <f>'Parametric VAR'!$F$12</f>
        <v>-2.023068247926026E-2</v>
      </c>
      <c r="D1027">
        <f t="shared" si="93"/>
        <v>0</v>
      </c>
      <c r="E1027" s="67">
        <f>'Parametric VAR'!$F$13</f>
        <v>-2.8682193012943492E-2</v>
      </c>
      <c r="F1027">
        <f t="shared" si="94"/>
        <v>0</v>
      </c>
      <c r="G1027" s="67">
        <f>'Historical VAR'!$G$6</f>
        <v>-1.9839729167757107E-2</v>
      </c>
      <c r="H1027">
        <f t="shared" si="95"/>
        <v>0</v>
      </c>
      <c r="I1027" s="67">
        <f>'Historical VAR'!$G$7</f>
        <v>-3.1428916759065853E-2</v>
      </c>
      <c r="J1027">
        <f t="shared" si="96"/>
        <v>0</v>
      </c>
      <c r="K1027" s="67">
        <f ca="1">'Monte Carlo Stimulation'!$I$8</f>
        <v>-2.1559270710709389E-2</v>
      </c>
      <c r="L1027">
        <f t="shared" ca="1" si="97"/>
        <v>0</v>
      </c>
      <c r="M1027" s="67">
        <f ca="1">'Monte Carlo Stimulation'!$I$9</f>
        <v>-2.919314405717207E-2</v>
      </c>
      <c r="N1027">
        <f t="shared" ca="1" si="98"/>
        <v>0</v>
      </c>
    </row>
    <row r="1028" spans="1:14">
      <c r="A1028" s="12">
        <v>44601</v>
      </c>
      <c r="B1028" s="14">
        <v>-3.1204097048708273E-3</v>
      </c>
      <c r="C1028" s="67">
        <f>'Parametric VAR'!$F$12</f>
        <v>-2.023068247926026E-2</v>
      </c>
      <c r="D1028">
        <f t="shared" ref="D1028:D1091" si="99">IF(B1028&lt;C1028,1,0)</f>
        <v>0</v>
      </c>
      <c r="E1028" s="67">
        <f>'Parametric VAR'!$F$13</f>
        <v>-2.8682193012943492E-2</v>
      </c>
      <c r="F1028">
        <f t="shared" ref="F1028:F1091" si="100">IF(B1028&lt;E1028,1,0)</f>
        <v>0</v>
      </c>
      <c r="G1028" s="67">
        <f>'Historical VAR'!$G$6</f>
        <v>-1.9839729167757107E-2</v>
      </c>
      <c r="H1028">
        <f t="shared" ref="H1028:H1091" si="101">IF(B1028&lt;G1028,1,0)</f>
        <v>0</v>
      </c>
      <c r="I1028" s="67">
        <f>'Historical VAR'!$G$7</f>
        <v>-3.1428916759065853E-2</v>
      </c>
      <c r="J1028">
        <f t="shared" ref="J1028:J1091" si="102">IF(B1028&lt;I1028,1,0)</f>
        <v>0</v>
      </c>
      <c r="K1028" s="67">
        <f ca="1">'Monte Carlo Stimulation'!$I$8</f>
        <v>-2.1559270710709389E-2</v>
      </c>
      <c r="L1028">
        <f t="shared" ref="L1028:L1091" ca="1" si="103">IF(B1028&lt;K1028,1,0)</f>
        <v>0</v>
      </c>
      <c r="M1028" s="67">
        <f ca="1">'Monte Carlo Stimulation'!$I$9</f>
        <v>-2.919314405717207E-2</v>
      </c>
      <c r="N1028">
        <f t="shared" ref="N1028:N1091" ca="1" si="104">IF(B1028&lt;M1028,1,0)</f>
        <v>0</v>
      </c>
    </row>
    <row r="1029" spans="1:14">
      <c r="A1029" s="12">
        <v>44600</v>
      </c>
      <c r="B1029" s="14">
        <v>-2.4492756957357228E-3</v>
      </c>
      <c r="C1029" s="67">
        <f>'Parametric VAR'!$F$12</f>
        <v>-2.023068247926026E-2</v>
      </c>
      <c r="D1029">
        <f t="shared" si="99"/>
        <v>0</v>
      </c>
      <c r="E1029" s="67">
        <f>'Parametric VAR'!$F$13</f>
        <v>-2.8682193012943492E-2</v>
      </c>
      <c r="F1029">
        <f t="shared" si="100"/>
        <v>0</v>
      </c>
      <c r="G1029" s="67">
        <f>'Historical VAR'!$G$6</f>
        <v>-1.9839729167757107E-2</v>
      </c>
      <c r="H1029">
        <f t="shared" si="101"/>
        <v>0</v>
      </c>
      <c r="I1029" s="67">
        <f>'Historical VAR'!$G$7</f>
        <v>-3.1428916759065853E-2</v>
      </c>
      <c r="J1029">
        <f t="shared" si="102"/>
        <v>0</v>
      </c>
      <c r="K1029" s="67">
        <f ca="1">'Monte Carlo Stimulation'!$I$8</f>
        <v>-2.1559270710709389E-2</v>
      </c>
      <c r="L1029">
        <f t="shared" ca="1" si="103"/>
        <v>0</v>
      </c>
      <c r="M1029" s="67">
        <f ca="1">'Monte Carlo Stimulation'!$I$9</f>
        <v>-2.919314405717207E-2</v>
      </c>
      <c r="N1029">
        <f t="shared" ca="1" si="104"/>
        <v>0</v>
      </c>
    </row>
    <row r="1030" spans="1:14">
      <c r="A1030" s="12">
        <v>44599</v>
      </c>
      <c r="B1030" s="14">
        <v>-6.7303183423346276E-3</v>
      </c>
      <c r="C1030" s="67">
        <f>'Parametric VAR'!$F$12</f>
        <v>-2.023068247926026E-2</v>
      </c>
      <c r="D1030">
        <f t="shared" si="99"/>
        <v>0</v>
      </c>
      <c r="E1030" s="67">
        <f>'Parametric VAR'!$F$13</f>
        <v>-2.8682193012943492E-2</v>
      </c>
      <c r="F1030">
        <f t="shared" si="100"/>
        <v>0</v>
      </c>
      <c r="G1030" s="67">
        <f>'Historical VAR'!$G$6</f>
        <v>-1.9839729167757107E-2</v>
      </c>
      <c r="H1030">
        <f t="shared" si="101"/>
        <v>0</v>
      </c>
      <c r="I1030" s="67">
        <f>'Historical VAR'!$G$7</f>
        <v>-3.1428916759065853E-2</v>
      </c>
      <c r="J1030">
        <f t="shared" si="102"/>
        <v>0</v>
      </c>
      <c r="K1030" s="67">
        <f ca="1">'Monte Carlo Stimulation'!$I$8</f>
        <v>-2.1559270710709389E-2</v>
      </c>
      <c r="L1030">
        <f t="shared" ca="1" si="103"/>
        <v>0</v>
      </c>
      <c r="M1030" s="67">
        <f ca="1">'Monte Carlo Stimulation'!$I$9</f>
        <v>-2.919314405717207E-2</v>
      </c>
      <c r="N1030">
        <f t="shared" ca="1" si="104"/>
        <v>0</v>
      </c>
    </row>
    <row r="1031" spans="1:14">
      <c r="A1031" s="12">
        <v>44596</v>
      </c>
      <c r="B1031" s="14">
        <v>1.7515380183831319E-2</v>
      </c>
      <c r="C1031" s="67">
        <f>'Parametric VAR'!$F$12</f>
        <v>-2.023068247926026E-2</v>
      </c>
      <c r="D1031">
        <f t="shared" si="99"/>
        <v>0</v>
      </c>
      <c r="E1031" s="67">
        <f>'Parametric VAR'!$F$13</f>
        <v>-2.8682193012943492E-2</v>
      </c>
      <c r="F1031">
        <f t="shared" si="100"/>
        <v>0</v>
      </c>
      <c r="G1031" s="67">
        <f>'Historical VAR'!$G$6</f>
        <v>-1.9839729167757107E-2</v>
      </c>
      <c r="H1031">
        <f t="shared" si="101"/>
        <v>0</v>
      </c>
      <c r="I1031" s="67">
        <f>'Historical VAR'!$G$7</f>
        <v>-3.1428916759065853E-2</v>
      </c>
      <c r="J1031">
        <f t="shared" si="102"/>
        <v>0</v>
      </c>
      <c r="K1031" s="67">
        <f ca="1">'Monte Carlo Stimulation'!$I$8</f>
        <v>-2.1559270710709389E-2</v>
      </c>
      <c r="L1031">
        <f t="shared" ca="1" si="103"/>
        <v>0</v>
      </c>
      <c r="M1031" s="67">
        <f ca="1">'Monte Carlo Stimulation'!$I$9</f>
        <v>-2.919314405717207E-2</v>
      </c>
      <c r="N1031">
        <f t="shared" ca="1" si="104"/>
        <v>0</v>
      </c>
    </row>
    <row r="1032" spans="1:14">
      <c r="A1032" s="12">
        <v>44595</v>
      </c>
      <c r="B1032" s="14">
        <v>-5.4107413023452046E-3</v>
      </c>
      <c r="C1032" s="67">
        <f>'Parametric VAR'!$F$12</f>
        <v>-2.023068247926026E-2</v>
      </c>
      <c r="D1032">
        <f t="shared" si="99"/>
        <v>0</v>
      </c>
      <c r="E1032" s="67">
        <f>'Parametric VAR'!$F$13</f>
        <v>-2.8682193012943492E-2</v>
      </c>
      <c r="F1032">
        <f t="shared" si="100"/>
        <v>0</v>
      </c>
      <c r="G1032" s="67">
        <f>'Historical VAR'!$G$6</f>
        <v>-1.9839729167757107E-2</v>
      </c>
      <c r="H1032">
        <f t="shared" si="101"/>
        <v>0</v>
      </c>
      <c r="I1032" s="67">
        <f>'Historical VAR'!$G$7</f>
        <v>-3.1428916759065853E-2</v>
      </c>
      <c r="J1032">
        <f t="shared" si="102"/>
        <v>0</v>
      </c>
      <c r="K1032" s="67">
        <f ca="1">'Monte Carlo Stimulation'!$I$8</f>
        <v>-2.1559270710709389E-2</v>
      </c>
      <c r="L1032">
        <f t="shared" ca="1" si="103"/>
        <v>0</v>
      </c>
      <c r="M1032" s="67">
        <f ca="1">'Monte Carlo Stimulation'!$I$9</f>
        <v>-2.919314405717207E-2</v>
      </c>
      <c r="N1032">
        <f t="shared" ca="1" si="104"/>
        <v>0</v>
      </c>
    </row>
    <row r="1033" spans="1:14">
      <c r="A1033" s="12">
        <v>44594</v>
      </c>
      <c r="B1033" s="14">
        <v>1.0365990684982301E-3</v>
      </c>
      <c r="C1033" s="67">
        <f>'Parametric VAR'!$F$12</f>
        <v>-2.023068247926026E-2</v>
      </c>
      <c r="D1033">
        <f t="shared" si="99"/>
        <v>0</v>
      </c>
      <c r="E1033" s="67">
        <f>'Parametric VAR'!$F$13</f>
        <v>-2.8682193012943492E-2</v>
      </c>
      <c r="F1033">
        <f t="shared" si="100"/>
        <v>0</v>
      </c>
      <c r="G1033" s="67">
        <f>'Historical VAR'!$G$6</f>
        <v>-1.9839729167757107E-2</v>
      </c>
      <c r="H1033">
        <f t="shared" si="101"/>
        <v>0</v>
      </c>
      <c r="I1033" s="67">
        <f>'Historical VAR'!$G$7</f>
        <v>-3.1428916759065853E-2</v>
      </c>
      <c r="J1033">
        <f t="shared" si="102"/>
        <v>0</v>
      </c>
      <c r="K1033" s="67">
        <f ca="1">'Monte Carlo Stimulation'!$I$8</f>
        <v>-2.1559270710709389E-2</v>
      </c>
      <c r="L1033">
        <f t="shared" ca="1" si="103"/>
        <v>0</v>
      </c>
      <c r="M1033" s="67">
        <f ca="1">'Monte Carlo Stimulation'!$I$9</f>
        <v>-2.919314405717207E-2</v>
      </c>
      <c r="N1033">
        <f t="shared" ca="1" si="104"/>
        <v>0</v>
      </c>
    </row>
    <row r="1034" spans="1:14">
      <c r="A1034" s="12">
        <v>44593</v>
      </c>
      <c r="B1034" s="14">
        <v>-2.9077871938347566E-3</v>
      </c>
      <c r="C1034" s="67">
        <f>'Parametric VAR'!$F$12</f>
        <v>-2.023068247926026E-2</v>
      </c>
      <c r="D1034">
        <f t="shared" si="99"/>
        <v>0</v>
      </c>
      <c r="E1034" s="67">
        <f>'Parametric VAR'!$F$13</f>
        <v>-2.8682193012943492E-2</v>
      </c>
      <c r="F1034">
        <f t="shared" si="100"/>
        <v>0</v>
      </c>
      <c r="G1034" s="67">
        <f>'Historical VAR'!$G$6</f>
        <v>-1.9839729167757107E-2</v>
      </c>
      <c r="H1034">
        <f t="shared" si="101"/>
        <v>0</v>
      </c>
      <c r="I1034" s="67">
        <f>'Historical VAR'!$G$7</f>
        <v>-3.1428916759065853E-2</v>
      </c>
      <c r="J1034">
        <f t="shared" si="102"/>
        <v>0</v>
      </c>
      <c r="K1034" s="67">
        <f ca="1">'Monte Carlo Stimulation'!$I$8</f>
        <v>-2.1559270710709389E-2</v>
      </c>
      <c r="L1034">
        <f t="shared" ca="1" si="103"/>
        <v>0</v>
      </c>
      <c r="M1034" s="67">
        <f ca="1">'Monte Carlo Stimulation'!$I$9</f>
        <v>-2.919314405717207E-2</v>
      </c>
      <c r="N1034">
        <f t="shared" ca="1" si="104"/>
        <v>0</v>
      </c>
    </row>
    <row r="1035" spans="1:14">
      <c r="A1035" s="12">
        <v>44592</v>
      </c>
      <c r="B1035" s="14">
        <v>-1.1138610969650343E-2</v>
      </c>
      <c r="C1035" s="67">
        <f>'Parametric VAR'!$F$12</f>
        <v>-2.023068247926026E-2</v>
      </c>
      <c r="D1035">
        <f t="shared" si="99"/>
        <v>0</v>
      </c>
      <c r="E1035" s="67">
        <f>'Parametric VAR'!$F$13</f>
        <v>-2.8682193012943492E-2</v>
      </c>
      <c r="F1035">
        <f t="shared" si="100"/>
        <v>0</v>
      </c>
      <c r="G1035" s="67">
        <f>'Historical VAR'!$G$6</f>
        <v>-1.9839729167757107E-2</v>
      </c>
      <c r="H1035">
        <f t="shared" si="101"/>
        <v>0</v>
      </c>
      <c r="I1035" s="67">
        <f>'Historical VAR'!$G$7</f>
        <v>-3.1428916759065853E-2</v>
      </c>
      <c r="J1035">
        <f t="shared" si="102"/>
        <v>0</v>
      </c>
      <c r="K1035" s="67">
        <f ca="1">'Monte Carlo Stimulation'!$I$8</f>
        <v>-2.1559270710709389E-2</v>
      </c>
      <c r="L1035">
        <f t="shared" ca="1" si="103"/>
        <v>0</v>
      </c>
      <c r="M1035" s="67">
        <f ca="1">'Monte Carlo Stimulation'!$I$9</f>
        <v>-2.919314405717207E-2</v>
      </c>
      <c r="N1035">
        <f t="shared" ca="1" si="104"/>
        <v>0</v>
      </c>
    </row>
    <row r="1036" spans="1:14">
      <c r="A1036" s="12">
        <v>44589</v>
      </c>
      <c r="B1036" s="14">
        <v>-8.4126330409159383E-3</v>
      </c>
      <c r="C1036" s="67">
        <f>'Parametric VAR'!$F$12</f>
        <v>-2.023068247926026E-2</v>
      </c>
      <c r="D1036">
        <f t="shared" si="99"/>
        <v>0</v>
      </c>
      <c r="E1036" s="67">
        <f>'Parametric VAR'!$F$13</f>
        <v>-2.8682193012943492E-2</v>
      </c>
      <c r="F1036">
        <f t="shared" si="100"/>
        <v>0</v>
      </c>
      <c r="G1036" s="67">
        <f>'Historical VAR'!$G$6</f>
        <v>-1.9839729167757107E-2</v>
      </c>
      <c r="H1036">
        <f t="shared" si="101"/>
        <v>0</v>
      </c>
      <c r="I1036" s="67">
        <f>'Historical VAR'!$G$7</f>
        <v>-3.1428916759065853E-2</v>
      </c>
      <c r="J1036">
        <f t="shared" si="102"/>
        <v>0</v>
      </c>
      <c r="K1036" s="67">
        <f ca="1">'Monte Carlo Stimulation'!$I$8</f>
        <v>-2.1559270710709389E-2</v>
      </c>
      <c r="L1036">
        <f t="shared" ca="1" si="103"/>
        <v>0</v>
      </c>
      <c r="M1036" s="67">
        <f ca="1">'Monte Carlo Stimulation'!$I$9</f>
        <v>-2.919314405717207E-2</v>
      </c>
      <c r="N1036">
        <f t="shared" ca="1" si="104"/>
        <v>0</v>
      </c>
    </row>
    <row r="1037" spans="1:14">
      <c r="A1037" s="12">
        <v>44588</v>
      </c>
      <c r="B1037" s="14">
        <v>-1.537289787940196E-3</v>
      </c>
      <c r="C1037" s="67">
        <f>'Parametric VAR'!$F$12</f>
        <v>-2.023068247926026E-2</v>
      </c>
      <c r="D1037">
        <f t="shared" si="99"/>
        <v>0</v>
      </c>
      <c r="E1037" s="67">
        <f>'Parametric VAR'!$F$13</f>
        <v>-2.8682193012943492E-2</v>
      </c>
      <c r="F1037">
        <f t="shared" si="100"/>
        <v>0</v>
      </c>
      <c r="G1037" s="67">
        <f>'Historical VAR'!$G$6</f>
        <v>-1.9839729167757107E-2</v>
      </c>
      <c r="H1037">
        <f t="shared" si="101"/>
        <v>0</v>
      </c>
      <c r="I1037" s="67">
        <f>'Historical VAR'!$G$7</f>
        <v>-3.1428916759065853E-2</v>
      </c>
      <c r="J1037">
        <f t="shared" si="102"/>
        <v>0</v>
      </c>
      <c r="K1037" s="67">
        <f ca="1">'Monte Carlo Stimulation'!$I$8</f>
        <v>-2.1559270710709389E-2</v>
      </c>
      <c r="L1037">
        <f t="shared" ca="1" si="103"/>
        <v>0</v>
      </c>
      <c r="M1037" s="67">
        <f ca="1">'Monte Carlo Stimulation'!$I$9</f>
        <v>-2.919314405717207E-2</v>
      </c>
      <c r="N1037">
        <f t="shared" ca="1" si="104"/>
        <v>0</v>
      </c>
    </row>
    <row r="1038" spans="1:14">
      <c r="A1038" s="12">
        <v>44586</v>
      </c>
      <c r="B1038" s="14">
        <v>1.0824403881376394E-2</v>
      </c>
      <c r="C1038" s="67">
        <f>'Parametric VAR'!$F$12</f>
        <v>-2.023068247926026E-2</v>
      </c>
      <c r="D1038">
        <f t="shared" si="99"/>
        <v>0</v>
      </c>
      <c r="E1038" s="67">
        <f>'Parametric VAR'!$F$13</f>
        <v>-2.8682193012943492E-2</v>
      </c>
      <c r="F1038">
        <f t="shared" si="100"/>
        <v>0</v>
      </c>
      <c r="G1038" s="67">
        <f>'Historical VAR'!$G$6</f>
        <v>-1.9839729167757107E-2</v>
      </c>
      <c r="H1038">
        <f t="shared" si="101"/>
        <v>0</v>
      </c>
      <c r="I1038" s="67">
        <f>'Historical VAR'!$G$7</f>
        <v>-3.1428916759065853E-2</v>
      </c>
      <c r="J1038">
        <f t="shared" si="102"/>
        <v>0</v>
      </c>
      <c r="K1038" s="67">
        <f ca="1">'Monte Carlo Stimulation'!$I$8</f>
        <v>-2.1559270710709389E-2</v>
      </c>
      <c r="L1038">
        <f t="shared" ca="1" si="103"/>
        <v>0</v>
      </c>
      <c r="M1038" s="67">
        <f ca="1">'Monte Carlo Stimulation'!$I$9</f>
        <v>-2.919314405717207E-2</v>
      </c>
      <c r="N1038">
        <f t="shared" ca="1" si="104"/>
        <v>0</v>
      </c>
    </row>
    <row r="1039" spans="1:14">
      <c r="A1039" s="12">
        <v>44585</v>
      </c>
      <c r="B1039" s="14">
        <v>-2.2838918060492513E-3</v>
      </c>
      <c r="C1039" s="67">
        <f>'Parametric VAR'!$F$12</f>
        <v>-2.023068247926026E-2</v>
      </c>
      <c r="D1039">
        <f t="shared" si="99"/>
        <v>0</v>
      </c>
      <c r="E1039" s="67">
        <f>'Parametric VAR'!$F$13</f>
        <v>-2.8682193012943492E-2</v>
      </c>
      <c r="F1039">
        <f t="shared" si="100"/>
        <v>0</v>
      </c>
      <c r="G1039" s="67">
        <f>'Historical VAR'!$G$6</f>
        <v>-1.9839729167757107E-2</v>
      </c>
      <c r="H1039">
        <f t="shared" si="101"/>
        <v>0</v>
      </c>
      <c r="I1039" s="67">
        <f>'Historical VAR'!$G$7</f>
        <v>-3.1428916759065853E-2</v>
      </c>
      <c r="J1039">
        <f t="shared" si="102"/>
        <v>0</v>
      </c>
      <c r="K1039" s="67">
        <f ca="1">'Monte Carlo Stimulation'!$I$8</f>
        <v>-2.1559270710709389E-2</v>
      </c>
      <c r="L1039">
        <f t="shared" ca="1" si="103"/>
        <v>0</v>
      </c>
      <c r="M1039" s="67">
        <f ca="1">'Monte Carlo Stimulation'!$I$9</f>
        <v>-2.919314405717207E-2</v>
      </c>
      <c r="N1039">
        <f t="shared" ca="1" si="104"/>
        <v>0</v>
      </c>
    </row>
    <row r="1040" spans="1:14">
      <c r="A1040" s="12">
        <v>44582</v>
      </c>
      <c r="B1040" s="14">
        <v>3.5992874170601104E-2</v>
      </c>
      <c r="C1040" s="67">
        <f>'Parametric VAR'!$F$12</f>
        <v>-2.023068247926026E-2</v>
      </c>
      <c r="D1040">
        <f t="shared" si="99"/>
        <v>0</v>
      </c>
      <c r="E1040" s="67">
        <f>'Parametric VAR'!$F$13</f>
        <v>-2.8682193012943492E-2</v>
      </c>
      <c r="F1040">
        <f t="shared" si="100"/>
        <v>0</v>
      </c>
      <c r="G1040" s="67">
        <f>'Historical VAR'!$G$6</f>
        <v>-1.9839729167757107E-2</v>
      </c>
      <c r="H1040">
        <f t="shared" si="101"/>
        <v>0</v>
      </c>
      <c r="I1040" s="67">
        <f>'Historical VAR'!$G$7</f>
        <v>-3.1428916759065853E-2</v>
      </c>
      <c r="J1040">
        <f t="shared" si="102"/>
        <v>0</v>
      </c>
      <c r="K1040" s="67">
        <f ca="1">'Monte Carlo Stimulation'!$I$8</f>
        <v>-2.1559270710709389E-2</v>
      </c>
      <c r="L1040">
        <f t="shared" ca="1" si="103"/>
        <v>0</v>
      </c>
      <c r="M1040" s="67">
        <f ca="1">'Monte Carlo Stimulation'!$I$9</f>
        <v>-2.919314405717207E-2</v>
      </c>
      <c r="N1040">
        <f t="shared" ca="1" si="104"/>
        <v>0</v>
      </c>
    </row>
    <row r="1041" spans="1:14">
      <c r="A1041" s="12">
        <v>44581</v>
      </c>
      <c r="B1041" s="14">
        <v>8.4287070865902199E-3</v>
      </c>
      <c r="C1041" s="67">
        <f>'Parametric VAR'!$F$12</f>
        <v>-2.023068247926026E-2</v>
      </c>
      <c r="D1041">
        <f t="shared" si="99"/>
        <v>0</v>
      </c>
      <c r="E1041" s="67">
        <f>'Parametric VAR'!$F$13</f>
        <v>-2.8682193012943492E-2</v>
      </c>
      <c r="F1041">
        <f t="shared" si="100"/>
        <v>0</v>
      </c>
      <c r="G1041" s="67">
        <f>'Historical VAR'!$G$6</f>
        <v>-1.9839729167757107E-2</v>
      </c>
      <c r="H1041">
        <f t="shared" si="101"/>
        <v>0</v>
      </c>
      <c r="I1041" s="67">
        <f>'Historical VAR'!$G$7</f>
        <v>-3.1428916759065853E-2</v>
      </c>
      <c r="J1041">
        <f t="shared" si="102"/>
        <v>0</v>
      </c>
      <c r="K1041" s="67">
        <f ca="1">'Monte Carlo Stimulation'!$I$8</f>
        <v>-2.1559270710709389E-2</v>
      </c>
      <c r="L1041">
        <f t="shared" ca="1" si="103"/>
        <v>0</v>
      </c>
      <c r="M1041" s="67">
        <f ca="1">'Monte Carlo Stimulation'!$I$9</f>
        <v>-2.919314405717207E-2</v>
      </c>
      <c r="N1041">
        <f t="shared" ca="1" si="104"/>
        <v>0</v>
      </c>
    </row>
    <row r="1042" spans="1:14">
      <c r="A1042" s="12">
        <v>44580</v>
      </c>
      <c r="B1042" s="14">
        <v>-4.9302506213603301E-3</v>
      </c>
      <c r="C1042" s="67">
        <f>'Parametric VAR'!$F$12</f>
        <v>-2.023068247926026E-2</v>
      </c>
      <c r="D1042">
        <f t="shared" si="99"/>
        <v>0</v>
      </c>
      <c r="E1042" s="67">
        <f>'Parametric VAR'!$F$13</f>
        <v>-2.8682193012943492E-2</v>
      </c>
      <c r="F1042">
        <f t="shared" si="100"/>
        <v>0</v>
      </c>
      <c r="G1042" s="67">
        <f>'Historical VAR'!$G$6</f>
        <v>-1.9839729167757107E-2</v>
      </c>
      <c r="H1042">
        <f t="shared" si="101"/>
        <v>0</v>
      </c>
      <c r="I1042" s="67">
        <f>'Historical VAR'!$G$7</f>
        <v>-3.1428916759065853E-2</v>
      </c>
      <c r="J1042">
        <f t="shared" si="102"/>
        <v>0</v>
      </c>
      <c r="K1042" s="67">
        <f ca="1">'Monte Carlo Stimulation'!$I$8</f>
        <v>-2.1559270710709389E-2</v>
      </c>
      <c r="L1042">
        <f t="shared" ca="1" si="103"/>
        <v>0</v>
      </c>
      <c r="M1042" s="67">
        <f ca="1">'Monte Carlo Stimulation'!$I$9</f>
        <v>-2.919314405717207E-2</v>
      </c>
      <c r="N1042">
        <f t="shared" ca="1" si="104"/>
        <v>0</v>
      </c>
    </row>
    <row r="1043" spans="1:14">
      <c r="A1043" s="12">
        <v>44579</v>
      </c>
      <c r="B1043" s="14">
        <v>2.3810560128224731E-2</v>
      </c>
      <c r="C1043" s="67">
        <f>'Parametric VAR'!$F$12</f>
        <v>-2.023068247926026E-2</v>
      </c>
      <c r="D1043">
        <f t="shared" si="99"/>
        <v>0</v>
      </c>
      <c r="E1043" s="67">
        <f>'Parametric VAR'!$F$13</f>
        <v>-2.8682193012943492E-2</v>
      </c>
      <c r="F1043">
        <f t="shared" si="100"/>
        <v>0</v>
      </c>
      <c r="G1043" s="67">
        <f>'Historical VAR'!$G$6</f>
        <v>-1.9839729167757107E-2</v>
      </c>
      <c r="H1043">
        <f t="shared" si="101"/>
        <v>0</v>
      </c>
      <c r="I1043" s="67">
        <f>'Historical VAR'!$G$7</f>
        <v>-3.1428916759065853E-2</v>
      </c>
      <c r="J1043">
        <f t="shared" si="102"/>
        <v>0</v>
      </c>
      <c r="K1043" s="67">
        <f ca="1">'Monte Carlo Stimulation'!$I$8</f>
        <v>-2.1559270710709389E-2</v>
      </c>
      <c r="L1043">
        <f t="shared" ca="1" si="103"/>
        <v>0</v>
      </c>
      <c r="M1043" s="67">
        <f ca="1">'Monte Carlo Stimulation'!$I$9</f>
        <v>-2.919314405717207E-2</v>
      </c>
      <c r="N1043">
        <f t="shared" ca="1" si="104"/>
        <v>0</v>
      </c>
    </row>
    <row r="1044" spans="1:14">
      <c r="A1044" s="12">
        <v>44578</v>
      </c>
      <c r="B1044" s="14">
        <v>4.9486924941439664E-3</v>
      </c>
      <c r="C1044" s="67">
        <f>'Parametric VAR'!$F$12</f>
        <v>-2.023068247926026E-2</v>
      </c>
      <c r="D1044">
        <f t="shared" si="99"/>
        <v>0</v>
      </c>
      <c r="E1044" s="67">
        <f>'Parametric VAR'!$F$13</f>
        <v>-2.8682193012943492E-2</v>
      </c>
      <c r="F1044">
        <f t="shared" si="100"/>
        <v>0</v>
      </c>
      <c r="G1044" s="67">
        <f>'Historical VAR'!$G$6</f>
        <v>-1.9839729167757107E-2</v>
      </c>
      <c r="H1044">
        <f t="shared" si="101"/>
        <v>0</v>
      </c>
      <c r="I1044" s="67">
        <f>'Historical VAR'!$G$7</f>
        <v>-3.1428916759065853E-2</v>
      </c>
      <c r="J1044">
        <f t="shared" si="102"/>
        <v>0</v>
      </c>
      <c r="K1044" s="67">
        <f ca="1">'Monte Carlo Stimulation'!$I$8</f>
        <v>-2.1559270710709389E-2</v>
      </c>
      <c r="L1044">
        <f t="shared" ca="1" si="103"/>
        <v>0</v>
      </c>
      <c r="M1044" s="67">
        <f ca="1">'Monte Carlo Stimulation'!$I$9</f>
        <v>-2.919314405717207E-2</v>
      </c>
      <c r="N1044">
        <f t="shared" ca="1" si="104"/>
        <v>0</v>
      </c>
    </row>
    <row r="1045" spans="1:14">
      <c r="A1045" s="12">
        <v>44575</v>
      </c>
      <c r="B1045" s="14">
        <v>-3.3178867404907923E-3</v>
      </c>
      <c r="C1045" s="67">
        <f>'Parametric VAR'!$F$12</f>
        <v>-2.023068247926026E-2</v>
      </c>
      <c r="D1045">
        <f t="shared" si="99"/>
        <v>0</v>
      </c>
      <c r="E1045" s="67">
        <f>'Parametric VAR'!$F$13</f>
        <v>-2.8682193012943492E-2</v>
      </c>
      <c r="F1045">
        <f t="shared" si="100"/>
        <v>0</v>
      </c>
      <c r="G1045" s="67">
        <f>'Historical VAR'!$G$6</f>
        <v>-1.9839729167757107E-2</v>
      </c>
      <c r="H1045">
        <f t="shared" si="101"/>
        <v>0</v>
      </c>
      <c r="I1045" s="67">
        <f>'Historical VAR'!$G$7</f>
        <v>-3.1428916759065853E-2</v>
      </c>
      <c r="J1045">
        <f t="shared" si="102"/>
        <v>0</v>
      </c>
      <c r="K1045" s="67">
        <f ca="1">'Monte Carlo Stimulation'!$I$8</f>
        <v>-2.1559270710709389E-2</v>
      </c>
      <c r="L1045">
        <f t="shared" ca="1" si="103"/>
        <v>0</v>
      </c>
      <c r="M1045" s="67">
        <f ca="1">'Monte Carlo Stimulation'!$I$9</f>
        <v>-2.919314405717207E-2</v>
      </c>
      <c r="N1045">
        <f t="shared" ca="1" si="104"/>
        <v>0</v>
      </c>
    </row>
    <row r="1046" spans="1:14">
      <c r="A1046" s="12">
        <v>44574</v>
      </c>
      <c r="B1046" s="14">
        <v>2.1002562702975038E-2</v>
      </c>
      <c r="C1046" s="67">
        <f>'Parametric VAR'!$F$12</f>
        <v>-2.023068247926026E-2</v>
      </c>
      <c r="D1046">
        <f t="shared" si="99"/>
        <v>0</v>
      </c>
      <c r="E1046" s="67">
        <f>'Parametric VAR'!$F$13</f>
        <v>-2.8682193012943492E-2</v>
      </c>
      <c r="F1046">
        <f t="shared" si="100"/>
        <v>0</v>
      </c>
      <c r="G1046" s="67">
        <f>'Historical VAR'!$G$6</f>
        <v>-1.9839729167757107E-2</v>
      </c>
      <c r="H1046">
        <f t="shared" si="101"/>
        <v>0</v>
      </c>
      <c r="I1046" s="67">
        <f>'Historical VAR'!$G$7</f>
        <v>-3.1428916759065853E-2</v>
      </c>
      <c r="J1046">
        <f t="shared" si="102"/>
        <v>0</v>
      </c>
      <c r="K1046" s="67">
        <f ca="1">'Monte Carlo Stimulation'!$I$8</f>
        <v>-2.1559270710709389E-2</v>
      </c>
      <c r="L1046">
        <f t="shared" ca="1" si="103"/>
        <v>0</v>
      </c>
      <c r="M1046" s="67">
        <f ca="1">'Monte Carlo Stimulation'!$I$9</f>
        <v>-2.919314405717207E-2</v>
      </c>
      <c r="N1046">
        <f t="shared" ca="1" si="104"/>
        <v>0</v>
      </c>
    </row>
    <row r="1047" spans="1:14">
      <c r="A1047" s="12">
        <v>44573</v>
      </c>
      <c r="B1047" s="14">
        <v>1.8866086523902956E-2</v>
      </c>
      <c r="C1047" s="67">
        <f>'Parametric VAR'!$F$12</f>
        <v>-2.023068247926026E-2</v>
      </c>
      <c r="D1047">
        <f t="shared" si="99"/>
        <v>0</v>
      </c>
      <c r="E1047" s="67">
        <f>'Parametric VAR'!$F$13</f>
        <v>-2.8682193012943492E-2</v>
      </c>
      <c r="F1047">
        <f t="shared" si="100"/>
        <v>0</v>
      </c>
      <c r="G1047" s="67">
        <f>'Historical VAR'!$G$6</f>
        <v>-1.9839729167757107E-2</v>
      </c>
      <c r="H1047">
        <f t="shared" si="101"/>
        <v>0</v>
      </c>
      <c r="I1047" s="67">
        <f>'Historical VAR'!$G$7</f>
        <v>-3.1428916759065853E-2</v>
      </c>
      <c r="J1047">
        <f t="shared" si="102"/>
        <v>0</v>
      </c>
      <c r="K1047" s="67">
        <f ca="1">'Monte Carlo Stimulation'!$I$8</f>
        <v>-2.1559270710709389E-2</v>
      </c>
      <c r="L1047">
        <f t="shared" ca="1" si="103"/>
        <v>0</v>
      </c>
      <c r="M1047" s="67">
        <f ca="1">'Monte Carlo Stimulation'!$I$9</f>
        <v>-2.919314405717207E-2</v>
      </c>
      <c r="N1047">
        <f t="shared" ca="1" si="104"/>
        <v>0</v>
      </c>
    </row>
    <row r="1048" spans="1:14">
      <c r="A1048" s="12">
        <v>44572</v>
      </c>
      <c r="B1048" s="14">
        <v>-2.6333769018896192E-3</v>
      </c>
      <c r="C1048" s="67">
        <f>'Parametric VAR'!$F$12</f>
        <v>-2.023068247926026E-2</v>
      </c>
      <c r="D1048">
        <f t="shared" si="99"/>
        <v>0</v>
      </c>
      <c r="E1048" s="67">
        <f>'Parametric VAR'!$F$13</f>
        <v>-2.8682193012943492E-2</v>
      </c>
      <c r="F1048">
        <f t="shared" si="100"/>
        <v>0</v>
      </c>
      <c r="G1048" s="67">
        <f>'Historical VAR'!$G$6</f>
        <v>-1.9839729167757107E-2</v>
      </c>
      <c r="H1048">
        <f t="shared" si="101"/>
        <v>0</v>
      </c>
      <c r="I1048" s="67">
        <f>'Historical VAR'!$G$7</f>
        <v>-3.1428916759065853E-2</v>
      </c>
      <c r="J1048">
        <f t="shared" si="102"/>
        <v>0</v>
      </c>
      <c r="K1048" s="67">
        <f ca="1">'Monte Carlo Stimulation'!$I$8</f>
        <v>-2.1559270710709389E-2</v>
      </c>
      <c r="L1048">
        <f t="shared" ca="1" si="103"/>
        <v>0</v>
      </c>
      <c r="M1048" s="67">
        <f ca="1">'Monte Carlo Stimulation'!$I$9</f>
        <v>-2.919314405717207E-2</v>
      </c>
      <c r="N1048">
        <f t="shared" ca="1" si="104"/>
        <v>0</v>
      </c>
    </row>
    <row r="1049" spans="1:14">
      <c r="A1049" s="12">
        <v>44571</v>
      </c>
      <c r="B1049" s="14">
        <v>2.3151535776452323E-3</v>
      </c>
      <c r="C1049" s="67">
        <f>'Parametric VAR'!$F$12</f>
        <v>-2.023068247926026E-2</v>
      </c>
      <c r="D1049">
        <f t="shared" si="99"/>
        <v>0</v>
      </c>
      <c r="E1049" s="67">
        <f>'Parametric VAR'!$F$13</f>
        <v>-2.8682193012943492E-2</v>
      </c>
      <c r="F1049">
        <f t="shared" si="100"/>
        <v>0</v>
      </c>
      <c r="G1049" s="67">
        <f>'Historical VAR'!$G$6</f>
        <v>-1.9839729167757107E-2</v>
      </c>
      <c r="H1049">
        <f t="shared" si="101"/>
        <v>0</v>
      </c>
      <c r="I1049" s="67">
        <f>'Historical VAR'!$G$7</f>
        <v>-3.1428916759065853E-2</v>
      </c>
      <c r="J1049">
        <f t="shared" si="102"/>
        <v>0</v>
      </c>
      <c r="K1049" s="67">
        <f ca="1">'Monte Carlo Stimulation'!$I$8</f>
        <v>-2.1559270710709389E-2</v>
      </c>
      <c r="L1049">
        <f t="shared" ca="1" si="103"/>
        <v>0</v>
      </c>
      <c r="M1049" s="67">
        <f ca="1">'Monte Carlo Stimulation'!$I$9</f>
        <v>-2.919314405717207E-2</v>
      </c>
      <c r="N1049">
        <f t="shared" ca="1" si="104"/>
        <v>0</v>
      </c>
    </row>
    <row r="1050" spans="1:14">
      <c r="A1050" s="12">
        <v>44568</v>
      </c>
      <c r="B1050" s="14">
        <v>6.5324772823849905E-3</v>
      </c>
      <c r="C1050" s="67">
        <f>'Parametric VAR'!$F$12</f>
        <v>-2.023068247926026E-2</v>
      </c>
      <c r="D1050">
        <f t="shared" si="99"/>
        <v>0</v>
      </c>
      <c r="E1050" s="67">
        <f>'Parametric VAR'!$F$13</f>
        <v>-2.8682193012943492E-2</v>
      </c>
      <c r="F1050">
        <f t="shared" si="100"/>
        <v>0</v>
      </c>
      <c r="G1050" s="67">
        <f>'Historical VAR'!$G$6</f>
        <v>-1.9839729167757107E-2</v>
      </c>
      <c r="H1050">
        <f t="shared" si="101"/>
        <v>0</v>
      </c>
      <c r="I1050" s="67">
        <f>'Historical VAR'!$G$7</f>
        <v>-3.1428916759065853E-2</v>
      </c>
      <c r="J1050">
        <f t="shared" si="102"/>
        <v>0</v>
      </c>
      <c r="K1050" s="67">
        <f ca="1">'Monte Carlo Stimulation'!$I$8</f>
        <v>-2.1559270710709389E-2</v>
      </c>
      <c r="L1050">
        <f t="shared" ca="1" si="103"/>
        <v>0</v>
      </c>
      <c r="M1050" s="67">
        <f ca="1">'Monte Carlo Stimulation'!$I$9</f>
        <v>-2.919314405717207E-2</v>
      </c>
      <c r="N1050">
        <f t="shared" ca="1" si="104"/>
        <v>0</v>
      </c>
    </row>
    <row r="1051" spans="1:14">
      <c r="A1051" s="12">
        <v>44567</v>
      </c>
      <c r="B1051" s="14">
        <v>-1.4886720101061438E-2</v>
      </c>
      <c r="C1051" s="67">
        <f>'Parametric VAR'!$F$12</f>
        <v>-2.023068247926026E-2</v>
      </c>
      <c r="D1051">
        <f t="shared" si="99"/>
        <v>0</v>
      </c>
      <c r="E1051" s="67">
        <f>'Parametric VAR'!$F$13</f>
        <v>-2.8682193012943492E-2</v>
      </c>
      <c r="F1051">
        <f t="shared" si="100"/>
        <v>0</v>
      </c>
      <c r="G1051" s="67">
        <f>'Historical VAR'!$G$6</f>
        <v>-1.9839729167757107E-2</v>
      </c>
      <c r="H1051">
        <f t="shared" si="101"/>
        <v>0</v>
      </c>
      <c r="I1051" s="67">
        <f>'Historical VAR'!$G$7</f>
        <v>-3.1428916759065853E-2</v>
      </c>
      <c r="J1051">
        <f t="shared" si="102"/>
        <v>0</v>
      </c>
      <c r="K1051" s="67">
        <f ca="1">'Monte Carlo Stimulation'!$I$8</f>
        <v>-2.1559270710709389E-2</v>
      </c>
      <c r="L1051">
        <f t="shared" ca="1" si="103"/>
        <v>0</v>
      </c>
      <c r="M1051" s="67">
        <f ca="1">'Monte Carlo Stimulation'!$I$9</f>
        <v>-2.919314405717207E-2</v>
      </c>
      <c r="N1051">
        <f t="shared" ca="1" si="104"/>
        <v>0</v>
      </c>
    </row>
    <row r="1052" spans="1:14">
      <c r="A1052" s="12">
        <v>44566</v>
      </c>
      <c r="B1052" s="14">
        <v>5.3844167532542423E-3</v>
      </c>
      <c r="C1052" s="67">
        <f>'Parametric VAR'!$F$12</f>
        <v>-2.023068247926026E-2</v>
      </c>
      <c r="D1052">
        <f t="shared" si="99"/>
        <v>0</v>
      </c>
      <c r="E1052" s="67">
        <f>'Parametric VAR'!$F$13</f>
        <v>-2.8682193012943492E-2</v>
      </c>
      <c r="F1052">
        <f t="shared" si="100"/>
        <v>0</v>
      </c>
      <c r="G1052" s="67">
        <f>'Historical VAR'!$G$6</f>
        <v>-1.9839729167757107E-2</v>
      </c>
      <c r="H1052">
        <f t="shared" si="101"/>
        <v>0</v>
      </c>
      <c r="I1052" s="67">
        <f>'Historical VAR'!$G$7</f>
        <v>-3.1428916759065853E-2</v>
      </c>
      <c r="J1052">
        <f t="shared" si="102"/>
        <v>0</v>
      </c>
      <c r="K1052" s="67">
        <f ca="1">'Monte Carlo Stimulation'!$I$8</f>
        <v>-2.1559270710709389E-2</v>
      </c>
      <c r="L1052">
        <f t="shared" ca="1" si="103"/>
        <v>0</v>
      </c>
      <c r="M1052" s="67">
        <f ca="1">'Monte Carlo Stimulation'!$I$9</f>
        <v>-2.919314405717207E-2</v>
      </c>
      <c r="N1052">
        <f t="shared" ca="1" si="104"/>
        <v>0</v>
      </c>
    </row>
    <row r="1053" spans="1:14">
      <c r="A1053" s="12">
        <v>44565</v>
      </c>
      <c r="B1053" s="14">
        <v>-1.518002045368024E-2</v>
      </c>
      <c r="C1053" s="67">
        <f>'Parametric VAR'!$F$12</f>
        <v>-2.023068247926026E-2</v>
      </c>
      <c r="D1053">
        <f t="shared" si="99"/>
        <v>0</v>
      </c>
      <c r="E1053" s="67">
        <f>'Parametric VAR'!$F$13</f>
        <v>-2.8682193012943492E-2</v>
      </c>
      <c r="F1053">
        <f t="shared" si="100"/>
        <v>0</v>
      </c>
      <c r="G1053" s="67">
        <f>'Historical VAR'!$G$6</f>
        <v>-1.9839729167757107E-2</v>
      </c>
      <c r="H1053">
        <f t="shared" si="101"/>
        <v>0</v>
      </c>
      <c r="I1053" s="67">
        <f>'Historical VAR'!$G$7</f>
        <v>-3.1428916759065853E-2</v>
      </c>
      <c r="J1053">
        <f t="shared" si="102"/>
        <v>0</v>
      </c>
      <c r="K1053" s="67">
        <f ca="1">'Monte Carlo Stimulation'!$I$8</f>
        <v>-2.1559270710709389E-2</v>
      </c>
      <c r="L1053">
        <f t="shared" ca="1" si="103"/>
        <v>0</v>
      </c>
      <c r="M1053" s="67">
        <f ca="1">'Monte Carlo Stimulation'!$I$9</f>
        <v>-2.919314405717207E-2</v>
      </c>
      <c r="N1053">
        <f t="shared" ca="1" si="104"/>
        <v>0</v>
      </c>
    </row>
    <row r="1054" spans="1:14">
      <c r="A1054" s="12">
        <v>44564</v>
      </c>
      <c r="B1054" s="14">
        <v>-8.685377023657688E-3</v>
      </c>
      <c r="C1054" s="67">
        <f>'Parametric VAR'!$F$12</f>
        <v>-2.023068247926026E-2</v>
      </c>
      <c r="D1054">
        <f t="shared" si="99"/>
        <v>0</v>
      </c>
      <c r="E1054" s="67">
        <f>'Parametric VAR'!$F$13</f>
        <v>-2.8682193012943492E-2</v>
      </c>
      <c r="F1054">
        <f t="shared" si="100"/>
        <v>0</v>
      </c>
      <c r="G1054" s="67">
        <f>'Historical VAR'!$G$6</f>
        <v>-1.9839729167757107E-2</v>
      </c>
      <c r="H1054">
        <f t="shared" si="101"/>
        <v>0</v>
      </c>
      <c r="I1054" s="67">
        <f>'Historical VAR'!$G$7</f>
        <v>-3.1428916759065853E-2</v>
      </c>
      <c r="J1054">
        <f t="shared" si="102"/>
        <v>0</v>
      </c>
      <c r="K1054" s="67">
        <f ca="1">'Monte Carlo Stimulation'!$I$8</f>
        <v>-2.1559270710709389E-2</v>
      </c>
      <c r="L1054">
        <f t="shared" ca="1" si="103"/>
        <v>0</v>
      </c>
      <c r="M1054" s="67">
        <f ca="1">'Monte Carlo Stimulation'!$I$9</f>
        <v>-2.919314405717207E-2</v>
      </c>
      <c r="N1054">
        <f t="shared" ca="1" si="104"/>
        <v>0</v>
      </c>
    </row>
    <row r="1055" spans="1:14">
      <c r="A1055" s="12">
        <v>44561</v>
      </c>
      <c r="B1055" s="14">
        <v>-9.1848204458997232E-3</v>
      </c>
      <c r="C1055" s="67">
        <f>'Parametric VAR'!$F$12</f>
        <v>-2.023068247926026E-2</v>
      </c>
      <c r="D1055">
        <f t="shared" si="99"/>
        <v>0</v>
      </c>
      <c r="E1055" s="67">
        <f>'Parametric VAR'!$F$13</f>
        <v>-2.8682193012943492E-2</v>
      </c>
      <c r="F1055">
        <f t="shared" si="100"/>
        <v>0</v>
      </c>
      <c r="G1055" s="67">
        <f>'Historical VAR'!$G$6</f>
        <v>-1.9839729167757107E-2</v>
      </c>
      <c r="H1055">
        <f t="shared" si="101"/>
        <v>0</v>
      </c>
      <c r="I1055" s="67">
        <f>'Historical VAR'!$G$7</f>
        <v>-3.1428916759065853E-2</v>
      </c>
      <c r="J1055">
        <f t="shared" si="102"/>
        <v>0</v>
      </c>
      <c r="K1055" s="67">
        <f ca="1">'Monte Carlo Stimulation'!$I$8</f>
        <v>-2.1559270710709389E-2</v>
      </c>
      <c r="L1055">
        <f t="shared" ca="1" si="103"/>
        <v>0</v>
      </c>
      <c r="M1055" s="67">
        <f ca="1">'Monte Carlo Stimulation'!$I$9</f>
        <v>-2.919314405717207E-2</v>
      </c>
      <c r="N1055">
        <f t="shared" ca="1" si="104"/>
        <v>0</v>
      </c>
    </row>
    <row r="1056" spans="1:14">
      <c r="A1056" s="12">
        <v>44560</v>
      </c>
      <c r="B1056" s="14">
        <v>-9.2903946789450811E-3</v>
      </c>
      <c r="C1056" s="67">
        <f>'Parametric VAR'!$F$12</f>
        <v>-2.023068247926026E-2</v>
      </c>
      <c r="D1056">
        <f t="shared" si="99"/>
        <v>0</v>
      </c>
      <c r="E1056" s="67">
        <f>'Parametric VAR'!$F$13</f>
        <v>-2.8682193012943492E-2</v>
      </c>
      <c r="F1056">
        <f t="shared" si="100"/>
        <v>0</v>
      </c>
      <c r="G1056" s="67">
        <f>'Historical VAR'!$G$6</f>
        <v>-1.9839729167757107E-2</v>
      </c>
      <c r="H1056">
        <f t="shared" si="101"/>
        <v>0</v>
      </c>
      <c r="I1056" s="67">
        <f>'Historical VAR'!$G$7</f>
        <v>-3.1428916759065853E-2</v>
      </c>
      <c r="J1056">
        <f t="shared" si="102"/>
        <v>0</v>
      </c>
      <c r="K1056" s="67">
        <f ca="1">'Monte Carlo Stimulation'!$I$8</f>
        <v>-2.1559270710709389E-2</v>
      </c>
      <c r="L1056">
        <f t="shared" ca="1" si="103"/>
        <v>0</v>
      </c>
      <c r="M1056" s="67">
        <f ca="1">'Monte Carlo Stimulation'!$I$9</f>
        <v>-2.919314405717207E-2</v>
      </c>
      <c r="N1056">
        <f t="shared" ca="1" si="104"/>
        <v>0</v>
      </c>
    </row>
    <row r="1057" spans="1:14">
      <c r="A1057" s="12">
        <v>44559</v>
      </c>
      <c r="B1057" s="14">
        <v>-2.3351647922124864E-3</v>
      </c>
      <c r="C1057" s="67">
        <f>'Parametric VAR'!$F$12</f>
        <v>-2.023068247926026E-2</v>
      </c>
      <c r="D1057">
        <f t="shared" si="99"/>
        <v>0</v>
      </c>
      <c r="E1057" s="67">
        <f>'Parametric VAR'!$F$13</f>
        <v>-2.8682193012943492E-2</v>
      </c>
      <c r="F1057">
        <f t="shared" si="100"/>
        <v>0</v>
      </c>
      <c r="G1057" s="67">
        <f>'Historical VAR'!$G$6</f>
        <v>-1.9839729167757107E-2</v>
      </c>
      <c r="H1057">
        <f t="shared" si="101"/>
        <v>0</v>
      </c>
      <c r="I1057" s="67">
        <f>'Historical VAR'!$G$7</f>
        <v>-3.1428916759065853E-2</v>
      </c>
      <c r="J1057">
        <f t="shared" si="102"/>
        <v>0</v>
      </c>
      <c r="K1057" s="67">
        <f ca="1">'Monte Carlo Stimulation'!$I$8</f>
        <v>-2.1559270710709389E-2</v>
      </c>
      <c r="L1057">
        <f t="shared" ca="1" si="103"/>
        <v>0</v>
      </c>
      <c r="M1057" s="67">
        <f ca="1">'Monte Carlo Stimulation'!$I$9</f>
        <v>-2.919314405717207E-2</v>
      </c>
      <c r="N1057">
        <f t="shared" ca="1" si="104"/>
        <v>0</v>
      </c>
    </row>
    <row r="1058" spans="1:14">
      <c r="A1058" s="12">
        <v>44558</v>
      </c>
      <c r="B1058" s="14">
        <v>-5.8931881515143488E-4</v>
      </c>
      <c r="C1058" s="67">
        <f>'Parametric VAR'!$F$12</f>
        <v>-2.023068247926026E-2</v>
      </c>
      <c r="D1058">
        <f t="shared" si="99"/>
        <v>0</v>
      </c>
      <c r="E1058" s="67">
        <f>'Parametric VAR'!$F$13</f>
        <v>-2.8682193012943492E-2</v>
      </c>
      <c r="F1058">
        <f t="shared" si="100"/>
        <v>0</v>
      </c>
      <c r="G1058" s="67">
        <f>'Historical VAR'!$G$6</f>
        <v>-1.9839729167757107E-2</v>
      </c>
      <c r="H1058">
        <f t="shared" si="101"/>
        <v>0</v>
      </c>
      <c r="I1058" s="67">
        <f>'Historical VAR'!$G$7</f>
        <v>-3.1428916759065853E-2</v>
      </c>
      <c r="J1058">
        <f t="shared" si="102"/>
        <v>0</v>
      </c>
      <c r="K1058" s="67">
        <f ca="1">'Monte Carlo Stimulation'!$I$8</f>
        <v>-2.1559270710709389E-2</v>
      </c>
      <c r="L1058">
        <f t="shared" ca="1" si="103"/>
        <v>0</v>
      </c>
      <c r="M1058" s="67">
        <f ca="1">'Monte Carlo Stimulation'!$I$9</f>
        <v>-2.919314405717207E-2</v>
      </c>
      <c r="N1058">
        <f t="shared" ca="1" si="104"/>
        <v>0</v>
      </c>
    </row>
    <row r="1059" spans="1:14">
      <c r="A1059" s="12">
        <v>44557</v>
      </c>
      <c r="B1059" s="14">
        <v>-2.2015331871903899E-2</v>
      </c>
      <c r="C1059" s="67">
        <f>'Parametric VAR'!$F$12</f>
        <v>-2.023068247926026E-2</v>
      </c>
      <c r="D1059">
        <f t="shared" si="99"/>
        <v>1</v>
      </c>
      <c r="E1059" s="67">
        <f>'Parametric VAR'!$F$13</f>
        <v>-2.8682193012943492E-2</v>
      </c>
      <c r="F1059">
        <f t="shared" si="100"/>
        <v>0</v>
      </c>
      <c r="G1059" s="67">
        <f>'Historical VAR'!$G$6</f>
        <v>-1.9839729167757107E-2</v>
      </c>
      <c r="H1059">
        <f t="shared" si="101"/>
        <v>1</v>
      </c>
      <c r="I1059" s="67">
        <f>'Historical VAR'!$G$7</f>
        <v>-3.1428916759065853E-2</v>
      </c>
      <c r="J1059">
        <f t="shared" si="102"/>
        <v>0</v>
      </c>
      <c r="K1059" s="67">
        <f ca="1">'Monte Carlo Stimulation'!$I$8</f>
        <v>-2.1559270710709389E-2</v>
      </c>
      <c r="L1059">
        <f t="shared" ca="1" si="103"/>
        <v>1</v>
      </c>
      <c r="M1059" s="67">
        <f ca="1">'Monte Carlo Stimulation'!$I$9</f>
        <v>-2.919314405717207E-2</v>
      </c>
      <c r="N1059">
        <f t="shared" ca="1" si="104"/>
        <v>0</v>
      </c>
    </row>
    <row r="1060" spans="1:14">
      <c r="A1060" s="12">
        <v>44554</v>
      </c>
      <c r="B1060" s="14">
        <v>1.5110773981155999E-3</v>
      </c>
      <c r="C1060" s="67">
        <f>'Parametric VAR'!$F$12</f>
        <v>-2.023068247926026E-2</v>
      </c>
      <c r="D1060">
        <f t="shared" si="99"/>
        <v>0</v>
      </c>
      <c r="E1060" s="67">
        <f>'Parametric VAR'!$F$13</f>
        <v>-2.8682193012943492E-2</v>
      </c>
      <c r="F1060">
        <f t="shared" si="100"/>
        <v>0</v>
      </c>
      <c r="G1060" s="67">
        <f>'Historical VAR'!$G$6</f>
        <v>-1.9839729167757107E-2</v>
      </c>
      <c r="H1060">
        <f t="shared" si="101"/>
        <v>0</v>
      </c>
      <c r="I1060" s="67">
        <f>'Historical VAR'!$G$7</f>
        <v>-3.1428916759065853E-2</v>
      </c>
      <c r="J1060">
        <f t="shared" si="102"/>
        <v>0</v>
      </c>
      <c r="K1060" s="67">
        <f ca="1">'Monte Carlo Stimulation'!$I$8</f>
        <v>-2.1559270710709389E-2</v>
      </c>
      <c r="L1060">
        <f t="shared" ca="1" si="103"/>
        <v>0</v>
      </c>
      <c r="M1060" s="67">
        <f ca="1">'Monte Carlo Stimulation'!$I$9</f>
        <v>-2.919314405717207E-2</v>
      </c>
      <c r="N1060">
        <f t="shared" ca="1" si="104"/>
        <v>0</v>
      </c>
    </row>
    <row r="1061" spans="1:14">
      <c r="A1061" s="12">
        <v>44553</v>
      </c>
      <c r="B1061" s="14">
        <v>6.2205639814389118E-4</v>
      </c>
      <c r="C1061" s="67">
        <f>'Parametric VAR'!$F$12</f>
        <v>-2.023068247926026E-2</v>
      </c>
      <c r="D1061">
        <f t="shared" si="99"/>
        <v>0</v>
      </c>
      <c r="E1061" s="67">
        <f>'Parametric VAR'!$F$13</f>
        <v>-2.8682193012943492E-2</v>
      </c>
      <c r="F1061">
        <f t="shared" si="100"/>
        <v>0</v>
      </c>
      <c r="G1061" s="67">
        <f>'Historical VAR'!$G$6</f>
        <v>-1.9839729167757107E-2</v>
      </c>
      <c r="H1061">
        <f t="shared" si="101"/>
        <v>0</v>
      </c>
      <c r="I1061" s="67">
        <f>'Historical VAR'!$G$7</f>
        <v>-3.1428916759065853E-2</v>
      </c>
      <c r="J1061">
        <f t="shared" si="102"/>
        <v>0</v>
      </c>
      <c r="K1061" s="67">
        <f ca="1">'Monte Carlo Stimulation'!$I$8</f>
        <v>-2.1559270710709389E-2</v>
      </c>
      <c r="L1061">
        <f t="shared" ca="1" si="103"/>
        <v>0</v>
      </c>
      <c r="M1061" s="67">
        <f ca="1">'Monte Carlo Stimulation'!$I$9</f>
        <v>-2.919314405717207E-2</v>
      </c>
      <c r="N1061">
        <f t="shared" ca="1" si="104"/>
        <v>0</v>
      </c>
    </row>
    <row r="1062" spans="1:14">
      <c r="A1062" s="12">
        <v>44552</v>
      </c>
      <c r="B1062" s="14">
        <v>1.5509313153532405E-3</v>
      </c>
      <c r="C1062" s="67">
        <f>'Parametric VAR'!$F$12</f>
        <v>-2.023068247926026E-2</v>
      </c>
      <c r="D1062">
        <f t="shared" si="99"/>
        <v>0</v>
      </c>
      <c r="E1062" s="67">
        <f>'Parametric VAR'!$F$13</f>
        <v>-2.8682193012943492E-2</v>
      </c>
      <c r="F1062">
        <f t="shared" si="100"/>
        <v>0</v>
      </c>
      <c r="G1062" s="67">
        <f>'Historical VAR'!$G$6</f>
        <v>-1.9839729167757107E-2</v>
      </c>
      <c r="H1062">
        <f t="shared" si="101"/>
        <v>0</v>
      </c>
      <c r="I1062" s="67">
        <f>'Historical VAR'!$G$7</f>
        <v>-3.1428916759065853E-2</v>
      </c>
      <c r="J1062">
        <f t="shared" si="102"/>
        <v>0</v>
      </c>
      <c r="K1062" s="67">
        <f ca="1">'Monte Carlo Stimulation'!$I$8</f>
        <v>-2.1559270710709389E-2</v>
      </c>
      <c r="L1062">
        <f t="shared" ca="1" si="103"/>
        <v>0</v>
      </c>
      <c r="M1062" s="67">
        <f ca="1">'Monte Carlo Stimulation'!$I$9</f>
        <v>-2.919314405717207E-2</v>
      </c>
      <c r="N1062">
        <f t="shared" ca="1" si="104"/>
        <v>0</v>
      </c>
    </row>
    <row r="1063" spans="1:14">
      <c r="A1063" s="12">
        <v>44551</v>
      </c>
      <c r="B1063" s="14">
        <v>-3.1480051889908717E-3</v>
      </c>
      <c r="C1063" s="67">
        <f>'Parametric VAR'!$F$12</f>
        <v>-2.023068247926026E-2</v>
      </c>
      <c r="D1063">
        <f t="shared" si="99"/>
        <v>0</v>
      </c>
      <c r="E1063" s="67">
        <f>'Parametric VAR'!$F$13</f>
        <v>-2.8682193012943492E-2</v>
      </c>
      <c r="F1063">
        <f t="shared" si="100"/>
        <v>0</v>
      </c>
      <c r="G1063" s="67">
        <f>'Historical VAR'!$G$6</f>
        <v>-1.9839729167757107E-2</v>
      </c>
      <c r="H1063">
        <f t="shared" si="101"/>
        <v>0</v>
      </c>
      <c r="I1063" s="67">
        <f>'Historical VAR'!$G$7</f>
        <v>-3.1428916759065853E-2</v>
      </c>
      <c r="J1063">
        <f t="shared" si="102"/>
        <v>0</v>
      </c>
      <c r="K1063" s="67">
        <f ca="1">'Monte Carlo Stimulation'!$I$8</f>
        <v>-2.1559270710709389E-2</v>
      </c>
      <c r="L1063">
        <f t="shared" ca="1" si="103"/>
        <v>0</v>
      </c>
      <c r="M1063" s="67">
        <f ca="1">'Monte Carlo Stimulation'!$I$9</f>
        <v>-2.919314405717207E-2</v>
      </c>
      <c r="N1063">
        <f t="shared" ca="1" si="104"/>
        <v>0</v>
      </c>
    </row>
    <row r="1064" spans="1:14">
      <c r="A1064" s="12">
        <v>44550</v>
      </c>
      <c r="B1064" s="14">
        <v>-8.2767350501340778E-3</v>
      </c>
      <c r="C1064" s="67">
        <f>'Parametric VAR'!$F$12</f>
        <v>-2.023068247926026E-2</v>
      </c>
      <c r="D1064">
        <f t="shared" si="99"/>
        <v>0</v>
      </c>
      <c r="E1064" s="67">
        <f>'Parametric VAR'!$F$13</f>
        <v>-2.8682193012943492E-2</v>
      </c>
      <c r="F1064">
        <f t="shared" si="100"/>
        <v>0</v>
      </c>
      <c r="G1064" s="67">
        <f>'Historical VAR'!$G$6</f>
        <v>-1.9839729167757107E-2</v>
      </c>
      <c r="H1064">
        <f t="shared" si="101"/>
        <v>0</v>
      </c>
      <c r="I1064" s="67">
        <f>'Historical VAR'!$G$7</f>
        <v>-3.1428916759065853E-2</v>
      </c>
      <c r="J1064">
        <f t="shared" si="102"/>
        <v>0</v>
      </c>
      <c r="K1064" s="67">
        <f ca="1">'Monte Carlo Stimulation'!$I$8</f>
        <v>-2.1559270710709389E-2</v>
      </c>
      <c r="L1064">
        <f t="shared" ca="1" si="103"/>
        <v>0</v>
      </c>
      <c r="M1064" s="67">
        <f ca="1">'Monte Carlo Stimulation'!$I$9</f>
        <v>-2.919314405717207E-2</v>
      </c>
      <c r="N1064">
        <f t="shared" ca="1" si="104"/>
        <v>0</v>
      </c>
    </row>
    <row r="1065" spans="1:14">
      <c r="A1065" s="12">
        <v>44547</v>
      </c>
      <c r="B1065" s="14">
        <v>5.4988338486464941E-3</v>
      </c>
      <c r="C1065" s="67">
        <f>'Parametric VAR'!$F$12</f>
        <v>-2.023068247926026E-2</v>
      </c>
      <c r="D1065">
        <f t="shared" si="99"/>
        <v>0</v>
      </c>
      <c r="E1065" s="67">
        <f>'Parametric VAR'!$F$13</f>
        <v>-2.8682193012943492E-2</v>
      </c>
      <c r="F1065">
        <f t="shared" si="100"/>
        <v>0</v>
      </c>
      <c r="G1065" s="67">
        <f>'Historical VAR'!$G$6</f>
        <v>-1.9839729167757107E-2</v>
      </c>
      <c r="H1065">
        <f t="shared" si="101"/>
        <v>0</v>
      </c>
      <c r="I1065" s="67">
        <f>'Historical VAR'!$G$7</f>
        <v>-3.1428916759065853E-2</v>
      </c>
      <c r="J1065">
        <f t="shared" si="102"/>
        <v>0</v>
      </c>
      <c r="K1065" s="67">
        <f ca="1">'Monte Carlo Stimulation'!$I$8</f>
        <v>-2.1559270710709389E-2</v>
      </c>
      <c r="L1065">
        <f t="shared" ca="1" si="103"/>
        <v>0</v>
      </c>
      <c r="M1065" s="67">
        <f ca="1">'Monte Carlo Stimulation'!$I$9</f>
        <v>-2.919314405717207E-2</v>
      </c>
      <c r="N1065">
        <f t="shared" ca="1" si="104"/>
        <v>0</v>
      </c>
    </row>
    <row r="1066" spans="1:14">
      <c r="A1066" s="12">
        <v>44546</v>
      </c>
      <c r="B1066" s="14">
        <v>1.461528958502138E-2</v>
      </c>
      <c r="C1066" s="67">
        <f>'Parametric VAR'!$F$12</f>
        <v>-2.023068247926026E-2</v>
      </c>
      <c r="D1066">
        <f t="shared" si="99"/>
        <v>0</v>
      </c>
      <c r="E1066" s="67">
        <f>'Parametric VAR'!$F$13</f>
        <v>-2.8682193012943492E-2</v>
      </c>
      <c r="F1066">
        <f t="shared" si="100"/>
        <v>0</v>
      </c>
      <c r="G1066" s="67">
        <f>'Historical VAR'!$G$6</f>
        <v>-1.9839729167757107E-2</v>
      </c>
      <c r="H1066">
        <f t="shared" si="101"/>
        <v>0</v>
      </c>
      <c r="I1066" s="67">
        <f>'Historical VAR'!$G$7</f>
        <v>-3.1428916759065853E-2</v>
      </c>
      <c r="J1066">
        <f t="shared" si="102"/>
        <v>0</v>
      </c>
      <c r="K1066" s="67">
        <f ca="1">'Monte Carlo Stimulation'!$I$8</f>
        <v>-2.1559270710709389E-2</v>
      </c>
      <c r="L1066">
        <f t="shared" ca="1" si="103"/>
        <v>0</v>
      </c>
      <c r="M1066" s="67">
        <f ca="1">'Monte Carlo Stimulation'!$I$9</f>
        <v>-2.919314405717207E-2</v>
      </c>
      <c r="N1066">
        <f t="shared" ca="1" si="104"/>
        <v>0</v>
      </c>
    </row>
    <row r="1067" spans="1:14">
      <c r="A1067" s="12">
        <v>44545</v>
      </c>
      <c r="B1067" s="14">
        <v>1.6610951971082234E-3</v>
      </c>
      <c r="C1067" s="67">
        <f>'Parametric VAR'!$F$12</f>
        <v>-2.023068247926026E-2</v>
      </c>
      <c r="D1067">
        <f t="shared" si="99"/>
        <v>0</v>
      </c>
      <c r="E1067" s="67">
        <f>'Parametric VAR'!$F$13</f>
        <v>-2.8682193012943492E-2</v>
      </c>
      <c r="F1067">
        <f t="shared" si="100"/>
        <v>0</v>
      </c>
      <c r="G1067" s="67">
        <f>'Historical VAR'!$G$6</f>
        <v>-1.9839729167757107E-2</v>
      </c>
      <c r="H1067">
        <f t="shared" si="101"/>
        <v>0</v>
      </c>
      <c r="I1067" s="67">
        <f>'Historical VAR'!$G$7</f>
        <v>-3.1428916759065853E-2</v>
      </c>
      <c r="J1067">
        <f t="shared" si="102"/>
        <v>0</v>
      </c>
      <c r="K1067" s="67">
        <f ca="1">'Monte Carlo Stimulation'!$I$8</f>
        <v>-2.1559270710709389E-2</v>
      </c>
      <c r="L1067">
        <f t="shared" ca="1" si="103"/>
        <v>0</v>
      </c>
      <c r="M1067" s="67">
        <f ca="1">'Monte Carlo Stimulation'!$I$9</f>
        <v>-2.919314405717207E-2</v>
      </c>
      <c r="N1067">
        <f t="shared" ca="1" si="104"/>
        <v>0</v>
      </c>
    </row>
    <row r="1068" spans="1:14">
      <c r="A1068" s="12">
        <v>44544</v>
      </c>
      <c r="B1068" s="14">
        <v>-1.782743141963829E-3</v>
      </c>
      <c r="C1068" s="67">
        <f>'Parametric VAR'!$F$12</f>
        <v>-2.023068247926026E-2</v>
      </c>
      <c r="D1068">
        <f t="shared" si="99"/>
        <v>0</v>
      </c>
      <c r="E1068" s="67">
        <f>'Parametric VAR'!$F$13</f>
        <v>-2.8682193012943492E-2</v>
      </c>
      <c r="F1068">
        <f t="shared" si="100"/>
        <v>0</v>
      </c>
      <c r="G1068" s="67">
        <f>'Historical VAR'!$G$6</f>
        <v>-1.9839729167757107E-2</v>
      </c>
      <c r="H1068">
        <f t="shared" si="101"/>
        <v>0</v>
      </c>
      <c r="I1068" s="67">
        <f>'Historical VAR'!$G$7</f>
        <v>-3.1428916759065853E-2</v>
      </c>
      <c r="J1068">
        <f t="shared" si="102"/>
        <v>0</v>
      </c>
      <c r="K1068" s="67">
        <f ca="1">'Monte Carlo Stimulation'!$I$8</f>
        <v>-2.1559270710709389E-2</v>
      </c>
      <c r="L1068">
        <f t="shared" ca="1" si="103"/>
        <v>0</v>
      </c>
      <c r="M1068" s="67">
        <f ca="1">'Monte Carlo Stimulation'!$I$9</f>
        <v>-2.919314405717207E-2</v>
      </c>
      <c r="N1068">
        <f t="shared" ca="1" si="104"/>
        <v>0</v>
      </c>
    </row>
    <row r="1069" spans="1:14">
      <c r="A1069" s="12">
        <v>44543</v>
      </c>
      <c r="B1069" s="14">
        <v>-3.1402443871746807E-3</v>
      </c>
      <c r="C1069" s="67">
        <f>'Parametric VAR'!$F$12</f>
        <v>-2.023068247926026E-2</v>
      </c>
      <c r="D1069">
        <f t="shared" si="99"/>
        <v>0</v>
      </c>
      <c r="E1069" s="67">
        <f>'Parametric VAR'!$F$13</f>
        <v>-2.8682193012943492E-2</v>
      </c>
      <c r="F1069">
        <f t="shared" si="100"/>
        <v>0</v>
      </c>
      <c r="G1069" s="67">
        <f>'Historical VAR'!$G$6</f>
        <v>-1.9839729167757107E-2</v>
      </c>
      <c r="H1069">
        <f t="shared" si="101"/>
        <v>0</v>
      </c>
      <c r="I1069" s="67">
        <f>'Historical VAR'!$G$7</f>
        <v>-3.1428916759065853E-2</v>
      </c>
      <c r="J1069">
        <f t="shared" si="102"/>
        <v>0</v>
      </c>
      <c r="K1069" s="67">
        <f ca="1">'Monte Carlo Stimulation'!$I$8</f>
        <v>-2.1559270710709389E-2</v>
      </c>
      <c r="L1069">
        <f t="shared" ca="1" si="103"/>
        <v>0</v>
      </c>
      <c r="M1069" s="67">
        <f ca="1">'Monte Carlo Stimulation'!$I$9</f>
        <v>-2.919314405717207E-2</v>
      </c>
      <c r="N1069">
        <f t="shared" ca="1" si="104"/>
        <v>0</v>
      </c>
    </row>
    <row r="1070" spans="1:14">
      <c r="A1070" s="12">
        <v>44540</v>
      </c>
      <c r="B1070" s="14">
        <v>2.6907328414430528E-3</v>
      </c>
      <c r="C1070" s="67">
        <f>'Parametric VAR'!$F$12</f>
        <v>-2.023068247926026E-2</v>
      </c>
      <c r="D1070">
        <f t="shared" si="99"/>
        <v>0</v>
      </c>
      <c r="E1070" s="67">
        <f>'Parametric VAR'!$F$13</f>
        <v>-2.8682193012943492E-2</v>
      </c>
      <c r="F1070">
        <f t="shared" si="100"/>
        <v>0</v>
      </c>
      <c r="G1070" s="67">
        <f>'Historical VAR'!$G$6</f>
        <v>-1.9839729167757107E-2</v>
      </c>
      <c r="H1070">
        <f t="shared" si="101"/>
        <v>0</v>
      </c>
      <c r="I1070" s="67">
        <f>'Historical VAR'!$G$7</f>
        <v>-3.1428916759065853E-2</v>
      </c>
      <c r="J1070">
        <f t="shared" si="102"/>
        <v>0</v>
      </c>
      <c r="K1070" s="67">
        <f ca="1">'Monte Carlo Stimulation'!$I$8</f>
        <v>-2.1559270710709389E-2</v>
      </c>
      <c r="L1070">
        <f t="shared" ca="1" si="103"/>
        <v>0</v>
      </c>
      <c r="M1070" s="67">
        <f ca="1">'Monte Carlo Stimulation'!$I$9</f>
        <v>-2.919314405717207E-2</v>
      </c>
      <c r="N1070">
        <f t="shared" ca="1" si="104"/>
        <v>0</v>
      </c>
    </row>
    <row r="1071" spans="1:14">
      <c r="A1071" s="12">
        <v>44539</v>
      </c>
      <c r="B1071" s="14">
        <v>-2.7331582901642476E-2</v>
      </c>
      <c r="C1071" s="67">
        <f>'Parametric VAR'!$F$12</f>
        <v>-2.023068247926026E-2</v>
      </c>
      <c r="D1071">
        <f t="shared" si="99"/>
        <v>1</v>
      </c>
      <c r="E1071" s="67">
        <f>'Parametric VAR'!$F$13</f>
        <v>-2.8682193012943492E-2</v>
      </c>
      <c r="F1071">
        <f t="shared" si="100"/>
        <v>0</v>
      </c>
      <c r="G1071" s="67">
        <f>'Historical VAR'!$G$6</f>
        <v>-1.9839729167757107E-2</v>
      </c>
      <c r="H1071">
        <f t="shared" si="101"/>
        <v>1</v>
      </c>
      <c r="I1071" s="67">
        <f>'Historical VAR'!$G$7</f>
        <v>-3.1428916759065853E-2</v>
      </c>
      <c r="J1071">
        <f t="shared" si="102"/>
        <v>0</v>
      </c>
      <c r="K1071" s="67">
        <f ca="1">'Monte Carlo Stimulation'!$I$8</f>
        <v>-2.1559270710709389E-2</v>
      </c>
      <c r="L1071">
        <f t="shared" ca="1" si="103"/>
        <v>1</v>
      </c>
      <c r="M1071" s="67">
        <f ca="1">'Monte Carlo Stimulation'!$I$9</f>
        <v>-2.919314405717207E-2</v>
      </c>
      <c r="N1071">
        <f t="shared" ca="1" si="104"/>
        <v>0</v>
      </c>
    </row>
    <row r="1072" spans="1:14">
      <c r="A1072" s="12">
        <v>44538</v>
      </c>
      <c r="B1072" s="14">
        <v>-1.5651380966858759E-2</v>
      </c>
      <c r="C1072" s="67">
        <f>'Parametric VAR'!$F$12</f>
        <v>-2.023068247926026E-2</v>
      </c>
      <c r="D1072">
        <f t="shared" si="99"/>
        <v>0</v>
      </c>
      <c r="E1072" s="67">
        <f>'Parametric VAR'!$F$13</f>
        <v>-2.8682193012943492E-2</v>
      </c>
      <c r="F1072">
        <f t="shared" si="100"/>
        <v>0</v>
      </c>
      <c r="G1072" s="67">
        <f>'Historical VAR'!$G$6</f>
        <v>-1.9839729167757107E-2</v>
      </c>
      <c r="H1072">
        <f t="shared" si="101"/>
        <v>0</v>
      </c>
      <c r="I1072" s="67">
        <f>'Historical VAR'!$G$7</f>
        <v>-3.1428916759065853E-2</v>
      </c>
      <c r="J1072">
        <f t="shared" si="102"/>
        <v>0</v>
      </c>
      <c r="K1072" s="67">
        <f ca="1">'Monte Carlo Stimulation'!$I$8</f>
        <v>-2.1559270710709389E-2</v>
      </c>
      <c r="L1072">
        <f t="shared" ca="1" si="103"/>
        <v>0</v>
      </c>
      <c r="M1072" s="67">
        <f ca="1">'Monte Carlo Stimulation'!$I$9</f>
        <v>-2.919314405717207E-2</v>
      </c>
      <c r="N1072">
        <f t="shared" ca="1" si="104"/>
        <v>0</v>
      </c>
    </row>
    <row r="1073" spans="1:14">
      <c r="A1073" s="12">
        <v>44537</v>
      </c>
      <c r="B1073" s="14">
        <v>-2.0881743776070234E-2</v>
      </c>
      <c r="C1073" s="67">
        <f>'Parametric VAR'!$F$12</f>
        <v>-2.023068247926026E-2</v>
      </c>
      <c r="D1073">
        <f t="shared" si="99"/>
        <v>1</v>
      </c>
      <c r="E1073" s="67">
        <f>'Parametric VAR'!$F$13</f>
        <v>-2.8682193012943492E-2</v>
      </c>
      <c r="F1073">
        <f t="shared" si="100"/>
        <v>0</v>
      </c>
      <c r="G1073" s="67">
        <f>'Historical VAR'!$G$6</f>
        <v>-1.9839729167757107E-2</v>
      </c>
      <c r="H1073">
        <f t="shared" si="101"/>
        <v>1</v>
      </c>
      <c r="I1073" s="67">
        <f>'Historical VAR'!$G$7</f>
        <v>-3.1428916759065853E-2</v>
      </c>
      <c r="J1073">
        <f t="shared" si="102"/>
        <v>0</v>
      </c>
      <c r="K1073" s="67">
        <f ca="1">'Monte Carlo Stimulation'!$I$8</f>
        <v>-2.1559270710709389E-2</v>
      </c>
      <c r="L1073">
        <f t="shared" ca="1" si="103"/>
        <v>0</v>
      </c>
      <c r="M1073" s="67">
        <f ca="1">'Monte Carlo Stimulation'!$I$9</f>
        <v>-2.919314405717207E-2</v>
      </c>
      <c r="N1073">
        <f t="shared" ca="1" si="104"/>
        <v>0</v>
      </c>
    </row>
    <row r="1074" spans="1:14">
      <c r="A1074" s="12">
        <v>44536</v>
      </c>
      <c r="B1074" s="14">
        <v>-5.1490832240455109E-5</v>
      </c>
      <c r="C1074" s="67">
        <f>'Parametric VAR'!$F$12</f>
        <v>-2.023068247926026E-2</v>
      </c>
      <c r="D1074">
        <f t="shared" si="99"/>
        <v>0</v>
      </c>
      <c r="E1074" s="67">
        <f>'Parametric VAR'!$F$13</f>
        <v>-2.8682193012943492E-2</v>
      </c>
      <c r="F1074">
        <f t="shared" si="100"/>
        <v>0</v>
      </c>
      <c r="G1074" s="67">
        <f>'Historical VAR'!$G$6</f>
        <v>-1.9839729167757107E-2</v>
      </c>
      <c r="H1074">
        <f t="shared" si="101"/>
        <v>0</v>
      </c>
      <c r="I1074" s="67">
        <f>'Historical VAR'!$G$7</f>
        <v>-3.1428916759065853E-2</v>
      </c>
      <c r="J1074">
        <f t="shared" si="102"/>
        <v>0</v>
      </c>
      <c r="K1074" s="67">
        <f ca="1">'Monte Carlo Stimulation'!$I$8</f>
        <v>-2.1559270710709389E-2</v>
      </c>
      <c r="L1074">
        <f t="shared" ca="1" si="103"/>
        <v>0</v>
      </c>
      <c r="M1074" s="67">
        <f ca="1">'Monte Carlo Stimulation'!$I$9</f>
        <v>-2.919314405717207E-2</v>
      </c>
      <c r="N1074">
        <f t="shared" ca="1" si="104"/>
        <v>0</v>
      </c>
    </row>
    <row r="1075" spans="1:14">
      <c r="A1075" s="12">
        <v>44533</v>
      </c>
      <c r="B1075" s="14">
        <v>1.8307982804629676E-2</v>
      </c>
      <c r="C1075" s="67">
        <f>'Parametric VAR'!$F$12</f>
        <v>-2.023068247926026E-2</v>
      </c>
      <c r="D1075">
        <f t="shared" si="99"/>
        <v>0</v>
      </c>
      <c r="E1075" s="67">
        <f>'Parametric VAR'!$F$13</f>
        <v>-2.8682193012943492E-2</v>
      </c>
      <c r="F1075">
        <f t="shared" si="100"/>
        <v>0</v>
      </c>
      <c r="G1075" s="67">
        <f>'Historical VAR'!$G$6</f>
        <v>-1.9839729167757107E-2</v>
      </c>
      <c r="H1075">
        <f t="shared" si="101"/>
        <v>0</v>
      </c>
      <c r="I1075" s="67">
        <f>'Historical VAR'!$G$7</f>
        <v>-3.1428916759065853E-2</v>
      </c>
      <c r="J1075">
        <f t="shared" si="102"/>
        <v>0</v>
      </c>
      <c r="K1075" s="67">
        <f ca="1">'Monte Carlo Stimulation'!$I$8</f>
        <v>-2.1559270710709389E-2</v>
      </c>
      <c r="L1075">
        <f t="shared" ca="1" si="103"/>
        <v>0</v>
      </c>
      <c r="M1075" s="67">
        <f ca="1">'Monte Carlo Stimulation'!$I$9</f>
        <v>-2.919314405717207E-2</v>
      </c>
      <c r="N1075">
        <f t="shared" ca="1" si="104"/>
        <v>0</v>
      </c>
    </row>
    <row r="1076" spans="1:14">
      <c r="A1076" s="12">
        <v>44532</v>
      </c>
      <c r="B1076" s="14">
        <v>2.02729914800205E-2</v>
      </c>
      <c r="C1076" s="67">
        <f>'Parametric VAR'!$F$12</f>
        <v>-2.023068247926026E-2</v>
      </c>
      <c r="D1076">
        <f t="shared" si="99"/>
        <v>0</v>
      </c>
      <c r="E1076" s="67">
        <f>'Parametric VAR'!$F$13</f>
        <v>-2.8682193012943492E-2</v>
      </c>
      <c r="F1076">
        <f t="shared" si="100"/>
        <v>0</v>
      </c>
      <c r="G1076" s="67">
        <f>'Historical VAR'!$G$6</f>
        <v>-1.9839729167757107E-2</v>
      </c>
      <c r="H1076">
        <f t="shared" si="101"/>
        <v>0</v>
      </c>
      <c r="I1076" s="67">
        <f>'Historical VAR'!$G$7</f>
        <v>-3.1428916759065853E-2</v>
      </c>
      <c r="J1076">
        <f t="shared" si="102"/>
        <v>0</v>
      </c>
      <c r="K1076" s="67">
        <f ca="1">'Monte Carlo Stimulation'!$I$8</f>
        <v>-2.1559270710709389E-2</v>
      </c>
      <c r="L1076">
        <f t="shared" ca="1" si="103"/>
        <v>0</v>
      </c>
      <c r="M1076" s="67">
        <f ca="1">'Monte Carlo Stimulation'!$I$9</f>
        <v>-2.919314405717207E-2</v>
      </c>
      <c r="N1076">
        <f t="shared" ca="1" si="104"/>
        <v>0</v>
      </c>
    </row>
    <row r="1077" spans="1:14">
      <c r="A1077" s="12">
        <v>44531</v>
      </c>
      <c r="B1077" s="14">
        <v>-1.0147885436693319E-2</v>
      </c>
      <c r="C1077" s="67">
        <f>'Parametric VAR'!$F$12</f>
        <v>-2.023068247926026E-2</v>
      </c>
      <c r="D1077">
        <f t="shared" si="99"/>
        <v>0</v>
      </c>
      <c r="E1077" s="67">
        <f>'Parametric VAR'!$F$13</f>
        <v>-2.8682193012943492E-2</v>
      </c>
      <c r="F1077">
        <f t="shared" si="100"/>
        <v>0</v>
      </c>
      <c r="G1077" s="67">
        <f>'Historical VAR'!$G$6</f>
        <v>-1.9839729167757107E-2</v>
      </c>
      <c r="H1077">
        <f t="shared" si="101"/>
        <v>0</v>
      </c>
      <c r="I1077" s="67">
        <f>'Historical VAR'!$G$7</f>
        <v>-3.1428916759065853E-2</v>
      </c>
      <c r="J1077">
        <f t="shared" si="102"/>
        <v>0</v>
      </c>
      <c r="K1077" s="67">
        <f ca="1">'Monte Carlo Stimulation'!$I$8</f>
        <v>-2.1559270710709389E-2</v>
      </c>
      <c r="L1077">
        <f t="shared" ca="1" si="103"/>
        <v>0</v>
      </c>
      <c r="M1077" s="67">
        <f ca="1">'Monte Carlo Stimulation'!$I$9</f>
        <v>-2.919314405717207E-2</v>
      </c>
      <c r="N1077">
        <f t="shared" ca="1" si="104"/>
        <v>0</v>
      </c>
    </row>
    <row r="1078" spans="1:14">
      <c r="A1078" s="12">
        <v>44530</v>
      </c>
      <c r="B1078" s="14">
        <v>1.6193289728452123E-3</v>
      </c>
      <c r="C1078" s="67">
        <f>'Parametric VAR'!$F$12</f>
        <v>-2.023068247926026E-2</v>
      </c>
      <c r="D1078">
        <f t="shared" si="99"/>
        <v>0</v>
      </c>
      <c r="E1078" s="67">
        <f>'Parametric VAR'!$F$13</f>
        <v>-2.8682193012943492E-2</v>
      </c>
      <c r="F1078">
        <f t="shared" si="100"/>
        <v>0</v>
      </c>
      <c r="G1078" s="67">
        <f>'Historical VAR'!$G$6</f>
        <v>-1.9839729167757107E-2</v>
      </c>
      <c r="H1078">
        <f t="shared" si="101"/>
        <v>0</v>
      </c>
      <c r="I1078" s="67">
        <f>'Historical VAR'!$G$7</f>
        <v>-3.1428916759065853E-2</v>
      </c>
      <c r="J1078">
        <f t="shared" si="102"/>
        <v>0</v>
      </c>
      <c r="K1078" s="67">
        <f ca="1">'Monte Carlo Stimulation'!$I$8</f>
        <v>-2.1559270710709389E-2</v>
      </c>
      <c r="L1078">
        <f t="shared" ca="1" si="103"/>
        <v>0</v>
      </c>
      <c r="M1078" s="67">
        <f ca="1">'Monte Carlo Stimulation'!$I$9</f>
        <v>-2.919314405717207E-2</v>
      </c>
      <c r="N1078">
        <f t="shared" ca="1" si="104"/>
        <v>0</v>
      </c>
    </row>
    <row r="1079" spans="1:14">
      <c r="A1079" s="12">
        <v>44529</v>
      </c>
      <c r="B1079" s="14">
        <v>-6.2721318928709363E-3</v>
      </c>
      <c r="C1079" s="67">
        <f>'Parametric VAR'!$F$12</f>
        <v>-2.023068247926026E-2</v>
      </c>
      <c r="D1079">
        <f t="shared" si="99"/>
        <v>0</v>
      </c>
      <c r="E1079" s="67">
        <f>'Parametric VAR'!$F$13</f>
        <v>-2.8682193012943492E-2</v>
      </c>
      <c r="F1079">
        <f t="shared" si="100"/>
        <v>0</v>
      </c>
      <c r="G1079" s="67">
        <f>'Historical VAR'!$G$6</f>
        <v>-1.9839729167757107E-2</v>
      </c>
      <c r="H1079">
        <f t="shared" si="101"/>
        <v>0</v>
      </c>
      <c r="I1079" s="67">
        <f>'Historical VAR'!$G$7</f>
        <v>-3.1428916759065853E-2</v>
      </c>
      <c r="J1079">
        <f t="shared" si="102"/>
        <v>0</v>
      </c>
      <c r="K1079" s="67">
        <f ca="1">'Monte Carlo Stimulation'!$I$8</f>
        <v>-2.1559270710709389E-2</v>
      </c>
      <c r="L1079">
        <f t="shared" ca="1" si="103"/>
        <v>0</v>
      </c>
      <c r="M1079" s="67">
        <f ca="1">'Monte Carlo Stimulation'!$I$9</f>
        <v>-2.919314405717207E-2</v>
      </c>
      <c r="N1079">
        <f t="shared" ca="1" si="104"/>
        <v>0</v>
      </c>
    </row>
    <row r="1080" spans="1:14">
      <c r="A1080" s="12">
        <v>44526</v>
      </c>
      <c r="B1080" s="14">
        <v>7.6530090281918678E-3</v>
      </c>
      <c r="C1080" s="67">
        <f>'Parametric VAR'!$F$12</f>
        <v>-2.023068247926026E-2</v>
      </c>
      <c r="D1080">
        <f t="shared" si="99"/>
        <v>0</v>
      </c>
      <c r="E1080" s="67">
        <f>'Parametric VAR'!$F$13</f>
        <v>-2.8682193012943492E-2</v>
      </c>
      <c r="F1080">
        <f t="shared" si="100"/>
        <v>0</v>
      </c>
      <c r="G1080" s="67">
        <f>'Historical VAR'!$G$6</f>
        <v>-1.9839729167757107E-2</v>
      </c>
      <c r="H1080">
        <f t="shared" si="101"/>
        <v>0</v>
      </c>
      <c r="I1080" s="67">
        <f>'Historical VAR'!$G$7</f>
        <v>-3.1428916759065853E-2</v>
      </c>
      <c r="J1080">
        <f t="shared" si="102"/>
        <v>0</v>
      </c>
      <c r="K1080" s="67">
        <f ca="1">'Monte Carlo Stimulation'!$I$8</f>
        <v>-2.1559270710709389E-2</v>
      </c>
      <c r="L1080">
        <f t="shared" ca="1" si="103"/>
        <v>0</v>
      </c>
      <c r="M1080" s="67">
        <f ca="1">'Monte Carlo Stimulation'!$I$9</f>
        <v>-2.919314405717207E-2</v>
      </c>
      <c r="N1080">
        <f t="shared" ca="1" si="104"/>
        <v>0</v>
      </c>
    </row>
    <row r="1081" spans="1:14">
      <c r="A1081" s="12">
        <v>44525</v>
      </c>
      <c r="B1081" s="14">
        <v>2.5406373916081076E-3</v>
      </c>
      <c r="C1081" s="67">
        <f>'Parametric VAR'!$F$12</f>
        <v>-2.023068247926026E-2</v>
      </c>
      <c r="D1081">
        <f t="shared" si="99"/>
        <v>0</v>
      </c>
      <c r="E1081" s="67">
        <f>'Parametric VAR'!$F$13</f>
        <v>-2.8682193012943492E-2</v>
      </c>
      <c r="F1081">
        <f t="shared" si="100"/>
        <v>0</v>
      </c>
      <c r="G1081" s="67">
        <f>'Historical VAR'!$G$6</f>
        <v>-1.9839729167757107E-2</v>
      </c>
      <c r="H1081">
        <f t="shared" si="101"/>
        <v>0</v>
      </c>
      <c r="I1081" s="67">
        <f>'Historical VAR'!$G$7</f>
        <v>-3.1428916759065853E-2</v>
      </c>
      <c r="J1081">
        <f t="shared" si="102"/>
        <v>0</v>
      </c>
      <c r="K1081" s="67">
        <f ca="1">'Monte Carlo Stimulation'!$I$8</f>
        <v>-2.1559270710709389E-2</v>
      </c>
      <c r="L1081">
        <f t="shared" ca="1" si="103"/>
        <v>0</v>
      </c>
      <c r="M1081" s="67">
        <f ca="1">'Monte Carlo Stimulation'!$I$9</f>
        <v>-2.919314405717207E-2</v>
      </c>
      <c r="N1081">
        <f t="shared" ca="1" si="104"/>
        <v>0</v>
      </c>
    </row>
    <row r="1082" spans="1:14">
      <c r="A1082" s="12">
        <v>44524</v>
      </c>
      <c r="B1082" s="14">
        <v>4.295574355045525E-3</v>
      </c>
      <c r="C1082" s="67">
        <f>'Parametric VAR'!$F$12</f>
        <v>-2.023068247926026E-2</v>
      </c>
      <c r="D1082">
        <f t="shared" si="99"/>
        <v>0</v>
      </c>
      <c r="E1082" s="67">
        <f>'Parametric VAR'!$F$13</f>
        <v>-2.8682193012943492E-2</v>
      </c>
      <c r="F1082">
        <f t="shared" si="100"/>
        <v>0</v>
      </c>
      <c r="G1082" s="67">
        <f>'Historical VAR'!$G$6</f>
        <v>-1.9839729167757107E-2</v>
      </c>
      <c r="H1082">
        <f t="shared" si="101"/>
        <v>0</v>
      </c>
      <c r="I1082" s="67">
        <f>'Historical VAR'!$G$7</f>
        <v>-3.1428916759065853E-2</v>
      </c>
      <c r="J1082">
        <f t="shared" si="102"/>
        <v>0</v>
      </c>
      <c r="K1082" s="67">
        <f ca="1">'Monte Carlo Stimulation'!$I$8</f>
        <v>-2.1559270710709389E-2</v>
      </c>
      <c r="L1082">
        <f t="shared" ca="1" si="103"/>
        <v>0</v>
      </c>
      <c r="M1082" s="67">
        <f ca="1">'Monte Carlo Stimulation'!$I$9</f>
        <v>-2.919314405717207E-2</v>
      </c>
      <c r="N1082">
        <f t="shared" ca="1" si="104"/>
        <v>0</v>
      </c>
    </row>
    <row r="1083" spans="1:14">
      <c r="A1083" s="12">
        <v>44523</v>
      </c>
      <c r="B1083" s="14">
        <v>7.2722426144579463E-3</v>
      </c>
      <c r="C1083" s="67">
        <f>'Parametric VAR'!$F$12</f>
        <v>-2.023068247926026E-2</v>
      </c>
      <c r="D1083">
        <f t="shared" si="99"/>
        <v>0</v>
      </c>
      <c r="E1083" s="67">
        <f>'Parametric VAR'!$F$13</f>
        <v>-2.8682193012943492E-2</v>
      </c>
      <c r="F1083">
        <f t="shared" si="100"/>
        <v>0</v>
      </c>
      <c r="G1083" s="67">
        <f>'Historical VAR'!$G$6</f>
        <v>-1.9839729167757107E-2</v>
      </c>
      <c r="H1083">
        <f t="shared" si="101"/>
        <v>0</v>
      </c>
      <c r="I1083" s="67">
        <f>'Historical VAR'!$G$7</f>
        <v>-3.1428916759065853E-2</v>
      </c>
      <c r="J1083">
        <f t="shared" si="102"/>
        <v>0</v>
      </c>
      <c r="K1083" s="67">
        <f ca="1">'Monte Carlo Stimulation'!$I$8</f>
        <v>-2.1559270710709389E-2</v>
      </c>
      <c r="L1083">
        <f t="shared" ca="1" si="103"/>
        <v>0</v>
      </c>
      <c r="M1083" s="67">
        <f ca="1">'Monte Carlo Stimulation'!$I$9</f>
        <v>-2.919314405717207E-2</v>
      </c>
      <c r="N1083">
        <f t="shared" ca="1" si="104"/>
        <v>0</v>
      </c>
    </row>
    <row r="1084" spans="1:14">
      <c r="A1084" s="12">
        <v>44522</v>
      </c>
      <c r="B1084" s="14">
        <v>1.9389929021439632E-2</v>
      </c>
      <c r="C1084" s="67">
        <f>'Parametric VAR'!$F$12</f>
        <v>-2.023068247926026E-2</v>
      </c>
      <c r="D1084">
        <f t="shared" si="99"/>
        <v>0</v>
      </c>
      <c r="E1084" s="67">
        <f>'Parametric VAR'!$F$13</f>
        <v>-2.8682193012943492E-2</v>
      </c>
      <c r="F1084">
        <f t="shared" si="100"/>
        <v>0</v>
      </c>
      <c r="G1084" s="67">
        <f>'Historical VAR'!$G$6</f>
        <v>-1.9839729167757107E-2</v>
      </c>
      <c r="H1084">
        <f t="shared" si="101"/>
        <v>0</v>
      </c>
      <c r="I1084" s="67">
        <f>'Historical VAR'!$G$7</f>
        <v>-3.1428916759065853E-2</v>
      </c>
      <c r="J1084">
        <f t="shared" si="102"/>
        <v>0</v>
      </c>
      <c r="K1084" s="67">
        <f ca="1">'Monte Carlo Stimulation'!$I$8</f>
        <v>-2.1559270710709389E-2</v>
      </c>
      <c r="L1084">
        <f t="shared" ca="1" si="103"/>
        <v>0</v>
      </c>
      <c r="M1084" s="67">
        <f ca="1">'Monte Carlo Stimulation'!$I$9</f>
        <v>-2.919314405717207E-2</v>
      </c>
      <c r="N1084">
        <f t="shared" ca="1" si="104"/>
        <v>0</v>
      </c>
    </row>
    <row r="1085" spans="1:14">
      <c r="A1085" s="12">
        <v>44518</v>
      </c>
      <c r="B1085" s="14">
        <v>-5.5534892754817754E-3</v>
      </c>
      <c r="C1085" s="67">
        <f>'Parametric VAR'!$F$12</f>
        <v>-2.023068247926026E-2</v>
      </c>
      <c r="D1085">
        <f t="shared" si="99"/>
        <v>0</v>
      </c>
      <c r="E1085" s="67">
        <f>'Parametric VAR'!$F$13</f>
        <v>-2.8682193012943492E-2</v>
      </c>
      <c r="F1085">
        <f t="shared" si="100"/>
        <v>0</v>
      </c>
      <c r="G1085" s="67">
        <f>'Historical VAR'!$G$6</f>
        <v>-1.9839729167757107E-2</v>
      </c>
      <c r="H1085">
        <f t="shared" si="101"/>
        <v>0</v>
      </c>
      <c r="I1085" s="67">
        <f>'Historical VAR'!$G$7</f>
        <v>-3.1428916759065853E-2</v>
      </c>
      <c r="J1085">
        <f t="shared" si="102"/>
        <v>0</v>
      </c>
      <c r="K1085" s="67">
        <f ca="1">'Monte Carlo Stimulation'!$I$8</f>
        <v>-2.1559270710709389E-2</v>
      </c>
      <c r="L1085">
        <f t="shared" ca="1" si="103"/>
        <v>0</v>
      </c>
      <c r="M1085" s="67">
        <f ca="1">'Monte Carlo Stimulation'!$I$9</f>
        <v>-2.919314405717207E-2</v>
      </c>
      <c r="N1085">
        <f t="shared" ca="1" si="104"/>
        <v>0</v>
      </c>
    </row>
    <row r="1086" spans="1:14">
      <c r="A1086" s="12">
        <v>44517</v>
      </c>
      <c r="B1086" s="14">
        <v>3.6170520902592696E-3</v>
      </c>
      <c r="C1086" s="67">
        <f>'Parametric VAR'!$F$12</f>
        <v>-2.023068247926026E-2</v>
      </c>
      <c r="D1086">
        <f t="shared" si="99"/>
        <v>0</v>
      </c>
      <c r="E1086" s="67">
        <f>'Parametric VAR'!$F$13</f>
        <v>-2.8682193012943492E-2</v>
      </c>
      <c r="F1086">
        <f t="shared" si="100"/>
        <v>0</v>
      </c>
      <c r="G1086" s="67">
        <f>'Historical VAR'!$G$6</f>
        <v>-1.9839729167757107E-2</v>
      </c>
      <c r="H1086">
        <f t="shared" si="101"/>
        <v>0</v>
      </c>
      <c r="I1086" s="67">
        <f>'Historical VAR'!$G$7</f>
        <v>-3.1428916759065853E-2</v>
      </c>
      <c r="J1086">
        <f t="shared" si="102"/>
        <v>0</v>
      </c>
      <c r="K1086" s="67">
        <f ca="1">'Monte Carlo Stimulation'!$I$8</f>
        <v>-2.1559270710709389E-2</v>
      </c>
      <c r="L1086">
        <f t="shared" ca="1" si="103"/>
        <v>0</v>
      </c>
      <c r="M1086" s="67">
        <f ca="1">'Monte Carlo Stimulation'!$I$9</f>
        <v>-2.919314405717207E-2</v>
      </c>
      <c r="N1086">
        <f t="shared" ca="1" si="104"/>
        <v>0</v>
      </c>
    </row>
    <row r="1087" spans="1:14">
      <c r="A1087" s="12">
        <v>44516</v>
      </c>
      <c r="B1087" s="14">
        <v>-1.8897915013679677E-2</v>
      </c>
      <c r="C1087" s="67">
        <f>'Parametric VAR'!$F$12</f>
        <v>-2.023068247926026E-2</v>
      </c>
      <c r="D1087">
        <f t="shared" si="99"/>
        <v>0</v>
      </c>
      <c r="E1087" s="67">
        <f>'Parametric VAR'!$F$13</f>
        <v>-2.8682193012943492E-2</v>
      </c>
      <c r="F1087">
        <f t="shared" si="100"/>
        <v>0</v>
      </c>
      <c r="G1087" s="67">
        <f>'Historical VAR'!$G$6</f>
        <v>-1.9839729167757107E-2</v>
      </c>
      <c r="H1087">
        <f t="shared" si="101"/>
        <v>0</v>
      </c>
      <c r="I1087" s="67">
        <f>'Historical VAR'!$G$7</f>
        <v>-3.1428916759065853E-2</v>
      </c>
      <c r="J1087">
        <f t="shared" si="102"/>
        <v>0</v>
      </c>
      <c r="K1087" s="67">
        <f ca="1">'Monte Carlo Stimulation'!$I$8</f>
        <v>-2.1559270710709389E-2</v>
      </c>
      <c r="L1087">
        <f t="shared" ca="1" si="103"/>
        <v>0</v>
      </c>
      <c r="M1087" s="67">
        <f ca="1">'Monte Carlo Stimulation'!$I$9</f>
        <v>-2.919314405717207E-2</v>
      </c>
      <c r="N1087">
        <f t="shared" ca="1" si="104"/>
        <v>0</v>
      </c>
    </row>
    <row r="1088" spans="1:14">
      <c r="A1088" s="12">
        <v>44515</v>
      </c>
      <c r="B1088" s="14">
        <v>4.0708075165093007E-3</v>
      </c>
      <c r="C1088" s="67">
        <f>'Parametric VAR'!$F$12</f>
        <v>-2.023068247926026E-2</v>
      </c>
      <c r="D1088">
        <f t="shared" si="99"/>
        <v>0</v>
      </c>
      <c r="E1088" s="67">
        <f>'Parametric VAR'!$F$13</f>
        <v>-2.8682193012943492E-2</v>
      </c>
      <c r="F1088">
        <f t="shared" si="100"/>
        <v>0</v>
      </c>
      <c r="G1088" s="67">
        <f>'Historical VAR'!$G$6</f>
        <v>-1.9839729167757107E-2</v>
      </c>
      <c r="H1088">
        <f t="shared" si="101"/>
        <v>0</v>
      </c>
      <c r="I1088" s="67">
        <f>'Historical VAR'!$G$7</f>
        <v>-3.1428916759065853E-2</v>
      </c>
      <c r="J1088">
        <f t="shared" si="102"/>
        <v>0</v>
      </c>
      <c r="K1088" s="67">
        <f ca="1">'Monte Carlo Stimulation'!$I$8</f>
        <v>-2.1559270710709389E-2</v>
      </c>
      <c r="L1088">
        <f t="shared" ca="1" si="103"/>
        <v>0</v>
      </c>
      <c r="M1088" s="67">
        <f ca="1">'Monte Carlo Stimulation'!$I$9</f>
        <v>-2.919314405717207E-2</v>
      </c>
      <c r="N1088">
        <f t="shared" ca="1" si="104"/>
        <v>0</v>
      </c>
    </row>
    <row r="1089" spans="1:14">
      <c r="A1089" s="12">
        <v>44512</v>
      </c>
      <c r="B1089" s="14">
        <v>-1.3168648660171596E-2</v>
      </c>
      <c r="C1089" s="67">
        <f>'Parametric VAR'!$F$12</f>
        <v>-2.023068247926026E-2</v>
      </c>
      <c r="D1089">
        <f t="shared" si="99"/>
        <v>0</v>
      </c>
      <c r="E1089" s="67">
        <f>'Parametric VAR'!$F$13</f>
        <v>-2.8682193012943492E-2</v>
      </c>
      <c r="F1089">
        <f t="shared" si="100"/>
        <v>0</v>
      </c>
      <c r="G1089" s="67">
        <f>'Historical VAR'!$G$6</f>
        <v>-1.9839729167757107E-2</v>
      </c>
      <c r="H1089">
        <f t="shared" si="101"/>
        <v>0</v>
      </c>
      <c r="I1089" s="67">
        <f>'Historical VAR'!$G$7</f>
        <v>-3.1428916759065853E-2</v>
      </c>
      <c r="J1089">
        <f t="shared" si="102"/>
        <v>0</v>
      </c>
      <c r="K1089" s="67">
        <f ca="1">'Monte Carlo Stimulation'!$I$8</f>
        <v>-2.1559270710709389E-2</v>
      </c>
      <c r="L1089">
        <f t="shared" ca="1" si="103"/>
        <v>0</v>
      </c>
      <c r="M1089" s="67">
        <f ca="1">'Monte Carlo Stimulation'!$I$9</f>
        <v>-2.919314405717207E-2</v>
      </c>
      <c r="N1089">
        <f t="shared" ca="1" si="104"/>
        <v>0</v>
      </c>
    </row>
    <row r="1090" spans="1:14">
      <c r="A1090" s="12">
        <v>44511</v>
      </c>
      <c r="B1090" s="14">
        <v>-1.7976287667806467E-2</v>
      </c>
      <c r="C1090" s="67">
        <f>'Parametric VAR'!$F$12</f>
        <v>-2.023068247926026E-2</v>
      </c>
      <c r="D1090">
        <f t="shared" si="99"/>
        <v>0</v>
      </c>
      <c r="E1090" s="67">
        <f>'Parametric VAR'!$F$13</f>
        <v>-2.8682193012943492E-2</v>
      </c>
      <c r="F1090">
        <f t="shared" si="100"/>
        <v>0</v>
      </c>
      <c r="G1090" s="67">
        <f>'Historical VAR'!$G$6</f>
        <v>-1.9839729167757107E-2</v>
      </c>
      <c r="H1090">
        <f t="shared" si="101"/>
        <v>0</v>
      </c>
      <c r="I1090" s="67">
        <f>'Historical VAR'!$G$7</f>
        <v>-3.1428916759065853E-2</v>
      </c>
      <c r="J1090">
        <f t="shared" si="102"/>
        <v>0</v>
      </c>
      <c r="K1090" s="67">
        <f ca="1">'Monte Carlo Stimulation'!$I$8</f>
        <v>-2.1559270710709389E-2</v>
      </c>
      <c r="L1090">
        <f t="shared" ca="1" si="103"/>
        <v>0</v>
      </c>
      <c r="M1090" s="67">
        <f ca="1">'Monte Carlo Stimulation'!$I$9</f>
        <v>-2.919314405717207E-2</v>
      </c>
      <c r="N1090">
        <f t="shared" ca="1" si="104"/>
        <v>0</v>
      </c>
    </row>
    <row r="1091" spans="1:14">
      <c r="A1091" s="12">
        <v>44510</v>
      </c>
      <c r="B1091" s="14">
        <v>1.0828535113283858E-2</v>
      </c>
      <c r="C1091" s="67">
        <f>'Parametric VAR'!$F$12</f>
        <v>-2.023068247926026E-2</v>
      </c>
      <c r="D1091">
        <f t="shared" si="99"/>
        <v>0</v>
      </c>
      <c r="E1091" s="67">
        <f>'Parametric VAR'!$F$13</f>
        <v>-2.8682193012943492E-2</v>
      </c>
      <c r="F1091">
        <f t="shared" si="100"/>
        <v>0</v>
      </c>
      <c r="G1091" s="67">
        <f>'Historical VAR'!$G$6</f>
        <v>-1.9839729167757107E-2</v>
      </c>
      <c r="H1091">
        <f t="shared" si="101"/>
        <v>0</v>
      </c>
      <c r="I1091" s="67">
        <f>'Historical VAR'!$G$7</f>
        <v>-3.1428916759065853E-2</v>
      </c>
      <c r="J1091">
        <f t="shared" si="102"/>
        <v>0</v>
      </c>
      <c r="K1091" s="67">
        <f ca="1">'Monte Carlo Stimulation'!$I$8</f>
        <v>-2.1559270710709389E-2</v>
      </c>
      <c r="L1091">
        <f t="shared" ca="1" si="103"/>
        <v>0</v>
      </c>
      <c r="M1091" s="67">
        <f ca="1">'Monte Carlo Stimulation'!$I$9</f>
        <v>-2.919314405717207E-2</v>
      </c>
      <c r="N1091">
        <f t="shared" ca="1" si="104"/>
        <v>0</v>
      </c>
    </row>
    <row r="1092" spans="1:14">
      <c r="A1092" s="12">
        <v>44509</v>
      </c>
      <c r="B1092" s="14">
        <v>8.7348594666510296E-3</v>
      </c>
      <c r="C1092" s="67">
        <f>'Parametric VAR'!$F$12</f>
        <v>-2.023068247926026E-2</v>
      </c>
      <c r="D1092">
        <f t="shared" ref="D1092:D1155" si="105">IF(B1092&lt;C1092,1,0)</f>
        <v>0</v>
      </c>
      <c r="E1092" s="67">
        <f>'Parametric VAR'!$F$13</f>
        <v>-2.8682193012943492E-2</v>
      </c>
      <c r="F1092">
        <f t="shared" ref="F1092:F1155" si="106">IF(B1092&lt;E1092,1,0)</f>
        <v>0</v>
      </c>
      <c r="G1092" s="67">
        <f>'Historical VAR'!$G$6</f>
        <v>-1.9839729167757107E-2</v>
      </c>
      <c r="H1092">
        <f t="shared" ref="H1092:H1155" si="107">IF(B1092&lt;G1092,1,0)</f>
        <v>0</v>
      </c>
      <c r="I1092" s="67">
        <f>'Historical VAR'!$G$7</f>
        <v>-3.1428916759065853E-2</v>
      </c>
      <c r="J1092">
        <f t="shared" ref="J1092:J1155" si="108">IF(B1092&lt;I1092,1,0)</f>
        <v>0</v>
      </c>
      <c r="K1092" s="67">
        <f ca="1">'Monte Carlo Stimulation'!$I$8</f>
        <v>-2.1559270710709389E-2</v>
      </c>
      <c r="L1092">
        <f t="shared" ref="L1092:L1155" ca="1" si="109">IF(B1092&lt;K1092,1,0)</f>
        <v>0</v>
      </c>
      <c r="M1092" s="67">
        <f ca="1">'Monte Carlo Stimulation'!$I$9</f>
        <v>-2.919314405717207E-2</v>
      </c>
      <c r="N1092">
        <f t="shared" ref="N1092:N1155" ca="1" si="110">IF(B1092&lt;M1092,1,0)</f>
        <v>0</v>
      </c>
    </row>
    <row r="1093" spans="1:14">
      <c r="A1093" s="12">
        <v>44508</v>
      </c>
      <c r="B1093" s="14">
        <v>-7.2650116625601804E-3</v>
      </c>
      <c r="C1093" s="67">
        <f>'Parametric VAR'!$F$12</f>
        <v>-2.023068247926026E-2</v>
      </c>
      <c r="D1093">
        <f t="shared" si="105"/>
        <v>0</v>
      </c>
      <c r="E1093" s="67">
        <f>'Parametric VAR'!$F$13</f>
        <v>-2.8682193012943492E-2</v>
      </c>
      <c r="F1093">
        <f t="shared" si="106"/>
        <v>0</v>
      </c>
      <c r="G1093" s="67">
        <f>'Historical VAR'!$G$6</f>
        <v>-1.9839729167757107E-2</v>
      </c>
      <c r="H1093">
        <f t="shared" si="107"/>
        <v>0</v>
      </c>
      <c r="I1093" s="67">
        <f>'Historical VAR'!$G$7</f>
        <v>-3.1428916759065853E-2</v>
      </c>
      <c r="J1093">
        <f t="shared" si="108"/>
        <v>0</v>
      </c>
      <c r="K1093" s="67">
        <f ca="1">'Monte Carlo Stimulation'!$I$8</f>
        <v>-2.1559270710709389E-2</v>
      </c>
      <c r="L1093">
        <f t="shared" ca="1" si="109"/>
        <v>0</v>
      </c>
      <c r="M1093" s="67">
        <f ca="1">'Monte Carlo Stimulation'!$I$9</f>
        <v>-2.919314405717207E-2</v>
      </c>
      <c r="N1093">
        <f t="shared" ca="1" si="110"/>
        <v>0</v>
      </c>
    </row>
    <row r="1094" spans="1:14">
      <c r="A1094" s="12">
        <v>44504</v>
      </c>
      <c r="B1094" s="14">
        <v>5.1725663764157059E-3</v>
      </c>
      <c r="C1094" s="67">
        <f>'Parametric VAR'!$F$12</f>
        <v>-2.023068247926026E-2</v>
      </c>
      <c r="D1094">
        <f t="shared" si="105"/>
        <v>0</v>
      </c>
      <c r="E1094" s="67">
        <f>'Parametric VAR'!$F$13</f>
        <v>-2.8682193012943492E-2</v>
      </c>
      <c r="F1094">
        <f t="shared" si="106"/>
        <v>0</v>
      </c>
      <c r="G1094" s="67">
        <f>'Historical VAR'!$G$6</f>
        <v>-1.9839729167757107E-2</v>
      </c>
      <c r="H1094">
        <f t="shared" si="107"/>
        <v>0</v>
      </c>
      <c r="I1094" s="67">
        <f>'Historical VAR'!$G$7</f>
        <v>-3.1428916759065853E-2</v>
      </c>
      <c r="J1094">
        <f t="shared" si="108"/>
        <v>0</v>
      </c>
      <c r="K1094" s="67">
        <f ca="1">'Monte Carlo Stimulation'!$I$8</f>
        <v>-2.1559270710709389E-2</v>
      </c>
      <c r="L1094">
        <f t="shared" ca="1" si="109"/>
        <v>0</v>
      </c>
      <c r="M1094" s="67">
        <f ca="1">'Monte Carlo Stimulation'!$I$9</f>
        <v>-2.919314405717207E-2</v>
      </c>
      <c r="N1094">
        <f t="shared" ca="1" si="110"/>
        <v>0</v>
      </c>
    </row>
    <row r="1095" spans="1:14">
      <c r="A1095" s="12">
        <v>44503</v>
      </c>
      <c r="B1095" s="14">
        <v>6.3025925130943646E-4</v>
      </c>
      <c r="C1095" s="67">
        <f>'Parametric VAR'!$F$12</f>
        <v>-2.023068247926026E-2</v>
      </c>
      <c r="D1095">
        <f t="shared" si="105"/>
        <v>0</v>
      </c>
      <c r="E1095" s="67">
        <f>'Parametric VAR'!$F$13</f>
        <v>-2.8682193012943492E-2</v>
      </c>
      <c r="F1095">
        <f t="shared" si="106"/>
        <v>0</v>
      </c>
      <c r="G1095" s="67">
        <f>'Historical VAR'!$G$6</f>
        <v>-1.9839729167757107E-2</v>
      </c>
      <c r="H1095">
        <f t="shared" si="107"/>
        <v>0</v>
      </c>
      <c r="I1095" s="67">
        <f>'Historical VAR'!$G$7</f>
        <v>-3.1428916759065853E-2</v>
      </c>
      <c r="J1095">
        <f t="shared" si="108"/>
        <v>0</v>
      </c>
      <c r="K1095" s="67">
        <f ca="1">'Monte Carlo Stimulation'!$I$8</f>
        <v>-2.1559270710709389E-2</v>
      </c>
      <c r="L1095">
        <f t="shared" ca="1" si="109"/>
        <v>0</v>
      </c>
      <c r="M1095" s="67">
        <f ca="1">'Monte Carlo Stimulation'!$I$9</f>
        <v>-2.919314405717207E-2</v>
      </c>
      <c r="N1095">
        <f t="shared" ca="1" si="110"/>
        <v>0</v>
      </c>
    </row>
    <row r="1096" spans="1:14">
      <c r="A1096" s="12">
        <v>44502</v>
      </c>
      <c r="B1096" s="14">
        <v>-1.601846312603222E-2</v>
      </c>
      <c r="C1096" s="67">
        <f>'Parametric VAR'!$F$12</f>
        <v>-2.023068247926026E-2</v>
      </c>
      <c r="D1096">
        <f t="shared" si="105"/>
        <v>0</v>
      </c>
      <c r="E1096" s="67">
        <f>'Parametric VAR'!$F$13</f>
        <v>-2.8682193012943492E-2</v>
      </c>
      <c r="F1096">
        <f t="shared" si="106"/>
        <v>0</v>
      </c>
      <c r="G1096" s="67">
        <f>'Historical VAR'!$G$6</f>
        <v>-1.9839729167757107E-2</v>
      </c>
      <c r="H1096">
        <f t="shared" si="107"/>
        <v>0</v>
      </c>
      <c r="I1096" s="67">
        <f>'Historical VAR'!$G$7</f>
        <v>-3.1428916759065853E-2</v>
      </c>
      <c r="J1096">
        <f t="shared" si="108"/>
        <v>0</v>
      </c>
      <c r="K1096" s="67">
        <f ca="1">'Monte Carlo Stimulation'!$I$8</f>
        <v>-2.1559270710709389E-2</v>
      </c>
      <c r="L1096">
        <f t="shared" ca="1" si="109"/>
        <v>0</v>
      </c>
      <c r="M1096" s="67">
        <f ca="1">'Monte Carlo Stimulation'!$I$9</f>
        <v>-2.919314405717207E-2</v>
      </c>
      <c r="N1096">
        <f t="shared" ca="1" si="110"/>
        <v>0</v>
      </c>
    </row>
    <row r="1097" spans="1:14">
      <c r="A1097" s="12">
        <v>44501</v>
      </c>
      <c r="B1097" s="14">
        <v>1.3764304327804292E-3</v>
      </c>
      <c r="C1097" s="67">
        <f>'Parametric VAR'!$F$12</f>
        <v>-2.023068247926026E-2</v>
      </c>
      <c r="D1097">
        <f t="shared" si="105"/>
        <v>0</v>
      </c>
      <c r="E1097" s="67">
        <f>'Parametric VAR'!$F$13</f>
        <v>-2.8682193012943492E-2</v>
      </c>
      <c r="F1097">
        <f t="shared" si="106"/>
        <v>0</v>
      </c>
      <c r="G1097" s="67">
        <f>'Historical VAR'!$G$6</f>
        <v>-1.9839729167757107E-2</v>
      </c>
      <c r="H1097">
        <f t="shared" si="107"/>
        <v>0</v>
      </c>
      <c r="I1097" s="67">
        <f>'Historical VAR'!$G$7</f>
        <v>-3.1428916759065853E-2</v>
      </c>
      <c r="J1097">
        <f t="shared" si="108"/>
        <v>0</v>
      </c>
      <c r="K1097" s="67">
        <f ca="1">'Monte Carlo Stimulation'!$I$8</f>
        <v>-2.1559270710709389E-2</v>
      </c>
      <c r="L1097">
        <f t="shared" ca="1" si="109"/>
        <v>0</v>
      </c>
      <c r="M1097" s="67">
        <f ca="1">'Monte Carlo Stimulation'!$I$9</f>
        <v>-2.919314405717207E-2</v>
      </c>
      <c r="N1097">
        <f t="shared" ca="1" si="110"/>
        <v>0</v>
      </c>
    </row>
    <row r="1098" spans="1:14">
      <c r="A1098" s="12">
        <v>44498</v>
      </c>
      <c r="B1098" s="14">
        <v>-7.980597720671747E-3</v>
      </c>
      <c r="C1098" s="67">
        <f>'Parametric VAR'!$F$12</f>
        <v>-2.023068247926026E-2</v>
      </c>
      <c r="D1098">
        <f t="shared" si="105"/>
        <v>0</v>
      </c>
      <c r="E1098" s="67">
        <f>'Parametric VAR'!$F$13</f>
        <v>-2.8682193012943492E-2</v>
      </c>
      <c r="F1098">
        <f t="shared" si="106"/>
        <v>0</v>
      </c>
      <c r="G1098" s="67">
        <f>'Historical VAR'!$G$6</f>
        <v>-1.9839729167757107E-2</v>
      </c>
      <c r="H1098">
        <f t="shared" si="107"/>
        <v>0</v>
      </c>
      <c r="I1098" s="67">
        <f>'Historical VAR'!$G$7</f>
        <v>-3.1428916759065853E-2</v>
      </c>
      <c r="J1098">
        <f t="shared" si="108"/>
        <v>0</v>
      </c>
      <c r="K1098" s="67">
        <f ca="1">'Monte Carlo Stimulation'!$I$8</f>
        <v>-2.1559270710709389E-2</v>
      </c>
      <c r="L1098">
        <f t="shared" ca="1" si="109"/>
        <v>0</v>
      </c>
      <c r="M1098" s="67">
        <f ca="1">'Monte Carlo Stimulation'!$I$9</f>
        <v>-2.919314405717207E-2</v>
      </c>
      <c r="N1098">
        <f t="shared" ca="1" si="110"/>
        <v>0</v>
      </c>
    </row>
    <row r="1099" spans="1:14">
      <c r="A1099" s="12">
        <v>44497</v>
      </c>
      <c r="B1099" s="14">
        <v>4.0721851699590094E-3</v>
      </c>
      <c r="C1099" s="67">
        <f>'Parametric VAR'!$F$12</f>
        <v>-2.023068247926026E-2</v>
      </c>
      <c r="D1099">
        <f t="shared" si="105"/>
        <v>0</v>
      </c>
      <c r="E1099" s="67">
        <f>'Parametric VAR'!$F$13</f>
        <v>-2.8682193012943492E-2</v>
      </c>
      <c r="F1099">
        <f t="shared" si="106"/>
        <v>0</v>
      </c>
      <c r="G1099" s="67">
        <f>'Historical VAR'!$G$6</f>
        <v>-1.9839729167757107E-2</v>
      </c>
      <c r="H1099">
        <f t="shared" si="107"/>
        <v>0</v>
      </c>
      <c r="I1099" s="67">
        <f>'Historical VAR'!$G$7</f>
        <v>-3.1428916759065853E-2</v>
      </c>
      <c r="J1099">
        <f t="shared" si="108"/>
        <v>0</v>
      </c>
      <c r="K1099" s="67">
        <f ca="1">'Monte Carlo Stimulation'!$I$8</f>
        <v>-2.1559270710709389E-2</v>
      </c>
      <c r="L1099">
        <f t="shared" ca="1" si="109"/>
        <v>0</v>
      </c>
      <c r="M1099" s="67">
        <f ca="1">'Monte Carlo Stimulation'!$I$9</f>
        <v>-2.919314405717207E-2</v>
      </c>
      <c r="N1099">
        <f t="shared" ca="1" si="110"/>
        <v>0</v>
      </c>
    </row>
    <row r="1100" spans="1:14">
      <c r="A1100" s="12">
        <v>44496</v>
      </c>
      <c r="B1100" s="14">
        <v>-4.2352649036294203E-3</v>
      </c>
      <c r="C1100" s="67">
        <f>'Parametric VAR'!$F$12</f>
        <v>-2.023068247926026E-2</v>
      </c>
      <c r="D1100">
        <f t="shared" si="105"/>
        <v>0</v>
      </c>
      <c r="E1100" s="67">
        <f>'Parametric VAR'!$F$13</f>
        <v>-2.8682193012943492E-2</v>
      </c>
      <c r="F1100">
        <f t="shared" si="106"/>
        <v>0</v>
      </c>
      <c r="G1100" s="67">
        <f>'Historical VAR'!$G$6</f>
        <v>-1.9839729167757107E-2</v>
      </c>
      <c r="H1100">
        <f t="shared" si="107"/>
        <v>0</v>
      </c>
      <c r="I1100" s="67">
        <f>'Historical VAR'!$G$7</f>
        <v>-3.1428916759065853E-2</v>
      </c>
      <c r="J1100">
        <f t="shared" si="108"/>
        <v>0</v>
      </c>
      <c r="K1100" s="67">
        <f ca="1">'Monte Carlo Stimulation'!$I$8</f>
        <v>-2.1559270710709389E-2</v>
      </c>
      <c r="L1100">
        <f t="shared" ca="1" si="109"/>
        <v>0</v>
      </c>
      <c r="M1100" s="67">
        <f ca="1">'Monte Carlo Stimulation'!$I$9</f>
        <v>-2.919314405717207E-2</v>
      </c>
      <c r="N1100">
        <f t="shared" ca="1" si="110"/>
        <v>0</v>
      </c>
    </row>
    <row r="1101" spans="1:14">
      <c r="A1101" s="12">
        <v>44495</v>
      </c>
      <c r="B1101" s="14">
        <v>-2.9981726145728985E-2</v>
      </c>
      <c r="C1101" s="67">
        <f>'Parametric VAR'!$F$12</f>
        <v>-2.023068247926026E-2</v>
      </c>
      <c r="D1101">
        <f t="shared" si="105"/>
        <v>1</v>
      </c>
      <c r="E1101" s="67">
        <f>'Parametric VAR'!$F$13</f>
        <v>-2.8682193012943492E-2</v>
      </c>
      <c r="F1101">
        <f t="shared" si="106"/>
        <v>1</v>
      </c>
      <c r="G1101" s="67">
        <f>'Historical VAR'!$G$6</f>
        <v>-1.9839729167757107E-2</v>
      </c>
      <c r="H1101">
        <f t="shared" si="107"/>
        <v>1</v>
      </c>
      <c r="I1101" s="67">
        <f>'Historical VAR'!$G$7</f>
        <v>-3.1428916759065853E-2</v>
      </c>
      <c r="J1101">
        <f t="shared" si="108"/>
        <v>0</v>
      </c>
      <c r="K1101" s="67">
        <f ca="1">'Monte Carlo Stimulation'!$I$8</f>
        <v>-2.1559270710709389E-2</v>
      </c>
      <c r="L1101">
        <f t="shared" ca="1" si="109"/>
        <v>1</v>
      </c>
      <c r="M1101" s="67">
        <f ca="1">'Monte Carlo Stimulation'!$I$9</f>
        <v>-2.919314405717207E-2</v>
      </c>
      <c r="N1101">
        <f t="shared" ca="1" si="110"/>
        <v>1</v>
      </c>
    </row>
    <row r="1102" spans="1:14">
      <c r="A1102" s="12">
        <v>44494</v>
      </c>
      <c r="B1102" s="14">
        <v>-1.81759775680254E-2</v>
      </c>
      <c r="C1102" s="67">
        <f>'Parametric VAR'!$F$12</f>
        <v>-2.023068247926026E-2</v>
      </c>
      <c r="D1102">
        <f t="shared" si="105"/>
        <v>0</v>
      </c>
      <c r="E1102" s="67">
        <f>'Parametric VAR'!$F$13</f>
        <v>-2.8682193012943492E-2</v>
      </c>
      <c r="F1102">
        <f t="shared" si="106"/>
        <v>0</v>
      </c>
      <c r="G1102" s="67">
        <f>'Historical VAR'!$G$6</f>
        <v>-1.9839729167757107E-2</v>
      </c>
      <c r="H1102">
        <f t="shared" si="107"/>
        <v>0</v>
      </c>
      <c r="I1102" s="67">
        <f>'Historical VAR'!$G$7</f>
        <v>-3.1428916759065853E-2</v>
      </c>
      <c r="J1102">
        <f t="shared" si="108"/>
        <v>0</v>
      </c>
      <c r="K1102" s="67">
        <f ca="1">'Monte Carlo Stimulation'!$I$8</f>
        <v>-2.1559270710709389E-2</v>
      </c>
      <c r="L1102">
        <f t="shared" ca="1" si="109"/>
        <v>0</v>
      </c>
      <c r="M1102" s="67">
        <f ca="1">'Monte Carlo Stimulation'!$I$9</f>
        <v>-2.919314405717207E-2</v>
      </c>
      <c r="N1102">
        <f t="shared" ca="1" si="110"/>
        <v>0</v>
      </c>
    </row>
    <row r="1103" spans="1:14">
      <c r="A1103" s="12">
        <v>44491</v>
      </c>
      <c r="B1103" s="14">
        <v>2.2254235930900118E-2</v>
      </c>
      <c r="C1103" s="67">
        <f>'Parametric VAR'!$F$12</f>
        <v>-2.023068247926026E-2</v>
      </c>
      <c r="D1103">
        <f t="shared" si="105"/>
        <v>0</v>
      </c>
      <c r="E1103" s="67">
        <f>'Parametric VAR'!$F$13</f>
        <v>-2.8682193012943492E-2</v>
      </c>
      <c r="F1103">
        <f t="shared" si="106"/>
        <v>0</v>
      </c>
      <c r="G1103" s="67">
        <f>'Historical VAR'!$G$6</f>
        <v>-1.9839729167757107E-2</v>
      </c>
      <c r="H1103">
        <f t="shared" si="107"/>
        <v>0</v>
      </c>
      <c r="I1103" s="67">
        <f>'Historical VAR'!$G$7</f>
        <v>-3.1428916759065853E-2</v>
      </c>
      <c r="J1103">
        <f t="shared" si="108"/>
        <v>0</v>
      </c>
      <c r="K1103" s="67">
        <f ca="1">'Monte Carlo Stimulation'!$I$8</f>
        <v>-2.1559270710709389E-2</v>
      </c>
      <c r="L1103">
        <f t="shared" ca="1" si="109"/>
        <v>0</v>
      </c>
      <c r="M1103" s="67">
        <f ca="1">'Monte Carlo Stimulation'!$I$9</f>
        <v>-2.919314405717207E-2</v>
      </c>
      <c r="N1103">
        <f t="shared" ca="1" si="110"/>
        <v>0</v>
      </c>
    </row>
    <row r="1104" spans="1:14">
      <c r="A1104" s="12">
        <v>44490</v>
      </c>
      <c r="B1104" s="14">
        <v>8.9249255930383183E-3</v>
      </c>
      <c r="C1104" s="67">
        <f>'Parametric VAR'!$F$12</f>
        <v>-2.023068247926026E-2</v>
      </c>
      <c r="D1104">
        <f t="shared" si="105"/>
        <v>0</v>
      </c>
      <c r="E1104" s="67">
        <f>'Parametric VAR'!$F$13</f>
        <v>-2.8682193012943492E-2</v>
      </c>
      <c r="F1104">
        <f t="shared" si="106"/>
        <v>0</v>
      </c>
      <c r="G1104" s="67">
        <f>'Historical VAR'!$G$6</f>
        <v>-1.9839729167757107E-2</v>
      </c>
      <c r="H1104">
        <f t="shared" si="107"/>
        <v>0</v>
      </c>
      <c r="I1104" s="67">
        <f>'Historical VAR'!$G$7</f>
        <v>-3.1428916759065853E-2</v>
      </c>
      <c r="J1104">
        <f t="shared" si="108"/>
        <v>0</v>
      </c>
      <c r="K1104" s="67">
        <f ca="1">'Monte Carlo Stimulation'!$I$8</f>
        <v>-2.1559270710709389E-2</v>
      </c>
      <c r="L1104">
        <f t="shared" ca="1" si="109"/>
        <v>0</v>
      </c>
      <c r="M1104" s="67">
        <f ca="1">'Monte Carlo Stimulation'!$I$9</f>
        <v>-2.919314405717207E-2</v>
      </c>
      <c r="N1104">
        <f t="shared" ca="1" si="110"/>
        <v>0</v>
      </c>
    </row>
    <row r="1105" spans="1:14">
      <c r="A1105" s="12">
        <v>44489</v>
      </c>
      <c r="B1105" s="14">
        <v>5.192991004559281E-2</v>
      </c>
      <c r="C1105" s="67">
        <f>'Parametric VAR'!$F$12</f>
        <v>-2.023068247926026E-2</v>
      </c>
      <c r="D1105">
        <f t="shared" si="105"/>
        <v>0</v>
      </c>
      <c r="E1105" s="67">
        <f>'Parametric VAR'!$F$13</f>
        <v>-2.8682193012943492E-2</v>
      </c>
      <c r="F1105">
        <f t="shared" si="106"/>
        <v>0</v>
      </c>
      <c r="G1105" s="67">
        <f>'Historical VAR'!$G$6</f>
        <v>-1.9839729167757107E-2</v>
      </c>
      <c r="H1105">
        <f t="shared" si="107"/>
        <v>0</v>
      </c>
      <c r="I1105" s="67">
        <f>'Historical VAR'!$G$7</f>
        <v>-3.1428916759065853E-2</v>
      </c>
      <c r="J1105">
        <f t="shared" si="108"/>
        <v>0</v>
      </c>
      <c r="K1105" s="67">
        <f ca="1">'Monte Carlo Stimulation'!$I$8</f>
        <v>-2.1559270710709389E-2</v>
      </c>
      <c r="L1105">
        <f t="shared" ca="1" si="109"/>
        <v>0</v>
      </c>
      <c r="M1105" s="67">
        <f ca="1">'Monte Carlo Stimulation'!$I$9</f>
        <v>-2.919314405717207E-2</v>
      </c>
      <c r="N1105">
        <f t="shared" ca="1" si="110"/>
        <v>0</v>
      </c>
    </row>
    <row r="1106" spans="1:14">
      <c r="A1106" s="12">
        <v>44488</v>
      </c>
      <c r="B1106" s="14">
        <v>8.2556332931921911E-3</v>
      </c>
      <c r="C1106" s="67">
        <f>'Parametric VAR'!$F$12</f>
        <v>-2.023068247926026E-2</v>
      </c>
      <c r="D1106">
        <f t="shared" si="105"/>
        <v>0</v>
      </c>
      <c r="E1106" s="67">
        <f>'Parametric VAR'!$F$13</f>
        <v>-2.8682193012943492E-2</v>
      </c>
      <c r="F1106">
        <f t="shared" si="106"/>
        <v>0</v>
      </c>
      <c r="G1106" s="67">
        <f>'Historical VAR'!$G$6</f>
        <v>-1.9839729167757107E-2</v>
      </c>
      <c r="H1106">
        <f t="shared" si="107"/>
        <v>0</v>
      </c>
      <c r="I1106" s="67">
        <f>'Historical VAR'!$G$7</f>
        <v>-3.1428916759065853E-2</v>
      </c>
      <c r="J1106">
        <f t="shared" si="108"/>
        <v>0</v>
      </c>
      <c r="K1106" s="67">
        <f ca="1">'Monte Carlo Stimulation'!$I$8</f>
        <v>-2.1559270710709389E-2</v>
      </c>
      <c r="L1106">
        <f t="shared" ca="1" si="109"/>
        <v>0</v>
      </c>
      <c r="M1106" s="67">
        <f ca="1">'Monte Carlo Stimulation'!$I$9</f>
        <v>-2.919314405717207E-2</v>
      </c>
      <c r="N1106">
        <f t="shared" ca="1" si="110"/>
        <v>0</v>
      </c>
    </row>
    <row r="1107" spans="1:14">
      <c r="A1107" s="12">
        <v>44487</v>
      </c>
      <c r="B1107" s="14">
        <v>1.8166231321974226E-2</v>
      </c>
      <c r="C1107" s="67">
        <f>'Parametric VAR'!$F$12</f>
        <v>-2.023068247926026E-2</v>
      </c>
      <c r="D1107">
        <f t="shared" si="105"/>
        <v>0</v>
      </c>
      <c r="E1107" s="67">
        <f>'Parametric VAR'!$F$13</f>
        <v>-2.8682193012943492E-2</v>
      </c>
      <c r="F1107">
        <f t="shared" si="106"/>
        <v>0</v>
      </c>
      <c r="G1107" s="67">
        <f>'Historical VAR'!$G$6</f>
        <v>-1.9839729167757107E-2</v>
      </c>
      <c r="H1107">
        <f t="shared" si="107"/>
        <v>0</v>
      </c>
      <c r="I1107" s="67">
        <f>'Historical VAR'!$G$7</f>
        <v>-3.1428916759065853E-2</v>
      </c>
      <c r="J1107">
        <f t="shared" si="108"/>
        <v>0</v>
      </c>
      <c r="K1107" s="67">
        <f ca="1">'Monte Carlo Stimulation'!$I$8</f>
        <v>-2.1559270710709389E-2</v>
      </c>
      <c r="L1107">
        <f t="shared" ca="1" si="109"/>
        <v>0</v>
      </c>
      <c r="M1107" s="67">
        <f ca="1">'Monte Carlo Stimulation'!$I$9</f>
        <v>-2.919314405717207E-2</v>
      </c>
      <c r="N1107">
        <f t="shared" ca="1" si="110"/>
        <v>0</v>
      </c>
    </row>
    <row r="1108" spans="1:14">
      <c r="A1108" s="12">
        <v>44483</v>
      </c>
      <c r="B1108" s="14">
        <v>1.3399732268327004E-2</v>
      </c>
      <c r="C1108" s="67">
        <f>'Parametric VAR'!$F$12</f>
        <v>-2.023068247926026E-2</v>
      </c>
      <c r="D1108">
        <f t="shared" si="105"/>
        <v>0</v>
      </c>
      <c r="E1108" s="67">
        <f>'Parametric VAR'!$F$13</f>
        <v>-2.8682193012943492E-2</v>
      </c>
      <c r="F1108">
        <f t="shared" si="106"/>
        <v>0</v>
      </c>
      <c r="G1108" s="67">
        <f>'Historical VAR'!$G$6</f>
        <v>-1.9839729167757107E-2</v>
      </c>
      <c r="H1108">
        <f t="shared" si="107"/>
        <v>0</v>
      </c>
      <c r="I1108" s="67">
        <f>'Historical VAR'!$G$7</f>
        <v>-3.1428916759065853E-2</v>
      </c>
      <c r="J1108">
        <f t="shared" si="108"/>
        <v>0</v>
      </c>
      <c r="K1108" s="67">
        <f ca="1">'Monte Carlo Stimulation'!$I$8</f>
        <v>-2.1559270710709389E-2</v>
      </c>
      <c r="L1108">
        <f t="shared" ca="1" si="109"/>
        <v>0</v>
      </c>
      <c r="M1108" s="67">
        <f ca="1">'Monte Carlo Stimulation'!$I$9</f>
        <v>-2.919314405717207E-2</v>
      </c>
      <c r="N1108">
        <f t="shared" ca="1" si="110"/>
        <v>0</v>
      </c>
    </row>
    <row r="1109" spans="1:14">
      <c r="A1109" s="12">
        <v>44482</v>
      </c>
      <c r="B1109" s="14">
        <v>3.5723358175152888E-3</v>
      </c>
      <c r="C1109" s="67">
        <f>'Parametric VAR'!$F$12</f>
        <v>-2.023068247926026E-2</v>
      </c>
      <c r="D1109">
        <f t="shared" si="105"/>
        <v>0</v>
      </c>
      <c r="E1109" s="67">
        <f>'Parametric VAR'!$F$13</f>
        <v>-2.8682193012943492E-2</v>
      </c>
      <c r="F1109">
        <f t="shared" si="106"/>
        <v>0</v>
      </c>
      <c r="G1109" s="67">
        <f>'Historical VAR'!$G$6</f>
        <v>-1.9839729167757107E-2</v>
      </c>
      <c r="H1109">
        <f t="shared" si="107"/>
        <v>0</v>
      </c>
      <c r="I1109" s="67">
        <f>'Historical VAR'!$G$7</f>
        <v>-3.1428916759065853E-2</v>
      </c>
      <c r="J1109">
        <f t="shared" si="108"/>
        <v>0</v>
      </c>
      <c r="K1109" s="67">
        <f ca="1">'Monte Carlo Stimulation'!$I$8</f>
        <v>-2.1559270710709389E-2</v>
      </c>
      <c r="L1109">
        <f t="shared" ca="1" si="109"/>
        <v>0</v>
      </c>
      <c r="M1109" s="67">
        <f ca="1">'Monte Carlo Stimulation'!$I$9</f>
        <v>-2.919314405717207E-2</v>
      </c>
      <c r="N1109">
        <f t="shared" ca="1" si="110"/>
        <v>0</v>
      </c>
    </row>
    <row r="1110" spans="1:14">
      <c r="A1110" s="12">
        <v>44481</v>
      </c>
      <c r="B1110" s="14">
        <v>-1.2216176045042707E-4</v>
      </c>
      <c r="C1110" s="67">
        <f>'Parametric VAR'!$F$12</f>
        <v>-2.023068247926026E-2</v>
      </c>
      <c r="D1110">
        <f t="shared" si="105"/>
        <v>0</v>
      </c>
      <c r="E1110" s="67">
        <f>'Parametric VAR'!$F$13</f>
        <v>-2.8682193012943492E-2</v>
      </c>
      <c r="F1110">
        <f t="shared" si="106"/>
        <v>0</v>
      </c>
      <c r="G1110" s="67">
        <f>'Historical VAR'!$G$6</f>
        <v>-1.9839729167757107E-2</v>
      </c>
      <c r="H1110">
        <f t="shared" si="107"/>
        <v>0</v>
      </c>
      <c r="I1110" s="67">
        <f>'Historical VAR'!$G$7</f>
        <v>-3.1428916759065853E-2</v>
      </c>
      <c r="J1110">
        <f t="shared" si="108"/>
        <v>0</v>
      </c>
      <c r="K1110" s="67">
        <f ca="1">'Monte Carlo Stimulation'!$I$8</f>
        <v>-2.1559270710709389E-2</v>
      </c>
      <c r="L1110">
        <f t="shared" ca="1" si="109"/>
        <v>0</v>
      </c>
      <c r="M1110" s="67">
        <f ca="1">'Monte Carlo Stimulation'!$I$9</f>
        <v>-2.919314405717207E-2</v>
      </c>
      <c r="N1110">
        <f t="shared" ca="1" si="110"/>
        <v>0</v>
      </c>
    </row>
    <row r="1111" spans="1:14">
      <c r="A1111" s="12">
        <v>44480</v>
      </c>
      <c r="B1111" s="14">
        <v>-4.3327904681416283E-3</v>
      </c>
      <c r="C1111" s="67">
        <f>'Parametric VAR'!$F$12</f>
        <v>-2.023068247926026E-2</v>
      </c>
      <c r="D1111">
        <f t="shared" si="105"/>
        <v>0</v>
      </c>
      <c r="E1111" s="67">
        <f>'Parametric VAR'!$F$13</f>
        <v>-2.8682193012943492E-2</v>
      </c>
      <c r="F1111">
        <f t="shared" si="106"/>
        <v>0</v>
      </c>
      <c r="G1111" s="67">
        <f>'Historical VAR'!$G$6</f>
        <v>-1.9839729167757107E-2</v>
      </c>
      <c r="H1111">
        <f t="shared" si="107"/>
        <v>0</v>
      </c>
      <c r="I1111" s="67">
        <f>'Historical VAR'!$G$7</f>
        <v>-3.1428916759065853E-2</v>
      </c>
      <c r="J1111">
        <f t="shared" si="108"/>
        <v>0</v>
      </c>
      <c r="K1111" s="67">
        <f ca="1">'Monte Carlo Stimulation'!$I$8</f>
        <v>-2.1559270710709389E-2</v>
      </c>
      <c r="L1111">
        <f t="shared" ca="1" si="109"/>
        <v>0</v>
      </c>
      <c r="M1111" s="67">
        <f ca="1">'Monte Carlo Stimulation'!$I$9</f>
        <v>-2.919314405717207E-2</v>
      </c>
      <c r="N1111">
        <f t="shared" ca="1" si="110"/>
        <v>0</v>
      </c>
    </row>
    <row r="1112" spans="1:14">
      <c r="A1112" s="12">
        <v>44477</v>
      </c>
      <c r="B1112" s="14">
        <v>3.4963217494609323E-3</v>
      </c>
      <c r="C1112" s="67">
        <f>'Parametric VAR'!$F$12</f>
        <v>-2.023068247926026E-2</v>
      </c>
      <c r="D1112">
        <f t="shared" si="105"/>
        <v>0</v>
      </c>
      <c r="E1112" s="67">
        <f>'Parametric VAR'!$F$13</f>
        <v>-2.8682193012943492E-2</v>
      </c>
      <c r="F1112">
        <f t="shared" si="106"/>
        <v>0</v>
      </c>
      <c r="G1112" s="67">
        <f>'Historical VAR'!$G$6</f>
        <v>-1.9839729167757107E-2</v>
      </c>
      <c r="H1112">
        <f t="shared" si="107"/>
        <v>0</v>
      </c>
      <c r="I1112" s="67">
        <f>'Historical VAR'!$G$7</f>
        <v>-3.1428916759065853E-2</v>
      </c>
      <c r="J1112">
        <f t="shared" si="108"/>
        <v>0</v>
      </c>
      <c r="K1112" s="67">
        <f ca="1">'Monte Carlo Stimulation'!$I$8</f>
        <v>-2.1559270710709389E-2</v>
      </c>
      <c r="L1112">
        <f t="shared" ca="1" si="109"/>
        <v>0</v>
      </c>
      <c r="M1112" s="67">
        <f ca="1">'Monte Carlo Stimulation'!$I$9</f>
        <v>-2.919314405717207E-2</v>
      </c>
      <c r="N1112">
        <f t="shared" ca="1" si="110"/>
        <v>0</v>
      </c>
    </row>
    <row r="1113" spans="1:14">
      <c r="A1113" s="12">
        <v>44476</v>
      </c>
      <c r="B1113" s="14">
        <v>-3.0666945171288966E-3</v>
      </c>
      <c r="C1113" s="67">
        <f>'Parametric VAR'!$F$12</f>
        <v>-2.023068247926026E-2</v>
      </c>
      <c r="D1113">
        <f t="shared" si="105"/>
        <v>0</v>
      </c>
      <c r="E1113" s="67">
        <f>'Parametric VAR'!$F$13</f>
        <v>-2.8682193012943492E-2</v>
      </c>
      <c r="F1113">
        <f t="shared" si="106"/>
        <v>0</v>
      </c>
      <c r="G1113" s="67">
        <f>'Historical VAR'!$G$6</f>
        <v>-1.9839729167757107E-2</v>
      </c>
      <c r="H1113">
        <f t="shared" si="107"/>
        <v>0</v>
      </c>
      <c r="I1113" s="67">
        <f>'Historical VAR'!$G$7</f>
        <v>-3.1428916759065853E-2</v>
      </c>
      <c r="J1113">
        <f t="shared" si="108"/>
        <v>0</v>
      </c>
      <c r="K1113" s="67">
        <f ca="1">'Monte Carlo Stimulation'!$I$8</f>
        <v>-2.1559270710709389E-2</v>
      </c>
      <c r="L1113">
        <f t="shared" ca="1" si="109"/>
        <v>0</v>
      </c>
      <c r="M1113" s="67">
        <f ca="1">'Monte Carlo Stimulation'!$I$9</f>
        <v>-2.919314405717207E-2</v>
      </c>
      <c r="N1113">
        <f t="shared" ca="1" si="110"/>
        <v>0</v>
      </c>
    </row>
    <row r="1114" spans="1:14">
      <c r="A1114" s="12">
        <v>44475</v>
      </c>
      <c r="B1114" s="14">
        <v>-1.8282193905443014E-2</v>
      </c>
      <c r="C1114" s="67">
        <f>'Parametric VAR'!$F$12</f>
        <v>-2.023068247926026E-2</v>
      </c>
      <c r="D1114">
        <f t="shared" si="105"/>
        <v>0</v>
      </c>
      <c r="E1114" s="67">
        <f>'Parametric VAR'!$F$13</f>
        <v>-2.8682193012943492E-2</v>
      </c>
      <c r="F1114">
        <f t="shared" si="106"/>
        <v>0</v>
      </c>
      <c r="G1114" s="67">
        <f>'Historical VAR'!$G$6</f>
        <v>-1.9839729167757107E-2</v>
      </c>
      <c r="H1114">
        <f t="shared" si="107"/>
        <v>0</v>
      </c>
      <c r="I1114" s="67">
        <f>'Historical VAR'!$G$7</f>
        <v>-3.1428916759065853E-2</v>
      </c>
      <c r="J1114">
        <f t="shared" si="108"/>
        <v>0</v>
      </c>
      <c r="K1114" s="67">
        <f ca="1">'Monte Carlo Stimulation'!$I$8</f>
        <v>-2.1559270710709389E-2</v>
      </c>
      <c r="L1114">
        <f t="shared" ca="1" si="109"/>
        <v>0</v>
      </c>
      <c r="M1114" s="67">
        <f ca="1">'Monte Carlo Stimulation'!$I$9</f>
        <v>-2.919314405717207E-2</v>
      </c>
      <c r="N1114">
        <f t="shared" ca="1" si="110"/>
        <v>0</v>
      </c>
    </row>
    <row r="1115" spans="1:14">
      <c r="A1115" s="12">
        <v>44474</v>
      </c>
      <c r="B1115" s="14">
        <v>1.1478744425558129E-2</v>
      </c>
      <c r="C1115" s="67">
        <f>'Parametric VAR'!$F$12</f>
        <v>-2.023068247926026E-2</v>
      </c>
      <c r="D1115">
        <f t="shared" si="105"/>
        <v>0</v>
      </c>
      <c r="E1115" s="67">
        <f>'Parametric VAR'!$F$13</f>
        <v>-2.8682193012943492E-2</v>
      </c>
      <c r="F1115">
        <f t="shared" si="106"/>
        <v>0</v>
      </c>
      <c r="G1115" s="67">
        <f>'Historical VAR'!$G$6</f>
        <v>-1.9839729167757107E-2</v>
      </c>
      <c r="H1115">
        <f t="shared" si="107"/>
        <v>0</v>
      </c>
      <c r="I1115" s="67">
        <f>'Historical VAR'!$G$7</f>
        <v>-3.1428916759065853E-2</v>
      </c>
      <c r="J1115">
        <f t="shared" si="108"/>
        <v>0</v>
      </c>
      <c r="K1115" s="67">
        <f ca="1">'Monte Carlo Stimulation'!$I$8</f>
        <v>-2.1559270710709389E-2</v>
      </c>
      <c r="L1115">
        <f t="shared" ca="1" si="109"/>
        <v>0</v>
      </c>
      <c r="M1115" s="67">
        <f ca="1">'Monte Carlo Stimulation'!$I$9</f>
        <v>-2.919314405717207E-2</v>
      </c>
      <c r="N1115">
        <f t="shared" ca="1" si="110"/>
        <v>0</v>
      </c>
    </row>
    <row r="1116" spans="1:14">
      <c r="A1116" s="12">
        <v>44473</v>
      </c>
      <c r="B1116" s="14">
        <v>-1.4414760325198334E-2</v>
      </c>
      <c r="C1116" s="67">
        <f>'Parametric VAR'!$F$12</f>
        <v>-2.023068247926026E-2</v>
      </c>
      <c r="D1116">
        <f t="shared" si="105"/>
        <v>0</v>
      </c>
      <c r="E1116" s="67">
        <f>'Parametric VAR'!$F$13</f>
        <v>-2.8682193012943492E-2</v>
      </c>
      <c r="F1116">
        <f t="shared" si="106"/>
        <v>0</v>
      </c>
      <c r="G1116" s="67">
        <f>'Historical VAR'!$G$6</f>
        <v>-1.9839729167757107E-2</v>
      </c>
      <c r="H1116">
        <f t="shared" si="107"/>
        <v>0</v>
      </c>
      <c r="I1116" s="67">
        <f>'Historical VAR'!$G$7</f>
        <v>-3.1428916759065853E-2</v>
      </c>
      <c r="J1116">
        <f t="shared" si="108"/>
        <v>0</v>
      </c>
      <c r="K1116" s="67">
        <f ca="1">'Monte Carlo Stimulation'!$I$8</f>
        <v>-2.1559270710709389E-2</v>
      </c>
      <c r="L1116">
        <f t="shared" ca="1" si="109"/>
        <v>0</v>
      </c>
      <c r="M1116" s="67">
        <f ca="1">'Monte Carlo Stimulation'!$I$9</f>
        <v>-2.919314405717207E-2</v>
      </c>
      <c r="N1116">
        <f t="shared" ca="1" si="110"/>
        <v>0</v>
      </c>
    </row>
    <row r="1117" spans="1:14">
      <c r="A1117" s="12">
        <v>44470</v>
      </c>
      <c r="B1117" s="14">
        <v>-8.7825895842028965E-3</v>
      </c>
      <c r="C1117" s="67">
        <f>'Parametric VAR'!$F$12</f>
        <v>-2.023068247926026E-2</v>
      </c>
      <c r="D1117">
        <f t="shared" si="105"/>
        <v>0</v>
      </c>
      <c r="E1117" s="67">
        <f>'Parametric VAR'!$F$13</f>
        <v>-2.8682193012943492E-2</v>
      </c>
      <c r="F1117">
        <f t="shared" si="106"/>
        <v>0</v>
      </c>
      <c r="G1117" s="67">
        <f>'Historical VAR'!$G$6</f>
        <v>-1.9839729167757107E-2</v>
      </c>
      <c r="H1117">
        <f t="shared" si="107"/>
        <v>0</v>
      </c>
      <c r="I1117" s="67">
        <f>'Historical VAR'!$G$7</f>
        <v>-3.1428916759065853E-2</v>
      </c>
      <c r="J1117">
        <f t="shared" si="108"/>
        <v>0</v>
      </c>
      <c r="K1117" s="67">
        <f ca="1">'Monte Carlo Stimulation'!$I$8</f>
        <v>-2.1559270710709389E-2</v>
      </c>
      <c r="L1117">
        <f t="shared" ca="1" si="109"/>
        <v>0</v>
      </c>
      <c r="M1117" s="67">
        <f ca="1">'Monte Carlo Stimulation'!$I$9</f>
        <v>-2.919314405717207E-2</v>
      </c>
      <c r="N1117">
        <f t="shared" ca="1" si="110"/>
        <v>0</v>
      </c>
    </row>
    <row r="1118" spans="1:14">
      <c r="A1118" s="12">
        <v>44469</v>
      </c>
      <c r="B1118" s="14">
        <v>1.5089856718848499E-2</v>
      </c>
      <c r="C1118" s="67">
        <f>'Parametric VAR'!$F$12</f>
        <v>-2.023068247926026E-2</v>
      </c>
      <c r="D1118">
        <f t="shared" si="105"/>
        <v>0</v>
      </c>
      <c r="E1118" s="67">
        <f>'Parametric VAR'!$F$13</f>
        <v>-2.8682193012943492E-2</v>
      </c>
      <c r="F1118">
        <f t="shared" si="106"/>
        <v>0</v>
      </c>
      <c r="G1118" s="67">
        <f>'Historical VAR'!$G$6</f>
        <v>-1.9839729167757107E-2</v>
      </c>
      <c r="H1118">
        <f t="shared" si="107"/>
        <v>0</v>
      </c>
      <c r="I1118" s="67">
        <f>'Historical VAR'!$G$7</f>
        <v>-3.1428916759065853E-2</v>
      </c>
      <c r="J1118">
        <f t="shared" si="108"/>
        <v>0</v>
      </c>
      <c r="K1118" s="67">
        <f ca="1">'Monte Carlo Stimulation'!$I$8</f>
        <v>-2.1559270710709389E-2</v>
      </c>
      <c r="L1118">
        <f t="shared" ca="1" si="109"/>
        <v>0</v>
      </c>
      <c r="M1118" s="67">
        <f ca="1">'Monte Carlo Stimulation'!$I$9</f>
        <v>-2.919314405717207E-2</v>
      </c>
      <c r="N1118">
        <f t="shared" ca="1" si="110"/>
        <v>0</v>
      </c>
    </row>
    <row r="1119" spans="1:14">
      <c r="A1119" s="12">
        <v>44468</v>
      </c>
      <c r="B1119" s="14">
        <v>1.7899001120642546E-2</v>
      </c>
      <c r="C1119" s="67">
        <f>'Parametric VAR'!$F$12</f>
        <v>-2.023068247926026E-2</v>
      </c>
      <c r="D1119">
        <f t="shared" si="105"/>
        <v>0</v>
      </c>
      <c r="E1119" s="67">
        <f>'Parametric VAR'!$F$13</f>
        <v>-2.8682193012943492E-2</v>
      </c>
      <c r="F1119">
        <f t="shared" si="106"/>
        <v>0</v>
      </c>
      <c r="G1119" s="67">
        <f>'Historical VAR'!$G$6</f>
        <v>-1.9839729167757107E-2</v>
      </c>
      <c r="H1119">
        <f t="shared" si="107"/>
        <v>0</v>
      </c>
      <c r="I1119" s="67">
        <f>'Historical VAR'!$G$7</f>
        <v>-3.1428916759065853E-2</v>
      </c>
      <c r="J1119">
        <f t="shared" si="108"/>
        <v>0</v>
      </c>
      <c r="K1119" s="67">
        <f ca="1">'Monte Carlo Stimulation'!$I$8</f>
        <v>-2.1559270710709389E-2</v>
      </c>
      <c r="L1119">
        <f t="shared" ca="1" si="109"/>
        <v>0</v>
      </c>
      <c r="M1119" s="67">
        <f ca="1">'Monte Carlo Stimulation'!$I$9</f>
        <v>-2.919314405717207E-2</v>
      </c>
      <c r="N1119">
        <f t="shared" ca="1" si="110"/>
        <v>0</v>
      </c>
    </row>
    <row r="1120" spans="1:14">
      <c r="A1120" s="12">
        <v>44467</v>
      </c>
      <c r="B1120" s="14">
        <v>1.0981536657315391E-2</v>
      </c>
      <c r="C1120" s="67">
        <f>'Parametric VAR'!$F$12</f>
        <v>-2.023068247926026E-2</v>
      </c>
      <c r="D1120">
        <f t="shared" si="105"/>
        <v>0</v>
      </c>
      <c r="E1120" s="67">
        <f>'Parametric VAR'!$F$13</f>
        <v>-2.8682193012943492E-2</v>
      </c>
      <c r="F1120">
        <f t="shared" si="106"/>
        <v>0</v>
      </c>
      <c r="G1120" s="67">
        <f>'Historical VAR'!$G$6</f>
        <v>-1.9839729167757107E-2</v>
      </c>
      <c r="H1120">
        <f t="shared" si="107"/>
        <v>0</v>
      </c>
      <c r="I1120" s="67">
        <f>'Historical VAR'!$G$7</f>
        <v>-3.1428916759065853E-2</v>
      </c>
      <c r="J1120">
        <f t="shared" si="108"/>
        <v>0</v>
      </c>
      <c r="K1120" s="67">
        <f ca="1">'Monte Carlo Stimulation'!$I$8</f>
        <v>-2.1559270710709389E-2</v>
      </c>
      <c r="L1120">
        <f t="shared" ca="1" si="109"/>
        <v>0</v>
      </c>
      <c r="M1120" s="67">
        <f ca="1">'Monte Carlo Stimulation'!$I$9</f>
        <v>-2.919314405717207E-2</v>
      </c>
      <c r="N1120">
        <f t="shared" ca="1" si="110"/>
        <v>0</v>
      </c>
    </row>
    <row r="1121" spans="1:14">
      <c r="A1121" s="12">
        <v>44466</v>
      </c>
      <c r="B1121" s="14">
        <v>1.3447402359582288E-2</v>
      </c>
      <c r="C1121" s="67">
        <f>'Parametric VAR'!$F$12</f>
        <v>-2.023068247926026E-2</v>
      </c>
      <c r="D1121">
        <f t="shared" si="105"/>
        <v>0</v>
      </c>
      <c r="E1121" s="67">
        <f>'Parametric VAR'!$F$13</f>
        <v>-2.8682193012943492E-2</v>
      </c>
      <c r="F1121">
        <f t="shared" si="106"/>
        <v>0</v>
      </c>
      <c r="G1121" s="67">
        <f>'Historical VAR'!$G$6</f>
        <v>-1.9839729167757107E-2</v>
      </c>
      <c r="H1121">
        <f t="shared" si="107"/>
        <v>0</v>
      </c>
      <c r="I1121" s="67">
        <f>'Historical VAR'!$G$7</f>
        <v>-3.1428916759065853E-2</v>
      </c>
      <c r="J1121">
        <f t="shared" si="108"/>
        <v>0</v>
      </c>
      <c r="K1121" s="67">
        <f ca="1">'Monte Carlo Stimulation'!$I$8</f>
        <v>-2.1559270710709389E-2</v>
      </c>
      <c r="L1121">
        <f t="shared" ca="1" si="109"/>
        <v>0</v>
      </c>
      <c r="M1121" s="67">
        <f ca="1">'Monte Carlo Stimulation'!$I$9</f>
        <v>-2.919314405717207E-2</v>
      </c>
      <c r="N1121">
        <f t="shared" ca="1" si="110"/>
        <v>0</v>
      </c>
    </row>
    <row r="1122" spans="1:14">
      <c r="A1122" s="12">
        <v>44463</v>
      </c>
      <c r="B1122" s="14">
        <v>5.4647522947137029E-3</v>
      </c>
      <c r="C1122" s="67">
        <f>'Parametric VAR'!$F$12</f>
        <v>-2.023068247926026E-2</v>
      </c>
      <c r="D1122">
        <f t="shared" si="105"/>
        <v>0</v>
      </c>
      <c r="E1122" s="67">
        <f>'Parametric VAR'!$F$13</f>
        <v>-2.8682193012943492E-2</v>
      </c>
      <c r="F1122">
        <f t="shared" si="106"/>
        <v>0</v>
      </c>
      <c r="G1122" s="67">
        <f>'Historical VAR'!$G$6</f>
        <v>-1.9839729167757107E-2</v>
      </c>
      <c r="H1122">
        <f t="shared" si="107"/>
        <v>0</v>
      </c>
      <c r="I1122" s="67">
        <f>'Historical VAR'!$G$7</f>
        <v>-3.1428916759065853E-2</v>
      </c>
      <c r="J1122">
        <f t="shared" si="108"/>
        <v>0</v>
      </c>
      <c r="K1122" s="67">
        <f ca="1">'Monte Carlo Stimulation'!$I$8</f>
        <v>-2.1559270710709389E-2</v>
      </c>
      <c r="L1122">
        <f t="shared" ca="1" si="109"/>
        <v>0</v>
      </c>
      <c r="M1122" s="67">
        <f ca="1">'Monte Carlo Stimulation'!$I$9</f>
        <v>-2.919314405717207E-2</v>
      </c>
      <c r="N1122">
        <f t="shared" ca="1" si="110"/>
        <v>0</v>
      </c>
    </row>
    <row r="1123" spans="1:14">
      <c r="A1123" s="12">
        <v>44462</v>
      </c>
      <c r="B1123" s="14">
        <v>-3.1443029129105814E-2</v>
      </c>
      <c r="C1123" s="67">
        <f>'Parametric VAR'!$F$12</f>
        <v>-2.023068247926026E-2</v>
      </c>
      <c r="D1123">
        <f t="shared" si="105"/>
        <v>1</v>
      </c>
      <c r="E1123" s="67">
        <f>'Parametric VAR'!$F$13</f>
        <v>-2.8682193012943492E-2</v>
      </c>
      <c r="F1123">
        <f t="shared" si="106"/>
        <v>1</v>
      </c>
      <c r="G1123" s="67">
        <f>'Historical VAR'!$G$6</f>
        <v>-1.9839729167757107E-2</v>
      </c>
      <c r="H1123">
        <f t="shared" si="107"/>
        <v>1</v>
      </c>
      <c r="I1123" s="67">
        <f>'Historical VAR'!$G$7</f>
        <v>-3.1428916759065853E-2</v>
      </c>
      <c r="J1123">
        <f t="shared" si="108"/>
        <v>1</v>
      </c>
      <c r="K1123" s="67">
        <f ca="1">'Monte Carlo Stimulation'!$I$8</f>
        <v>-2.1559270710709389E-2</v>
      </c>
      <c r="L1123">
        <f t="shared" ca="1" si="109"/>
        <v>1</v>
      </c>
      <c r="M1123" s="67">
        <f ca="1">'Monte Carlo Stimulation'!$I$9</f>
        <v>-2.919314405717207E-2</v>
      </c>
      <c r="N1123">
        <f t="shared" ca="1" si="110"/>
        <v>1</v>
      </c>
    </row>
    <row r="1124" spans="1:14">
      <c r="A1124" s="12">
        <v>44461</v>
      </c>
      <c r="B1124" s="14">
        <v>-3.0518442521960537E-3</v>
      </c>
      <c r="C1124" s="67">
        <f>'Parametric VAR'!$F$12</f>
        <v>-2.023068247926026E-2</v>
      </c>
      <c r="D1124">
        <f t="shared" si="105"/>
        <v>0</v>
      </c>
      <c r="E1124" s="67">
        <f>'Parametric VAR'!$F$13</f>
        <v>-2.8682193012943492E-2</v>
      </c>
      <c r="F1124">
        <f t="shared" si="106"/>
        <v>0</v>
      </c>
      <c r="G1124" s="67">
        <f>'Historical VAR'!$G$6</f>
        <v>-1.9839729167757107E-2</v>
      </c>
      <c r="H1124">
        <f t="shared" si="107"/>
        <v>0</v>
      </c>
      <c r="I1124" s="67">
        <f>'Historical VAR'!$G$7</f>
        <v>-3.1428916759065853E-2</v>
      </c>
      <c r="J1124">
        <f t="shared" si="108"/>
        <v>0</v>
      </c>
      <c r="K1124" s="67">
        <f ca="1">'Monte Carlo Stimulation'!$I$8</f>
        <v>-2.1559270710709389E-2</v>
      </c>
      <c r="L1124">
        <f t="shared" ca="1" si="109"/>
        <v>0</v>
      </c>
      <c r="M1124" s="67">
        <f ca="1">'Monte Carlo Stimulation'!$I$9</f>
        <v>-2.919314405717207E-2</v>
      </c>
      <c r="N1124">
        <f t="shared" ca="1" si="110"/>
        <v>0</v>
      </c>
    </row>
    <row r="1125" spans="1:14">
      <c r="A1125" s="12">
        <v>44460</v>
      </c>
      <c r="B1125" s="14">
        <v>-9.4665269205626026E-4</v>
      </c>
      <c r="C1125" s="67">
        <f>'Parametric VAR'!$F$12</f>
        <v>-2.023068247926026E-2</v>
      </c>
      <c r="D1125">
        <f t="shared" si="105"/>
        <v>0</v>
      </c>
      <c r="E1125" s="67">
        <f>'Parametric VAR'!$F$13</f>
        <v>-2.8682193012943492E-2</v>
      </c>
      <c r="F1125">
        <f t="shared" si="106"/>
        <v>0</v>
      </c>
      <c r="G1125" s="67">
        <f>'Historical VAR'!$G$6</f>
        <v>-1.9839729167757107E-2</v>
      </c>
      <c r="H1125">
        <f t="shared" si="107"/>
        <v>0</v>
      </c>
      <c r="I1125" s="67">
        <f>'Historical VAR'!$G$7</f>
        <v>-3.1428916759065853E-2</v>
      </c>
      <c r="J1125">
        <f t="shared" si="108"/>
        <v>0</v>
      </c>
      <c r="K1125" s="67">
        <f ca="1">'Monte Carlo Stimulation'!$I$8</f>
        <v>-2.1559270710709389E-2</v>
      </c>
      <c r="L1125">
        <f t="shared" ca="1" si="109"/>
        <v>0</v>
      </c>
      <c r="M1125" s="67">
        <f ca="1">'Monte Carlo Stimulation'!$I$9</f>
        <v>-2.919314405717207E-2</v>
      </c>
      <c r="N1125">
        <f t="shared" ca="1" si="110"/>
        <v>0</v>
      </c>
    </row>
    <row r="1126" spans="1:14">
      <c r="A1126" s="12">
        <v>44459</v>
      </c>
      <c r="B1126" s="14">
        <v>-9.1424676981558886E-3</v>
      </c>
      <c r="C1126" s="67">
        <f>'Parametric VAR'!$F$12</f>
        <v>-2.023068247926026E-2</v>
      </c>
      <c r="D1126">
        <f t="shared" si="105"/>
        <v>0</v>
      </c>
      <c r="E1126" s="67">
        <f>'Parametric VAR'!$F$13</f>
        <v>-2.8682193012943492E-2</v>
      </c>
      <c r="F1126">
        <f t="shared" si="106"/>
        <v>0</v>
      </c>
      <c r="G1126" s="67">
        <f>'Historical VAR'!$G$6</f>
        <v>-1.9839729167757107E-2</v>
      </c>
      <c r="H1126">
        <f t="shared" si="107"/>
        <v>0</v>
      </c>
      <c r="I1126" s="67">
        <f>'Historical VAR'!$G$7</f>
        <v>-3.1428916759065853E-2</v>
      </c>
      <c r="J1126">
        <f t="shared" si="108"/>
        <v>0</v>
      </c>
      <c r="K1126" s="67">
        <f ca="1">'Monte Carlo Stimulation'!$I$8</f>
        <v>-2.1559270710709389E-2</v>
      </c>
      <c r="L1126">
        <f t="shared" ca="1" si="109"/>
        <v>0</v>
      </c>
      <c r="M1126" s="67">
        <f ca="1">'Monte Carlo Stimulation'!$I$9</f>
        <v>-2.919314405717207E-2</v>
      </c>
      <c r="N1126">
        <f t="shared" ca="1" si="110"/>
        <v>0</v>
      </c>
    </row>
    <row r="1127" spans="1:14">
      <c r="A1127" s="12">
        <v>44456</v>
      </c>
      <c r="B1127" s="14">
        <v>8.3443001878219878E-3</v>
      </c>
      <c r="C1127" s="67">
        <f>'Parametric VAR'!$F$12</f>
        <v>-2.023068247926026E-2</v>
      </c>
      <c r="D1127">
        <f t="shared" si="105"/>
        <v>0</v>
      </c>
      <c r="E1127" s="67">
        <f>'Parametric VAR'!$F$13</f>
        <v>-2.8682193012943492E-2</v>
      </c>
      <c r="F1127">
        <f t="shared" si="106"/>
        <v>0</v>
      </c>
      <c r="G1127" s="67">
        <f>'Historical VAR'!$G$6</f>
        <v>-1.9839729167757107E-2</v>
      </c>
      <c r="H1127">
        <f t="shared" si="107"/>
        <v>0</v>
      </c>
      <c r="I1127" s="67">
        <f>'Historical VAR'!$G$7</f>
        <v>-3.1428916759065853E-2</v>
      </c>
      <c r="J1127">
        <f t="shared" si="108"/>
        <v>0</v>
      </c>
      <c r="K1127" s="67">
        <f ca="1">'Monte Carlo Stimulation'!$I$8</f>
        <v>-2.1559270710709389E-2</v>
      </c>
      <c r="L1127">
        <f t="shared" ca="1" si="109"/>
        <v>0</v>
      </c>
      <c r="M1127" s="67">
        <f ca="1">'Monte Carlo Stimulation'!$I$9</f>
        <v>-2.919314405717207E-2</v>
      </c>
      <c r="N1127">
        <f t="shared" ca="1" si="110"/>
        <v>0</v>
      </c>
    </row>
    <row r="1128" spans="1:14">
      <c r="A1128" s="12">
        <v>44455</v>
      </c>
      <c r="B1128" s="14">
        <v>1.2060849053424387E-2</v>
      </c>
      <c r="C1128" s="67">
        <f>'Parametric VAR'!$F$12</f>
        <v>-2.023068247926026E-2</v>
      </c>
      <c r="D1128">
        <f t="shared" si="105"/>
        <v>0</v>
      </c>
      <c r="E1128" s="67">
        <f>'Parametric VAR'!$F$13</f>
        <v>-2.8682193012943492E-2</v>
      </c>
      <c r="F1128">
        <f t="shared" si="106"/>
        <v>0</v>
      </c>
      <c r="G1128" s="67">
        <f>'Historical VAR'!$G$6</f>
        <v>-1.9839729167757107E-2</v>
      </c>
      <c r="H1128">
        <f t="shared" si="107"/>
        <v>0</v>
      </c>
      <c r="I1128" s="67">
        <f>'Historical VAR'!$G$7</f>
        <v>-3.1428916759065853E-2</v>
      </c>
      <c r="J1128">
        <f t="shared" si="108"/>
        <v>0</v>
      </c>
      <c r="K1128" s="67">
        <f ca="1">'Monte Carlo Stimulation'!$I$8</f>
        <v>-2.1559270710709389E-2</v>
      </c>
      <c r="L1128">
        <f t="shared" ca="1" si="109"/>
        <v>0</v>
      </c>
      <c r="M1128" s="67">
        <f ca="1">'Monte Carlo Stimulation'!$I$9</f>
        <v>-2.919314405717207E-2</v>
      </c>
      <c r="N1128">
        <f t="shared" ca="1" si="110"/>
        <v>0</v>
      </c>
    </row>
    <row r="1129" spans="1:14">
      <c r="A1129" s="12">
        <v>44454</v>
      </c>
      <c r="B1129" s="14">
        <v>3.3872092751764953E-3</v>
      </c>
      <c r="C1129" s="67">
        <f>'Parametric VAR'!$F$12</f>
        <v>-2.023068247926026E-2</v>
      </c>
      <c r="D1129">
        <f t="shared" si="105"/>
        <v>0</v>
      </c>
      <c r="E1129" s="67">
        <f>'Parametric VAR'!$F$13</f>
        <v>-2.8682193012943492E-2</v>
      </c>
      <c r="F1129">
        <f t="shared" si="106"/>
        <v>0</v>
      </c>
      <c r="G1129" s="67">
        <f>'Historical VAR'!$G$6</f>
        <v>-1.9839729167757107E-2</v>
      </c>
      <c r="H1129">
        <f t="shared" si="107"/>
        <v>0</v>
      </c>
      <c r="I1129" s="67">
        <f>'Historical VAR'!$G$7</f>
        <v>-3.1428916759065853E-2</v>
      </c>
      <c r="J1129">
        <f t="shared" si="108"/>
        <v>0</v>
      </c>
      <c r="K1129" s="67">
        <f ca="1">'Monte Carlo Stimulation'!$I$8</f>
        <v>-2.1559270710709389E-2</v>
      </c>
      <c r="L1129">
        <f t="shared" ca="1" si="109"/>
        <v>0</v>
      </c>
      <c r="M1129" s="67">
        <f ca="1">'Monte Carlo Stimulation'!$I$9</f>
        <v>-2.919314405717207E-2</v>
      </c>
      <c r="N1129">
        <f t="shared" ca="1" si="110"/>
        <v>0</v>
      </c>
    </row>
    <row r="1130" spans="1:14">
      <c r="A1130" s="12">
        <v>44453</v>
      </c>
      <c r="B1130" s="14">
        <v>3.4575024925396521E-4</v>
      </c>
      <c r="C1130" s="67">
        <f>'Parametric VAR'!$F$12</f>
        <v>-2.023068247926026E-2</v>
      </c>
      <c r="D1130">
        <f t="shared" si="105"/>
        <v>0</v>
      </c>
      <c r="E1130" s="67">
        <f>'Parametric VAR'!$F$13</f>
        <v>-2.8682193012943492E-2</v>
      </c>
      <c r="F1130">
        <f t="shared" si="106"/>
        <v>0</v>
      </c>
      <c r="G1130" s="67">
        <f>'Historical VAR'!$G$6</f>
        <v>-1.9839729167757107E-2</v>
      </c>
      <c r="H1130">
        <f t="shared" si="107"/>
        <v>0</v>
      </c>
      <c r="I1130" s="67">
        <f>'Historical VAR'!$G$7</f>
        <v>-3.1428916759065853E-2</v>
      </c>
      <c r="J1130">
        <f t="shared" si="108"/>
        <v>0</v>
      </c>
      <c r="K1130" s="67">
        <f ca="1">'Monte Carlo Stimulation'!$I$8</f>
        <v>-2.1559270710709389E-2</v>
      </c>
      <c r="L1130">
        <f t="shared" ca="1" si="109"/>
        <v>0</v>
      </c>
      <c r="M1130" s="67">
        <f ca="1">'Monte Carlo Stimulation'!$I$9</f>
        <v>-2.919314405717207E-2</v>
      </c>
      <c r="N1130">
        <f t="shared" ca="1" si="110"/>
        <v>0</v>
      </c>
    </row>
    <row r="1131" spans="1:14">
      <c r="A1131" s="12">
        <v>44452</v>
      </c>
      <c r="B1131" s="14">
        <v>1.0170453008946758E-3</v>
      </c>
      <c r="C1131" s="67">
        <f>'Parametric VAR'!$F$12</f>
        <v>-2.023068247926026E-2</v>
      </c>
      <c r="D1131">
        <f t="shared" si="105"/>
        <v>0</v>
      </c>
      <c r="E1131" s="67">
        <f>'Parametric VAR'!$F$13</f>
        <v>-2.8682193012943492E-2</v>
      </c>
      <c r="F1131">
        <f t="shared" si="106"/>
        <v>0</v>
      </c>
      <c r="G1131" s="67">
        <f>'Historical VAR'!$G$6</f>
        <v>-1.9839729167757107E-2</v>
      </c>
      <c r="H1131">
        <f t="shared" si="107"/>
        <v>0</v>
      </c>
      <c r="I1131" s="67">
        <f>'Historical VAR'!$G$7</f>
        <v>-3.1428916759065853E-2</v>
      </c>
      <c r="J1131">
        <f t="shared" si="108"/>
        <v>0</v>
      </c>
      <c r="K1131" s="67">
        <f ca="1">'Monte Carlo Stimulation'!$I$8</f>
        <v>-2.1559270710709389E-2</v>
      </c>
      <c r="L1131">
        <f t="shared" ca="1" si="109"/>
        <v>0</v>
      </c>
      <c r="M1131" s="67">
        <f ca="1">'Monte Carlo Stimulation'!$I$9</f>
        <v>-2.919314405717207E-2</v>
      </c>
      <c r="N1131">
        <f t="shared" ca="1" si="110"/>
        <v>0</v>
      </c>
    </row>
    <row r="1132" spans="1:14">
      <c r="A1132" s="12">
        <v>44448</v>
      </c>
      <c r="B1132" s="14">
        <v>-4.691456073720188E-3</v>
      </c>
      <c r="C1132" s="67">
        <f>'Parametric VAR'!$F$12</f>
        <v>-2.023068247926026E-2</v>
      </c>
      <c r="D1132">
        <f t="shared" si="105"/>
        <v>0</v>
      </c>
      <c r="E1132" s="67">
        <f>'Parametric VAR'!$F$13</f>
        <v>-2.8682193012943492E-2</v>
      </c>
      <c r="F1132">
        <f t="shared" si="106"/>
        <v>0</v>
      </c>
      <c r="G1132" s="67">
        <f>'Historical VAR'!$G$6</f>
        <v>-1.9839729167757107E-2</v>
      </c>
      <c r="H1132">
        <f t="shared" si="107"/>
        <v>0</v>
      </c>
      <c r="I1132" s="67">
        <f>'Historical VAR'!$G$7</f>
        <v>-3.1428916759065853E-2</v>
      </c>
      <c r="J1132">
        <f t="shared" si="108"/>
        <v>0</v>
      </c>
      <c r="K1132" s="67">
        <f ca="1">'Monte Carlo Stimulation'!$I$8</f>
        <v>-2.1559270710709389E-2</v>
      </c>
      <c r="L1132">
        <f t="shared" ca="1" si="109"/>
        <v>0</v>
      </c>
      <c r="M1132" s="67">
        <f ca="1">'Monte Carlo Stimulation'!$I$9</f>
        <v>-2.919314405717207E-2</v>
      </c>
      <c r="N1132">
        <f t="shared" ca="1" si="110"/>
        <v>0</v>
      </c>
    </row>
    <row r="1133" spans="1:14">
      <c r="A1133" s="12">
        <v>44447</v>
      </c>
      <c r="B1133" s="14">
        <v>-2.116949871770421E-3</v>
      </c>
      <c r="C1133" s="67">
        <f>'Parametric VAR'!$F$12</f>
        <v>-2.023068247926026E-2</v>
      </c>
      <c r="D1133">
        <f t="shared" si="105"/>
        <v>0</v>
      </c>
      <c r="E1133" s="67">
        <f>'Parametric VAR'!$F$13</f>
        <v>-2.8682193012943492E-2</v>
      </c>
      <c r="F1133">
        <f t="shared" si="106"/>
        <v>0</v>
      </c>
      <c r="G1133" s="67">
        <f>'Historical VAR'!$G$6</f>
        <v>-1.9839729167757107E-2</v>
      </c>
      <c r="H1133">
        <f t="shared" si="107"/>
        <v>0</v>
      </c>
      <c r="I1133" s="67">
        <f>'Historical VAR'!$G$7</f>
        <v>-3.1428916759065853E-2</v>
      </c>
      <c r="J1133">
        <f t="shared" si="108"/>
        <v>0</v>
      </c>
      <c r="K1133" s="67">
        <f ca="1">'Monte Carlo Stimulation'!$I$8</f>
        <v>-2.1559270710709389E-2</v>
      </c>
      <c r="L1133">
        <f t="shared" ca="1" si="109"/>
        <v>0</v>
      </c>
      <c r="M1133" s="67">
        <f ca="1">'Monte Carlo Stimulation'!$I$9</f>
        <v>-2.919314405717207E-2</v>
      </c>
      <c r="N1133">
        <f t="shared" ca="1" si="110"/>
        <v>0</v>
      </c>
    </row>
    <row r="1134" spans="1:14">
      <c r="A1134" s="12">
        <v>44446</v>
      </c>
      <c r="B1134" s="14">
        <v>1.5384077589372905E-3</v>
      </c>
      <c r="C1134" s="67">
        <f>'Parametric VAR'!$F$12</f>
        <v>-2.023068247926026E-2</v>
      </c>
      <c r="D1134">
        <f t="shared" si="105"/>
        <v>0</v>
      </c>
      <c r="E1134" s="67">
        <f>'Parametric VAR'!$F$13</f>
        <v>-2.8682193012943492E-2</v>
      </c>
      <c r="F1134">
        <f t="shared" si="106"/>
        <v>0</v>
      </c>
      <c r="G1134" s="67">
        <f>'Historical VAR'!$G$6</f>
        <v>-1.9839729167757107E-2</v>
      </c>
      <c r="H1134">
        <f t="shared" si="107"/>
        <v>0</v>
      </c>
      <c r="I1134" s="67">
        <f>'Historical VAR'!$G$7</f>
        <v>-3.1428916759065853E-2</v>
      </c>
      <c r="J1134">
        <f t="shared" si="108"/>
        <v>0</v>
      </c>
      <c r="K1134" s="67">
        <f ca="1">'Monte Carlo Stimulation'!$I$8</f>
        <v>-2.1559270710709389E-2</v>
      </c>
      <c r="L1134">
        <f t="shared" ca="1" si="109"/>
        <v>0</v>
      </c>
      <c r="M1134" s="67">
        <f ca="1">'Monte Carlo Stimulation'!$I$9</f>
        <v>-2.919314405717207E-2</v>
      </c>
      <c r="N1134">
        <f t="shared" ca="1" si="110"/>
        <v>0</v>
      </c>
    </row>
    <row r="1135" spans="1:14">
      <c r="A1135" s="12">
        <v>44445</v>
      </c>
      <c r="B1135" s="14">
        <v>-4.1026714108064908E-3</v>
      </c>
      <c r="C1135" s="67">
        <f>'Parametric VAR'!$F$12</f>
        <v>-2.023068247926026E-2</v>
      </c>
      <c r="D1135">
        <f t="shared" si="105"/>
        <v>0</v>
      </c>
      <c r="E1135" s="67">
        <f>'Parametric VAR'!$F$13</f>
        <v>-2.8682193012943492E-2</v>
      </c>
      <c r="F1135">
        <f t="shared" si="106"/>
        <v>0</v>
      </c>
      <c r="G1135" s="67">
        <f>'Historical VAR'!$G$6</f>
        <v>-1.9839729167757107E-2</v>
      </c>
      <c r="H1135">
        <f t="shared" si="107"/>
        <v>0</v>
      </c>
      <c r="I1135" s="67">
        <f>'Historical VAR'!$G$7</f>
        <v>-3.1428916759065853E-2</v>
      </c>
      <c r="J1135">
        <f t="shared" si="108"/>
        <v>0</v>
      </c>
      <c r="K1135" s="67">
        <f ca="1">'Monte Carlo Stimulation'!$I$8</f>
        <v>-2.1559270710709389E-2</v>
      </c>
      <c r="L1135">
        <f t="shared" ca="1" si="109"/>
        <v>0</v>
      </c>
      <c r="M1135" s="67">
        <f ca="1">'Monte Carlo Stimulation'!$I$9</f>
        <v>-2.919314405717207E-2</v>
      </c>
      <c r="N1135">
        <f t="shared" ca="1" si="110"/>
        <v>0</v>
      </c>
    </row>
    <row r="1136" spans="1:14">
      <c r="A1136" s="12">
        <v>44442</v>
      </c>
      <c r="B1136" s="14">
        <v>4.2904883920140179E-3</v>
      </c>
      <c r="C1136" s="67">
        <f>'Parametric VAR'!$F$12</f>
        <v>-2.023068247926026E-2</v>
      </c>
      <c r="D1136">
        <f t="shared" si="105"/>
        <v>0</v>
      </c>
      <c r="E1136" s="67">
        <f>'Parametric VAR'!$F$13</f>
        <v>-2.8682193012943492E-2</v>
      </c>
      <c r="F1136">
        <f t="shared" si="106"/>
        <v>0</v>
      </c>
      <c r="G1136" s="67">
        <f>'Historical VAR'!$G$6</f>
        <v>-1.9839729167757107E-2</v>
      </c>
      <c r="H1136">
        <f t="shared" si="107"/>
        <v>0</v>
      </c>
      <c r="I1136" s="67">
        <f>'Historical VAR'!$G$7</f>
        <v>-3.1428916759065853E-2</v>
      </c>
      <c r="J1136">
        <f t="shared" si="108"/>
        <v>0</v>
      </c>
      <c r="K1136" s="67">
        <f ca="1">'Monte Carlo Stimulation'!$I$8</f>
        <v>-2.1559270710709389E-2</v>
      </c>
      <c r="L1136">
        <f t="shared" ca="1" si="109"/>
        <v>0</v>
      </c>
      <c r="M1136" s="67">
        <f ca="1">'Monte Carlo Stimulation'!$I$9</f>
        <v>-2.919314405717207E-2</v>
      </c>
      <c r="N1136">
        <f t="shared" ca="1" si="110"/>
        <v>0</v>
      </c>
    </row>
    <row r="1137" spans="1:14">
      <c r="A1137" s="12">
        <v>44441</v>
      </c>
      <c r="B1137" s="14">
        <v>-7.3600445358520776E-3</v>
      </c>
      <c r="C1137" s="67">
        <f>'Parametric VAR'!$F$12</f>
        <v>-2.023068247926026E-2</v>
      </c>
      <c r="D1137">
        <f t="shared" si="105"/>
        <v>0</v>
      </c>
      <c r="E1137" s="67">
        <f>'Parametric VAR'!$F$13</f>
        <v>-2.8682193012943492E-2</v>
      </c>
      <c r="F1137">
        <f t="shared" si="106"/>
        <v>0</v>
      </c>
      <c r="G1137" s="67">
        <f>'Historical VAR'!$G$6</f>
        <v>-1.9839729167757107E-2</v>
      </c>
      <c r="H1137">
        <f t="shared" si="107"/>
        <v>0</v>
      </c>
      <c r="I1137" s="67">
        <f>'Historical VAR'!$G$7</f>
        <v>-3.1428916759065853E-2</v>
      </c>
      <c r="J1137">
        <f t="shared" si="108"/>
        <v>0</v>
      </c>
      <c r="K1137" s="67">
        <f ca="1">'Monte Carlo Stimulation'!$I$8</f>
        <v>-2.1559270710709389E-2</v>
      </c>
      <c r="L1137">
        <f t="shared" ca="1" si="109"/>
        <v>0</v>
      </c>
      <c r="M1137" s="67">
        <f ca="1">'Monte Carlo Stimulation'!$I$9</f>
        <v>-2.919314405717207E-2</v>
      </c>
      <c r="N1137">
        <f t="shared" ca="1" si="110"/>
        <v>0</v>
      </c>
    </row>
    <row r="1138" spans="1:14">
      <c r="A1138" s="12">
        <v>44440</v>
      </c>
      <c r="B1138" s="14">
        <v>-6.3137634747840641E-4</v>
      </c>
      <c r="C1138" s="67">
        <f>'Parametric VAR'!$F$12</f>
        <v>-2.023068247926026E-2</v>
      </c>
      <c r="D1138">
        <f t="shared" si="105"/>
        <v>0</v>
      </c>
      <c r="E1138" s="67">
        <f>'Parametric VAR'!$F$13</f>
        <v>-2.8682193012943492E-2</v>
      </c>
      <c r="F1138">
        <f t="shared" si="106"/>
        <v>0</v>
      </c>
      <c r="G1138" s="67">
        <f>'Historical VAR'!$G$6</f>
        <v>-1.9839729167757107E-2</v>
      </c>
      <c r="H1138">
        <f t="shared" si="107"/>
        <v>0</v>
      </c>
      <c r="I1138" s="67">
        <f>'Historical VAR'!$G$7</f>
        <v>-3.1428916759065853E-2</v>
      </c>
      <c r="J1138">
        <f t="shared" si="108"/>
        <v>0</v>
      </c>
      <c r="K1138" s="67">
        <f ca="1">'Monte Carlo Stimulation'!$I$8</f>
        <v>-2.1559270710709389E-2</v>
      </c>
      <c r="L1138">
        <f t="shared" ca="1" si="109"/>
        <v>0</v>
      </c>
      <c r="M1138" s="67">
        <f ca="1">'Monte Carlo Stimulation'!$I$9</f>
        <v>-2.919314405717207E-2</v>
      </c>
      <c r="N1138">
        <f t="shared" ca="1" si="110"/>
        <v>0</v>
      </c>
    </row>
    <row r="1139" spans="1:14">
      <c r="A1139" s="12">
        <v>44439</v>
      </c>
      <c r="B1139" s="14">
        <v>-2.5367568582057028E-2</v>
      </c>
      <c r="C1139" s="67">
        <f>'Parametric VAR'!$F$12</f>
        <v>-2.023068247926026E-2</v>
      </c>
      <c r="D1139">
        <f t="shared" si="105"/>
        <v>1</v>
      </c>
      <c r="E1139" s="67">
        <f>'Parametric VAR'!$F$13</f>
        <v>-2.8682193012943492E-2</v>
      </c>
      <c r="F1139">
        <f t="shared" si="106"/>
        <v>0</v>
      </c>
      <c r="G1139" s="67">
        <f>'Historical VAR'!$G$6</f>
        <v>-1.9839729167757107E-2</v>
      </c>
      <c r="H1139">
        <f t="shared" si="107"/>
        <v>1</v>
      </c>
      <c r="I1139" s="67">
        <f>'Historical VAR'!$G$7</f>
        <v>-3.1428916759065853E-2</v>
      </c>
      <c r="J1139">
        <f t="shared" si="108"/>
        <v>0</v>
      </c>
      <c r="K1139" s="67">
        <f ca="1">'Monte Carlo Stimulation'!$I$8</f>
        <v>-2.1559270710709389E-2</v>
      </c>
      <c r="L1139">
        <f t="shared" ca="1" si="109"/>
        <v>1</v>
      </c>
      <c r="M1139" s="67">
        <f ca="1">'Monte Carlo Stimulation'!$I$9</f>
        <v>-2.919314405717207E-2</v>
      </c>
      <c r="N1139">
        <f t="shared" ca="1" si="110"/>
        <v>0</v>
      </c>
    </row>
    <row r="1140" spans="1:14">
      <c r="A1140" s="12">
        <v>44438</v>
      </c>
      <c r="B1140" s="14">
        <v>-2.3206997916540951E-2</v>
      </c>
      <c r="C1140" s="67">
        <f>'Parametric VAR'!$F$12</f>
        <v>-2.023068247926026E-2</v>
      </c>
      <c r="D1140">
        <f t="shared" si="105"/>
        <v>1</v>
      </c>
      <c r="E1140" s="67">
        <f>'Parametric VAR'!$F$13</f>
        <v>-2.8682193012943492E-2</v>
      </c>
      <c r="F1140">
        <f t="shared" si="106"/>
        <v>0</v>
      </c>
      <c r="G1140" s="67">
        <f>'Historical VAR'!$G$6</f>
        <v>-1.9839729167757107E-2</v>
      </c>
      <c r="H1140">
        <f t="shared" si="107"/>
        <v>1</v>
      </c>
      <c r="I1140" s="67">
        <f>'Historical VAR'!$G$7</f>
        <v>-3.1428916759065853E-2</v>
      </c>
      <c r="J1140">
        <f t="shared" si="108"/>
        <v>0</v>
      </c>
      <c r="K1140" s="67">
        <f ca="1">'Monte Carlo Stimulation'!$I$8</f>
        <v>-2.1559270710709389E-2</v>
      </c>
      <c r="L1140">
        <f t="shared" ca="1" si="109"/>
        <v>1</v>
      </c>
      <c r="M1140" s="67">
        <f ca="1">'Monte Carlo Stimulation'!$I$9</f>
        <v>-2.919314405717207E-2</v>
      </c>
      <c r="N1140">
        <f t="shared" ca="1" si="110"/>
        <v>0</v>
      </c>
    </row>
    <row r="1141" spans="1:14">
      <c r="A1141" s="12">
        <v>44435</v>
      </c>
      <c r="B1141" s="14">
        <v>-2.1476022595446797E-2</v>
      </c>
      <c r="C1141" s="67">
        <f>'Parametric VAR'!$F$12</f>
        <v>-2.023068247926026E-2</v>
      </c>
      <c r="D1141">
        <f t="shared" si="105"/>
        <v>1</v>
      </c>
      <c r="E1141" s="67">
        <f>'Parametric VAR'!$F$13</f>
        <v>-2.8682193012943492E-2</v>
      </c>
      <c r="F1141">
        <f t="shared" si="106"/>
        <v>0</v>
      </c>
      <c r="G1141" s="67">
        <f>'Historical VAR'!$G$6</f>
        <v>-1.9839729167757107E-2</v>
      </c>
      <c r="H1141">
        <f t="shared" si="107"/>
        <v>1</v>
      </c>
      <c r="I1141" s="67">
        <f>'Historical VAR'!$G$7</f>
        <v>-3.1428916759065853E-2</v>
      </c>
      <c r="J1141">
        <f t="shared" si="108"/>
        <v>0</v>
      </c>
      <c r="K1141" s="67">
        <f ca="1">'Monte Carlo Stimulation'!$I$8</f>
        <v>-2.1559270710709389E-2</v>
      </c>
      <c r="L1141">
        <f t="shared" ca="1" si="109"/>
        <v>0</v>
      </c>
      <c r="M1141" s="67">
        <f ca="1">'Monte Carlo Stimulation'!$I$9</f>
        <v>-2.919314405717207E-2</v>
      </c>
      <c r="N1141">
        <f t="shared" ca="1" si="110"/>
        <v>0</v>
      </c>
    </row>
    <row r="1142" spans="1:14">
      <c r="A1142" s="12">
        <v>44434</v>
      </c>
      <c r="B1142" s="14">
        <v>3.3123296937086026E-4</v>
      </c>
      <c r="C1142" s="67">
        <f>'Parametric VAR'!$F$12</f>
        <v>-2.023068247926026E-2</v>
      </c>
      <c r="D1142">
        <f t="shared" si="105"/>
        <v>0</v>
      </c>
      <c r="E1142" s="67">
        <f>'Parametric VAR'!$F$13</f>
        <v>-2.8682193012943492E-2</v>
      </c>
      <c r="F1142">
        <f t="shared" si="106"/>
        <v>0</v>
      </c>
      <c r="G1142" s="67">
        <f>'Historical VAR'!$G$6</f>
        <v>-1.9839729167757107E-2</v>
      </c>
      <c r="H1142">
        <f t="shared" si="107"/>
        <v>0</v>
      </c>
      <c r="I1142" s="67">
        <f>'Historical VAR'!$G$7</f>
        <v>-3.1428916759065853E-2</v>
      </c>
      <c r="J1142">
        <f t="shared" si="108"/>
        <v>0</v>
      </c>
      <c r="K1142" s="67">
        <f ca="1">'Monte Carlo Stimulation'!$I$8</f>
        <v>-2.1559270710709389E-2</v>
      </c>
      <c r="L1142">
        <f t="shared" ca="1" si="109"/>
        <v>0</v>
      </c>
      <c r="M1142" s="67">
        <f ca="1">'Monte Carlo Stimulation'!$I$9</f>
        <v>-2.919314405717207E-2</v>
      </c>
      <c r="N1142">
        <f t="shared" ca="1" si="110"/>
        <v>0</v>
      </c>
    </row>
    <row r="1143" spans="1:14">
      <c r="A1143" s="12">
        <v>44433</v>
      </c>
      <c r="B1143" s="14">
        <v>5.8743689443362113E-4</v>
      </c>
      <c r="C1143" s="67">
        <f>'Parametric VAR'!$F$12</f>
        <v>-2.023068247926026E-2</v>
      </c>
      <c r="D1143">
        <f t="shared" si="105"/>
        <v>0</v>
      </c>
      <c r="E1143" s="67">
        <f>'Parametric VAR'!$F$13</f>
        <v>-2.8682193012943492E-2</v>
      </c>
      <c r="F1143">
        <f t="shared" si="106"/>
        <v>0</v>
      </c>
      <c r="G1143" s="67">
        <f>'Historical VAR'!$G$6</f>
        <v>-1.9839729167757107E-2</v>
      </c>
      <c r="H1143">
        <f t="shared" si="107"/>
        <v>0</v>
      </c>
      <c r="I1143" s="67">
        <f>'Historical VAR'!$G$7</f>
        <v>-3.1428916759065853E-2</v>
      </c>
      <c r="J1143">
        <f t="shared" si="108"/>
        <v>0</v>
      </c>
      <c r="K1143" s="67">
        <f ca="1">'Monte Carlo Stimulation'!$I$8</f>
        <v>-2.1559270710709389E-2</v>
      </c>
      <c r="L1143">
        <f t="shared" ca="1" si="109"/>
        <v>0</v>
      </c>
      <c r="M1143" s="67">
        <f ca="1">'Monte Carlo Stimulation'!$I$9</f>
        <v>-2.919314405717207E-2</v>
      </c>
      <c r="N1143">
        <f t="shared" ca="1" si="110"/>
        <v>0</v>
      </c>
    </row>
    <row r="1144" spans="1:14">
      <c r="A1144" s="12">
        <v>44432</v>
      </c>
      <c r="B1144" s="14">
        <v>1.6892064332138025E-3</v>
      </c>
      <c r="C1144" s="67">
        <f>'Parametric VAR'!$F$12</f>
        <v>-2.023068247926026E-2</v>
      </c>
      <c r="D1144">
        <f t="shared" si="105"/>
        <v>0</v>
      </c>
      <c r="E1144" s="67">
        <f>'Parametric VAR'!$F$13</f>
        <v>-2.8682193012943492E-2</v>
      </c>
      <c r="F1144">
        <f t="shared" si="106"/>
        <v>0</v>
      </c>
      <c r="G1144" s="67">
        <f>'Historical VAR'!$G$6</f>
        <v>-1.9839729167757107E-2</v>
      </c>
      <c r="H1144">
        <f t="shared" si="107"/>
        <v>0</v>
      </c>
      <c r="I1144" s="67">
        <f>'Historical VAR'!$G$7</f>
        <v>-3.1428916759065853E-2</v>
      </c>
      <c r="J1144">
        <f t="shared" si="108"/>
        <v>0</v>
      </c>
      <c r="K1144" s="67">
        <f ca="1">'Monte Carlo Stimulation'!$I$8</f>
        <v>-2.1559270710709389E-2</v>
      </c>
      <c r="L1144">
        <f t="shared" ca="1" si="109"/>
        <v>0</v>
      </c>
      <c r="M1144" s="67">
        <f ca="1">'Monte Carlo Stimulation'!$I$9</f>
        <v>-2.919314405717207E-2</v>
      </c>
      <c r="N1144">
        <f t="shared" ca="1" si="110"/>
        <v>0</v>
      </c>
    </row>
    <row r="1145" spans="1:14">
      <c r="A1145" s="12">
        <v>44431</v>
      </c>
      <c r="B1145" s="14">
        <v>9.0025105189638129E-3</v>
      </c>
      <c r="C1145" s="67">
        <f>'Parametric VAR'!$F$12</f>
        <v>-2.023068247926026E-2</v>
      </c>
      <c r="D1145">
        <f t="shared" si="105"/>
        <v>0</v>
      </c>
      <c r="E1145" s="67">
        <f>'Parametric VAR'!$F$13</f>
        <v>-2.8682193012943492E-2</v>
      </c>
      <c r="F1145">
        <f t="shared" si="106"/>
        <v>0</v>
      </c>
      <c r="G1145" s="67">
        <f>'Historical VAR'!$G$6</f>
        <v>-1.9839729167757107E-2</v>
      </c>
      <c r="H1145">
        <f t="shared" si="107"/>
        <v>0</v>
      </c>
      <c r="I1145" s="67">
        <f>'Historical VAR'!$G$7</f>
        <v>-3.1428916759065853E-2</v>
      </c>
      <c r="J1145">
        <f t="shared" si="108"/>
        <v>0</v>
      </c>
      <c r="K1145" s="67">
        <f ca="1">'Monte Carlo Stimulation'!$I$8</f>
        <v>-2.1559270710709389E-2</v>
      </c>
      <c r="L1145">
        <f t="shared" ca="1" si="109"/>
        <v>0</v>
      </c>
      <c r="M1145" s="67">
        <f ca="1">'Monte Carlo Stimulation'!$I$9</f>
        <v>-2.919314405717207E-2</v>
      </c>
      <c r="N1145">
        <f t="shared" ca="1" si="110"/>
        <v>0</v>
      </c>
    </row>
    <row r="1146" spans="1:14">
      <c r="A1146" s="12">
        <v>44428</v>
      </c>
      <c r="B1146" s="14">
        <v>1.237488813544874E-2</v>
      </c>
      <c r="C1146" s="67">
        <f>'Parametric VAR'!$F$12</f>
        <v>-2.023068247926026E-2</v>
      </c>
      <c r="D1146">
        <f t="shared" si="105"/>
        <v>0</v>
      </c>
      <c r="E1146" s="67">
        <f>'Parametric VAR'!$F$13</f>
        <v>-2.8682193012943492E-2</v>
      </c>
      <c r="F1146">
        <f t="shared" si="106"/>
        <v>0</v>
      </c>
      <c r="G1146" s="67">
        <f>'Historical VAR'!$G$6</f>
        <v>-1.9839729167757107E-2</v>
      </c>
      <c r="H1146">
        <f t="shared" si="107"/>
        <v>0</v>
      </c>
      <c r="I1146" s="67">
        <f>'Historical VAR'!$G$7</f>
        <v>-3.1428916759065853E-2</v>
      </c>
      <c r="J1146">
        <f t="shared" si="108"/>
        <v>0</v>
      </c>
      <c r="K1146" s="67">
        <f ca="1">'Monte Carlo Stimulation'!$I$8</f>
        <v>-2.1559270710709389E-2</v>
      </c>
      <c r="L1146">
        <f t="shared" ca="1" si="109"/>
        <v>0</v>
      </c>
      <c r="M1146" s="67">
        <f ca="1">'Monte Carlo Stimulation'!$I$9</f>
        <v>-2.919314405717207E-2</v>
      </c>
      <c r="N1146">
        <f t="shared" ca="1" si="110"/>
        <v>0</v>
      </c>
    </row>
    <row r="1147" spans="1:14">
      <c r="A1147" s="12">
        <v>44426</v>
      </c>
      <c r="B1147" s="14">
        <v>-2.6332930323585444E-2</v>
      </c>
      <c r="C1147" s="67">
        <f>'Parametric VAR'!$F$12</f>
        <v>-2.023068247926026E-2</v>
      </c>
      <c r="D1147">
        <f t="shared" si="105"/>
        <v>1</v>
      </c>
      <c r="E1147" s="67">
        <f>'Parametric VAR'!$F$13</f>
        <v>-2.8682193012943492E-2</v>
      </c>
      <c r="F1147">
        <f t="shared" si="106"/>
        <v>0</v>
      </c>
      <c r="G1147" s="67">
        <f>'Historical VAR'!$G$6</f>
        <v>-1.9839729167757107E-2</v>
      </c>
      <c r="H1147">
        <f t="shared" si="107"/>
        <v>1</v>
      </c>
      <c r="I1147" s="67">
        <f>'Historical VAR'!$G$7</f>
        <v>-3.1428916759065853E-2</v>
      </c>
      <c r="J1147">
        <f t="shared" si="108"/>
        <v>0</v>
      </c>
      <c r="K1147" s="67">
        <f ca="1">'Monte Carlo Stimulation'!$I$8</f>
        <v>-2.1559270710709389E-2</v>
      </c>
      <c r="L1147">
        <f t="shared" ca="1" si="109"/>
        <v>1</v>
      </c>
      <c r="M1147" s="67">
        <f ca="1">'Monte Carlo Stimulation'!$I$9</f>
        <v>-2.919314405717207E-2</v>
      </c>
      <c r="N1147">
        <f t="shared" ca="1" si="110"/>
        <v>0</v>
      </c>
    </row>
    <row r="1148" spans="1:14">
      <c r="A1148" s="12">
        <v>44425</v>
      </c>
      <c r="B1148" s="14">
        <v>3.8179230687834949E-3</v>
      </c>
      <c r="C1148" s="67">
        <f>'Parametric VAR'!$F$12</f>
        <v>-2.023068247926026E-2</v>
      </c>
      <c r="D1148">
        <f t="shared" si="105"/>
        <v>0</v>
      </c>
      <c r="E1148" s="67">
        <f>'Parametric VAR'!$F$13</f>
        <v>-2.8682193012943492E-2</v>
      </c>
      <c r="F1148">
        <f t="shared" si="106"/>
        <v>0</v>
      </c>
      <c r="G1148" s="67">
        <f>'Historical VAR'!$G$6</f>
        <v>-1.9839729167757107E-2</v>
      </c>
      <c r="H1148">
        <f t="shared" si="107"/>
        <v>0</v>
      </c>
      <c r="I1148" s="67">
        <f>'Historical VAR'!$G$7</f>
        <v>-3.1428916759065853E-2</v>
      </c>
      <c r="J1148">
        <f t="shared" si="108"/>
        <v>0</v>
      </c>
      <c r="K1148" s="67">
        <f ca="1">'Monte Carlo Stimulation'!$I$8</f>
        <v>-2.1559270710709389E-2</v>
      </c>
      <c r="L1148">
        <f t="shared" ca="1" si="109"/>
        <v>0</v>
      </c>
      <c r="M1148" s="67">
        <f ca="1">'Monte Carlo Stimulation'!$I$9</f>
        <v>-2.919314405717207E-2</v>
      </c>
      <c r="N1148">
        <f t="shared" ca="1" si="110"/>
        <v>0</v>
      </c>
    </row>
    <row r="1149" spans="1:14">
      <c r="A1149" s="12">
        <v>44424</v>
      </c>
      <c r="B1149" s="14">
        <v>-1.1082079794522501E-2</v>
      </c>
      <c r="C1149" s="67">
        <f>'Parametric VAR'!$F$12</f>
        <v>-2.023068247926026E-2</v>
      </c>
      <c r="D1149">
        <f t="shared" si="105"/>
        <v>0</v>
      </c>
      <c r="E1149" s="67">
        <f>'Parametric VAR'!$F$13</f>
        <v>-2.8682193012943492E-2</v>
      </c>
      <c r="F1149">
        <f t="shared" si="106"/>
        <v>0</v>
      </c>
      <c r="G1149" s="67">
        <f>'Historical VAR'!$G$6</f>
        <v>-1.9839729167757107E-2</v>
      </c>
      <c r="H1149">
        <f t="shared" si="107"/>
        <v>0</v>
      </c>
      <c r="I1149" s="67">
        <f>'Historical VAR'!$G$7</f>
        <v>-3.1428916759065853E-2</v>
      </c>
      <c r="J1149">
        <f t="shared" si="108"/>
        <v>0</v>
      </c>
      <c r="K1149" s="67">
        <f ca="1">'Monte Carlo Stimulation'!$I$8</f>
        <v>-2.1559270710709389E-2</v>
      </c>
      <c r="L1149">
        <f t="shared" ca="1" si="109"/>
        <v>0</v>
      </c>
      <c r="M1149" s="67">
        <f ca="1">'Monte Carlo Stimulation'!$I$9</f>
        <v>-2.919314405717207E-2</v>
      </c>
      <c r="N1149">
        <f t="shared" ca="1" si="110"/>
        <v>0</v>
      </c>
    </row>
    <row r="1150" spans="1:14">
      <c r="A1150" s="12">
        <v>44421</v>
      </c>
      <c r="B1150" s="14">
        <v>3.5476959198690924E-3</v>
      </c>
      <c r="C1150" s="67">
        <f>'Parametric VAR'!$F$12</f>
        <v>-2.023068247926026E-2</v>
      </c>
      <c r="D1150">
        <f t="shared" si="105"/>
        <v>0</v>
      </c>
      <c r="E1150" s="67">
        <f>'Parametric VAR'!$F$13</f>
        <v>-2.8682193012943492E-2</v>
      </c>
      <c r="F1150">
        <f t="shared" si="106"/>
        <v>0</v>
      </c>
      <c r="G1150" s="67">
        <f>'Historical VAR'!$G$6</f>
        <v>-1.9839729167757107E-2</v>
      </c>
      <c r="H1150">
        <f t="shared" si="107"/>
        <v>0</v>
      </c>
      <c r="I1150" s="67">
        <f>'Historical VAR'!$G$7</f>
        <v>-3.1428916759065853E-2</v>
      </c>
      <c r="J1150">
        <f t="shared" si="108"/>
        <v>0</v>
      </c>
      <c r="K1150" s="67">
        <f ca="1">'Monte Carlo Stimulation'!$I$8</f>
        <v>-2.1559270710709389E-2</v>
      </c>
      <c r="L1150">
        <f t="shared" ca="1" si="109"/>
        <v>0</v>
      </c>
      <c r="M1150" s="67">
        <f ca="1">'Monte Carlo Stimulation'!$I$9</f>
        <v>-2.919314405717207E-2</v>
      </c>
      <c r="N1150">
        <f t="shared" ca="1" si="110"/>
        <v>0</v>
      </c>
    </row>
    <row r="1151" spans="1:14">
      <c r="A1151" s="12">
        <v>44420</v>
      </c>
      <c r="B1151" s="14">
        <v>-4.1406942191920945E-3</v>
      </c>
      <c r="C1151" s="67">
        <f>'Parametric VAR'!$F$12</f>
        <v>-2.023068247926026E-2</v>
      </c>
      <c r="D1151">
        <f t="shared" si="105"/>
        <v>0</v>
      </c>
      <c r="E1151" s="67">
        <f>'Parametric VAR'!$F$13</f>
        <v>-2.8682193012943492E-2</v>
      </c>
      <c r="F1151">
        <f t="shared" si="106"/>
        <v>0</v>
      </c>
      <c r="G1151" s="67">
        <f>'Historical VAR'!$G$6</f>
        <v>-1.9839729167757107E-2</v>
      </c>
      <c r="H1151">
        <f t="shared" si="107"/>
        <v>0</v>
      </c>
      <c r="I1151" s="67">
        <f>'Historical VAR'!$G$7</f>
        <v>-3.1428916759065853E-2</v>
      </c>
      <c r="J1151">
        <f t="shared" si="108"/>
        <v>0</v>
      </c>
      <c r="K1151" s="67">
        <f ca="1">'Monte Carlo Stimulation'!$I$8</f>
        <v>-2.1559270710709389E-2</v>
      </c>
      <c r="L1151">
        <f t="shared" ca="1" si="109"/>
        <v>0</v>
      </c>
      <c r="M1151" s="67">
        <f ca="1">'Monte Carlo Stimulation'!$I$9</f>
        <v>-2.919314405717207E-2</v>
      </c>
      <c r="N1151">
        <f t="shared" ca="1" si="110"/>
        <v>0</v>
      </c>
    </row>
    <row r="1152" spans="1:14">
      <c r="A1152" s="12">
        <v>44419</v>
      </c>
      <c r="B1152" s="14">
        <v>-1.4502050171049494E-3</v>
      </c>
      <c r="C1152" s="67">
        <f>'Parametric VAR'!$F$12</f>
        <v>-2.023068247926026E-2</v>
      </c>
      <c r="D1152">
        <f t="shared" si="105"/>
        <v>0</v>
      </c>
      <c r="E1152" s="67">
        <f>'Parametric VAR'!$F$13</f>
        <v>-2.8682193012943492E-2</v>
      </c>
      <c r="F1152">
        <f t="shared" si="106"/>
        <v>0</v>
      </c>
      <c r="G1152" s="67">
        <f>'Historical VAR'!$G$6</f>
        <v>-1.9839729167757107E-2</v>
      </c>
      <c r="H1152">
        <f t="shared" si="107"/>
        <v>0</v>
      </c>
      <c r="I1152" s="67">
        <f>'Historical VAR'!$G$7</f>
        <v>-3.1428916759065853E-2</v>
      </c>
      <c r="J1152">
        <f t="shared" si="108"/>
        <v>0</v>
      </c>
      <c r="K1152" s="67">
        <f ca="1">'Monte Carlo Stimulation'!$I$8</f>
        <v>-2.1559270710709389E-2</v>
      </c>
      <c r="L1152">
        <f t="shared" ca="1" si="109"/>
        <v>0</v>
      </c>
      <c r="M1152" s="67">
        <f ca="1">'Monte Carlo Stimulation'!$I$9</f>
        <v>-2.919314405717207E-2</v>
      </c>
      <c r="N1152">
        <f t="shared" ca="1" si="110"/>
        <v>0</v>
      </c>
    </row>
    <row r="1153" spans="1:14">
      <c r="A1153" s="12">
        <v>44418</v>
      </c>
      <c r="B1153" s="14">
        <v>1.427704545309158E-3</v>
      </c>
      <c r="C1153" s="67">
        <f>'Parametric VAR'!$F$12</f>
        <v>-2.023068247926026E-2</v>
      </c>
      <c r="D1153">
        <f t="shared" si="105"/>
        <v>0</v>
      </c>
      <c r="E1153" s="67">
        <f>'Parametric VAR'!$F$13</f>
        <v>-2.8682193012943492E-2</v>
      </c>
      <c r="F1153">
        <f t="shared" si="106"/>
        <v>0</v>
      </c>
      <c r="G1153" s="67">
        <f>'Historical VAR'!$G$6</f>
        <v>-1.9839729167757107E-2</v>
      </c>
      <c r="H1153">
        <f t="shared" si="107"/>
        <v>0</v>
      </c>
      <c r="I1153" s="67">
        <f>'Historical VAR'!$G$7</f>
        <v>-3.1428916759065853E-2</v>
      </c>
      <c r="J1153">
        <f t="shared" si="108"/>
        <v>0</v>
      </c>
      <c r="K1153" s="67">
        <f ca="1">'Monte Carlo Stimulation'!$I$8</f>
        <v>-2.1559270710709389E-2</v>
      </c>
      <c r="L1153">
        <f t="shared" ca="1" si="109"/>
        <v>0</v>
      </c>
      <c r="M1153" s="67">
        <f ca="1">'Monte Carlo Stimulation'!$I$9</f>
        <v>-2.919314405717207E-2</v>
      </c>
      <c r="N1153">
        <f t="shared" ca="1" si="110"/>
        <v>0</v>
      </c>
    </row>
    <row r="1154" spans="1:14">
      <c r="A1154" s="12">
        <v>44417</v>
      </c>
      <c r="B1154" s="14">
        <v>6.6423565627989995E-3</v>
      </c>
      <c r="C1154" s="67">
        <f>'Parametric VAR'!$F$12</f>
        <v>-2.023068247926026E-2</v>
      </c>
      <c r="D1154">
        <f t="shared" si="105"/>
        <v>0</v>
      </c>
      <c r="E1154" s="67">
        <f>'Parametric VAR'!$F$13</f>
        <v>-2.8682193012943492E-2</v>
      </c>
      <c r="F1154">
        <f t="shared" si="106"/>
        <v>0</v>
      </c>
      <c r="G1154" s="67">
        <f>'Historical VAR'!$G$6</f>
        <v>-1.9839729167757107E-2</v>
      </c>
      <c r="H1154">
        <f t="shared" si="107"/>
        <v>0</v>
      </c>
      <c r="I1154" s="67">
        <f>'Historical VAR'!$G$7</f>
        <v>-3.1428916759065853E-2</v>
      </c>
      <c r="J1154">
        <f t="shared" si="108"/>
        <v>0</v>
      </c>
      <c r="K1154" s="67">
        <f ca="1">'Monte Carlo Stimulation'!$I$8</f>
        <v>-2.1559270710709389E-2</v>
      </c>
      <c r="L1154">
        <f t="shared" ca="1" si="109"/>
        <v>0</v>
      </c>
      <c r="M1154" s="67">
        <f ca="1">'Monte Carlo Stimulation'!$I$9</f>
        <v>-2.919314405717207E-2</v>
      </c>
      <c r="N1154">
        <f t="shared" ca="1" si="110"/>
        <v>0</v>
      </c>
    </row>
    <row r="1155" spans="1:14">
      <c r="A1155" s="12">
        <v>44414</v>
      </c>
      <c r="B1155" s="14">
        <v>-2.2994363960159481E-3</v>
      </c>
      <c r="C1155" s="67">
        <f>'Parametric VAR'!$F$12</f>
        <v>-2.023068247926026E-2</v>
      </c>
      <c r="D1155">
        <f t="shared" si="105"/>
        <v>0</v>
      </c>
      <c r="E1155" s="67">
        <f>'Parametric VAR'!$F$13</f>
        <v>-2.8682193012943492E-2</v>
      </c>
      <c r="F1155">
        <f t="shared" si="106"/>
        <v>0</v>
      </c>
      <c r="G1155" s="67">
        <f>'Historical VAR'!$G$6</f>
        <v>-1.9839729167757107E-2</v>
      </c>
      <c r="H1155">
        <f t="shared" si="107"/>
        <v>0</v>
      </c>
      <c r="I1155" s="67">
        <f>'Historical VAR'!$G$7</f>
        <v>-3.1428916759065853E-2</v>
      </c>
      <c r="J1155">
        <f t="shared" si="108"/>
        <v>0</v>
      </c>
      <c r="K1155" s="67">
        <f ca="1">'Monte Carlo Stimulation'!$I$8</f>
        <v>-2.1559270710709389E-2</v>
      </c>
      <c r="L1155">
        <f t="shared" ca="1" si="109"/>
        <v>0</v>
      </c>
      <c r="M1155" s="67">
        <f ca="1">'Monte Carlo Stimulation'!$I$9</f>
        <v>-2.919314405717207E-2</v>
      </c>
      <c r="N1155">
        <f t="shared" ca="1" si="110"/>
        <v>0</v>
      </c>
    </row>
    <row r="1156" spans="1:14">
      <c r="A1156" s="12">
        <v>44413</v>
      </c>
      <c r="B1156" s="14">
        <v>6.8561801409310931E-3</v>
      </c>
      <c r="C1156" s="67">
        <f>'Parametric VAR'!$F$12</f>
        <v>-2.023068247926026E-2</v>
      </c>
      <c r="D1156">
        <f t="shared" ref="D1156:D1219" si="111">IF(B1156&lt;C1156,1,0)</f>
        <v>0</v>
      </c>
      <c r="E1156" s="67">
        <f>'Parametric VAR'!$F$13</f>
        <v>-2.8682193012943492E-2</v>
      </c>
      <c r="F1156">
        <f t="shared" ref="F1156:F1219" si="112">IF(B1156&lt;E1156,1,0)</f>
        <v>0</v>
      </c>
      <c r="G1156" s="67">
        <f>'Historical VAR'!$G$6</f>
        <v>-1.9839729167757107E-2</v>
      </c>
      <c r="H1156">
        <f t="shared" ref="H1156:H1219" si="113">IF(B1156&lt;G1156,1,0)</f>
        <v>0</v>
      </c>
      <c r="I1156" s="67">
        <f>'Historical VAR'!$G$7</f>
        <v>-3.1428916759065853E-2</v>
      </c>
      <c r="J1156">
        <f t="shared" ref="J1156:J1219" si="114">IF(B1156&lt;I1156,1,0)</f>
        <v>0</v>
      </c>
      <c r="K1156" s="67">
        <f ca="1">'Monte Carlo Stimulation'!$I$8</f>
        <v>-2.1559270710709389E-2</v>
      </c>
      <c r="L1156">
        <f t="shared" ref="L1156:L1219" ca="1" si="115">IF(B1156&lt;K1156,1,0)</f>
        <v>0</v>
      </c>
      <c r="M1156" s="67">
        <f ca="1">'Monte Carlo Stimulation'!$I$9</f>
        <v>-2.919314405717207E-2</v>
      </c>
      <c r="N1156">
        <f t="shared" ref="N1156:N1219" ca="1" si="116">IF(B1156&lt;M1156,1,0)</f>
        <v>0</v>
      </c>
    </row>
    <row r="1157" spans="1:14">
      <c r="A1157" s="12">
        <v>44412</v>
      </c>
      <c r="B1157" s="14">
        <v>7.8381607727229571E-3</v>
      </c>
      <c r="C1157" s="67">
        <f>'Parametric VAR'!$F$12</f>
        <v>-2.023068247926026E-2</v>
      </c>
      <c r="D1157">
        <f t="shared" si="111"/>
        <v>0</v>
      </c>
      <c r="E1157" s="67">
        <f>'Parametric VAR'!$F$13</f>
        <v>-2.8682193012943492E-2</v>
      </c>
      <c r="F1157">
        <f t="shared" si="112"/>
        <v>0</v>
      </c>
      <c r="G1157" s="67">
        <f>'Historical VAR'!$G$6</f>
        <v>-1.9839729167757107E-2</v>
      </c>
      <c r="H1157">
        <f t="shared" si="113"/>
        <v>0</v>
      </c>
      <c r="I1157" s="67">
        <f>'Historical VAR'!$G$7</f>
        <v>-3.1428916759065853E-2</v>
      </c>
      <c r="J1157">
        <f t="shared" si="114"/>
        <v>0</v>
      </c>
      <c r="K1157" s="67">
        <f ca="1">'Monte Carlo Stimulation'!$I$8</f>
        <v>-2.1559270710709389E-2</v>
      </c>
      <c r="L1157">
        <f t="shared" ca="1" si="115"/>
        <v>0</v>
      </c>
      <c r="M1157" s="67">
        <f ca="1">'Monte Carlo Stimulation'!$I$9</f>
        <v>-2.919314405717207E-2</v>
      </c>
      <c r="N1157">
        <f t="shared" ca="1" si="116"/>
        <v>0</v>
      </c>
    </row>
    <row r="1158" spans="1:14">
      <c r="A1158" s="12">
        <v>44411</v>
      </c>
      <c r="B1158" s="14">
        <v>3.7355077289841733E-3</v>
      </c>
      <c r="C1158" s="67">
        <f>'Parametric VAR'!$F$12</f>
        <v>-2.023068247926026E-2</v>
      </c>
      <c r="D1158">
        <f t="shared" si="111"/>
        <v>0</v>
      </c>
      <c r="E1158" s="67">
        <f>'Parametric VAR'!$F$13</f>
        <v>-2.8682193012943492E-2</v>
      </c>
      <c r="F1158">
        <f t="shared" si="112"/>
        <v>0</v>
      </c>
      <c r="G1158" s="67">
        <f>'Historical VAR'!$G$6</f>
        <v>-1.9839729167757107E-2</v>
      </c>
      <c r="H1158">
        <f t="shared" si="113"/>
        <v>0</v>
      </c>
      <c r="I1158" s="67">
        <f>'Historical VAR'!$G$7</f>
        <v>-3.1428916759065853E-2</v>
      </c>
      <c r="J1158">
        <f t="shared" si="114"/>
        <v>0</v>
      </c>
      <c r="K1158" s="67">
        <f ca="1">'Monte Carlo Stimulation'!$I$8</f>
        <v>-2.1559270710709389E-2</v>
      </c>
      <c r="L1158">
        <f t="shared" ca="1" si="115"/>
        <v>0</v>
      </c>
      <c r="M1158" s="67">
        <f ca="1">'Monte Carlo Stimulation'!$I$9</f>
        <v>-2.919314405717207E-2</v>
      </c>
      <c r="N1158">
        <f t="shared" ca="1" si="116"/>
        <v>0</v>
      </c>
    </row>
    <row r="1159" spans="1:14">
      <c r="A1159" s="12">
        <v>44410</v>
      </c>
      <c r="B1159" s="14">
        <v>-1.3630807910686214E-2</v>
      </c>
      <c r="C1159" s="67">
        <f>'Parametric VAR'!$F$12</f>
        <v>-2.023068247926026E-2</v>
      </c>
      <c r="D1159">
        <f t="shared" si="111"/>
        <v>0</v>
      </c>
      <c r="E1159" s="67">
        <f>'Parametric VAR'!$F$13</f>
        <v>-2.8682193012943492E-2</v>
      </c>
      <c r="F1159">
        <f t="shared" si="112"/>
        <v>0</v>
      </c>
      <c r="G1159" s="67">
        <f>'Historical VAR'!$G$6</f>
        <v>-1.9839729167757107E-2</v>
      </c>
      <c r="H1159">
        <f t="shared" si="113"/>
        <v>0</v>
      </c>
      <c r="I1159" s="67">
        <f>'Historical VAR'!$G$7</f>
        <v>-3.1428916759065853E-2</v>
      </c>
      <c r="J1159">
        <f t="shared" si="114"/>
        <v>0</v>
      </c>
      <c r="K1159" s="67">
        <f ca="1">'Monte Carlo Stimulation'!$I$8</f>
        <v>-2.1559270710709389E-2</v>
      </c>
      <c r="L1159">
        <f t="shared" ca="1" si="115"/>
        <v>0</v>
      </c>
      <c r="M1159" s="67">
        <f ca="1">'Monte Carlo Stimulation'!$I$9</f>
        <v>-2.919314405717207E-2</v>
      </c>
      <c r="N1159">
        <f t="shared" ca="1" si="116"/>
        <v>0</v>
      </c>
    </row>
    <row r="1160" spans="1:14">
      <c r="A1160" s="12">
        <v>44407</v>
      </c>
      <c r="B1160" s="14">
        <v>-3.7544422097062005E-3</v>
      </c>
      <c r="C1160" s="67">
        <f>'Parametric VAR'!$F$12</f>
        <v>-2.023068247926026E-2</v>
      </c>
      <c r="D1160">
        <f t="shared" si="111"/>
        <v>0</v>
      </c>
      <c r="E1160" s="67">
        <f>'Parametric VAR'!$F$13</f>
        <v>-2.8682193012943492E-2</v>
      </c>
      <c r="F1160">
        <f t="shared" si="112"/>
        <v>0</v>
      </c>
      <c r="G1160" s="67">
        <f>'Historical VAR'!$G$6</f>
        <v>-1.9839729167757107E-2</v>
      </c>
      <c r="H1160">
        <f t="shared" si="113"/>
        <v>0</v>
      </c>
      <c r="I1160" s="67">
        <f>'Historical VAR'!$G$7</f>
        <v>-3.1428916759065853E-2</v>
      </c>
      <c r="J1160">
        <f t="shared" si="114"/>
        <v>0</v>
      </c>
      <c r="K1160" s="67">
        <f ca="1">'Monte Carlo Stimulation'!$I$8</f>
        <v>-2.1559270710709389E-2</v>
      </c>
      <c r="L1160">
        <f t="shared" ca="1" si="115"/>
        <v>0</v>
      </c>
      <c r="M1160" s="67">
        <f ca="1">'Monte Carlo Stimulation'!$I$9</f>
        <v>-2.919314405717207E-2</v>
      </c>
      <c r="N1160">
        <f t="shared" ca="1" si="116"/>
        <v>0</v>
      </c>
    </row>
    <row r="1161" spans="1:14">
      <c r="A1161" s="12">
        <v>44406</v>
      </c>
      <c r="B1161" s="14">
        <v>8.7751455957338822E-3</v>
      </c>
      <c r="C1161" s="67">
        <f>'Parametric VAR'!$F$12</f>
        <v>-2.023068247926026E-2</v>
      </c>
      <c r="D1161">
        <f t="shared" si="111"/>
        <v>0</v>
      </c>
      <c r="E1161" s="67">
        <f>'Parametric VAR'!$F$13</f>
        <v>-2.8682193012943492E-2</v>
      </c>
      <c r="F1161">
        <f t="shared" si="112"/>
        <v>0</v>
      </c>
      <c r="G1161" s="67">
        <f>'Historical VAR'!$G$6</f>
        <v>-1.9839729167757107E-2</v>
      </c>
      <c r="H1161">
        <f t="shared" si="113"/>
        <v>0</v>
      </c>
      <c r="I1161" s="67">
        <f>'Historical VAR'!$G$7</f>
        <v>-3.1428916759065853E-2</v>
      </c>
      <c r="J1161">
        <f t="shared" si="114"/>
        <v>0</v>
      </c>
      <c r="K1161" s="67">
        <f ca="1">'Monte Carlo Stimulation'!$I$8</f>
        <v>-2.1559270710709389E-2</v>
      </c>
      <c r="L1161">
        <f t="shared" ca="1" si="115"/>
        <v>0</v>
      </c>
      <c r="M1161" s="67">
        <f ca="1">'Monte Carlo Stimulation'!$I$9</f>
        <v>-2.919314405717207E-2</v>
      </c>
      <c r="N1161">
        <f t="shared" ca="1" si="116"/>
        <v>0</v>
      </c>
    </row>
    <row r="1162" spans="1:14">
      <c r="A1162" s="12">
        <v>44405</v>
      </c>
      <c r="B1162" s="14">
        <v>1.6533837523470939E-3</v>
      </c>
      <c r="C1162" s="67">
        <f>'Parametric VAR'!$F$12</f>
        <v>-2.023068247926026E-2</v>
      </c>
      <c r="D1162">
        <f t="shared" si="111"/>
        <v>0</v>
      </c>
      <c r="E1162" s="67">
        <f>'Parametric VAR'!$F$13</f>
        <v>-2.8682193012943492E-2</v>
      </c>
      <c r="F1162">
        <f t="shared" si="112"/>
        <v>0</v>
      </c>
      <c r="G1162" s="67">
        <f>'Historical VAR'!$G$6</f>
        <v>-1.9839729167757107E-2</v>
      </c>
      <c r="H1162">
        <f t="shared" si="113"/>
        <v>0</v>
      </c>
      <c r="I1162" s="67">
        <f>'Historical VAR'!$G$7</f>
        <v>-3.1428916759065853E-2</v>
      </c>
      <c r="J1162">
        <f t="shared" si="114"/>
        <v>0</v>
      </c>
      <c r="K1162" s="67">
        <f ca="1">'Monte Carlo Stimulation'!$I$8</f>
        <v>-2.1559270710709389E-2</v>
      </c>
      <c r="L1162">
        <f t="shared" ca="1" si="115"/>
        <v>0</v>
      </c>
      <c r="M1162" s="67">
        <f ca="1">'Monte Carlo Stimulation'!$I$9</f>
        <v>-2.919314405717207E-2</v>
      </c>
      <c r="N1162">
        <f t="shared" ca="1" si="116"/>
        <v>0</v>
      </c>
    </row>
    <row r="1163" spans="1:14">
      <c r="A1163" s="12">
        <v>44404</v>
      </c>
      <c r="B1163" s="14">
        <v>5.3259868156881815E-3</v>
      </c>
      <c r="C1163" s="67">
        <f>'Parametric VAR'!$F$12</f>
        <v>-2.023068247926026E-2</v>
      </c>
      <c r="D1163">
        <f t="shared" si="111"/>
        <v>0</v>
      </c>
      <c r="E1163" s="67">
        <f>'Parametric VAR'!$F$13</f>
        <v>-2.8682193012943492E-2</v>
      </c>
      <c r="F1163">
        <f t="shared" si="112"/>
        <v>0</v>
      </c>
      <c r="G1163" s="67">
        <f>'Historical VAR'!$G$6</f>
        <v>-1.9839729167757107E-2</v>
      </c>
      <c r="H1163">
        <f t="shared" si="113"/>
        <v>0</v>
      </c>
      <c r="I1163" s="67">
        <f>'Historical VAR'!$G$7</f>
        <v>-3.1428916759065853E-2</v>
      </c>
      <c r="J1163">
        <f t="shared" si="114"/>
        <v>0</v>
      </c>
      <c r="K1163" s="67">
        <f ca="1">'Monte Carlo Stimulation'!$I$8</f>
        <v>-2.1559270710709389E-2</v>
      </c>
      <c r="L1163">
        <f t="shared" ca="1" si="115"/>
        <v>0</v>
      </c>
      <c r="M1163" s="67">
        <f ca="1">'Monte Carlo Stimulation'!$I$9</f>
        <v>-2.919314405717207E-2</v>
      </c>
      <c r="N1163">
        <f t="shared" ca="1" si="116"/>
        <v>0</v>
      </c>
    </row>
    <row r="1164" spans="1:14">
      <c r="A1164" s="12">
        <v>44403</v>
      </c>
      <c r="B1164" s="14">
        <v>9.2052288314338933E-3</v>
      </c>
      <c r="C1164" s="67">
        <f>'Parametric VAR'!$F$12</f>
        <v>-2.023068247926026E-2</v>
      </c>
      <c r="D1164">
        <f t="shared" si="111"/>
        <v>0</v>
      </c>
      <c r="E1164" s="67">
        <f>'Parametric VAR'!$F$13</f>
        <v>-2.8682193012943492E-2</v>
      </c>
      <c r="F1164">
        <f t="shared" si="112"/>
        <v>0</v>
      </c>
      <c r="G1164" s="67">
        <f>'Historical VAR'!$G$6</f>
        <v>-1.9839729167757107E-2</v>
      </c>
      <c r="H1164">
        <f t="shared" si="113"/>
        <v>0</v>
      </c>
      <c r="I1164" s="67">
        <f>'Historical VAR'!$G$7</f>
        <v>-3.1428916759065853E-2</v>
      </c>
      <c r="J1164">
        <f t="shared" si="114"/>
        <v>0</v>
      </c>
      <c r="K1164" s="67">
        <f ca="1">'Monte Carlo Stimulation'!$I$8</f>
        <v>-2.1559270710709389E-2</v>
      </c>
      <c r="L1164">
        <f t="shared" ca="1" si="115"/>
        <v>0</v>
      </c>
      <c r="M1164" s="67">
        <f ca="1">'Monte Carlo Stimulation'!$I$9</f>
        <v>-2.919314405717207E-2</v>
      </c>
      <c r="N1164">
        <f t="shared" ca="1" si="116"/>
        <v>0</v>
      </c>
    </row>
    <row r="1165" spans="1:14">
      <c r="A1165" s="12">
        <v>44400</v>
      </c>
      <c r="B1165" s="14">
        <v>7.1655795192802673E-3</v>
      </c>
      <c r="C1165" s="67">
        <f>'Parametric VAR'!$F$12</f>
        <v>-2.023068247926026E-2</v>
      </c>
      <c r="D1165">
        <f t="shared" si="111"/>
        <v>0</v>
      </c>
      <c r="E1165" s="67">
        <f>'Parametric VAR'!$F$13</f>
        <v>-2.8682193012943492E-2</v>
      </c>
      <c r="F1165">
        <f t="shared" si="112"/>
        <v>0</v>
      </c>
      <c r="G1165" s="67">
        <f>'Historical VAR'!$G$6</f>
        <v>-1.9839729167757107E-2</v>
      </c>
      <c r="H1165">
        <f t="shared" si="113"/>
        <v>0</v>
      </c>
      <c r="I1165" s="67">
        <f>'Historical VAR'!$G$7</f>
        <v>-3.1428916759065853E-2</v>
      </c>
      <c r="J1165">
        <f t="shared" si="114"/>
        <v>0</v>
      </c>
      <c r="K1165" s="67">
        <f ca="1">'Monte Carlo Stimulation'!$I$8</f>
        <v>-2.1559270710709389E-2</v>
      </c>
      <c r="L1165">
        <f t="shared" ca="1" si="115"/>
        <v>0</v>
      </c>
      <c r="M1165" s="67">
        <f ca="1">'Monte Carlo Stimulation'!$I$9</f>
        <v>-2.919314405717207E-2</v>
      </c>
      <c r="N1165">
        <f t="shared" ca="1" si="116"/>
        <v>0</v>
      </c>
    </row>
    <row r="1166" spans="1:14">
      <c r="A1166" s="12">
        <v>44399</v>
      </c>
      <c r="B1166" s="14">
        <v>5.311989968997885E-3</v>
      </c>
      <c r="C1166" s="67">
        <f>'Parametric VAR'!$F$12</f>
        <v>-2.023068247926026E-2</v>
      </c>
      <c r="D1166">
        <f t="shared" si="111"/>
        <v>0</v>
      </c>
      <c r="E1166" s="67">
        <f>'Parametric VAR'!$F$13</f>
        <v>-2.8682193012943492E-2</v>
      </c>
      <c r="F1166">
        <f t="shared" si="112"/>
        <v>0</v>
      </c>
      <c r="G1166" s="67">
        <f>'Historical VAR'!$G$6</f>
        <v>-1.9839729167757107E-2</v>
      </c>
      <c r="H1166">
        <f t="shared" si="113"/>
        <v>0</v>
      </c>
      <c r="I1166" s="67">
        <f>'Historical VAR'!$G$7</f>
        <v>-3.1428916759065853E-2</v>
      </c>
      <c r="J1166">
        <f t="shared" si="114"/>
        <v>0</v>
      </c>
      <c r="K1166" s="67">
        <f ca="1">'Monte Carlo Stimulation'!$I$8</f>
        <v>-2.1559270710709389E-2</v>
      </c>
      <c r="L1166">
        <f t="shared" ca="1" si="115"/>
        <v>0</v>
      </c>
      <c r="M1166" s="67">
        <f ca="1">'Monte Carlo Stimulation'!$I$9</f>
        <v>-2.919314405717207E-2</v>
      </c>
      <c r="N1166">
        <f t="shared" ca="1" si="116"/>
        <v>0</v>
      </c>
    </row>
    <row r="1167" spans="1:14">
      <c r="A1167" s="12">
        <v>44397</v>
      </c>
      <c r="B1167" s="14">
        <v>1.3342906142010976E-2</v>
      </c>
      <c r="C1167" s="67">
        <f>'Parametric VAR'!$F$12</f>
        <v>-2.023068247926026E-2</v>
      </c>
      <c r="D1167">
        <f t="shared" si="111"/>
        <v>0</v>
      </c>
      <c r="E1167" s="67">
        <f>'Parametric VAR'!$F$13</f>
        <v>-2.8682193012943492E-2</v>
      </c>
      <c r="F1167">
        <f t="shared" si="112"/>
        <v>0</v>
      </c>
      <c r="G1167" s="67">
        <f>'Historical VAR'!$G$6</f>
        <v>-1.9839729167757107E-2</v>
      </c>
      <c r="H1167">
        <f t="shared" si="113"/>
        <v>0</v>
      </c>
      <c r="I1167" s="67">
        <f>'Historical VAR'!$G$7</f>
        <v>-3.1428916759065853E-2</v>
      </c>
      <c r="J1167">
        <f t="shared" si="114"/>
        <v>0</v>
      </c>
      <c r="K1167" s="67">
        <f ca="1">'Monte Carlo Stimulation'!$I$8</f>
        <v>-2.1559270710709389E-2</v>
      </c>
      <c r="L1167">
        <f t="shared" ca="1" si="115"/>
        <v>0</v>
      </c>
      <c r="M1167" s="67">
        <f ca="1">'Monte Carlo Stimulation'!$I$9</f>
        <v>-2.919314405717207E-2</v>
      </c>
      <c r="N1167">
        <f t="shared" ca="1" si="116"/>
        <v>0</v>
      </c>
    </row>
    <row r="1168" spans="1:14">
      <c r="A1168" s="12">
        <v>44396</v>
      </c>
      <c r="B1168" s="14">
        <v>-4.8768707072798533E-2</v>
      </c>
      <c r="C1168" s="67">
        <f>'Parametric VAR'!$F$12</f>
        <v>-2.023068247926026E-2</v>
      </c>
      <c r="D1168">
        <f t="shared" si="111"/>
        <v>1</v>
      </c>
      <c r="E1168" s="67">
        <f>'Parametric VAR'!$F$13</f>
        <v>-2.8682193012943492E-2</v>
      </c>
      <c r="F1168">
        <f t="shared" si="112"/>
        <v>1</v>
      </c>
      <c r="G1168" s="67">
        <f>'Historical VAR'!$G$6</f>
        <v>-1.9839729167757107E-2</v>
      </c>
      <c r="H1168">
        <f t="shared" si="113"/>
        <v>1</v>
      </c>
      <c r="I1168" s="67">
        <f>'Historical VAR'!$G$7</f>
        <v>-3.1428916759065853E-2</v>
      </c>
      <c r="J1168">
        <f t="shared" si="114"/>
        <v>1</v>
      </c>
      <c r="K1168" s="67">
        <f ca="1">'Monte Carlo Stimulation'!$I$8</f>
        <v>-2.1559270710709389E-2</v>
      </c>
      <c r="L1168">
        <f t="shared" ca="1" si="115"/>
        <v>1</v>
      </c>
      <c r="M1168" s="67">
        <f ca="1">'Monte Carlo Stimulation'!$I$9</f>
        <v>-2.919314405717207E-2</v>
      </c>
      <c r="N1168">
        <f t="shared" ca="1" si="116"/>
        <v>1</v>
      </c>
    </row>
    <row r="1169" spans="1:14">
      <c r="A1169" s="12">
        <v>44393</v>
      </c>
      <c r="B1169" s="14">
        <v>3.7429923048373083E-3</v>
      </c>
      <c r="C1169" s="67">
        <f>'Parametric VAR'!$F$12</f>
        <v>-2.023068247926026E-2</v>
      </c>
      <c r="D1169">
        <f t="shared" si="111"/>
        <v>0</v>
      </c>
      <c r="E1169" s="67">
        <f>'Parametric VAR'!$F$13</f>
        <v>-2.8682193012943492E-2</v>
      </c>
      <c r="F1169">
        <f t="shared" si="112"/>
        <v>0</v>
      </c>
      <c r="G1169" s="67">
        <f>'Historical VAR'!$G$6</f>
        <v>-1.9839729167757107E-2</v>
      </c>
      <c r="H1169">
        <f t="shared" si="113"/>
        <v>0</v>
      </c>
      <c r="I1169" s="67">
        <f>'Historical VAR'!$G$7</f>
        <v>-3.1428916759065853E-2</v>
      </c>
      <c r="J1169">
        <f t="shared" si="114"/>
        <v>0</v>
      </c>
      <c r="K1169" s="67">
        <f ca="1">'Monte Carlo Stimulation'!$I$8</f>
        <v>-2.1559270710709389E-2</v>
      </c>
      <c r="L1169">
        <f t="shared" ca="1" si="115"/>
        <v>0</v>
      </c>
      <c r="M1169" s="67">
        <f ca="1">'Monte Carlo Stimulation'!$I$9</f>
        <v>-2.919314405717207E-2</v>
      </c>
      <c r="N1169">
        <f t="shared" ca="1" si="116"/>
        <v>0</v>
      </c>
    </row>
    <row r="1170" spans="1:14">
      <c r="A1170" s="12">
        <v>44392</v>
      </c>
      <c r="B1170" s="14">
        <v>-2.184467534949872E-3</v>
      </c>
      <c r="C1170" s="67">
        <f>'Parametric VAR'!$F$12</f>
        <v>-2.023068247926026E-2</v>
      </c>
      <c r="D1170">
        <f t="shared" si="111"/>
        <v>0</v>
      </c>
      <c r="E1170" s="67">
        <f>'Parametric VAR'!$F$13</f>
        <v>-2.8682193012943492E-2</v>
      </c>
      <c r="F1170">
        <f t="shared" si="112"/>
        <v>0</v>
      </c>
      <c r="G1170" s="67">
        <f>'Historical VAR'!$G$6</f>
        <v>-1.9839729167757107E-2</v>
      </c>
      <c r="H1170">
        <f t="shared" si="113"/>
        <v>0</v>
      </c>
      <c r="I1170" s="67">
        <f>'Historical VAR'!$G$7</f>
        <v>-3.1428916759065853E-2</v>
      </c>
      <c r="J1170">
        <f t="shared" si="114"/>
        <v>0</v>
      </c>
      <c r="K1170" s="67">
        <f ca="1">'Monte Carlo Stimulation'!$I$8</f>
        <v>-2.1559270710709389E-2</v>
      </c>
      <c r="L1170">
        <f t="shared" ca="1" si="115"/>
        <v>0</v>
      </c>
      <c r="M1170" s="67">
        <f ca="1">'Monte Carlo Stimulation'!$I$9</f>
        <v>-2.919314405717207E-2</v>
      </c>
      <c r="N1170">
        <f t="shared" ca="1" si="116"/>
        <v>0</v>
      </c>
    </row>
    <row r="1171" spans="1:14">
      <c r="A1171" s="12">
        <v>44391</v>
      </c>
      <c r="B1171" s="14">
        <v>4.1546694548605257E-3</v>
      </c>
      <c r="C1171" s="67">
        <f>'Parametric VAR'!$F$12</f>
        <v>-2.023068247926026E-2</v>
      </c>
      <c r="D1171">
        <f t="shared" si="111"/>
        <v>0</v>
      </c>
      <c r="E1171" s="67">
        <f>'Parametric VAR'!$F$13</f>
        <v>-2.8682193012943492E-2</v>
      </c>
      <c r="F1171">
        <f t="shared" si="112"/>
        <v>0</v>
      </c>
      <c r="G1171" s="67">
        <f>'Historical VAR'!$G$6</f>
        <v>-1.9839729167757107E-2</v>
      </c>
      <c r="H1171">
        <f t="shared" si="113"/>
        <v>0</v>
      </c>
      <c r="I1171" s="67">
        <f>'Historical VAR'!$G$7</f>
        <v>-3.1428916759065853E-2</v>
      </c>
      <c r="J1171">
        <f t="shared" si="114"/>
        <v>0</v>
      </c>
      <c r="K1171" s="67">
        <f ca="1">'Monte Carlo Stimulation'!$I$8</f>
        <v>-2.1559270710709389E-2</v>
      </c>
      <c r="L1171">
        <f t="shared" ca="1" si="115"/>
        <v>0</v>
      </c>
      <c r="M1171" s="67">
        <f ca="1">'Monte Carlo Stimulation'!$I$9</f>
        <v>-2.919314405717207E-2</v>
      </c>
      <c r="N1171">
        <f t="shared" ca="1" si="116"/>
        <v>0</v>
      </c>
    </row>
    <row r="1172" spans="1:14">
      <c r="A1172" s="12">
        <v>44390</v>
      </c>
      <c r="B1172" s="14">
        <v>-2.787544476002447E-3</v>
      </c>
      <c r="C1172" s="67">
        <f>'Parametric VAR'!$F$12</f>
        <v>-2.023068247926026E-2</v>
      </c>
      <c r="D1172">
        <f t="shared" si="111"/>
        <v>0</v>
      </c>
      <c r="E1172" s="67">
        <f>'Parametric VAR'!$F$13</f>
        <v>-2.8682193012943492E-2</v>
      </c>
      <c r="F1172">
        <f t="shared" si="112"/>
        <v>0</v>
      </c>
      <c r="G1172" s="67">
        <f>'Historical VAR'!$G$6</f>
        <v>-1.9839729167757107E-2</v>
      </c>
      <c r="H1172">
        <f t="shared" si="113"/>
        <v>0</v>
      </c>
      <c r="I1172" s="67">
        <f>'Historical VAR'!$G$7</f>
        <v>-3.1428916759065853E-2</v>
      </c>
      <c r="J1172">
        <f t="shared" si="114"/>
        <v>0</v>
      </c>
      <c r="K1172" s="67">
        <f ca="1">'Monte Carlo Stimulation'!$I$8</f>
        <v>-2.1559270710709389E-2</v>
      </c>
      <c r="L1172">
        <f t="shared" ca="1" si="115"/>
        <v>0</v>
      </c>
      <c r="M1172" s="67">
        <f ca="1">'Monte Carlo Stimulation'!$I$9</f>
        <v>-2.919314405717207E-2</v>
      </c>
      <c r="N1172">
        <f t="shared" ca="1" si="116"/>
        <v>0</v>
      </c>
    </row>
    <row r="1173" spans="1:14">
      <c r="A1173" s="12">
        <v>44389</v>
      </c>
      <c r="B1173" s="14">
        <v>1.4154486919726401E-3</v>
      </c>
      <c r="C1173" s="67">
        <f>'Parametric VAR'!$F$12</f>
        <v>-2.023068247926026E-2</v>
      </c>
      <c r="D1173">
        <f t="shared" si="111"/>
        <v>0</v>
      </c>
      <c r="E1173" s="67">
        <f>'Parametric VAR'!$F$13</f>
        <v>-2.8682193012943492E-2</v>
      </c>
      <c r="F1173">
        <f t="shared" si="112"/>
        <v>0</v>
      </c>
      <c r="G1173" s="67">
        <f>'Historical VAR'!$G$6</f>
        <v>-1.9839729167757107E-2</v>
      </c>
      <c r="H1173">
        <f t="shared" si="113"/>
        <v>0</v>
      </c>
      <c r="I1173" s="67">
        <f>'Historical VAR'!$G$7</f>
        <v>-3.1428916759065853E-2</v>
      </c>
      <c r="J1173">
        <f t="shared" si="114"/>
        <v>0</v>
      </c>
      <c r="K1173" s="67">
        <f ca="1">'Monte Carlo Stimulation'!$I$8</f>
        <v>-2.1559270710709389E-2</v>
      </c>
      <c r="L1173">
        <f t="shared" ca="1" si="115"/>
        <v>0</v>
      </c>
      <c r="M1173" s="67">
        <f ca="1">'Monte Carlo Stimulation'!$I$9</f>
        <v>-2.919314405717207E-2</v>
      </c>
      <c r="N1173">
        <f t="shared" ca="1" si="116"/>
        <v>0</v>
      </c>
    </row>
    <row r="1174" spans="1:14">
      <c r="A1174" s="12">
        <v>44386</v>
      </c>
      <c r="B1174" s="14">
        <v>4.1969883212741692E-3</v>
      </c>
      <c r="C1174" s="67">
        <f>'Parametric VAR'!$F$12</f>
        <v>-2.023068247926026E-2</v>
      </c>
      <c r="D1174">
        <f t="shared" si="111"/>
        <v>0</v>
      </c>
      <c r="E1174" s="67">
        <f>'Parametric VAR'!$F$13</f>
        <v>-2.8682193012943492E-2</v>
      </c>
      <c r="F1174">
        <f t="shared" si="112"/>
        <v>0</v>
      </c>
      <c r="G1174" s="67">
        <f>'Historical VAR'!$G$6</f>
        <v>-1.9839729167757107E-2</v>
      </c>
      <c r="H1174">
        <f t="shared" si="113"/>
        <v>0</v>
      </c>
      <c r="I1174" s="67">
        <f>'Historical VAR'!$G$7</f>
        <v>-3.1428916759065853E-2</v>
      </c>
      <c r="J1174">
        <f t="shared" si="114"/>
        <v>0</v>
      </c>
      <c r="K1174" s="67">
        <f ca="1">'Monte Carlo Stimulation'!$I$8</f>
        <v>-2.1559270710709389E-2</v>
      </c>
      <c r="L1174">
        <f t="shared" ca="1" si="115"/>
        <v>0</v>
      </c>
      <c r="M1174" s="67">
        <f ca="1">'Monte Carlo Stimulation'!$I$9</f>
        <v>-2.919314405717207E-2</v>
      </c>
      <c r="N1174">
        <f t="shared" ca="1" si="116"/>
        <v>0</v>
      </c>
    </row>
    <row r="1175" spans="1:14">
      <c r="A1175" s="12">
        <v>44385</v>
      </c>
      <c r="B1175" s="14">
        <v>3.7990881979019318E-3</v>
      </c>
      <c r="C1175" s="67">
        <f>'Parametric VAR'!$F$12</f>
        <v>-2.023068247926026E-2</v>
      </c>
      <c r="D1175">
        <f t="shared" si="111"/>
        <v>0</v>
      </c>
      <c r="E1175" s="67">
        <f>'Parametric VAR'!$F$13</f>
        <v>-2.8682193012943492E-2</v>
      </c>
      <c r="F1175">
        <f t="shared" si="112"/>
        <v>0</v>
      </c>
      <c r="G1175" s="67">
        <f>'Historical VAR'!$G$6</f>
        <v>-1.9839729167757107E-2</v>
      </c>
      <c r="H1175">
        <f t="shared" si="113"/>
        <v>0</v>
      </c>
      <c r="I1175" s="67">
        <f>'Historical VAR'!$G$7</f>
        <v>-3.1428916759065853E-2</v>
      </c>
      <c r="J1175">
        <f t="shared" si="114"/>
        <v>0</v>
      </c>
      <c r="K1175" s="67">
        <f ca="1">'Monte Carlo Stimulation'!$I$8</f>
        <v>-2.1559270710709389E-2</v>
      </c>
      <c r="L1175">
        <f t="shared" ca="1" si="115"/>
        <v>0</v>
      </c>
      <c r="M1175" s="67">
        <f ca="1">'Monte Carlo Stimulation'!$I$9</f>
        <v>-2.919314405717207E-2</v>
      </c>
      <c r="N1175">
        <f t="shared" ca="1" si="116"/>
        <v>0</v>
      </c>
    </row>
    <row r="1176" spans="1:14">
      <c r="A1176" s="12">
        <v>44384</v>
      </c>
      <c r="B1176" s="14">
        <v>4.7196045609849751E-3</v>
      </c>
      <c r="C1176" s="67">
        <f>'Parametric VAR'!$F$12</f>
        <v>-2.023068247926026E-2</v>
      </c>
      <c r="D1176">
        <f t="shared" si="111"/>
        <v>0</v>
      </c>
      <c r="E1176" s="67">
        <f>'Parametric VAR'!$F$13</f>
        <v>-2.8682193012943492E-2</v>
      </c>
      <c r="F1176">
        <f t="shared" si="112"/>
        <v>0</v>
      </c>
      <c r="G1176" s="67">
        <f>'Historical VAR'!$G$6</f>
        <v>-1.9839729167757107E-2</v>
      </c>
      <c r="H1176">
        <f t="shared" si="113"/>
        <v>0</v>
      </c>
      <c r="I1176" s="67">
        <f>'Historical VAR'!$G$7</f>
        <v>-3.1428916759065853E-2</v>
      </c>
      <c r="J1176">
        <f t="shared" si="114"/>
        <v>0</v>
      </c>
      <c r="K1176" s="67">
        <f ca="1">'Monte Carlo Stimulation'!$I$8</f>
        <v>-2.1559270710709389E-2</v>
      </c>
      <c r="L1176">
        <f t="shared" ca="1" si="115"/>
        <v>0</v>
      </c>
      <c r="M1176" s="67">
        <f ca="1">'Monte Carlo Stimulation'!$I$9</f>
        <v>-2.919314405717207E-2</v>
      </c>
      <c r="N1176">
        <f t="shared" ca="1" si="116"/>
        <v>0</v>
      </c>
    </row>
    <row r="1177" spans="1:14">
      <c r="A1177" s="12">
        <v>44383</v>
      </c>
      <c r="B1177" s="14">
        <v>-1.4820900420033912E-2</v>
      </c>
      <c r="C1177" s="67">
        <f>'Parametric VAR'!$F$12</f>
        <v>-2.023068247926026E-2</v>
      </c>
      <c r="D1177">
        <f t="shared" si="111"/>
        <v>0</v>
      </c>
      <c r="E1177" s="67">
        <f>'Parametric VAR'!$F$13</f>
        <v>-2.8682193012943492E-2</v>
      </c>
      <c r="F1177">
        <f t="shared" si="112"/>
        <v>0</v>
      </c>
      <c r="G1177" s="67">
        <f>'Historical VAR'!$G$6</f>
        <v>-1.9839729167757107E-2</v>
      </c>
      <c r="H1177">
        <f t="shared" si="113"/>
        <v>0</v>
      </c>
      <c r="I1177" s="67">
        <f>'Historical VAR'!$G$7</f>
        <v>-3.1428916759065853E-2</v>
      </c>
      <c r="J1177">
        <f t="shared" si="114"/>
        <v>0</v>
      </c>
      <c r="K1177" s="67">
        <f ca="1">'Monte Carlo Stimulation'!$I$8</f>
        <v>-2.1559270710709389E-2</v>
      </c>
      <c r="L1177">
        <f t="shared" ca="1" si="115"/>
        <v>0</v>
      </c>
      <c r="M1177" s="67">
        <f ca="1">'Monte Carlo Stimulation'!$I$9</f>
        <v>-2.919314405717207E-2</v>
      </c>
      <c r="N1177">
        <f t="shared" ca="1" si="116"/>
        <v>0</v>
      </c>
    </row>
    <row r="1178" spans="1:14">
      <c r="A1178" s="12">
        <v>44382</v>
      </c>
      <c r="B1178" s="14">
        <v>2.4293224305486096E-3</v>
      </c>
      <c r="C1178" s="67">
        <f>'Parametric VAR'!$F$12</f>
        <v>-2.023068247926026E-2</v>
      </c>
      <c r="D1178">
        <f t="shared" si="111"/>
        <v>0</v>
      </c>
      <c r="E1178" s="67">
        <f>'Parametric VAR'!$F$13</f>
        <v>-2.8682193012943492E-2</v>
      </c>
      <c r="F1178">
        <f t="shared" si="112"/>
        <v>0</v>
      </c>
      <c r="G1178" s="67">
        <f>'Historical VAR'!$G$6</f>
        <v>-1.9839729167757107E-2</v>
      </c>
      <c r="H1178">
        <f t="shared" si="113"/>
        <v>0</v>
      </c>
      <c r="I1178" s="67">
        <f>'Historical VAR'!$G$7</f>
        <v>-3.1428916759065853E-2</v>
      </c>
      <c r="J1178">
        <f t="shared" si="114"/>
        <v>0</v>
      </c>
      <c r="K1178" s="67">
        <f ca="1">'Monte Carlo Stimulation'!$I$8</f>
        <v>-2.1559270710709389E-2</v>
      </c>
      <c r="L1178">
        <f t="shared" ca="1" si="115"/>
        <v>0</v>
      </c>
      <c r="M1178" s="67">
        <f ca="1">'Monte Carlo Stimulation'!$I$9</f>
        <v>-2.919314405717207E-2</v>
      </c>
      <c r="N1178">
        <f t="shared" ca="1" si="116"/>
        <v>0</v>
      </c>
    </row>
    <row r="1179" spans="1:14">
      <c r="A1179" s="12">
        <v>44379</v>
      </c>
      <c r="B1179" s="14">
        <v>-5.2443763092621222E-3</v>
      </c>
      <c r="C1179" s="67">
        <f>'Parametric VAR'!$F$12</f>
        <v>-2.023068247926026E-2</v>
      </c>
      <c r="D1179">
        <f t="shared" si="111"/>
        <v>0</v>
      </c>
      <c r="E1179" s="67">
        <f>'Parametric VAR'!$F$13</f>
        <v>-2.8682193012943492E-2</v>
      </c>
      <c r="F1179">
        <f t="shared" si="112"/>
        <v>0</v>
      </c>
      <c r="G1179" s="67">
        <f>'Historical VAR'!$G$6</f>
        <v>-1.9839729167757107E-2</v>
      </c>
      <c r="H1179">
        <f t="shared" si="113"/>
        <v>0</v>
      </c>
      <c r="I1179" s="67">
        <f>'Historical VAR'!$G$7</f>
        <v>-3.1428916759065853E-2</v>
      </c>
      <c r="J1179">
        <f t="shared" si="114"/>
        <v>0</v>
      </c>
      <c r="K1179" s="67">
        <f ca="1">'Monte Carlo Stimulation'!$I$8</f>
        <v>-2.1559270710709389E-2</v>
      </c>
      <c r="L1179">
        <f t="shared" ca="1" si="115"/>
        <v>0</v>
      </c>
      <c r="M1179" s="67">
        <f ca="1">'Monte Carlo Stimulation'!$I$9</f>
        <v>-2.919314405717207E-2</v>
      </c>
      <c r="N1179">
        <f t="shared" ca="1" si="116"/>
        <v>0</v>
      </c>
    </row>
    <row r="1180" spans="1:14">
      <c r="A1180" s="12">
        <v>44378</v>
      </c>
      <c r="B1180" s="14">
        <v>2.4835625146401473E-3</v>
      </c>
      <c r="C1180" s="67">
        <f>'Parametric VAR'!$F$12</f>
        <v>-2.023068247926026E-2</v>
      </c>
      <c r="D1180">
        <f t="shared" si="111"/>
        <v>0</v>
      </c>
      <c r="E1180" s="67">
        <f>'Parametric VAR'!$F$13</f>
        <v>-2.8682193012943492E-2</v>
      </c>
      <c r="F1180">
        <f t="shared" si="112"/>
        <v>0</v>
      </c>
      <c r="G1180" s="67">
        <f>'Historical VAR'!$G$6</f>
        <v>-1.9839729167757107E-2</v>
      </c>
      <c r="H1180">
        <f t="shared" si="113"/>
        <v>0</v>
      </c>
      <c r="I1180" s="67">
        <f>'Historical VAR'!$G$7</f>
        <v>-3.1428916759065853E-2</v>
      </c>
      <c r="J1180">
        <f t="shared" si="114"/>
        <v>0</v>
      </c>
      <c r="K1180" s="67">
        <f ca="1">'Monte Carlo Stimulation'!$I$8</f>
        <v>-2.1559270710709389E-2</v>
      </c>
      <c r="L1180">
        <f t="shared" ca="1" si="115"/>
        <v>0</v>
      </c>
      <c r="M1180" s="67">
        <f ca="1">'Monte Carlo Stimulation'!$I$9</f>
        <v>-2.919314405717207E-2</v>
      </c>
      <c r="N1180">
        <f t="shared" ca="1" si="116"/>
        <v>0</v>
      </c>
    </row>
    <row r="1181" spans="1:14">
      <c r="A1181" s="12">
        <v>44377</v>
      </c>
      <c r="B1181" s="14">
        <v>-6.7963693017142847E-3</v>
      </c>
      <c r="C1181" s="67">
        <f>'Parametric VAR'!$F$12</f>
        <v>-2.023068247926026E-2</v>
      </c>
      <c r="D1181">
        <f t="shared" si="111"/>
        <v>0</v>
      </c>
      <c r="E1181" s="67">
        <f>'Parametric VAR'!$F$13</f>
        <v>-2.8682193012943492E-2</v>
      </c>
      <c r="F1181">
        <f t="shared" si="112"/>
        <v>0</v>
      </c>
      <c r="G1181" s="67">
        <f>'Historical VAR'!$G$6</f>
        <v>-1.9839729167757107E-2</v>
      </c>
      <c r="H1181">
        <f t="shared" si="113"/>
        <v>0</v>
      </c>
      <c r="I1181" s="67">
        <f>'Historical VAR'!$G$7</f>
        <v>-3.1428916759065853E-2</v>
      </c>
      <c r="J1181">
        <f t="shared" si="114"/>
        <v>0</v>
      </c>
      <c r="K1181" s="67">
        <f ca="1">'Monte Carlo Stimulation'!$I$8</f>
        <v>-2.1559270710709389E-2</v>
      </c>
      <c r="L1181">
        <f t="shared" ca="1" si="115"/>
        <v>0</v>
      </c>
      <c r="M1181" s="67">
        <f ca="1">'Monte Carlo Stimulation'!$I$9</f>
        <v>-2.919314405717207E-2</v>
      </c>
      <c r="N1181">
        <f t="shared" ca="1" si="116"/>
        <v>0</v>
      </c>
    </row>
    <row r="1182" spans="1:14">
      <c r="A1182" s="12">
        <v>44376</v>
      </c>
      <c r="B1182" s="14">
        <v>2.2180296983859748E-3</v>
      </c>
      <c r="C1182" s="67">
        <f>'Parametric VAR'!$F$12</f>
        <v>-2.023068247926026E-2</v>
      </c>
      <c r="D1182">
        <f t="shared" si="111"/>
        <v>0</v>
      </c>
      <c r="E1182" s="67">
        <f>'Parametric VAR'!$F$13</f>
        <v>-2.8682193012943492E-2</v>
      </c>
      <c r="F1182">
        <f t="shared" si="112"/>
        <v>0</v>
      </c>
      <c r="G1182" s="67">
        <f>'Historical VAR'!$G$6</f>
        <v>-1.9839729167757107E-2</v>
      </c>
      <c r="H1182">
        <f t="shared" si="113"/>
        <v>0</v>
      </c>
      <c r="I1182" s="67">
        <f>'Historical VAR'!$G$7</f>
        <v>-3.1428916759065853E-2</v>
      </c>
      <c r="J1182">
        <f t="shared" si="114"/>
        <v>0</v>
      </c>
      <c r="K1182" s="67">
        <f ca="1">'Monte Carlo Stimulation'!$I$8</f>
        <v>-2.1559270710709389E-2</v>
      </c>
      <c r="L1182">
        <f t="shared" ca="1" si="115"/>
        <v>0</v>
      </c>
      <c r="M1182" s="67">
        <f ca="1">'Monte Carlo Stimulation'!$I$9</f>
        <v>-2.919314405717207E-2</v>
      </c>
      <c r="N1182">
        <f t="shared" ca="1" si="116"/>
        <v>0</v>
      </c>
    </row>
    <row r="1183" spans="1:14">
      <c r="A1183" s="12">
        <v>44375</v>
      </c>
      <c r="B1183" s="14">
        <v>-4.4725405217301744E-3</v>
      </c>
      <c r="C1183" s="67">
        <f>'Parametric VAR'!$F$12</f>
        <v>-2.023068247926026E-2</v>
      </c>
      <c r="D1183">
        <f t="shared" si="111"/>
        <v>0</v>
      </c>
      <c r="E1183" s="67">
        <f>'Parametric VAR'!$F$13</f>
        <v>-2.8682193012943492E-2</v>
      </c>
      <c r="F1183">
        <f t="shared" si="112"/>
        <v>0</v>
      </c>
      <c r="G1183" s="67">
        <f>'Historical VAR'!$G$6</f>
        <v>-1.9839729167757107E-2</v>
      </c>
      <c r="H1183">
        <f t="shared" si="113"/>
        <v>0</v>
      </c>
      <c r="I1183" s="67">
        <f>'Historical VAR'!$G$7</f>
        <v>-3.1428916759065853E-2</v>
      </c>
      <c r="J1183">
        <f t="shared" si="114"/>
        <v>0</v>
      </c>
      <c r="K1183" s="67">
        <f ca="1">'Monte Carlo Stimulation'!$I$8</f>
        <v>-2.1559270710709389E-2</v>
      </c>
      <c r="L1183">
        <f t="shared" ca="1" si="115"/>
        <v>0</v>
      </c>
      <c r="M1183" s="67">
        <f ca="1">'Monte Carlo Stimulation'!$I$9</f>
        <v>-2.919314405717207E-2</v>
      </c>
      <c r="N1183">
        <f t="shared" ca="1" si="116"/>
        <v>0</v>
      </c>
    </row>
    <row r="1184" spans="1:14">
      <c r="A1184" s="12">
        <v>44372</v>
      </c>
      <c r="B1184" s="14">
        <v>5.2869229965976762E-3</v>
      </c>
      <c r="C1184" s="67">
        <f>'Parametric VAR'!$F$12</f>
        <v>-2.023068247926026E-2</v>
      </c>
      <c r="D1184">
        <f t="shared" si="111"/>
        <v>0</v>
      </c>
      <c r="E1184" s="67">
        <f>'Parametric VAR'!$F$13</f>
        <v>-2.8682193012943492E-2</v>
      </c>
      <c r="F1184">
        <f t="shared" si="112"/>
        <v>0</v>
      </c>
      <c r="G1184" s="67">
        <f>'Historical VAR'!$G$6</f>
        <v>-1.9839729167757107E-2</v>
      </c>
      <c r="H1184">
        <f t="shared" si="113"/>
        <v>0</v>
      </c>
      <c r="I1184" s="67">
        <f>'Historical VAR'!$G$7</f>
        <v>-3.1428916759065853E-2</v>
      </c>
      <c r="J1184">
        <f t="shared" si="114"/>
        <v>0</v>
      </c>
      <c r="K1184" s="67">
        <f ca="1">'Monte Carlo Stimulation'!$I$8</f>
        <v>-2.1559270710709389E-2</v>
      </c>
      <c r="L1184">
        <f t="shared" ca="1" si="115"/>
        <v>0</v>
      </c>
      <c r="M1184" s="67">
        <f ca="1">'Monte Carlo Stimulation'!$I$9</f>
        <v>-2.919314405717207E-2</v>
      </c>
      <c r="N1184">
        <f t="shared" ca="1" si="116"/>
        <v>0</v>
      </c>
    </row>
    <row r="1185" spans="1:14">
      <c r="A1185" s="12">
        <v>44371</v>
      </c>
      <c r="B1185" s="14">
        <v>1.156674220634127E-2</v>
      </c>
      <c r="C1185" s="67">
        <f>'Parametric VAR'!$F$12</f>
        <v>-2.023068247926026E-2</v>
      </c>
      <c r="D1185">
        <f t="shared" si="111"/>
        <v>0</v>
      </c>
      <c r="E1185" s="67">
        <f>'Parametric VAR'!$F$13</f>
        <v>-2.8682193012943492E-2</v>
      </c>
      <c r="F1185">
        <f t="shared" si="112"/>
        <v>0</v>
      </c>
      <c r="G1185" s="67">
        <f>'Historical VAR'!$G$6</f>
        <v>-1.9839729167757107E-2</v>
      </c>
      <c r="H1185">
        <f t="shared" si="113"/>
        <v>0</v>
      </c>
      <c r="I1185" s="67">
        <f>'Historical VAR'!$G$7</f>
        <v>-3.1428916759065853E-2</v>
      </c>
      <c r="J1185">
        <f t="shared" si="114"/>
        <v>0</v>
      </c>
      <c r="K1185" s="67">
        <f ca="1">'Monte Carlo Stimulation'!$I$8</f>
        <v>-2.1559270710709389E-2</v>
      </c>
      <c r="L1185">
        <f t="shared" ca="1" si="115"/>
        <v>0</v>
      </c>
      <c r="M1185" s="67">
        <f ca="1">'Monte Carlo Stimulation'!$I$9</f>
        <v>-2.919314405717207E-2</v>
      </c>
      <c r="N1185">
        <f t="shared" ca="1" si="116"/>
        <v>0</v>
      </c>
    </row>
    <row r="1186" spans="1:14">
      <c r="A1186" s="12">
        <v>44370</v>
      </c>
      <c r="B1186" s="14">
        <v>-1.5225728299136291E-2</v>
      </c>
      <c r="C1186" s="67">
        <f>'Parametric VAR'!$F$12</f>
        <v>-2.023068247926026E-2</v>
      </c>
      <c r="D1186">
        <f t="shared" si="111"/>
        <v>0</v>
      </c>
      <c r="E1186" s="67">
        <f>'Parametric VAR'!$F$13</f>
        <v>-2.8682193012943492E-2</v>
      </c>
      <c r="F1186">
        <f t="shared" si="112"/>
        <v>0</v>
      </c>
      <c r="G1186" s="67">
        <f>'Historical VAR'!$G$6</f>
        <v>-1.9839729167757107E-2</v>
      </c>
      <c r="H1186">
        <f t="shared" si="113"/>
        <v>0</v>
      </c>
      <c r="I1186" s="67">
        <f>'Historical VAR'!$G$7</f>
        <v>-3.1428916759065853E-2</v>
      </c>
      <c r="J1186">
        <f t="shared" si="114"/>
        <v>0</v>
      </c>
      <c r="K1186" s="67">
        <f ca="1">'Monte Carlo Stimulation'!$I$8</f>
        <v>-2.1559270710709389E-2</v>
      </c>
      <c r="L1186">
        <f t="shared" ca="1" si="115"/>
        <v>0</v>
      </c>
      <c r="M1186" s="67">
        <f ca="1">'Monte Carlo Stimulation'!$I$9</f>
        <v>-2.919314405717207E-2</v>
      </c>
      <c r="N1186">
        <f t="shared" ca="1" si="116"/>
        <v>0</v>
      </c>
    </row>
    <row r="1187" spans="1:14">
      <c r="A1187" s="12">
        <v>44369</v>
      </c>
      <c r="B1187" s="14">
        <v>5.0357941446834073E-3</v>
      </c>
      <c r="C1187" s="67">
        <f>'Parametric VAR'!$F$12</f>
        <v>-2.023068247926026E-2</v>
      </c>
      <c r="D1187">
        <f t="shared" si="111"/>
        <v>0</v>
      </c>
      <c r="E1187" s="67">
        <f>'Parametric VAR'!$F$13</f>
        <v>-2.8682193012943492E-2</v>
      </c>
      <c r="F1187">
        <f t="shared" si="112"/>
        <v>0</v>
      </c>
      <c r="G1187" s="67">
        <f>'Historical VAR'!$G$6</f>
        <v>-1.9839729167757107E-2</v>
      </c>
      <c r="H1187">
        <f t="shared" si="113"/>
        <v>0</v>
      </c>
      <c r="I1187" s="67">
        <f>'Historical VAR'!$G$7</f>
        <v>-3.1428916759065853E-2</v>
      </c>
      <c r="J1187">
        <f t="shared" si="114"/>
        <v>0</v>
      </c>
      <c r="K1187" s="67">
        <f ca="1">'Monte Carlo Stimulation'!$I$8</f>
        <v>-2.1559270710709389E-2</v>
      </c>
      <c r="L1187">
        <f t="shared" ca="1" si="115"/>
        <v>0</v>
      </c>
      <c r="M1187" s="67">
        <f ca="1">'Monte Carlo Stimulation'!$I$9</f>
        <v>-2.919314405717207E-2</v>
      </c>
      <c r="N1187">
        <f t="shared" ca="1" si="116"/>
        <v>0</v>
      </c>
    </row>
    <row r="1188" spans="1:14">
      <c r="A1188" s="12">
        <v>44368</v>
      </c>
      <c r="B1188" s="14">
        <v>1.6435631388222741E-2</v>
      </c>
      <c r="C1188" s="67">
        <f>'Parametric VAR'!$F$12</f>
        <v>-2.023068247926026E-2</v>
      </c>
      <c r="D1188">
        <f t="shared" si="111"/>
        <v>0</v>
      </c>
      <c r="E1188" s="67">
        <f>'Parametric VAR'!$F$13</f>
        <v>-2.8682193012943492E-2</v>
      </c>
      <c r="F1188">
        <f t="shared" si="112"/>
        <v>0</v>
      </c>
      <c r="G1188" s="67">
        <f>'Historical VAR'!$G$6</f>
        <v>-1.9839729167757107E-2</v>
      </c>
      <c r="H1188">
        <f t="shared" si="113"/>
        <v>0</v>
      </c>
      <c r="I1188" s="67">
        <f>'Historical VAR'!$G$7</f>
        <v>-3.1428916759065853E-2</v>
      </c>
      <c r="J1188">
        <f t="shared" si="114"/>
        <v>0</v>
      </c>
      <c r="K1188" s="67">
        <f ca="1">'Monte Carlo Stimulation'!$I$8</f>
        <v>-2.1559270710709389E-2</v>
      </c>
      <c r="L1188">
        <f t="shared" ca="1" si="115"/>
        <v>0</v>
      </c>
      <c r="M1188" s="67">
        <f ca="1">'Monte Carlo Stimulation'!$I$9</f>
        <v>-2.919314405717207E-2</v>
      </c>
      <c r="N1188">
        <f t="shared" ca="1" si="116"/>
        <v>0</v>
      </c>
    </row>
    <row r="1189" spans="1:14">
      <c r="A1189" s="12">
        <v>44365</v>
      </c>
      <c r="B1189" s="14">
        <v>-5.7559316263246186E-3</v>
      </c>
      <c r="C1189" s="67">
        <f>'Parametric VAR'!$F$12</f>
        <v>-2.023068247926026E-2</v>
      </c>
      <c r="D1189">
        <f t="shared" si="111"/>
        <v>0</v>
      </c>
      <c r="E1189" s="67">
        <f>'Parametric VAR'!$F$13</f>
        <v>-2.8682193012943492E-2</v>
      </c>
      <c r="F1189">
        <f t="shared" si="112"/>
        <v>0</v>
      </c>
      <c r="G1189" s="67">
        <f>'Historical VAR'!$G$6</f>
        <v>-1.9839729167757107E-2</v>
      </c>
      <c r="H1189">
        <f t="shared" si="113"/>
        <v>0</v>
      </c>
      <c r="I1189" s="67">
        <f>'Historical VAR'!$G$7</f>
        <v>-3.1428916759065853E-2</v>
      </c>
      <c r="J1189">
        <f t="shared" si="114"/>
        <v>0</v>
      </c>
      <c r="K1189" s="67">
        <f ca="1">'Monte Carlo Stimulation'!$I$8</f>
        <v>-2.1559270710709389E-2</v>
      </c>
      <c r="L1189">
        <f t="shared" ca="1" si="115"/>
        <v>0</v>
      </c>
      <c r="M1189" s="67">
        <f ca="1">'Monte Carlo Stimulation'!$I$9</f>
        <v>-2.919314405717207E-2</v>
      </c>
      <c r="N1189">
        <f t="shared" ca="1" si="116"/>
        <v>0</v>
      </c>
    </row>
    <row r="1190" spans="1:14">
      <c r="A1190" s="12">
        <v>44364</v>
      </c>
      <c r="B1190" s="14">
        <v>2.211460581359495E-3</v>
      </c>
      <c r="C1190" s="67">
        <f>'Parametric VAR'!$F$12</f>
        <v>-2.023068247926026E-2</v>
      </c>
      <c r="D1190">
        <f t="shared" si="111"/>
        <v>0</v>
      </c>
      <c r="E1190" s="67">
        <f>'Parametric VAR'!$F$13</f>
        <v>-2.8682193012943492E-2</v>
      </c>
      <c r="F1190">
        <f t="shared" si="112"/>
        <v>0</v>
      </c>
      <c r="G1190" s="67">
        <f>'Historical VAR'!$G$6</f>
        <v>-1.9839729167757107E-2</v>
      </c>
      <c r="H1190">
        <f t="shared" si="113"/>
        <v>0</v>
      </c>
      <c r="I1190" s="67">
        <f>'Historical VAR'!$G$7</f>
        <v>-3.1428916759065853E-2</v>
      </c>
      <c r="J1190">
        <f t="shared" si="114"/>
        <v>0</v>
      </c>
      <c r="K1190" s="67">
        <f ca="1">'Monte Carlo Stimulation'!$I$8</f>
        <v>-2.1559270710709389E-2</v>
      </c>
      <c r="L1190">
        <f t="shared" ca="1" si="115"/>
        <v>0</v>
      </c>
      <c r="M1190" s="67">
        <f ca="1">'Monte Carlo Stimulation'!$I$9</f>
        <v>-2.919314405717207E-2</v>
      </c>
      <c r="N1190">
        <f t="shared" ca="1" si="116"/>
        <v>0</v>
      </c>
    </row>
    <row r="1191" spans="1:14">
      <c r="A1191" s="12">
        <v>44363</v>
      </c>
      <c r="B1191" s="14">
        <v>-8.6979596092926943E-3</v>
      </c>
      <c r="C1191" s="67">
        <f>'Parametric VAR'!$F$12</f>
        <v>-2.023068247926026E-2</v>
      </c>
      <c r="D1191">
        <f t="shared" si="111"/>
        <v>0</v>
      </c>
      <c r="E1191" s="67">
        <f>'Parametric VAR'!$F$13</f>
        <v>-2.8682193012943492E-2</v>
      </c>
      <c r="F1191">
        <f t="shared" si="112"/>
        <v>0</v>
      </c>
      <c r="G1191" s="67">
        <f>'Historical VAR'!$G$6</f>
        <v>-1.9839729167757107E-2</v>
      </c>
      <c r="H1191">
        <f t="shared" si="113"/>
        <v>0</v>
      </c>
      <c r="I1191" s="67">
        <f>'Historical VAR'!$G$7</f>
        <v>-3.1428916759065853E-2</v>
      </c>
      <c r="J1191">
        <f t="shared" si="114"/>
        <v>0</v>
      </c>
      <c r="K1191" s="67">
        <f ca="1">'Monte Carlo Stimulation'!$I$8</f>
        <v>-2.1559270710709389E-2</v>
      </c>
      <c r="L1191">
        <f t="shared" ca="1" si="115"/>
        <v>0</v>
      </c>
      <c r="M1191" s="67">
        <f ca="1">'Monte Carlo Stimulation'!$I$9</f>
        <v>-2.919314405717207E-2</v>
      </c>
      <c r="N1191">
        <f t="shared" ca="1" si="116"/>
        <v>0</v>
      </c>
    </row>
    <row r="1192" spans="1:14">
      <c r="A1192" s="12">
        <v>44362</v>
      </c>
      <c r="B1192" s="14">
        <v>7.9893029769925895E-3</v>
      </c>
      <c r="C1192" s="67">
        <f>'Parametric VAR'!$F$12</f>
        <v>-2.023068247926026E-2</v>
      </c>
      <c r="D1192">
        <f t="shared" si="111"/>
        <v>0</v>
      </c>
      <c r="E1192" s="67">
        <f>'Parametric VAR'!$F$13</f>
        <v>-2.8682193012943492E-2</v>
      </c>
      <c r="F1192">
        <f t="shared" si="112"/>
        <v>0</v>
      </c>
      <c r="G1192" s="67">
        <f>'Historical VAR'!$G$6</f>
        <v>-1.9839729167757107E-2</v>
      </c>
      <c r="H1192">
        <f t="shared" si="113"/>
        <v>0</v>
      </c>
      <c r="I1192" s="67">
        <f>'Historical VAR'!$G$7</f>
        <v>-3.1428916759065853E-2</v>
      </c>
      <c r="J1192">
        <f t="shared" si="114"/>
        <v>0</v>
      </c>
      <c r="K1192" s="67">
        <f ca="1">'Monte Carlo Stimulation'!$I$8</f>
        <v>-2.1559270710709389E-2</v>
      </c>
      <c r="L1192">
        <f t="shared" ca="1" si="115"/>
        <v>0</v>
      </c>
      <c r="M1192" s="67">
        <f ca="1">'Monte Carlo Stimulation'!$I$9</f>
        <v>-2.919314405717207E-2</v>
      </c>
      <c r="N1192">
        <f t="shared" ca="1" si="116"/>
        <v>0</v>
      </c>
    </row>
    <row r="1193" spans="1:14">
      <c r="A1193" s="12">
        <v>44361</v>
      </c>
      <c r="B1193" s="14">
        <v>-2.630732506684158E-2</v>
      </c>
      <c r="C1193" s="67">
        <f>'Parametric VAR'!$F$12</f>
        <v>-2.023068247926026E-2</v>
      </c>
      <c r="D1193">
        <f t="shared" si="111"/>
        <v>1</v>
      </c>
      <c r="E1193" s="67">
        <f>'Parametric VAR'!$F$13</f>
        <v>-2.8682193012943492E-2</v>
      </c>
      <c r="F1193">
        <f t="shared" si="112"/>
        <v>0</v>
      </c>
      <c r="G1193" s="67">
        <f>'Historical VAR'!$G$6</f>
        <v>-1.9839729167757107E-2</v>
      </c>
      <c r="H1193">
        <f t="shared" si="113"/>
        <v>1</v>
      </c>
      <c r="I1193" s="67">
        <f>'Historical VAR'!$G$7</f>
        <v>-3.1428916759065853E-2</v>
      </c>
      <c r="J1193">
        <f t="shared" si="114"/>
        <v>0</v>
      </c>
      <c r="K1193" s="67">
        <f ca="1">'Monte Carlo Stimulation'!$I$8</f>
        <v>-2.1559270710709389E-2</v>
      </c>
      <c r="L1193">
        <f t="shared" ca="1" si="115"/>
        <v>1</v>
      </c>
      <c r="M1193" s="67">
        <f ca="1">'Monte Carlo Stimulation'!$I$9</f>
        <v>-2.919314405717207E-2</v>
      </c>
      <c r="N1193">
        <f t="shared" ca="1" si="116"/>
        <v>0</v>
      </c>
    </row>
    <row r="1194" spans="1:14">
      <c r="A1194" s="12">
        <v>44358</v>
      </c>
      <c r="B1194" s="14">
        <v>1.5105084033838919E-3</v>
      </c>
      <c r="C1194" s="67">
        <f>'Parametric VAR'!$F$12</f>
        <v>-2.023068247926026E-2</v>
      </c>
      <c r="D1194">
        <f t="shared" si="111"/>
        <v>0</v>
      </c>
      <c r="E1194" s="67">
        <f>'Parametric VAR'!$F$13</f>
        <v>-2.8682193012943492E-2</v>
      </c>
      <c r="F1194">
        <f t="shared" si="112"/>
        <v>0</v>
      </c>
      <c r="G1194" s="67">
        <f>'Historical VAR'!$G$6</f>
        <v>-1.9839729167757107E-2</v>
      </c>
      <c r="H1194">
        <f t="shared" si="113"/>
        <v>0</v>
      </c>
      <c r="I1194" s="67">
        <f>'Historical VAR'!$G$7</f>
        <v>-3.1428916759065853E-2</v>
      </c>
      <c r="J1194">
        <f t="shared" si="114"/>
        <v>0</v>
      </c>
      <c r="K1194" s="67">
        <f ca="1">'Monte Carlo Stimulation'!$I$8</f>
        <v>-2.1559270710709389E-2</v>
      </c>
      <c r="L1194">
        <f t="shared" ca="1" si="115"/>
        <v>0</v>
      </c>
      <c r="M1194" s="67">
        <f ca="1">'Monte Carlo Stimulation'!$I$9</f>
        <v>-2.919314405717207E-2</v>
      </c>
      <c r="N1194">
        <f t="shared" ca="1" si="116"/>
        <v>0</v>
      </c>
    </row>
    <row r="1195" spans="1:14">
      <c r="A1195" s="12">
        <v>44357</v>
      </c>
      <c r="B1195" s="14">
        <v>-9.3487018959222189E-4</v>
      </c>
      <c r="C1195" s="67">
        <f>'Parametric VAR'!$F$12</f>
        <v>-2.023068247926026E-2</v>
      </c>
      <c r="D1195">
        <f t="shared" si="111"/>
        <v>0</v>
      </c>
      <c r="E1195" s="67">
        <f>'Parametric VAR'!$F$13</f>
        <v>-2.8682193012943492E-2</v>
      </c>
      <c r="F1195">
        <f t="shared" si="112"/>
        <v>0</v>
      </c>
      <c r="G1195" s="67">
        <f>'Historical VAR'!$G$6</f>
        <v>-1.9839729167757107E-2</v>
      </c>
      <c r="H1195">
        <f t="shared" si="113"/>
        <v>0</v>
      </c>
      <c r="I1195" s="67">
        <f>'Historical VAR'!$G$7</f>
        <v>-3.1428916759065853E-2</v>
      </c>
      <c r="J1195">
        <f t="shared" si="114"/>
        <v>0</v>
      </c>
      <c r="K1195" s="67">
        <f ca="1">'Monte Carlo Stimulation'!$I$8</f>
        <v>-2.1559270710709389E-2</v>
      </c>
      <c r="L1195">
        <f t="shared" ca="1" si="115"/>
        <v>0</v>
      </c>
      <c r="M1195" s="67">
        <f ca="1">'Monte Carlo Stimulation'!$I$9</f>
        <v>-2.919314405717207E-2</v>
      </c>
      <c r="N1195">
        <f t="shared" ca="1" si="116"/>
        <v>0</v>
      </c>
    </row>
    <row r="1196" spans="1:14">
      <c r="A1196" s="12">
        <v>44356</v>
      </c>
      <c r="B1196" s="14">
        <v>-2.9609304793316023E-3</v>
      </c>
      <c r="C1196" s="67">
        <f>'Parametric VAR'!$F$12</f>
        <v>-2.023068247926026E-2</v>
      </c>
      <c r="D1196">
        <f t="shared" si="111"/>
        <v>0</v>
      </c>
      <c r="E1196" s="67">
        <f>'Parametric VAR'!$F$13</f>
        <v>-2.8682193012943492E-2</v>
      </c>
      <c r="F1196">
        <f t="shared" si="112"/>
        <v>0</v>
      </c>
      <c r="G1196" s="67">
        <f>'Historical VAR'!$G$6</f>
        <v>-1.9839729167757107E-2</v>
      </c>
      <c r="H1196">
        <f t="shared" si="113"/>
        <v>0</v>
      </c>
      <c r="I1196" s="67">
        <f>'Historical VAR'!$G$7</f>
        <v>-3.1428916759065853E-2</v>
      </c>
      <c r="J1196">
        <f t="shared" si="114"/>
        <v>0</v>
      </c>
      <c r="K1196" s="67">
        <f ca="1">'Monte Carlo Stimulation'!$I$8</f>
        <v>-2.1559270710709389E-2</v>
      </c>
      <c r="L1196">
        <f t="shared" ca="1" si="115"/>
        <v>0</v>
      </c>
      <c r="M1196" s="67">
        <f ca="1">'Monte Carlo Stimulation'!$I$9</f>
        <v>-2.919314405717207E-2</v>
      </c>
      <c r="N1196">
        <f t="shared" ca="1" si="116"/>
        <v>0</v>
      </c>
    </row>
    <row r="1197" spans="1:14">
      <c r="A1197" s="12">
        <v>44355</v>
      </c>
      <c r="B1197" s="14">
        <v>-3.0215696169816333E-3</v>
      </c>
      <c r="C1197" s="67">
        <f>'Parametric VAR'!$F$12</f>
        <v>-2.023068247926026E-2</v>
      </c>
      <c r="D1197">
        <f t="shared" si="111"/>
        <v>0</v>
      </c>
      <c r="E1197" s="67">
        <f>'Parametric VAR'!$F$13</f>
        <v>-2.8682193012943492E-2</v>
      </c>
      <c r="F1197">
        <f t="shared" si="112"/>
        <v>0</v>
      </c>
      <c r="G1197" s="67">
        <f>'Historical VAR'!$G$6</f>
        <v>-1.9839729167757107E-2</v>
      </c>
      <c r="H1197">
        <f t="shared" si="113"/>
        <v>0</v>
      </c>
      <c r="I1197" s="67">
        <f>'Historical VAR'!$G$7</f>
        <v>-3.1428916759065853E-2</v>
      </c>
      <c r="J1197">
        <f t="shared" si="114"/>
        <v>0</v>
      </c>
      <c r="K1197" s="67">
        <f ca="1">'Monte Carlo Stimulation'!$I$8</f>
        <v>-2.1559270710709389E-2</v>
      </c>
      <c r="L1197">
        <f t="shared" ca="1" si="115"/>
        <v>0</v>
      </c>
      <c r="M1197" s="67">
        <f ca="1">'Monte Carlo Stimulation'!$I$9</f>
        <v>-2.919314405717207E-2</v>
      </c>
      <c r="N1197">
        <f t="shared" ca="1" si="116"/>
        <v>0</v>
      </c>
    </row>
    <row r="1198" spans="1:14">
      <c r="A1198" s="12">
        <v>44354</v>
      </c>
      <c r="B1198" s="14">
        <v>2.1266858239987131E-3</v>
      </c>
      <c r="C1198" s="67">
        <f>'Parametric VAR'!$F$12</f>
        <v>-2.023068247926026E-2</v>
      </c>
      <c r="D1198">
        <f t="shared" si="111"/>
        <v>0</v>
      </c>
      <c r="E1198" s="67">
        <f>'Parametric VAR'!$F$13</f>
        <v>-2.8682193012943492E-2</v>
      </c>
      <c r="F1198">
        <f t="shared" si="112"/>
        <v>0</v>
      </c>
      <c r="G1198" s="67">
        <f>'Historical VAR'!$G$6</f>
        <v>-1.9839729167757107E-2</v>
      </c>
      <c r="H1198">
        <f t="shared" si="113"/>
        <v>0</v>
      </c>
      <c r="I1198" s="67">
        <f>'Historical VAR'!$G$7</f>
        <v>-3.1428916759065853E-2</v>
      </c>
      <c r="J1198">
        <f t="shared" si="114"/>
        <v>0</v>
      </c>
      <c r="K1198" s="67">
        <f ca="1">'Monte Carlo Stimulation'!$I$8</f>
        <v>-2.1559270710709389E-2</v>
      </c>
      <c r="L1198">
        <f t="shared" ca="1" si="115"/>
        <v>0</v>
      </c>
      <c r="M1198" s="67">
        <f ca="1">'Monte Carlo Stimulation'!$I$9</f>
        <v>-2.919314405717207E-2</v>
      </c>
      <c r="N1198">
        <f t="shared" ca="1" si="116"/>
        <v>0</v>
      </c>
    </row>
    <row r="1199" spans="1:14">
      <c r="A1199" s="12">
        <v>44351</v>
      </c>
      <c r="B1199" s="14">
        <v>-6.2114364570414592E-3</v>
      </c>
      <c r="C1199" s="67">
        <f>'Parametric VAR'!$F$12</f>
        <v>-2.023068247926026E-2</v>
      </c>
      <c r="D1199">
        <f t="shared" si="111"/>
        <v>0</v>
      </c>
      <c r="E1199" s="67">
        <f>'Parametric VAR'!$F$13</f>
        <v>-2.8682193012943492E-2</v>
      </c>
      <c r="F1199">
        <f t="shared" si="112"/>
        <v>0</v>
      </c>
      <c r="G1199" s="67">
        <f>'Historical VAR'!$G$6</f>
        <v>-1.9839729167757107E-2</v>
      </c>
      <c r="H1199">
        <f t="shared" si="113"/>
        <v>0</v>
      </c>
      <c r="I1199" s="67">
        <f>'Historical VAR'!$G$7</f>
        <v>-3.1428916759065853E-2</v>
      </c>
      <c r="J1199">
        <f t="shared" si="114"/>
        <v>0</v>
      </c>
      <c r="K1199" s="67">
        <f ca="1">'Monte Carlo Stimulation'!$I$8</f>
        <v>-2.1559270710709389E-2</v>
      </c>
      <c r="L1199">
        <f t="shared" ca="1" si="115"/>
        <v>0</v>
      </c>
      <c r="M1199" s="67">
        <f ca="1">'Monte Carlo Stimulation'!$I$9</f>
        <v>-2.919314405717207E-2</v>
      </c>
      <c r="N1199">
        <f t="shared" ca="1" si="116"/>
        <v>0</v>
      </c>
    </row>
    <row r="1200" spans="1:14">
      <c r="A1200" s="12">
        <v>44350</v>
      </c>
      <c r="B1200" s="14">
        <v>3.7636296139750853E-3</v>
      </c>
      <c r="C1200" s="67">
        <f>'Parametric VAR'!$F$12</f>
        <v>-2.023068247926026E-2</v>
      </c>
      <c r="D1200">
        <f t="shared" si="111"/>
        <v>0</v>
      </c>
      <c r="E1200" s="67">
        <f>'Parametric VAR'!$F$13</f>
        <v>-2.8682193012943492E-2</v>
      </c>
      <c r="F1200">
        <f t="shared" si="112"/>
        <v>0</v>
      </c>
      <c r="G1200" s="67">
        <f>'Historical VAR'!$G$6</f>
        <v>-1.9839729167757107E-2</v>
      </c>
      <c r="H1200">
        <f t="shared" si="113"/>
        <v>0</v>
      </c>
      <c r="I1200" s="67">
        <f>'Historical VAR'!$G$7</f>
        <v>-3.1428916759065853E-2</v>
      </c>
      <c r="J1200">
        <f t="shared" si="114"/>
        <v>0</v>
      </c>
      <c r="K1200" s="67">
        <f ca="1">'Monte Carlo Stimulation'!$I$8</f>
        <v>-2.1559270710709389E-2</v>
      </c>
      <c r="L1200">
        <f t="shared" ca="1" si="115"/>
        <v>0</v>
      </c>
      <c r="M1200" s="67">
        <f ca="1">'Monte Carlo Stimulation'!$I$9</f>
        <v>-2.919314405717207E-2</v>
      </c>
      <c r="N1200">
        <f t="shared" ca="1" si="116"/>
        <v>0</v>
      </c>
    </row>
    <row r="1201" spans="1:14">
      <c r="A1201" s="12">
        <v>44349</v>
      </c>
      <c r="B1201" s="14">
        <v>-8.3096148135792074E-3</v>
      </c>
      <c r="C1201" s="67">
        <f>'Parametric VAR'!$F$12</f>
        <v>-2.023068247926026E-2</v>
      </c>
      <c r="D1201">
        <f t="shared" si="111"/>
        <v>0</v>
      </c>
      <c r="E1201" s="67">
        <f>'Parametric VAR'!$F$13</f>
        <v>-2.8682193012943492E-2</v>
      </c>
      <c r="F1201">
        <f t="shared" si="112"/>
        <v>0</v>
      </c>
      <c r="G1201" s="67">
        <f>'Historical VAR'!$G$6</f>
        <v>-1.9839729167757107E-2</v>
      </c>
      <c r="H1201">
        <f t="shared" si="113"/>
        <v>0</v>
      </c>
      <c r="I1201" s="67">
        <f>'Historical VAR'!$G$7</f>
        <v>-3.1428916759065853E-2</v>
      </c>
      <c r="J1201">
        <f t="shared" si="114"/>
        <v>0</v>
      </c>
      <c r="K1201" s="67">
        <f ca="1">'Monte Carlo Stimulation'!$I$8</f>
        <v>-2.1559270710709389E-2</v>
      </c>
      <c r="L1201">
        <f t="shared" ca="1" si="115"/>
        <v>0</v>
      </c>
      <c r="M1201" s="67">
        <f ca="1">'Monte Carlo Stimulation'!$I$9</f>
        <v>-2.919314405717207E-2</v>
      </c>
      <c r="N1201">
        <f t="shared" ca="1" si="116"/>
        <v>0</v>
      </c>
    </row>
    <row r="1202" spans="1:14">
      <c r="A1202" s="12">
        <v>44348</v>
      </c>
      <c r="B1202" s="14">
        <v>6.7243552089118778E-3</v>
      </c>
      <c r="C1202" s="67">
        <f>'Parametric VAR'!$F$12</f>
        <v>-2.023068247926026E-2</v>
      </c>
      <c r="D1202">
        <f t="shared" si="111"/>
        <v>0</v>
      </c>
      <c r="E1202" s="67">
        <f>'Parametric VAR'!$F$13</f>
        <v>-2.8682193012943492E-2</v>
      </c>
      <c r="F1202">
        <f t="shared" si="112"/>
        <v>0</v>
      </c>
      <c r="G1202" s="67">
        <f>'Historical VAR'!$G$6</f>
        <v>-1.9839729167757107E-2</v>
      </c>
      <c r="H1202">
        <f t="shared" si="113"/>
        <v>0</v>
      </c>
      <c r="I1202" s="67">
        <f>'Historical VAR'!$G$7</f>
        <v>-3.1428916759065853E-2</v>
      </c>
      <c r="J1202">
        <f t="shared" si="114"/>
        <v>0</v>
      </c>
      <c r="K1202" s="67">
        <f ca="1">'Monte Carlo Stimulation'!$I$8</f>
        <v>-2.1559270710709389E-2</v>
      </c>
      <c r="L1202">
        <f t="shared" ca="1" si="115"/>
        <v>0</v>
      </c>
      <c r="M1202" s="67">
        <f ca="1">'Monte Carlo Stimulation'!$I$9</f>
        <v>-2.919314405717207E-2</v>
      </c>
      <c r="N1202">
        <f t="shared" ca="1" si="116"/>
        <v>0</v>
      </c>
    </row>
    <row r="1203" spans="1:14">
      <c r="A1203" s="12">
        <v>44347</v>
      </c>
      <c r="B1203" s="14">
        <v>1.2523711881670918E-2</v>
      </c>
      <c r="C1203" s="67">
        <f>'Parametric VAR'!$F$12</f>
        <v>-2.023068247926026E-2</v>
      </c>
      <c r="D1203">
        <f t="shared" si="111"/>
        <v>0</v>
      </c>
      <c r="E1203" s="67">
        <f>'Parametric VAR'!$F$13</f>
        <v>-2.8682193012943492E-2</v>
      </c>
      <c r="F1203">
        <f t="shared" si="112"/>
        <v>0</v>
      </c>
      <c r="G1203" s="67">
        <f>'Historical VAR'!$G$6</f>
        <v>-1.9839729167757107E-2</v>
      </c>
      <c r="H1203">
        <f t="shared" si="113"/>
        <v>0</v>
      </c>
      <c r="I1203" s="67">
        <f>'Historical VAR'!$G$7</f>
        <v>-3.1428916759065853E-2</v>
      </c>
      <c r="J1203">
        <f t="shared" si="114"/>
        <v>0</v>
      </c>
      <c r="K1203" s="67">
        <f ca="1">'Monte Carlo Stimulation'!$I$8</f>
        <v>-2.1559270710709389E-2</v>
      </c>
      <c r="L1203">
        <f t="shared" ca="1" si="115"/>
        <v>0</v>
      </c>
      <c r="M1203" s="67">
        <f ca="1">'Monte Carlo Stimulation'!$I$9</f>
        <v>-2.919314405717207E-2</v>
      </c>
      <c r="N1203">
        <f t="shared" ca="1" si="116"/>
        <v>0</v>
      </c>
    </row>
    <row r="1204" spans="1:14">
      <c r="A1204" s="12">
        <v>44344</v>
      </c>
      <c r="B1204" s="14">
        <v>-9.3490538008289322E-3</v>
      </c>
      <c r="C1204" s="67">
        <f>'Parametric VAR'!$F$12</f>
        <v>-2.023068247926026E-2</v>
      </c>
      <c r="D1204">
        <f t="shared" si="111"/>
        <v>0</v>
      </c>
      <c r="E1204" s="67">
        <f>'Parametric VAR'!$F$13</f>
        <v>-2.8682193012943492E-2</v>
      </c>
      <c r="F1204">
        <f t="shared" si="112"/>
        <v>0</v>
      </c>
      <c r="G1204" s="67">
        <f>'Historical VAR'!$G$6</f>
        <v>-1.9839729167757107E-2</v>
      </c>
      <c r="H1204">
        <f t="shared" si="113"/>
        <v>0</v>
      </c>
      <c r="I1204" s="67">
        <f>'Historical VAR'!$G$7</f>
        <v>-3.1428916759065853E-2</v>
      </c>
      <c r="J1204">
        <f t="shared" si="114"/>
        <v>0</v>
      </c>
      <c r="K1204" s="67">
        <f ca="1">'Monte Carlo Stimulation'!$I$8</f>
        <v>-2.1559270710709389E-2</v>
      </c>
      <c r="L1204">
        <f t="shared" ca="1" si="115"/>
        <v>0</v>
      </c>
      <c r="M1204" s="67">
        <f ca="1">'Monte Carlo Stimulation'!$I$9</f>
        <v>-2.919314405717207E-2</v>
      </c>
      <c r="N1204">
        <f t="shared" ca="1" si="116"/>
        <v>0</v>
      </c>
    </row>
    <row r="1205" spans="1:14">
      <c r="A1205" s="12">
        <v>44343</v>
      </c>
      <c r="B1205" s="14">
        <v>2.5635036023467636E-3</v>
      </c>
      <c r="C1205" s="67">
        <f>'Parametric VAR'!$F$12</f>
        <v>-2.023068247926026E-2</v>
      </c>
      <c r="D1205">
        <f t="shared" si="111"/>
        <v>0</v>
      </c>
      <c r="E1205" s="67">
        <f>'Parametric VAR'!$F$13</f>
        <v>-2.8682193012943492E-2</v>
      </c>
      <c r="F1205">
        <f t="shared" si="112"/>
        <v>0</v>
      </c>
      <c r="G1205" s="67">
        <f>'Historical VAR'!$G$6</f>
        <v>-1.9839729167757107E-2</v>
      </c>
      <c r="H1205">
        <f t="shared" si="113"/>
        <v>0</v>
      </c>
      <c r="I1205" s="67">
        <f>'Historical VAR'!$G$7</f>
        <v>-3.1428916759065853E-2</v>
      </c>
      <c r="J1205">
        <f t="shared" si="114"/>
        <v>0</v>
      </c>
      <c r="K1205" s="67">
        <f ca="1">'Monte Carlo Stimulation'!$I$8</f>
        <v>-2.1559270710709389E-2</v>
      </c>
      <c r="L1205">
        <f t="shared" ca="1" si="115"/>
        <v>0</v>
      </c>
      <c r="M1205" s="67">
        <f ca="1">'Monte Carlo Stimulation'!$I$9</f>
        <v>-2.919314405717207E-2</v>
      </c>
      <c r="N1205">
        <f t="shared" ca="1" si="116"/>
        <v>0</v>
      </c>
    </row>
    <row r="1206" spans="1:14">
      <c r="A1206" s="12">
        <v>44342</v>
      </c>
      <c r="B1206" s="14">
        <v>5.4269831352966955E-3</v>
      </c>
      <c r="C1206" s="67">
        <f>'Parametric VAR'!$F$12</f>
        <v>-2.023068247926026E-2</v>
      </c>
      <c r="D1206">
        <f t="shared" si="111"/>
        <v>0</v>
      </c>
      <c r="E1206" s="67">
        <f>'Parametric VAR'!$F$13</f>
        <v>-2.8682193012943492E-2</v>
      </c>
      <c r="F1206">
        <f t="shared" si="112"/>
        <v>0</v>
      </c>
      <c r="G1206" s="67">
        <f>'Historical VAR'!$G$6</f>
        <v>-1.9839729167757107E-2</v>
      </c>
      <c r="H1206">
        <f t="shared" si="113"/>
        <v>0</v>
      </c>
      <c r="I1206" s="67">
        <f>'Historical VAR'!$G$7</f>
        <v>-3.1428916759065853E-2</v>
      </c>
      <c r="J1206">
        <f t="shared" si="114"/>
        <v>0</v>
      </c>
      <c r="K1206" s="67">
        <f ca="1">'Monte Carlo Stimulation'!$I$8</f>
        <v>-2.1559270710709389E-2</v>
      </c>
      <c r="L1206">
        <f t="shared" ca="1" si="115"/>
        <v>0</v>
      </c>
      <c r="M1206" s="67">
        <f ca="1">'Monte Carlo Stimulation'!$I$9</f>
        <v>-2.919314405717207E-2</v>
      </c>
      <c r="N1206">
        <f t="shared" ca="1" si="116"/>
        <v>0</v>
      </c>
    </row>
    <row r="1207" spans="1:14">
      <c r="A1207" s="12">
        <v>44341</v>
      </c>
      <c r="B1207" s="14">
        <v>-1.1539945562123821E-2</v>
      </c>
      <c r="C1207" s="67">
        <f>'Parametric VAR'!$F$12</f>
        <v>-2.023068247926026E-2</v>
      </c>
      <c r="D1207">
        <f t="shared" si="111"/>
        <v>0</v>
      </c>
      <c r="E1207" s="67">
        <f>'Parametric VAR'!$F$13</f>
        <v>-2.8682193012943492E-2</v>
      </c>
      <c r="F1207">
        <f t="shared" si="112"/>
        <v>0</v>
      </c>
      <c r="G1207" s="67">
        <f>'Historical VAR'!$G$6</f>
        <v>-1.9839729167757107E-2</v>
      </c>
      <c r="H1207">
        <f t="shared" si="113"/>
        <v>0</v>
      </c>
      <c r="I1207" s="67">
        <f>'Historical VAR'!$G$7</f>
        <v>-3.1428916759065853E-2</v>
      </c>
      <c r="J1207">
        <f t="shared" si="114"/>
        <v>0</v>
      </c>
      <c r="K1207" s="67">
        <f ca="1">'Monte Carlo Stimulation'!$I$8</f>
        <v>-2.1559270710709389E-2</v>
      </c>
      <c r="L1207">
        <f t="shared" ca="1" si="115"/>
        <v>0</v>
      </c>
      <c r="M1207" s="67">
        <f ca="1">'Monte Carlo Stimulation'!$I$9</f>
        <v>-2.919314405717207E-2</v>
      </c>
      <c r="N1207">
        <f t="shared" ca="1" si="116"/>
        <v>0</v>
      </c>
    </row>
    <row r="1208" spans="1:14">
      <c r="A1208" s="12">
        <v>44340</v>
      </c>
      <c r="B1208" s="14">
        <v>-2.6624971425314132E-2</v>
      </c>
      <c r="C1208" s="67">
        <f>'Parametric VAR'!$F$12</f>
        <v>-2.023068247926026E-2</v>
      </c>
      <c r="D1208">
        <f t="shared" si="111"/>
        <v>1</v>
      </c>
      <c r="E1208" s="67">
        <f>'Parametric VAR'!$F$13</f>
        <v>-2.8682193012943492E-2</v>
      </c>
      <c r="F1208">
        <f t="shared" si="112"/>
        <v>0</v>
      </c>
      <c r="G1208" s="67">
        <f>'Historical VAR'!$G$6</f>
        <v>-1.9839729167757107E-2</v>
      </c>
      <c r="H1208">
        <f t="shared" si="113"/>
        <v>1</v>
      </c>
      <c r="I1208" s="67">
        <f>'Historical VAR'!$G$7</f>
        <v>-3.1428916759065853E-2</v>
      </c>
      <c r="J1208">
        <f t="shared" si="114"/>
        <v>0</v>
      </c>
      <c r="K1208" s="67">
        <f ca="1">'Monte Carlo Stimulation'!$I$8</f>
        <v>-2.1559270710709389E-2</v>
      </c>
      <c r="L1208">
        <f t="shared" ca="1" si="115"/>
        <v>1</v>
      </c>
      <c r="M1208" s="67">
        <f ca="1">'Monte Carlo Stimulation'!$I$9</f>
        <v>-2.919314405717207E-2</v>
      </c>
      <c r="N1208">
        <f t="shared" ca="1" si="116"/>
        <v>0</v>
      </c>
    </row>
    <row r="1209" spans="1:14">
      <c r="A1209" s="12">
        <v>44337</v>
      </c>
      <c r="B1209" s="14">
        <v>-1.2865037428770015E-3</v>
      </c>
      <c r="C1209" s="67">
        <f>'Parametric VAR'!$F$12</f>
        <v>-2.023068247926026E-2</v>
      </c>
      <c r="D1209">
        <f t="shared" si="111"/>
        <v>0</v>
      </c>
      <c r="E1209" s="67">
        <f>'Parametric VAR'!$F$13</f>
        <v>-2.8682193012943492E-2</v>
      </c>
      <c r="F1209">
        <f t="shared" si="112"/>
        <v>0</v>
      </c>
      <c r="G1209" s="67">
        <f>'Historical VAR'!$G$6</f>
        <v>-1.9839729167757107E-2</v>
      </c>
      <c r="H1209">
        <f t="shared" si="113"/>
        <v>0</v>
      </c>
      <c r="I1209" s="67">
        <f>'Historical VAR'!$G$7</f>
        <v>-3.1428916759065853E-2</v>
      </c>
      <c r="J1209">
        <f t="shared" si="114"/>
        <v>0</v>
      </c>
      <c r="K1209" s="67">
        <f ca="1">'Monte Carlo Stimulation'!$I$8</f>
        <v>-2.1559270710709389E-2</v>
      </c>
      <c r="L1209">
        <f t="shared" ca="1" si="115"/>
        <v>0</v>
      </c>
      <c r="M1209" s="67">
        <f ca="1">'Monte Carlo Stimulation'!$I$9</f>
        <v>-2.919314405717207E-2</v>
      </c>
      <c r="N1209">
        <f t="shared" ca="1" si="116"/>
        <v>0</v>
      </c>
    </row>
    <row r="1210" spans="1:14">
      <c r="A1210" s="12">
        <v>44336</v>
      </c>
      <c r="B1210" s="14">
        <v>-1.1692285098117644E-2</v>
      </c>
      <c r="C1210" s="67">
        <f>'Parametric VAR'!$F$12</f>
        <v>-2.023068247926026E-2</v>
      </c>
      <c r="D1210">
        <f t="shared" si="111"/>
        <v>0</v>
      </c>
      <c r="E1210" s="67">
        <f>'Parametric VAR'!$F$13</f>
        <v>-2.8682193012943492E-2</v>
      </c>
      <c r="F1210">
        <f t="shared" si="112"/>
        <v>0</v>
      </c>
      <c r="G1210" s="67">
        <f>'Historical VAR'!$G$6</f>
        <v>-1.9839729167757107E-2</v>
      </c>
      <c r="H1210">
        <f t="shared" si="113"/>
        <v>0</v>
      </c>
      <c r="I1210" s="67">
        <f>'Historical VAR'!$G$7</f>
        <v>-3.1428916759065853E-2</v>
      </c>
      <c r="J1210">
        <f t="shared" si="114"/>
        <v>0</v>
      </c>
      <c r="K1210" s="67">
        <f ca="1">'Monte Carlo Stimulation'!$I$8</f>
        <v>-2.1559270710709389E-2</v>
      </c>
      <c r="L1210">
        <f t="shared" ca="1" si="115"/>
        <v>0</v>
      </c>
      <c r="M1210" s="67">
        <f ca="1">'Monte Carlo Stimulation'!$I$9</f>
        <v>-2.919314405717207E-2</v>
      </c>
      <c r="N1210">
        <f t="shared" ca="1" si="116"/>
        <v>0</v>
      </c>
    </row>
    <row r="1211" spans="1:14">
      <c r="A1211" s="12">
        <v>44335</v>
      </c>
      <c r="B1211" s="14">
        <v>5.8985680032972157E-3</v>
      </c>
      <c r="C1211" s="67">
        <f>'Parametric VAR'!$F$12</f>
        <v>-2.023068247926026E-2</v>
      </c>
      <c r="D1211">
        <f t="shared" si="111"/>
        <v>0</v>
      </c>
      <c r="E1211" s="67">
        <f>'Parametric VAR'!$F$13</f>
        <v>-2.8682193012943492E-2</v>
      </c>
      <c r="F1211">
        <f t="shared" si="112"/>
        <v>0</v>
      </c>
      <c r="G1211" s="67">
        <f>'Historical VAR'!$G$6</f>
        <v>-1.9839729167757107E-2</v>
      </c>
      <c r="H1211">
        <f t="shared" si="113"/>
        <v>0</v>
      </c>
      <c r="I1211" s="67">
        <f>'Historical VAR'!$G$7</f>
        <v>-3.1428916759065853E-2</v>
      </c>
      <c r="J1211">
        <f t="shared" si="114"/>
        <v>0</v>
      </c>
      <c r="K1211" s="67">
        <f ca="1">'Monte Carlo Stimulation'!$I$8</f>
        <v>-2.1559270710709389E-2</v>
      </c>
      <c r="L1211">
        <f t="shared" ca="1" si="115"/>
        <v>0</v>
      </c>
      <c r="M1211" s="67">
        <f ca="1">'Monte Carlo Stimulation'!$I$9</f>
        <v>-2.919314405717207E-2</v>
      </c>
      <c r="N1211">
        <f t="shared" ca="1" si="116"/>
        <v>0</v>
      </c>
    </row>
    <row r="1212" spans="1:14">
      <c r="A1212" s="12">
        <v>44334</v>
      </c>
      <c r="B1212" s="14">
        <v>-1.0111205351053477E-3</v>
      </c>
      <c r="C1212" s="67">
        <f>'Parametric VAR'!$F$12</f>
        <v>-2.023068247926026E-2</v>
      </c>
      <c r="D1212">
        <f t="shared" si="111"/>
        <v>0</v>
      </c>
      <c r="E1212" s="67">
        <f>'Parametric VAR'!$F$13</f>
        <v>-2.8682193012943492E-2</v>
      </c>
      <c r="F1212">
        <f t="shared" si="112"/>
        <v>0</v>
      </c>
      <c r="G1212" s="67">
        <f>'Historical VAR'!$G$6</f>
        <v>-1.9839729167757107E-2</v>
      </c>
      <c r="H1212">
        <f t="shared" si="113"/>
        <v>0</v>
      </c>
      <c r="I1212" s="67">
        <f>'Historical VAR'!$G$7</f>
        <v>-3.1428916759065853E-2</v>
      </c>
      <c r="J1212">
        <f t="shared" si="114"/>
        <v>0</v>
      </c>
      <c r="K1212" s="67">
        <f ca="1">'Monte Carlo Stimulation'!$I$8</f>
        <v>-2.1559270710709389E-2</v>
      </c>
      <c r="L1212">
        <f t="shared" ca="1" si="115"/>
        <v>0</v>
      </c>
      <c r="M1212" s="67">
        <f ca="1">'Monte Carlo Stimulation'!$I$9</f>
        <v>-2.919314405717207E-2</v>
      </c>
      <c r="N1212">
        <f t="shared" ca="1" si="116"/>
        <v>0</v>
      </c>
    </row>
    <row r="1213" spans="1:14">
      <c r="A1213" s="12">
        <v>44333</v>
      </c>
      <c r="B1213" s="14">
        <v>-1.3305676796049161E-2</v>
      </c>
      <c r="C1213" s="67">
        <f>'Parametric VAR'!$F$12</f>
        <v>-2.023068247926026E-2</v>
      </c>
      <c r="D1213">
        <f t="shared" si="111"/>
        <v>0</v>
      </c>
      <c r="E1213" s="67">
        <f>'Parametric VAR'!$F$13</f>
        <v>-2.8682193012943492E-2</v>
      </c>
      <c r="F1213">
        <f t="shared" si="112"/>
        <v>0</v>
      </c>
      <c r="G1213" s="67">
        <f>'Historical VAR'!$G$6</f>
        <v>-1.9839729167757107E-2</v>
      </c>
      <c r="H1213">
        <f t="shared" si="113"/>
        <v>0</v>
      </c>
      <c r="I1213" s="67">
        <f>'Historical VAR'!$G$7</f>
        <v>-3.1428916759065853E-2</v>
      </c>
      <c r="J1213">
        <f t="shared" si="114"/>
        <v>0</v>
      </c>
      <c r="K1213" s="67">
        <f ca="1">'Monte Carlo Stimulation'!$I$8</f>
        <v>-2.1559270710709389E-2</v>
      </c>
      <c r="L1213">
        <f t="shared" ca="1" si="115"/>
        <v>0</v>
      </c>
      <c r="M1213" s="67">
        <f ca="1">'Monte Carlo Stimulation'!$I$9</f>
        <v>-2.919314405717207E-2</v>
      </c>
      <c r="N1213">
        <f t="shared" ca="1" si="116"/>
        <v>0</v>
      </c>
    </row>
    <row r="1214" spans="1:14">
      <c r="A1214" s="12">
        <v>44330</v>
      </c>
      <c r="B1214" s="14">
        <v>-5.4395456420234575E-3</v>
      </c>
      <c r="C1214" s="67">
        <f>'Parametric VAR'!$F$12</f>
        <v>-2.023068247926026E-2</v>
      </c>
      <c r="D1214">
        <f t="shared" si="111"/>
        <v>0</v>
      </c>
      <c r="E1214" s="67">
        <f>'Parametric VAR'!$F$13</f>
        <v>-2.8682193012943492E-2</v>
      </c>
      <c r="F1214">
        <f t="shared" si="112"/>
        <v>0</v>
      </c>
      <c r="G1214" s="67">
        <f>'Historical VAR'!$G$6</f>
        <v>-1.9839729167757107E-2</v>
      </c>
      <c r="H1214">
        <f t="shared" si="113"/>
        <v>0</v>
      </c>
      <c r="I1214" s="67">
        <f>'Historical VAR'!$G$7</f>
        <v>-3.1428916759065853E-2</v>
      </c>
      <c r="J1214">
        <f t="shared" si="114"/>
        <v>0</v>
      </c>
      <c r="K1214" s="67">
        <f ca="1">'Monte Carlo Stimulation'!$I$8</f>
        <v>-2.1559270710709389E-2</v>
      </c>
      <c r="L1214">
        <f t="shared" ca="1" si="115"/>
        <v>0</v>
      </c>
      <c r="M1214" s="67">
        <f ca="1">'Monte Carlo Stimulation'!$I$9</f>
        <v>-2.919314405717207E-2</v>
      </c>
      <c r="N1214">
        <f t="shared" ca="1" si="116"/>
        <v>0</v>
      </c>
    </row>
    <row r="1215" spans="1:14">
      <c r="A1215" s="12">
        <v>44328</v>
      </c>
      <c r="B1215" s="14">
        <v>-6.3056831711733652E-2</v>
      </c>
      <c r="C1215" s="67">
        <f>'Parametric VAR'!$F$12</f>
        <v>-2.023068247926026E-2</v>
      </c>
      <c r="D1215">
        <f t="shared" si="111"/>
        <v>1</v>
      </c>
      <c r="E1215" s="67">
        <f>'Parametric VAR'!$F$13</f>
        <v>-2.8682193012943492E-2</v>
      </c>
      <c r="F1215">
        <f t="shared" si="112"/>
        <v>1</v>
      </c>
      <c r="G1215" s="67">
        <f>'Historical VAR'!$G$6</f>
        <v>-1.9839729167757107E-2</v>
      </c>
      <c r="H1215">
        <f t="shared" si="113"/>
        <v>1</v>
      </c>
      <c r="I1215" s="67">
        <f>'Historical VAR'!$G$7</f>
        <v>-3.1428916759065853E-2</v>
      </c>
      <c r="J1215">
        <f t="shared" si="114"/>
        <v>1</v>
      </c>
      <c r="K1215" s="67">
        <f ca="1">'Monte Carlo Stimulation'!$I$8</f>
        <v>-2.1559270710709389E-2</v>
      </c>
      <c r="L1215">
        <f t="shared" ca="1" si="115"/>
        <v>1</v>
      </c>
      <c r="M1215" s="67">
        <f ca="1">'Monte Carlo Stimulation'!$I$9</f>
        <v>-2.919314405717207E-2</v>
      </c>
      <c r="N1215">
        <f t="shared" ca="1" si="116"/>
        <v>1</v>
      </c>
    </row>
    <row r="1216" spans="1:14">
      <c r="A1216" s="12">
        <v>44327</v>
      </c>
      <c r="B1216" s="14">
        <v>5.2274693463631825E-4</v>
      </c>
      <c r="C1216" s="67">
        <f>'Parametric VAR'!$F$12</f>
        <v>-2.023068247926026E-2</v>
      </c>
      <c r="D1216">
        <f t="shared" si="111"/>
        <v>0</v>
      </c>
      <c r="E1216" s="67">
        <f>'Parametric VAR'!$F$13</f>
        <v>-2.8682193012943492E-2</v>
      </c>
      <c r="F1216">
        <f t="shared" si="112"/>
        <v>0</v>
      </c>
      <c r="G1216" s="67">
        <f>'Historical VAR'!$G$6</f>
        <v>-1.9839729167757107E-2</v>
      </c>
      <c r="H1216">
        <f t="shared" si="113"/>
        <v>0</v>
      </c>
      <c r="I1216" s="67">
        <f>'Historical VAR'!$G$7</f>
        <v>-3.1428916759065853E-2</v>
      </c>
      <c r="J1216">
        <f t="shared" si="114"/>
        <v>0</v>
      </c>
      <c r="K1216" s="67">
        <f ca="1">'Monte Carlo Stimulation'!$I$8</f>
        <v>-2.1559270710709389E-2</v>
      </c>
      <c r="L1216">
        <f t="shared" ca="1" si="115"/>
        <v>0</v>
      </c>
      <c r="M1216" s="67">
        <f ca="1">'Monte Carlo Stimulation'!$I$9</f>
        <v>-2.919314405717207E-2</v>
      </c>
      <c r="N1216">
        <f t="shared" ca="1" si="116"/>
        <v>0</v>
      </c>
    </row>
    <row r="1217" spans="1:14">
      <c r="A1217" s="12">
        <v>44326</v>
      </c>
      <c r="B1217" s="14">
        <v>-1.9428335961485998E-3</v>
      </c>
      <c r="C1217" s="67">
        <f>'Parametric VAR'!$F$12</f>
        <v>-2.023068247926026E-2</v>
      </c>
      <c r="D1217">
        <f t="shared" si="111"/>
        <v>0</v>
      </c>
      <c r="E1217" s="67">
        <f>'Parametric VAR'!$F$13</f>
        <v>-2.8682193012943492E-2</v>
      </c>
      <c r="F1217">
        <f t="shared" si="112"/>
        <v>0</v>
      </c>
      <c r="G1217" s="67">
        <f>'Historical VAR'!$G$6</f>
        <v>-1.9839729167757107E-2</v>
      </c>
      <c r="H1217">
        <f t="shared" si="113"/>
        <v>0</v>
      </c>
      <c r="I1217" s="67">
        <f>'Historical VAR'!$G$7</f>
        <v>-3.1428916759065853E-2</v>
      </c>
      <c r="J1217">
        <f t="shared" si="114"/>
        <v>0</v>
      </c>
      <c r="K1217" s="67">
        <f ca="1">'Monte Carlo Stimulation'!$I$8</f>
        <v>-2.1559270710709389E-2</v>
      </c>
      <c r="L1217">
        <f t="shared" ca="1" si="115"/>
        <v>0</v>
      </c>
      <c r="M1217" s="67">
        <f ca="1">'Monte Carlo Stimulation'!$I$9</f>
        <v>-2.919314405717207E-2</v>
      </c>
      <c r="N1217">
        <f t="shared" ca="1" si="116"/>
        <v>0</v>
      </c>
    </row>
    <row r="1218" spans="1:14">
      <c r="A1218" s="12">
        <v>44323</v>
      </c>
      <c r="B1218" s="14">
        <v>-1.1880276879635589E-3</v>
      </c>
      <c r="C1218" s="67">
        <f>'Parametric VAR'!$F$12</f>
        <v>-2.023068247926026E-2</v>
      </c>
      <c r="D1218">
        <f t="shared" si="111"/>
        <v>0</v>
      </c>
      <c r="E1218" s="67">
        <f>'Parametric VAR'!$F$13</f>
        <v>-2.8682193012943492E-2</v>
      </c>
      <c r="F1218">
        <f t="shared" si="112"/>
        <v>0</v>
      </c>
      <c r="G1218" s="67">
        <f>'Historical VAR'!$G$6</f>
        <v>-1.9839729167757107E-2</v>
      </c>
      <c r="H1218">
        <f t="shared" si="113"/>
        <v>0</v>
      </c>
      <c r="I1218" s="67">
        <f>'Historical VAR'!$G$7</f>
        <v>-3.1428916759065853E-2</v>
      </c>
      <c r="J1218">
        <f t="shared" si="114"/>
        <v>0</v>
      </c>
      <c r="K1218" s="67">
        <f ca="1">'Monte Carlo Stimulation'!$I$8</f>
        <v>-2.1559270710709389E-2</v>
      </c>
      <c r="L1218">
        <f t="shared" ca="1" si="115"/>
        <v>0</v>
      </c>
      <c r="M1218" s="67">
        <f ca="1">'Monte Carlo Stimulation'!$I$9</f>
        <v>-2.919314405717207E-2</v>
      </c>
      <c r="N1218">
        <f t="shared" ca="1" si="116"/>
        <v>0</v>
      </c>
    </row>
    <row r="1219" spans="1:14">
      <c r="A1219" s="12">
        <v>44322</v>
      </c>
      <c r="B1219" s="14">
        <v>-5.8528444898105485E-4</v>
      </c>
      <c r="C1219" s="67">
        <f>'Parametric VAR'!$F$12</f>
        <v>-2.023068247926026E-2</v>
      </c>
      <c r="D1219">
        <f t="shared" si="111"/>
        <v>0</v>
      </c>
      <c r="E1219" s="67">
        <f>'Parametric VAR'!$F$13</f>
        <v>-2.8682193012943492E-2</v>
      </c>
      <c r="F1219">
        <f t="shared" si="112"/>
        <v>0</v>
      </c>
      <c r="G1219" s="67">
        <f>'Historical VAR'!$G$6</f>
        <v>-1.9839729167757107E-2</v>
      </c>
      <c r="H1219">
        <f t="shared" si="113"/>
        <v>0</v>
      </c>
      <c r="I1219" s="67">
        <f>'Historical VAR'!$G$7</f>
        <v>-3.1428916759065853E-2</v>
      </c>
      <c r="J1219">
        <f t="shared" si="114"/>
        <v>0</v>
      </c>
      <c r="K1219" s="67">
        <f ca="1">'Monte Carlo Stimulation'!$I$8</f>
        <v>-2.1559270710709389E-2</v>
      </c>
      <c r="L1219">
        <f t="shared" ca="1" si="115"/>
        <v>0</v>
      </c>
      <c r="M1219" s="67">
        <f ca="1">'Monte Carlo Stimulation'!$I$9</f>
        <v>-2.919314405717207E-2</v>
      </c>
      <c r="N1219">
        <f t="shared" ca="1" si="116"/>
        <v>0</v>
      </c>
    </row>
    <row r="1220" spans="1:14">
      <c r="A1220" s="12">
        <v>44321</v>
      </c>
      <c r="B1220" s="14">
        <v>4.0495494571885894E-3</v>
      </c>
      <c r="C1220" s="67">
        <f>'Parametric VAR'!$F$12</f>
        <v>-2.023068247926026E-2</v>
      </c>
      <c r="D1220">
        <f t="shared" ref="D1220:D1241" si="117">IF(B1220&lt;C1220,1,0)</f>
        <v>0</v>
      </c>
      <c r="E1220" s="67">
        <f>'Parametric VAR'!$F$13</f>
        <v>-2.8682193012943492E-2</v>
      </c>
      <c r="F1220">
        <f t="shared" ref="F1220:F1241" si="118">IF(B1220&lt;E1220,1,0)</f>
        <v>0</v>
      </c>
      <c r="G1220" s="67">
        <f>'Historical VAR'!$G$6</f>
        <v>-1.9839729167757107E-2</v>
      </c>
      <c r="H1220">
        <f t="shared" ref="H1220:H1241" si="119">IF(B1220&lt;G1220,1,0)</f>
        <v>0</v>
      </c>
      <c r="I1220" s="67">
        <f>'Historical VAR'!$G$7</f>
        <v>-3.1428916759065853E-2</v>
      </c>
      <c r="J1220">
        <f t="shared" ref="J1220:J1241" si="120">IF(B1220&lt;I1220,1,0)</f>
        <v>0</v>
      </c>
      <c r="K1220" s="67">
        <f ca="1">'Monte Carlo Stimulation'!$I$8</f>
        <v>-2.1559270710709389E-2</v>
      </c>
      <c r="L1220">
        <f t="shared" ref="L1220:L1241" ca="1" si="121">IF(B1220&lt;K1220,1,0)</f>
        <v>0</v>
      </c>
      <c r="M1220" s="67">
        <f ca="1">'Monte Carlo Stimulation'!$I$9</f>
        <v>-2.919314405717207E-2</v>
      </c>
      <c r="N1220">
        <f t="shared" ref="N1220:N1241" ca="1" si="122">IF(B1220&lt;M1220,1,0)</f>
        <v>0</v>
      </c>
    </row>
    <row r="1221" spans="1:14">
      <c r="A1221" s="12">
        <v>44320</v>
      </c>
      <c r="B1221" s="14">
        <v>2.6506197536737643E-3</v>
      </c>
      <c r="C1221" s="67">
        <f>'Parametric VAR'!$F$12</f>
        <v>-2.023068247926026E-2</v>
      </c>
      <c r="D1221">
        <f t="shared" si="117"/>
        <v>0</v>
      </c>
      <c r="E1221" s="67">
        <f>'Parametric VAR'!$F$13</f>
        <v>-2.8682193012943492E-2</v>
      </c>
      <c r="F1221">
        <f t="shared" si="118"/>
        <v>0</v>
      </c>
      <c r="G1221" s="67">
        <f>'Historical VAR'!$G$6</f>
        <v>-1.9839729167757107E-2</v>
      </c>
      <c r="H1221">
        <f t="shared" si="119"/>
        <v>0</v>
      </c>
      <c r="I1221" s="67">
        <f>'Historical VAR'!$G$7</f>
        <v>-3.1428916759065853E-2</v>
      </c>
      <c r="J1221">
        <f t="shared" si="120"/>
        <v>0</v>
      </c>
      <c r="K1221" s="67">
        <f ca="1">'Monte Carlo Stimulation'!$I$8</f>
        <v>-2.1559270710709389E-2</v>
      </c>
      <c r="L1221">
        <f t="shared" ca="1" si="121"/>
        <v>0</v>
      </c>
      <c r="M1221" s="67">
        <f ca="1">'Monte Carlo Stimulation'!$I$9</f>
        <v>-2.919314405717207E-2</v>
      </c>
      <c r="N1221">
        <f t="shared" ca="1" si="122"/>
        <v>0</v>
      </c>
    </row>
    <row r="1222" spans="1:14">
      <c r="A1222" s="12">
        <v>44319</v>
      </c>
      <c r="B1222" s="14">
        <v>-8.1978585248288302E-5</v>
      </c>
      <c r="C1222" s="67">
        <f>'Parametric VAR'!$F$12</f>
        <v>-2.023068247926026E-2</v>
      </c>
      <c r="D1222">
        <f t="shared" si="117"/>
        <v>0</v>
      </c>
      <c r="E1222" s="67">
        <f>'Parametric VAR'!$F$13</f>
        <v>-2.8682193012943492E-2</v>
      </c>
      <c r="F1222">
        <f t="shared" si="118"/>
        <v>0</v>
      </c>
      <c r="G1222" s="67">
        <f>'Historical VAR'!$G$6</f>
        <v>-1.9839729167757107E-2</v>
      </c>
      <c r="H1222">
        <f t="shared" si="119"/>
        <v>0</v>
      </c>
      <c r="I1222" s="67">
        <f>'Historical VAR'!$G$7</f>
        <v>-3.1428916759065853E-2</v>
      </c>
      <c r="J1222">
        <f t="shared" si="120"/>
        <v>0</v>
      </c>
      <c r="K1222" s="67">
        <f ca="1">'Monte Carlo Stimulation'!$I$8</f>
        <v>-2.1559270710709389E-2</v>
      </c>
      <c r="L1222">
        <f t="shared" ca="1" si="121"/>
        <v>0</v>
      </c>
      <c r="M1222" s="67">
        <f ca="1">'Monte Carlo Stimulation'!$I$9</f>
        <v>-2.919314405717207E-2</v>
      </c>
      <c r="N1222">
        <f t="shared" ca="1" si="122"/>
        <v>0</v>
      </c>
    </row>
    <row r="1223" spans="1:14">
      <c r="A1223" s="12">
        <v>44316</v>
      </c>
      <c r="B1223" s="14">
        <v>-1.5236475870800736E-2</v>
      </c>
      <c r="C1223" s="67">
        <f>'Parametric VAR'!$F$12</f>
        <v>-2.023068247926026E-2</v>
      </c>
      <c r="D1223">
        <f t="shared" si="117"/>
        <v>0</v>
      </c>
      <c r="E1223" s="67">
        <f>'Parametric VAR'!$F$13</f>
        <v>-2.8682193012943492E-2</v>
      </c>
      <c r="F1223">
        <f t="shared" si="118"/>
        <v>0</v>
      </c>
      <c r="G1223" s="67">
        <f>'Historical VAR'!$G$6</f>
        <v>-1.9839729167757107E-2</v>
      </c>
      <c r="H1223">
        <f t="shared" si="119"/>
        <v>0</v>
      </c>
      <c r="I1223" s="67">
        <f>'Historical VAR'!$G$7</f>
        <v>-3.1428916759065853E-2</v>
      </c>
      <c r="J1223">
        <f t="shared" si="120"/>
        <v>0</v>
      </c>
      <c r="K1223" s="67">
        <f ca="1">'Monte Carlo Stimulation'!$I$8</f>
        <v>-2.1559270710709389E-2</v>
      </c>
      <c r="L1223">
        <f t="shared" ca="1" si="121"/>
        <v>0</v>
      </c>
      <c r="M1223" s="67">
        <f ca="1">'Monte Carlo Stimulation'!$I$9</f>
        <v>-2.919314405717207E-2</v>
      </c>
      <c r="N1223">
        <f t="shared" ca="1" si="122"/>
        <v>0</v>
      </c>
    </row>
    <row r="1224" spans="1:14">
      <c r="A1224" s="12">
        <v>44315</v>
      </c>
      <c r="B1224" s="14">
        <v>2.4986165105703194E-2</v>
      </c>
      <c r="C1224" s="67">
        <f>'Parametric VAR'!$F$12</f>
        <v>-2.023068247926026E-2</v>
      </c>
      <c r="D1224">
        <f t="shared" si="117"/>
        <v>0</v>
      </c>
      <c r="E1224" s="67">
        <f>'Parametric VAR'!$F$13</f>
        <v>-2.8682193012943492E-2</v>
      </c>
      <c r="F1224">
        <f t="shared" si="118"/>
        <v>0</v>
      </c>
      <c r="G1224" s="67">
        <f>'Historical VAR'!$G$6</f>
        <v>-1.9839729167757107E-2</v>
      </c>
      <c r="H1224">
        <f t="shared" si="119"/>
        <v>0</v>
      </c>
      <c r="I1224" s="67">
        <f>'Historical VAR'!$G$7</f>
        <v>-3.1428916759065853E-2</v>
      </c>
      <c r="J1224">
        <f t="shared" si="120"/>
        <v>0</v>
      </c>
      <c r="K1224" s="67">
        <f ca="1">'Monte Carlo Stimulation'!$I$8</f>
        <v>-2.1559270710709389E-2</v>
      </c>
      <c r="L1224">
        <f t="shared" ca="1" si="121"/>
        <v>0</v>
      </c>
      <c r="M1224" s="67">
        <f ca="1">'Monte Carlo Stimulation'!$I$9</f>
        <v>-2.919314405717207E-2</v>
      </c>
      <c r="N1224">
        <f t="shared" ca="1" si="122"/>
        <v>0</v>
      </c>
    </row>
    <row r="1225" spans="1:14">
      <c r="A1225" s="12">
        <v>44314</v>
      </c>
      <c r="B1225" s="14">
        <v>1.0289884277938533E-3</v>
      </c>
      <c r="C1225" s="67">
        <f>'Parametric VAR'!$F$12</f>
        <v>-2.023068247926026E-2</v>
      </c>
      <c r="D1225">
        <f t="shared" si="117"/>
        <v>0</v>
      </c>
      <c r="E1225" s="67">
        <f>'Parametric VAR'!$F$13</f>
        <v>-2.8682193012943492E-2</v>
      </c>
      <c r="F1225">
        <f t="shared" si="118"/>
        <v>0</v>
      </c>
      <c r="G1225" s="67">
        <f>'Historical VAR'!$G$6</f>
        <v>-1.9839729167757107E-2</v>
      </c>
      <c r="H1225">
        <f t="shared" si="119"/>
        <v>0</v>
      </c>
      <c r="I1225" s="67">
        <f>'Historical VAR'!$G$7</f>
        <v>-3.1428916759065853E-2</v>
      </c>
      <c r="J1225">
        <f t="shared" si="120"/>
        <v>0</v>
      </c>
      <c r="K1225" s="67">
        <f ca="1">'Monte Carlo Stimulation'!$I$8</f>
        <v>-2.1559270710709389E-2</v>
      </c>
      <c r="L1225">
        <f t="shared" ca="1" si="121"/>
        <v>0</v>
      </c>
      <c r="M1225" s="67">
        <f ca="1">'Monte Carlo Stimulation'!$I$9</f>
        <v>-2.919314405717207E-2</v>
      </c>
      <c r="N1225">
        <f t="shared" ca="1" si="122"/>
        <v>0</v>
      </c>
    </row>
    <row r="1226" spans="1:14">
      <c r="A1226" s="12">
        <v>44313</v>
      </c>
      <c r="B1226" s="14">
        <v>-1.355234765276696E-2</v>
      </c>
      <c r="C1226" s="67">
        <f>'Parametric VAR'!$F$12</f>
        <v>-2.023068247926026E-2</v>
      </c>
      <c r="D1226">
        <f t="shared" si="117"/>
        <v>0</v>
      </c>
      <c r="E1226" s="67">
        <f>'Parametric VAR'!$F$13</f>
        <v>-2.8682193012943492E-2</v>
      </c>
      <c r="F1226">
        <f t="shared" si="118"/>
        <v>0</v>
      </c>
      <c r="G1226" s="67">
        <f>'Historical VAR'!$G$6</f>
        <v>-1.9839729167757107E-2</v>
      </c>
      <c r="H1226">
        <f t="shared" si="119"/>
        <v>0</v>
      </c>
      <c r="I1226" s="67">
        <f>'Historical VAR'!$G$7</f>
        <v>-3.1428916759065853E-2</v>
      </c>
      <c r="J1226">
        <f t="shared" si="120"/>
        <v>0</v>
      </c>
      <c r="K1226" s="67">
        <f ca="1">'Monte Carlo Stimulation'!$I$8</f>
        <v>-2.1559270710709389E-2</v>
      </c>
      <c r="L1226">
        <f t="shared" ca="1" si="121"/>
        <v>0</v>
      </c>
      <c r="M1226" s="67">
        <f ca="1">'Monte Carlo Stimulation'!$I$9</f>
        <v>-2.919314405717207E-2</v>
      </c>
      <c r="N1226">
        <f t="shared" ca="1" si="122"/>
        <v>0</v>
      </c>
    </row>
    <row r="1227" spans="1:14">
      <c r="A1227" s="12">
        <v>44312</v>
      </c>
      <c r="B1227" s="14">
        <v>-2.5531653786885406E-3</v>
      </c>
      <c r="C1227" s="67">
        <f>'Parametric VAR'!$F$12</f>
        <v>-2.023068247926026E-2</v>
      </c>
      <c r="D1227">
        <f t="shared" si="117"/>
        <v>0</v>
      </c>
      <c r="E1227" s="67">
        <f>'Parametric VAR'!$F$13</f>
        <v>-2.8682193012943492E-2</v>
      </c>
      <c r="F1227">
        <f t="shared" si="118"/>
        <v>0</v>
      </c>
      <c r="G1227" s="67">
        <f>'Historical VAR'!$G$6</f>
        <v>-1.9839729167757107E-2</v>
      </c>
      <c r="H1227">
        <f t="shared" si="119"/>
        <v>0</v>
      </c>
      <c r="I1227" s="67">
        <f>'Historical VAR'!$G$7</f>
        <v>-3.1428916759065853E-2</v>
      </c>
      <c r="J1227">
        <f t="shared" si="120"/>
        <v>0</v>
      </c>
      <c r="K1227" s="67">
        <f ca="1">'Monte Carlo Stimulation'!$I$8</f>
        <v>-2.1559270710709389E-2</v>
      </c>
      <c r="L1227">
        <f t="shared" ca="1" si="121"/>
        <v>0</v>
      </c>
      <c r="M1227" s="67">
        <f ca="1">'Monte Carlo Stimulation'!$I$9</f>
        <v>-2.919314405717207E-2</v>
      </c>
      <c r="N1227">
        <f t="shared" ca="1" si="122"/>
        <v>0</v>
      </c>
    </row>
    <row r="1228" spans="1:14">
      <c r="A1228" s="12">
        <v>44309</v>
      </c>
      <c r="B1228" s="14">
        <v>-1.4563785113960519E-2</v>
      </c>
      <c r="C1228" s="67">
        <f>'Parametric VAR'!$F$12</f>
        <v>-2.023068247926026E-2</v>
      </c>
      <c r="D1228">
        <f t="shared" si="117"/>
        <v>0</v>
      </c>
      <c r="E1228" s="67">
        <f>'Parametric VAR'!$F$13</f>
        <v>-2.8682193012943492E-2</v>
      </c>
      <c r="F1228">
        <f t="shared" si="118"/>
        <v>0</v>
      </c>
      <c r="G1228" s="67">
        <f>'Historical VAR'!$G$6</f>
        <v>-1.9839729167757107E-2</v>
      </c>
      <c r="H1228">
        <f t="shared" si="119"/>
        <v>0</v>
      </c>
      <c r="I1228" s="67">
        <f>'Historical VAR'!$G$7</f>
        <v>-3.1428916759065853E-2</v>
      </c>
      <c r="J1228">
        <f t="shared" si="120"/>
        <v>0</v>
      </c>
      <c r="K1228" s="67">
        <f ca="1">'Monte Carlo Stimulation'!$I$8</f>
        <v>-2.1559270710709389E-2</v>
      </c>
      <c r="L1228">
        <f t="shared" ca="1" si="121"/>
        <v>0</v>
      </c>
      <c r="M1228" s="67">
        <f ca="1">'Monte Carlo Stimulation'!$I$9</f>
        <v>-2.919314405717207E-2</v>
      </c>
      <c r="N1228">
        <f t="shared" ca="1" si="122"/>
        <v>0</v>
      </c>
    </row>
    <row r="1229" spans="1:14">
      <c r="A1229" s="12">
        <v>44308</v>
      </c>
      <c r="B1229" s="14">
        <v>-1.0135498703270239E-3</v>
      </c>
      <c r="C1229" s="67">
        <f>'Parametric VAR'!$F$12</f>
        <v>-2.023068247926026E-2</v>
      </c>
      <c r="D1229">
        <f t="shared" si="117"/>
        <v>0</v>
      </c>
      <c r="E1229" s="67">
        <f>'Parametric VAR'!$F$13</f>
        <v>-2.8682193012943492E-2</v>
      </c>
      <c r="F1229">
        <f t="shared" si="118"/>
        <v>0</v>
      </c>
      <c r="G1229" s="67">
        <f>'Historical VAR'!$G$6</f>
        <v>-1.9839729167757107E-2</v>
      </c>
      <c r="H1229">
        <f t="shared" si="119"/>
        <v>0</v>
      </c>
      <c r="I1229" s="67">
        <f>'Historical VAR'!$G$7</f>
        <v>-3.1428916759065853E-2</v>
      </c>
      <c r="J1229">
        <f t="shared" si="120"/>
        <v>0</v>
      </c>
      <c r="K1229" s="67">
        <f ca="1">'Monte Carlo Stimulation'!$I$8</f>
        <v>-2.1559270710709389E-2</v>
      </c>
      <c r="L1229">
        <f t="shared" ca="1" si="121"/>
        <v>0</v>
      </c>
      <c r="M1229" s="67">
        <f ca="1">'Monte Carlo Stimulation'!$I$9</f>
        <v>-2.919314405717207E-2</v>
      </c>
      <c r="N1229">
        <f t="shared" ca="1" si="122"/>
        <v>0</v>
      </c>
    </row>
    <row r="1230" spans="1:14">
      <c r="A1230" s="12">
        <v>44306</v>
      </c>
      <c r="B1230" s="14">
        <v>1.0955947828076467E-2</v>
      </c>
      <c r="C1230" s="67">
        <f>'Parametric VAR'!$F$12</f>
        <v>-2.023068247926026E-2</v>
      </c>
      <c r="D1230">
        <f t="shared" si="117"/>
        <v>0</v>
      </c>
      <c r="E1230" s="67">
        <f>'Parametric VAR'!$F$13</f>
        <v>-2.8682193012943492E-2</v>
      </c>
      <c r="F1230">
        <f t="shared" si="118"/>
        <v>0</v>
      </c>
      <c r="G1230" s="67">
        <f>'Historical VAR'!$G$6</f>
        <v>-1.9839729167757107E-2</v>
      </c>
      <c r="H1230">
        <f t="shared" si="119"/>
        <v>0</v>
      </c>
      <c r="I1230" s="67">
        <f>'Historical VAR'!$G$7</f>
        <v>-3.1428916759065853E-2</v>
      </c>
      <c r="J1230">
        <f t="shared" si="120"/>
        <v>0</v>
      </c>
      <c r="K1230" s="67">
        <f ca="1">'Monte Carlo Stimulation'!$I$8</f>
        <v>-2.1559270710709389E-2</v>
      </c>
      <c r="L1230">
        <f t="shared" ca="1" si="121"/>
        <v>0</v>
      </c>
      <c r="M1230" s="67">
        <f ca="1">'Monte Carlo Stimulation'!$I$9</f>
        <v>-2.919314405717207E-2</v>
      </c>
      <c r="N1230">
        <f t="shared" ca="1" si="122"/>
        <v>0</v>
      </c>
    </row>
    <row r="1231" spans="1:14">
      <c r="A1231" s="12">
        <v>44305</v>
      </c>
      <c r="B1231" s="14">
        <v>5.5729546820155662E-3</v>
      </c>
      <c r="C1231" s="67">
        <f>'Parametric VAR'!$F$12</f>
        <v>-2.023068247926026E-2</v>
      </c>
      <c r="D1231">
        <f t="shared" si="117"/>
        <v>0</v>
      </c>
      <c r="E1231" s="67">
        <f>'Parametric VAR'!$F$13</f>
        <v>-2.8682193012943492E-2</v>
      </c>
      <c r="F1231">
        <f t="shared" si="118"/>
        <v>0</v>
      </c>
      <c r="G1231" s="67">
        <f>'Historical VAR'!$G$6</f>
        <v>-1.9839729167757107E-2</v>
      </c>
      <c r="H1231">
        <f t="shared" si="119"/>
        <v>0</v>
      </c>
      <c r="I1231" s="67">
        <f>'Historical VAR'!$G$7</f>
        <v>-3.1428916759065853E-2</v>
      </c>
      <c r="J1231">
        <f t="shared" si="120"/>
        <v>0</v>
      </c>
      <c r="K1231" s="67">
        <f ca="1">'Monte Carlo Stimulation'!$I$8</f>
        <v>-2.1559270710709389E-2</v>
      </c>
      <c r="L1231">
        <f t="shared" ca="1" si="121"/>
        <v>0</v>
      </c>
      <c r="M1231" s="67">
        <f ca="1">'Monte Carlo Stimulation'!$I$9</f>
        <v>-2.919314405717207E-2</v>
      </c>
      <c r="N1231">
        <f t="shared" ca="1" si="122"/>
        <v>0</v>
      </c>
    </row>
    <row r="1232" spans="1:14">
      <c r="A1232" s="12">
        <v>44302</v>
      </c>
      <c r="B1232" s="14">
        <v>3.3943402361860373E-2</v>
      </c>
      <c r="C1232" s="67">
        <f>'Parametric VAR'!$F$12</f>
        <v>-2.023068247926026E-2</v>
      </c>
      <c r="D1232">
        <f t="shared" si="117"/>
        <v>0</v>
      </c>
      <c r="E1232" s="67">
        <f>'Parametric VAR'!$F$13</f>
        <v>-2.8682193012943492E-2</v>
      </c>
      <c r="F1232">
        <f t="shared" si="118"/>
        <v>0</v>
      </c>
      <c r="G1232" s="67">
        <f>'Historical VAR'!$G$6</f>
        <v>-1.9839729167757107E-2</v>
      </c>
      <c r="H1232">
        <f t="shared" si="119"/>
        <v>0</v>
      </c>
      <c r="I1232" s="67">
        <f>'Historical VAR'!$G$7</f>
        <v>-3.1428916759065853E-2</v>
      </c>
      <c r="J1232">
        <f t="shared" si="120"/>
        <v>0</v>
      </c>
      <c r="K1232" s="67">
        <f ca="1">'Monte Carlo Stimulation'!$I$8</f>
        <v>-2.1559270710709389E-2</v>
      </c>
      <c r="L1232">
        <f t="shared" ca="1" si="121"/>
        <v>0</v>
      </c>
      <c r="M1232" s="67">
        <f ca="1">'Monte Carlo Stimulation'!$I$9</f>
        <v>-2.919314405717207E-2</v>
      </c>
      <c r="N1232">
        <f t="shared" ca="1" si="122"/>
        <v>0</v>
      </c>
    </row>
    <row r="1233" spans="1:14">
      <c r="A1233" s="12">
        <v>44301</v>
      </c>
      <c r="B1233" s="14">
        <v>-2.329463959242941E-2</v>
      </c>
      <c r="C1233" s="67">
        <f>'Parametric VAR'!$F$12</f>
        <v>-2.023068247926026E-2</v>
      </c>
      <c r="D1233">
        <f t="shared" si="117"/>
        <v>1</v>
      </c>
      <c r="E1233" s="67">
        <f>'Parametric VAR'!$F$13</f>
        <v>-2.8682193012943492E-2</v>
      </c>
      <c r="F1233">
        <f t="shared" si="118"/>
        <v>0</v>
      </c>
      <c r="G1233" s="67">
        <f>'Historical VAR'!$G$6</f>
        <v>-1.9839729167757107E-2</v>
      </c>
      <c r="H1233">
        <f t="shared" si="119"/>
        <v>1</v>
      </c>
      <c r="I1233" s="67">
        <f>'Historical VAR'!$G$7</f>
        <v>-3.1428916759065853E-2</v>
      </c>
      <c r="J1233">
        <f t="shared" si="120"/>
        <v>0</v>
      </c>
      <c r="K1233" s="67">
        <f ca="1">'Monte Carlo Stimulation'!$I$8</f>
        <v>-2.1559270710709389E-2</v>
      </c>
      <c r="L1233">
        <f t="shared" ca="1" si="121"/>
        <v>1</v>
      </c>
      <c r="M1233" s="67">
        <f ca="1">'Monte Carlo Stimulation'!$I$9</f>
        <v>-2.919314405717207E-2</v>
      </c>
      <c r="N1233">
        <f t="shared" ca="1" si="122"/>
        <v>0</v>
      </c>
    </row>
    <row r="1234" spans="1:14">
      <c r="A1234" s="12">
        <v>44299</v>
      </c>
      <c r="B1234" s="14">
        <v>-4.8857074922384188E-3</v>
      </c>
      <c r="C1234" s="67">
        <f>'Parametric VAR'!$F$12</f>
        <v>-2.023068247926026E-2</v>
      </c>
      <c r="D1234">
        <f t="shared" si="117"/>
        <v>0</v>
      </c>
      <c r="E1234" s="67">
        <f>'Parametric VAR'!$F$13</f>
        <v>-2.8682193012943492E-2</v>
      </c>
      <c r="F1234">
        <f t="shared" si="118"/>
        <v>0</v>
      </c>
      <c r="G1234" s="67">
        <f>'Historical VAR'!$G$6</f>
        <v>-1.9839729167757107E-2</v>
      </c>
      <c r="H1234">
        <f t="shared" si="119"/>
        <v>0</v>
      </c>
      <c r="I1234" s="67">
        <f>'Historical VAR'!$G$7</f>
        <v>-3.1428916759065853E-2</v>
      </c>
      <c r="J1234">
        <f t="shared" si="120"/>
        <v>0</v>
      </c>
      <c r="K1234" s="67">
        <f ca="1">'Monte Carlo Stimulation'!$I$8</f>
        <v>-2.1559270710709389E-2</v>
      </c>
      <c r="L1234">
        <f t="shared" ca="1" si="121"/>
        <v>0</v>
      </c>
      <c r="M1234" s="67">
        <f ca="1">'Monte Carlo Stimulation'!$I$9</f>
        <v>-2.919314405717207E-2</v>
      </c>
      <c r="N1234">
        <f t="shared" ca="1" si="122"/>
        <v>0</v>
      </c>
    </row>
    <row r="1235" spans="1:14">
      <c r="A1235" s="12">
        <v>44298</v>
      </c>
      <c r="B1235" s="14">
        <v>9.7615028109305762E-3</v>
      </c>
      <c r="C1235" s="67">
        <f>'Parametric VAR'!$F$12</f>
        <v>-2.023068247926026E-2</v>
      </c>
      <c r="D1235">
        <f t="shared" si="117"/>
        <v>0</v>
      </c>
      <c r="E1235" s="67">
        <f>'Parametric VAR'!$F$13</f>
        <v>-2.8682193012943492E-2</v>
      </c>
      <c r="F1235">
        <f t="shared" si="118"/>
        <v>0</v>
      </c>
      <c r="G1235" s="67">
        <f>'Historical VAR'!$G$6</f>
        <v>-1.9839729167757107E-2</v>
      </c>
      <c r="H1235">
        <f t="shared" si="119"/>
        <v>0</v>
      </c>
      <c r="I1235" s="67">
        <f>'Historical VAR'!$G$7</f>
        <v>-3.1428916759065853E-2</v>
      </c>
      <c r="J1235">
        <f t="shared" si="120"/>
        <v>0</v>
      </c>
      <c r="K1235" s="67">
        <f ca="1">'Monte Carlo Stimulation'!$I$8</f>
        <v>-2.1559270710709389E-2</v>
      </c>
      <c r="L1235">
        <f t="shared" ca="1" si="121"/>
        <v>0</v>
      </c>
      <c r="M1235" s="67">
        <f ca="1">'Monte Carlo Stimulation'!$I$9</f>
        <v>-2.919314405717207E-2</v>
      </c>
      <c r="N1235">
        <f t="shared" ca="1" si="122"/>
        <v>0</v>
      </c>
    </row>
    <row r="1236" spans="1:14">
      <c r="A1236" s="12">
        <v>44295</v>
      </c>
      <c r="B1236" s="14">
        <v>1.7430675077918404E-2</v>
      </c>
      <c r="C1236" s="67">
        <f>'Parametric VAR'!$F$12</f>
        <v>-2.023068247926026E-2</v>
      </c>
      <c r="D1236">
        <f t="shared" si="117"/>
        <v>0</v>
      </c>
      <c r="E1236" s="67">
        <f>'Parametric VAR'!$F$13</f>
        <v>-2.8682193012943492E-2</v>
      </c>
      <c r="F1236">
        <f t="shared" si="118"/>
        <v>0</v>
      </c>
      <c r="G1236" s="67">
        <f>'Historical VAR'!$G$6</f>
        <v>-1.9839729167757107E-2</v>
      </c>
      <c r="H1236">
        <f t="shared" si="119"/>
        <v>0</v>
      </c>
      <c r="I1236" s="67">
        <f>'Historical VAR'!$G$7</f>
        <v>-3.1428916759065853E-2</v>
      </c>
      <c r="J1236">
        <f t="shared" si="120"/>
        <v>0</v>
      </c>
      <c r="K1236" s="67">
        <f ca="1">'Monte Carlo Stimulation'!$I$8</f>
        <v>-2.1559270710709389E-2</v>
      </c>
      <c r="L1236">
        <f t="shared" ca="1" si="121"/>
        <v>0</v>
      </c>
      <c r="M1236" s="67">
        <f ca="1">'Monte Carlo Stimulation'!$I$9</f>
        <v>-2.919314405717207E-2</v>
      </c>
      <c r="N1236">
        <f t="shared" ca="1" si="122"/>
        <v>0</v>
      </c>
    </row>
    <row r="1237" spans="1:14">
      <c r="A1237" s="12">
        <v>44294</v>
      </c>
      <c r="B1237" s="14">
        <v>8.7514362637614116E-3</v>
      </c>
      <c r="C1237" s="67">
        <f>'Parametric VAR'!$F$12</f>
        <v>-2.023068247926026E-2</v>
      </c>
      <c r="D1237">
        <f t="shared" si="117"/>
        <v>0</v>
      </c>
      <c r="E1237" s="67">
        <f>'Parametric VAR'!$F$13</f>
        <v>-2.8682193012943492E-2</v>
      </c>
      <c r="F1237">
        <f t="shared" si="118"/>
        <v>0</v>
      </c>
      <c r="G1237" s="67">
        <f>'Historical VAR'!$G$6</f>
        <v>-1.9839729167757107E-2</v>
      </c>
      <c r="H1237">
        <f t="shared" si="119"/>
        <v>0</v>
      </c>
      <c r="I1237" s="67">
        <f>'Historical VAR'!$G$7</f>
        <v>-3.1428916759065853E-2</v>
      </c>
      <c r="J1237">
        <f t="shared" si="120"/>
        <v>0</v>
      </c>
      <c r="K1237" s="67">
        <f ca="1">'Monte Carlo Stimulation'!$I$8</f>
        <v>-2.1559270710709389E-2</v>
      </c>
      <c r="L1237">
        <f t="shared" ca="1" si="121"/>
        <v>0</v>
      </c>
      <c r="M1237" s="67">
        <f ca="1">'Monte Carlo Stimulation'!$I$9</f>
        <v>-2.919314405717207E-2</v>
      </c>
      <c r="N1237">
        <f t="shared" ca="1" si="122"/>
        <v>0</v>
      </c>
    </row>
    <row r="1238" spans="1:14">
      <c r="A1238" s="12">
        <v>44293</v>
      </c>
      <c r="B1238" s="14">
        <v>-8.6369484149566855E-3</v>
      </c>
      <c r="C1238" s="67">
        <f>'Parametric VAR'!$F$12</f>
        <v>-2.023068247926026E-2</v>
      </c>
      <c r="D1238">
        <f t="shared" si="117"/>
        <v>0</v>
      </c>
      <c r="E1238" s="67">
        <f>'Parametric VAR'!$F$13</f>
        <v>-2.8682193012943492E-2</v>
      </c>
      <c r="F1238">
        <f t="shared" si="118"/>
        <v>0</v>
      </c>
      <c r="G1238" s="67">
        <f>'Historical VAR'!$G$6</f>
        <v>-1.9839729167757107E-2</v>
      </c>
      <c r="H1238">
        <f t="shared" si="119"/>
        <v>0</v>
      </c>
      <c r="I1238" s="67">
        <f>'Historical VAR'!$G$7</f>
        <v>-3.1428916759065853E-2</v>
      </c>
      <c r="J1238">
        <f t="shared" si="120"/>
        <v>0</v>
      </c>
      <c r="K1238" s="67">
        <f ca="1">'Monte Carlo Stimulation'!$I$8</f>
        <v>-2.1559270710709389E-2</v>
      </c>
      <c r="L1238">
        <f t="shared" ca="1" si="121"/>
        <v>0</v>
      </c>
      <c r="M1238" s="67">
        <f ca="1">'Monte Carlo Stimulation'!$I$9</f>
        <v>-2.919314405717207E-2</v>
      </c>
      <c r="N1238">
        <f t="shared" ca="1" si="122"/>
        <v>0</v>
      </c>
    </row>
    <row r="1239" spans="1:14">
      <c r="A1239" s="12">
        <v>44292</v>
      </c>
      <c r="B1239" s="14">
        <v>-5.3469508574201779E-3</v>
      </c>
      <c r="C1239" s="67">
        <f>'Parametric VAR'!$F$12</f>
        <v>-2.023068247926026E-2</v>
      </c>
      <c r="D1239">
        <f t="shared" si="117"/>
        <v>0</v>
      </c>
      <c r="E1239" s="67">
        <f>'Parametric VAR'!$F$13</f>
        <v>-2.8682193012943492E-2</v>
      </c>
      <c r="F1239">
        <f t="shared" si="118"/>
        <v>0</v>
      </c>
      <c r="G1239" s="67">
        <f>'Historical VAR'!$G$6</f>
        <v>-1.9839729167757107E-2</v>
      </c>
      <c r="H1239">
        <f t="shared" si="119"/>
        <v>0</v>
      </c>
      <c r="I1239" s="67">
        <f>'Historical VAR'!$G$7</f>
        <v>-3.1428916759065853E-2</v>
      </c>
      <c r="J1239">
        <f t="shared" si="120"/>
        <v>0</v>
      </c>
      <c r="K1239" s="67">
        <f ca="1">'Monte Carlo Stimulation'!$I$8</f>
        <v>-2.1559270710709389E-2</v>
      </c>
      <c r="L1239">
        <f t="shared" ca="1" si="121"/>
        <v>0</v>
      </c>
      <c r="M1239" s="67">
        <f ca="1">'Monte Carlo Stimulation'!$I$9</f>
        <v>-2.919314405717207E-2</v>
      </c>
      <c r="N1239">
        <f t="shared" ca="1" si="122"/>
        <v>0</v>
      </c>
    </row>
    <row r="1240" spans="1:14">
      <c r="A1240" s="12">
        <v>44291</v>
      </c>
      <c r="B1240" s="14">
        <v>-3.0475382243474153E-2</v>
      </c>
      <c r="C1240" s="67">
        <f>'Parametric VAR'!$F$12</f>
        <v>-2.023068247926026E-2</v>
      </c>
      <c r="D1240">
        <f t="shared" si="117"/>
        <v>1</v>
      </c>
      <c r="E1240" s="67">
        <f>'Parametric VAR'!$F$13</f>
        <v>-2.8682193012943492E-2</v>
      </c>
      <c r="F1240">
        <f t="shared" si="118"/>
        <v>1</v>
      </c>
      <c r="G1240" s="67">
        <f>'Historical VAR'!$G$6</f>
        <v>-1.9839729167757107E-2</v>
      </c>
      <c r="H1240">
        <f t="shared" si="119"/>
        <v>1</v>
      </c>
      <c r="I1240" s="67">
        <f>'Historical VAR'!$G$7</f>
        <v>-3.1428916759065853E-2</v>
      </c>
      <c r="J1240">
        <f t="shared" si="120"/>
        <v>0</v>
      </c>
      <c r="K1240" s="67">
        <f ca="1">'Monte Carlo Stimulation'!$I$8</f>
        <v>-2.1559270710709389E-2</v>
      </c>
      <c r="L1240">
        <f t="shared" ca="1" si="121"/>
        <v>1</v>
      </c>
      <c r="M1240" s="67">
        <f ca="1">'Monte Carlo Stimulation'!$I$9</f>
        <v>-2.919314405717207E-2</v>
      </c>
      <c r="N1240">
        <f t="shared" ca="1" si="122"/>
        <v>1</v>
      </c>
    </row>
    <row r="1241" spans="1:14">
      <c r="A1241" s="27">
        <v>44287</v>
      </c>
      <c r="B1241" s="14">
        <v>1.65889655057803E-2</v>
      </c>
      <c r="C1241" s="67">
        <f>'Parametric VAR'!$F$12</f>
        <v>-2.023068247926026E-2</v>
      </c>
      <c r="D1241">
        <f t="shared" si="117"/>
        <v>0</v>
      </c>
      <c r="E1241" s="67">
        <f>'Parametric VAR'!$F$13</f>
        <v>-2.8682193012943492E-2</v>
      </c>
      <c r="F1241">
        <f t="shared" si="118"/>
        <v>0</v>
      </c>
      <c r="G1241" s="67">
        <f>'Historical VAR'!$G$6</f>
        <v>-1.9839729167757107E-2</v>
      </c>
      <c r="H1241">
        <f t="shared" si="119"/>
        <v>0</v>
      </c>
      <c r="I1241" s="67">
        <f>'Historical VAR'!$G$7</f>
        <v>-3.1428916759065853E-2</v>
      </c>
      <c r="J1241">
        <f t="shared" si="120"/>
        <v>0</v>
      </c>
      <c r="K1241" s="67">
        <f ca="1">'Monte Carlo Stimulation'!$I$8</f>
        <v>-2.1559270710709389E-2</v>
      </c>
      <c r="L1241">
        <f t="shared" ca="1" si="121"/>
        <v>0</v>
      </c>
      <c r="M1241" s="67">
        <f ca="1">'Monte Carlo Stimulation'!$I$9</f>
        <v>-2.919314405717207E-2</v>
      </c>
      <c r="N1241">
        <f t="shared" ca="1" si="122"/>
        <v>0</v>
      </c>
    </row>
  </sheetData>
  <mergeCells count="6">
    <mergeCell ref="U2:V2"/>
    <mergeCell ref="C1:F1"/>
    <mergeCell ref="G1:J1"/>
    <mergeCell ref="K1:N1"/>
    <mergeCell ref="Q2:R2"/>
    <mergeCell ref="S2:T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E6B67-58DA-4A97-9EE7-EE5F60CB71AF}">
  <dimension ref="A1:L266"/>
  <sheetViews>
    <sheetView topLeftCell="G1" workbookViewId="0">
      <selection activeCell="N13" sqref="N13"/>
    </sheetView>
  </sheetViews>
  <sheetFormatPr defaultRowHeight="14.4"/>
  <cols>
    <col min="1" max="1" width="14.44140625" customWidth="1"/>
    <col min="2" max="3" width="8.88671875" customWidth="1"/>
    <col min="7" max="7" width="13.33203125" customWidth="1"/>
    <col min="8" max="8" width="12.44140625" customWidth="1"/>
    <col min="11" max="11" width="14.33203125" customWidth="1"/>
    <col min="12" max="12" width="21.6640625" customWidth="1"/>
  </cols>
  <sheetData>
    <row r="1" spans="1:12">
      <c r="A1" t="s">
        <v>3618</v>
      </c>
    </row>
    <row r="3" spans="1:12">
      <c r="C3" s="88" t="s">
        <v>3604</v>
      </c>
      <c r="D3" s="88"/>
      <c r="E3" s="89" t="s">
        <v>3619</v>
      </c>
      <c r="F3" s="89"/>
      <c r="G3" s="89" t="s">
        <v>3609</v>
      </c>
      <c r="H3" s="89"/>
    </row>
    <row r="4" spans="1:12">
      <c r="A4" s="9" t="s">
        <v>0</v>
      </c>
      <c r="B4" s="9" t="s">
        <v>3577</v>
      </c>
      <c r="C4" s="65">
        <v>0.99</v>
      </c>
      <c r="D4" s="65" t="s">
        <v>3610</v>
      </c>
      <c r="E4" s="65">
        <v>0.99</v>
      </c>
      <c r="F4" s="65" t="s">
        <v>3610</v>
      </c>
      <c r="G4" s="65">
        <v>0.99</v>
      </c>
      <c r="H4" s="65" t="s">
        <v>3610</v>
      </c>
      <c r="K4" s="87" t="s">
        <v>3620</v>
      </c>
      <c r="L4" s="87"/>
    </row>
    <row r="5" spans="1:12">
      <c r="A5" s="12">
        <v>46111</v>
      </c>
      <c r="B5" s="66">
        <v>-2.6953658776786262E-2</v>
      </c>
      <c r="C5" s="67">
        <f>'Parametric VAR'!$F$13</f>
        <v>-2.8682193012943492E-2</v>
      </c>
      <c r="D5">
        <f t="shared" ref="D5:D68" si="0">IF(B5&lt;C5,1,0)</f>
        <v>0</v>
      </c>
      <c r="E5" s="67">
        <f>'Historical VAR'!$G$7</f>
        <v>-3.1428916759065853E-2</v>
      </c>
      <c r="F5">
        <f t="shared" ref="F5:F68" si="1">IF(B5&lt;E5,1,0)</f>
        <v>0</v>
      </c>
      <c r="G5" s="67">
        <f ca="1">'Monte Carlo Stimulation'!$I$9</f>
        <v>-2.919314405717207E-2</v>
      </c>
      <c r="H5">
        <f t="shared" ref="H5:H68" ca="1" si="2">IF(B5&lt;G5,1,0)</f>
        <v>0</v>
      </c>
      <c r="K5" s="72" t="s">
        <v>3621</v>
      </c>
      <c r="L5" s="72" t="s">
        <v>3622</v>
      </c>
    </row>
    <row r="6" spans="1:12">
      <c r="A6" s="12">
        <v>46108</v>
      </c>
      <c r="B6" s="14">
        <v>1.9101032450748984E-2</v>
      </c>
      <c r="C6" s="67">
        <f>'Parametric VAR'!$F$13</f>
        <v>-2.8682193012943492E-2</v>
      </c>
      <c r="D6">
        <f t="shared" si="0"/>
        <v>0</v>
      </c>
      <c r="E6" s="67">
        <f>'Historical VAR'!$G$7</f>
        <v>-3.1428916759065853E-2</v>
      </c>
      <c r="F6">
        <f t="shared" si="1"/>
        <v>0</v>
      </c>
      <c r="G6" s="67">
        <f ca="1">'Monte Carlo Stimulation'!$I$9</f>
        <v>-2.919314405717207E-2</v>
      </c>
      <c r="H6">
        <f t="shared" ca="1" si="2"/>
        <v>0</v>
      </c>
      <c r="K6" s="73" t="s">
        <v>3623</v>
      </c>
      <c r="L6" s="74" t="s">
        <v>3624</v>
      </c>
    </row>
    <row r="7" spans="1:12">
      <c r="A7" s="12">
        <v>46106</v>
      </c>
      <c r="B7" s="14">
        <v>2.5796888243165738E-2</v>
      </c>
      <c r="C7" s="67">
        <f>'Parametric VAR'!$F$13</f>
        <v>-2.8682193012943492E-2</v>
      </c>
      <c r="D7">
        <f t="shared" si="0"/>
        <v>0</v>
      </c>
      <c r="E7" s="67">
        <f>'Historical VAR'!$G$7</f>
        <v>-3.1428916759065853E-2</v>
      </c>
      <c r="F7">
        <f t="shared" si="1"/>
        <v>0</v>
      </c>
      <c r="G7" s="67">
        <f ca="1">'Monte Carlo Stimulation'!$I$9</f>
        <v>-2.919314405717207E-2</v>
      </c>
      <c r="H7">
        <f t="shared" ca="1" si="2"/>
        <v>0</v>
      </c>
      <c r="K7" s="73" t="s">
        <v>3625</v>
      </c>
      <c r="L7" s="75" t="s">
        <v>3626</v>
      </c>
    </row>
    <row r="8" spans="1:12">
      <c r="A8" s="12">
        <v>46105</v>
      </c>
      <c r="B8" s="14">
        <v>-2.7229138616509975E-2</v>
      </c>
      <c r="C8" s="67">
        <f>'Parametric VAR'!$F$13</f>
        <v>-2.8682193012943492E-2</v>
      </c>
      <c r="D8">
        <f t="shared" si="0"/>
        <v>0</v>
      </c>
      <c r="E8" s="67">
        <f>'Historical VAR'!$G$7</f>
        <v>-3.1428916759065853E-2</v>
      </c>
      <c r="F8">
        <f t="shared" si="1"/>
        <v>0</v>
      </c>
      <c r="G8" s="67">
        <f ca="1">'Monte Carlo Stimulation'!$I$9</f>
        <v>-2.919314405717207E-2</v>
      </c>
      <c r="H8">
        <f t="shared" ca="1" si="2"/>
        <v>0</v>
      </c>
      <c r="K8" s="73" t="s">
        <v>3627</v>
      </c>
      <c r="L8" s="76" t="s">
        <v>3628</v>
      </c>
    </row>
    <row r="9" spans="1:12">
      <c r="A9" s="12">
        <v>46104</v>
      </c>
      <c r="B9" s="14">
        <v>-3.6461673250272851E-2</v>
      </c>
      <c r="C9" s="67">
        <f>'Parametric VAR'!$F$13</f>
        <v>-2.8682193012943492E-2</v>
      </c>
      <c r="D9">
        <f t="shared" si="0"/>
        <v>1</v>
      </c>
      <c r="E9" s="67">
        <f>'Historical VAR'!$G$7</f>
        <v>-3.1428916759065853E-2</v>
      </c>
      <c r="F9">
        <f t="shared" si="1"/>
        <v>1</v>
      </c>
      <c r="G9" s="67">
        <f ca="1">'Monte Carlo Stimulation'!$I$9</f>
        <v>-2.919314405717207E-2</v>
      </c>
      <c r="H9">
        <f t="shared" ca="1" si="2"/>
        <v>1</v>
      </c>
    </row>
    <row r="10" spans="1:12" ht="14.4" customHeight="1">
      <c r="A10" s="12">
        <v>46101</v>
      </c>
      <c r="B10" s="14">
        <v>3.330928415554664E-2</v>
      </c>
      <c r="C10" s="67">
        <f>'Parametric VAR'!$F$13</f>
        <v>-2.8682193012943492E-2</v>
      </c>
      <c r="D10">
        <f t="shared" si="0"/>
        <v>0</v>
      </c>
      <c r="E10" s="67">
        <f>'Historical VAR'!$G$7</f>
        <v>-3.1428916759065853E-2</v>
      </c>
      <c r="F10">
        <f t="shared" si="1"/>
        <v>0</v>
      </c>
      <c r="G10" s="67">
        <f ca="1">'Monte Carlo Stimulation'!$I$9</f>
        <v>-2.919314405717207E-2</v>
      </c>
      <c r="H10">
        <f t="shared" ca="1" si="2"/>
        <v>0</v>
      </c>
      <c r="K10" s="64" t="s">
        <v>3601</v>
      </c>
      <c r="L10" s="64" t="s">
        <v>3629</v>
      </c>
    </row>
    <row r="11" spans="1:12" ht="14.4" customHeight="1">
      <c r="A11" s="12">
        <v>46100</v>
      </c>
      <c r="B11" s="14">
        <v>-7.004478532581359E-3</v>
      </c>
      <c r="C11" s="67">
        <f>'Parametric VAR'!$F$13</f>
        <v>-2.8682193012943492E-2</v>
      </c>
      <c r="D11">
        <f t="shared" si="0"/>
        <v>0</v>
      </c>
      <c r="E11" s="67">
        <f>'Historical VAR'!$G$7</f>
        <v>-3.1428916759065853E-2</v>
      </c>
      <c r="F11">
        <f t="shared" si="1"/>
        <v>0</v>
      </c>
      <c r="G11" s="67">
        <f ca="1">'Monte Carlo Stimulation'!$I$9</f>
        <v>-2.919314405717207E-2</v>
      </c>
      <c r="H11">
        <f t="shared" ca="1" si="2"/>
        <v>0</v>
      </c>
      <c r="K11" s="73" t="s">
        <v>3630</v>
      </c>
      <c r="L11" s="75">
        <f>SUM(D5:D256)</f>
        <v>6</v>
      </c>
    </row>
    <row r="12" spans="1:12">
      <c r="A12" s="12">
        <v>46099</v>
      </c>
      <c r="B12" s="14">
        <v>3.117614742191922E-2</v>
      </c>
      <c r="C12" s="67">
        <f>'Parametric VAR'!$F$13</f>
        <v>-2.8682193012943492E-2</v>
      </c>
      <c r="D12">
        <f t="shared" si="0"/>
        <v>0</v>
      </c>
      <c r="E12" s="67">
        <f>'Historical VAR'!$G$7</f>
        <v>-3.1428916759065853E-2</v>
      </c>
      <c r="F12">
        <f t="shared" si="1"/>
        <v>0</v>
      </c>
      <c r="G12" s="67">
        <f ca="1">'Monte Carlo Stimulation'!$I$9</f>
        <v>-2.919314405717207E-2</v>
      </c>
      <c r="H12">
        <f t="shared" ca="1" si="2"/>
        <v>0</v>
      </c>
      <c r="K12" s="73" t="s">
        <v>3631</v>
      </c>
      <c r="L12" s="75">
        <f>SUM(F5:F256)</f>
        <v>5</v>
      </c>
    </row>
    <row r="13" spans="1:12" ht="14.4" customHeight="1">
      <c r="A13" s="12">
        <v>46098</v>
      </c>
      <c r="B13" s="14">
        <v>-8.2110611604325496E-3</v>
      </c>
      <c r="C13" s="67">
        <f>'Parametric VAR'!$F$13</f>
        <v>-2.8682193012943492E-2</v>
      </c>
      <c r="D13">
        <f t="shared" si="0"/>
        <v>0</v>
      </c>
      <c r="E13" s="67">
        <f>'Historical VAR'!$G$7</f>
        <v>-3.1428916759065853E-2</v>
      </c>
      <c r="F13">
        <f t="shared" si="1"/>
        <v>0</v>
      </c>
      <c r="G13" s="67">
        <f ca="1">'Monte Carlo Stimulation'!$I$9</f>
        <v>-2.919314405717207E-2</v>
      </c>
      <c r="H13">
        <f t="shared" ca="1" si="2"/>
        <v>0</v>
      </c>
      <c r="K13" s="73" t="s">
        <v>3632</v>
      </c>
      <c r="L13" s="75">
        <f ca="1">SUM(H5:H256)</f>
        <v>6</v>
      </c>
    </row>
    <row r="14" spans="1:12">
      <c r="A14" s="12">
        <v>46097</v>
      </c>
      <c r="B14" s="14">
        <v>-1.0789094958345636E-2</v>
      </c>
      <c r="C14" s="67">
        <f>'Parametric VAR'!$F$13</f>
        <v>-2.8682193012943492E-2</v>
      </c>
      <c r="D14">
        <f t="shared" si="0"/>
        <v>0</v>
      </c>
      <c r="E14" s="67">
        <f>'Historical VAR'!$G$7</f>
        <v>-3.1428916759065853E-2</v>
      </c>
      <c r="F14">
        <f t="shared" si="1"/>
        <v>0</v>
      </c>
      <c r="G14" s="67">
        <f ca="1">'Monte Carlo Stimulation'!$I$9</f>
        <v>-2.919314405717207E-2</v>
      </c>
      <c r="H14">
        <f t="shared" ca="1" si="2"/>
        <v>0</v>
      </c>
    </row>
    <row r="15" spans="1:12">
      <c r="A15" s="12">
        <v>46094</v>
      </c>
      <c r="B15" s="14">
        <v>-3.8502505713761547E-3</v>
      </c>
      <c r="C15" s="67">
        <f>'Parametric VAR'!$F$13</f>
        <v>-2.8682193012943492E-2</v>
      </c>
      <c r="D15">
        <f t="shared" si="0"/>
        <v>0</v>
      </c>
      <c r="E15" s="67">
        <f>'Historical VAR'!$G$7</f>
        <v>-3.1428916759065853E-2</v>
      </c>
      <c r="F15">
        <f t="shared" si="1"/>
        <v>0</v>
      </c>
      <c r="G15" s="67">
        <f ca="1">'Monte Carlo Stimulation'!$I$9</f>
        <v>-2.919314405717207E-2</v>
      </c>
      <c r="H15">
        <f t="shared" ca="1" si="2"/>
        <v>0</v>
      </c>
    </row>
    <row r="16" spans="1:12">
      <c r="A16" s="12">
        <v>46093</v>
      </c>
      <c r="B16" s="14">
        <v>1.7158481018372255E-2</v>
      </c>
      <c r="C16" s="67">
        <f>'Parametric VAR'!$F$13</f>
        <v>-2.8682193012943492E-2</v>
      </c>
      <c r="D16">
        <f t="shared" si="0"/>
        <v>0</v>
      </c>
      <c r="E16" s="67">
        <f>'Historical VAR'!$G$7</f>
        <v>-3.1428916759065853E-2</v>
      </c>
      <c r="F16">
        <f t="shared" si="1"/>
        <v>0</v>
      </c>
      <c r="G16" s="67">
        <f ca="1">'Monte Carlo Stimulation'!$I$9</f>
        <v>-2.919314405717207E-2</v>
      </c>
      <c r="H16">
        <f t="shared" ca="1" si="2"/>
        <v>0</v>
      </c>
    </row>
    <row r="17" spans="1:8">
      <c r="A17" s="12">
        <v>46092</v>
      </c>
      <c r="B17" s="14">
        <v>5.9194324541426944E-3</v>
      </c>
      <c r="C17" s="67">
        <f>'Parametric VAR'!$F$13</f>
        <v>-2.8682193012943492E-2</v>
      </c>
      <c r="D17">
        <f t="shared" si="0"/>
        <v>0</v>
      </c>
      <c r="E17" s="67">
        <f>'Historical VAR'!$G$7</f>
        <v>-3.1428916759065853E-2</v>
      </c>
      <c r="F17">
        <f t="shared" si="1"/>
        <v>0</v>
      </c>
      <c r="G17" s="67">
        <f ca="1">'Monte Carlo Stimulation'!$I$9</f>
        <v>-2.919314405717207E-2</v>
      </c>
      <c r="H17">
        <f t="shared" ca="1" si="2"/>
        <v>0</v>
      </c>
    </row>
    <row r="18" spans="1:8" ht="14.4" customHeight="1">
      <c r="A18" s="12">
        <v>46091</v>
      </c>
      <c r="B18" s="14">
        <v>1.789589633980428E-2</v>
      </c>
      <c r="C18" s="67">
        <f>'Parametric VAR'!$F$13</f>
        <v>-2.8682193012943492E-2</v>
      </c>
      <c r="D18">
        <f t="shared" si="0"/>
        <v>0</v>
      </c>
      <c r="E18" s="67">
        <f>'Historical VAR'!$G$7</f>
        <v>-3.1428916759065853E-2</v>
      </c>
      <c r="F18">
        <f t="shared" si="1"/>
        <v>0</v>
      </c>
      <c r="G18" s="67">
        <f ca="1">'Monte Carlo Stimulation'!$I$9</f>
        <v>-2.919314405717207E-2</v>
      </c>
      <c r="H18">
        <f t="shared" ca="1" si="2"/>
        <v>0</v>
      </c>
    </row>
    <row r="19" spans="1:8">
      <c r="A19" s="12">
        <v>46090</v>
      </c>
      <c r="B19" s="14">
        <v>-2.3059006328040463E-2</v>
      </c>
      <c r="C19" s="67">
        <f>'Parametric VAR'!$F$13</f>
        <v>-2.8682193012943492E-2</v>
      </c>
      <c r="D19">
        <f t="shared" si="0"/>
        <v>0</v>
      </c>
      <c r="E19" s="67">
        <f>'Historical VAR'!$G$7</f>
        <v>-3.1428916759065853E-2</v>
      </c>
      <c r="F19">
        <f t="shared" si="1"/>
        <v>0</v>
      </c>
      <c r="G19" s="67">
        <f ca="1">'Monte Carlo Stimulation'!$I$9</f>
        <v>-2.919314405717207E-2</v>
      </c>
      <c r="H19">
        <f t="shared" ca="1" si="2"/>
        <v>0</v>
      </c>
    </row>
    <row r="20" spans="1:8">
      <c r="A20" s="12">
        <v>46087</v>
      </c>
      <c r="B20" s="14">
        <v>2.3917493073902524E-2</v>
      </c>
      <c r="C20" s="67">
        <f>'Parametric VAR'!$F$13</f>
        <v>-2.8682193012943492E-2</v>
      </c>
      <c r="D20">
        <f t="shared" si="0"/>
        <v>0</v>
      </c>
      <c r="E20" s="67">
        <f>'Historical VAR'!$G$7</f>
        <v>-3.1428916759065853E-2</v>
      </c>
      <c r="F20">
        <f t="shared" si="1"/>
        <v>0</v>
      </c>
      <c r="G20" s="67">
        <f ca="1">'Monte Carlo Stimulation'!$I$9</f>
        <v>-2.919314405717207E-2</v>
      </c>
      <c r="H20">
        <f t="shared" ca="1" si="2"/>
        <v>0</v>
      </c>
    </row>
    <row r="21" spans="1:8">
      <c r="A21" s="12">
        <v>46086</v>
      </c>
      <c r="B21" s="14">
        <v>2.9697159640361464E-3</v>
      </c>
      <c r="C21" s="67">
        <f>'Parametric VAR'!$F$13</f>
        <v>-2.8682193012943492E-2</v>
      </c>
      <c r="D21">
        <f t="shared" si="0"/>
        <v>0</v>
      </c>
      <c r="E21" s="67">
        <f>'Historical VAR'!$G$7</f>
        <v>-3.1428916759065853E-2</v>
      </c>
      <c r="F21">
        <f t="shared" si="1"/>
        <v>0</v>
      </c>
      <c r="G21" s="67">
        <f ca="1">'Monte Carlo Stimulation'!$I$9</f>
        <v>-2.919314405717207E-2</v>
      </c>
      <c r="H21">
        <f t="shared" ca="1" si="2"/>
        <v>0</v>
      </c>
    </row>
    <row r="22" spans="1:8">
      <c r="A22" s="12">
        <v>46085</v>
      </c>
      <c r="B22" s="14">
        <v>1.9121374938665108E-3</v>
      </c>
      <c r="C22" s="67">
        <f>'Parametric VAR'!$F$13</f>
        <v>-2.8682193012943492E-2</v>
      </c>
      <c r="D22">
        <f t="shared" si="0"/>
        <v>0</v>
      </c>
      <c r="E22" s="67">
        <f>'Historical VAR'!$G$7</f>
        <v>-3.1428916759065853E-2</v>
      </c>
      <c r="F22">
        <f t="shared" si="1"/>
        <v>0</v>
      </c>
      <c r="G22" s="67">
        <f ca="1">'Monte Carlo Stimulation'!$I$9</f>
        <v>-2.919314405717207E-2</v>
      </c>
      <c r="H22">
        <f t="shared" ca="1" si="2"/>
        <v>0</v>
      </c>
    </row>
    <row r="23" spans="1:8">
      <c r="A23" s="12">
        <v>46083</v>
      </c>
      <c r="B23" s="14">
        <v>1.0602621843356469E-2</v>
      </c>
      <c r="C23" s="67">
        <f>'Parametric VAR'!$F$13</f>
        <v>-2.8682193012943492E-2</v>
      </c>
      <c r="D23">
        <f t="shared" si="0"/>
        <v>0</v>
      </c>
      <c r="E23" s="67">
        <f>'Historical VAR'!$G$7</f>
        <v>-3.1428916759065853E-2</v>
      </c>
      <c r="F23">
        <f t="shared" si="1"/>
        <v>0</v>
      </c>
      <c r="G23" s="67">
        <f ca="1">'Monte Carlo Stimulation'!$I$9</f>
        <v>-2.919314405717207E-2</v>
      </c>
      <c r="H23">
        <f t="shared" ca="1" si="2"/>
        <v>0</v>
      </c>
    </row>
    <row r="24" spans="1:8">
      <c r="A24" s="12">
        <v>46080</v>
      </c>
      <c r="B24" s="14">
        <v>2.7373052694572415E-2</v>
      </c>
      <c r="C24" s="67">
        <f>'Parametric VAR'!$F$13</f>
        <v>-2.8682193012943492E-2</v>
      </c>
      <c r="D24">
        <f t="shared" si="0"/>
        <v>0</v>
      </c>
      <c r="E24" s="67">
        <f>'Historical VAR'!$G$7</f>
        <v>-3.1428916759065853E-2</v>
      </c>
      <c r="F24">
        <f t="shared" si="1"/>
        <v>0</v>
      </c>
      <c r="G24" s="67">
        <f ca="1">'Monte Carlo Stimulation'!$I$9</f>
        <v>-2.919314405717207E-2</v>
      </c>
      <c r="H24">
        <f t="shared" ca="1" si="2"/>
        <v>0</v>
      </c>
    </row>
    <row r="25" spans="1:8">
      <c r="A25" s="12">
        <v>46079</v>
      </c>
      <c r="B25" s="14">
        <v>7.6469510019204837E-3</v>
      </c>
      <c r="C25" s="67">
        <f>'Parametric VAR'!$F$13</f>
        <v>-2.8682193012943492E-2</v>
      </c>
      <c r="D25">
        <f t="shared" si="0"/>
        <v>0</v>
      </c>
      <c r="E25" s="67">
        <f>'Historical VAR'!$G$7</f>
        <v>-3.1428916759065853E-2</v>
      </c>
      <c r="F25">
        <f t="shared" si="1"/>
        <v>0</v>
      </c>
      <c r="G25" s="67">
        <f ca="1">'Monte Carlo Stimulation'!$I$9</f>
        <v>-2.919314405717207E-2</v>
      </c>
      <c r="H25">
        <f t="shared" ca="1" si="2"/>
        <v>0</v>
      </c>
    </row>
    <row r="26" spans="1:8">
      <c r="A26" s="12">
        <v>46078</v>
      </c>
      <c r="B26" s="14">
        <v>6.2070043547431892E-3</v>
      </c>
      <c r="C26" s="67">
        <f>'Parametric VAR'!$F$13</f>
        <v>-2.8682193012943492E-2</v>
      </c>
      <c r="D26">
        <f t="shared" si="0"/>
        <v>0</v>
      </c>
      <c r="E26" s="67">
        <f>'Historical VAR'!$G$7</f>
        <v>-3.1428916759065853E-2</v>
      </c>
      <c r="F26">
        <f t="shared" si="1"/>
        <v>0</v>
      </c>
      <c r="G26" s="67">
        <f ca="1">'Monte Carlo Stimulation'!$I$9</f>
        <v>-2.919314405717207E-2</v>
      </c>
      <c r="H26">
        <f t="shared" ca="1" si="2"/>
        <v>0</v>
      </c>
    </row>
    <row r="27" spans="1:8">
      <c r="A27" s="12">
        <v>46077</v>
      </c>
      <c r="B27" s="14">
        <v>1.2118161598920758E-3</v>
      </c>
      <c r="C27" s="67">
        <f>'Parametric VAR'!$F$13</f>
        <v>-2.8682193012943492E-2</v>
      </c>
      <c r="D27">
        <f t="shared" si="0"/>
        <v>0</v>
      </c>
      <c r="E27" s="67">
        <f>'Historical VAR'!$G$7</f>
        <v>-3.1428916759065853E-2</v>
      </c>
      <c r="F27">
        <f t="shared" si="1"/>
        <v>0</v>
      </c>
      <c r="G27" s="67">
        <f ca="1">'Monte Carlo Stimulation'!$I$9</f>
        <v>-2.919314405717207E-2</v>
      </c>
      <c r="H27">
        <f t="shared" ca="1" si="2"/>
        <v>0</v>
      </c>
    </row>
    <row r="28" spans="1:8">
      <c r="A28" s="12">
        <v>46076</v>
      </c>
      <c r="B28" s="14">
        <v>5.7962785210843356E-3</v>
      </c>
      <c r="C28" s="67">
        <f>'Parametric VAR'!$F$13</f>
        <v>-2.8682193012943492E-2</v>
      </c>
      <c r="D28">
        <f t="shared" si="0"/>
        <v>0</v>
      </c>
      <c r="E28" s="67">
        <f>'Historical VAR'!$G$7</f>
        <v>-3.1428916759065853E-2</v>
      </c>
      <c r="F28">
        <f t="shared" si="1"/>
        <v>0</v>
      </c>
      <c r="G28" s="67">
        <f ca="1">'Monte Carlo Stimulation'!$I$9</f>
        <v>-2.919314405717207E-2</v>
      </c>
      <c r="H28">
        <f t="shared" ca="1" si="2"/>
        <v>0</v>
      </c>
    </row>
    <row r="29" spans="1:8">
      <c r="A29" s="12">
        <v>46073</v>
      </c>
      <c r="B29" s="14">
        <v>-4.8602714092555082E-3</v>
      </c>
      <c r="C29" s="67">
        <f>'Parametric VAR'!$F$13</f>
        <v>-2.8682193012943492E-2</v>
      </c>
      <c r="D29">
        <f t="shared" si="0"/>
        <v>0</v>
      </c>
      <c r="E29" s="67">
        <f>'Historical VAR'!$G$7</f>
        <v>-3.1428916759065853E-2</v>
      </c>
      <c r="F29">
        <f t="shared" si="1"/>
        <v>0</v>
      </c>
      <c r="G29" s="67">
        <f ca="1">'Monte Carlo Stimulation'!$I$9</f>
        <v>-2.919314405717207E-2</v>
      </c>
      <c r="H29">
        <f t="shared" ca="1" si="2"/>
        <v>0</v>
      </c>
    </row>
    <row r="30" spans="1:8">
      <c r="A30" s="12">
        <v>46072</v>
      </c>
      <c r="B30" s="14">
        <v>-6.6761208446515915E-3</v>
      </c>
      <c r="C30" s="67">
        <f>'Parametric VAR'!$F$13</f>
        <v>-2.8682193012943492E-2</v>
      </c>
      <c r="D30">
        <f t="shared" si="0"/>
        <v>0</v>
      </c>
      <c r="E30" s="67">
        <f>'Historical VAR'!$G$7</f>
        <v>-3.1428916759065853E-2</v>
      </c>
      <c r="F30">
        <f t="shared" si="1"/>
        <v>0</v>
      </c>
      <c r="G30" s="67">
        <f ca="1">'Monte Carlo Stimulation'!$I$9</f>
        <v>-2.919314405717207E-2</v>
      </c>
      <c r="H30">
        <f t="shared" ca="1" si="2"/>
        <v>0</v>
      </c>
    </row>
    <row r="31" spans="1:8">
      <c r="A31" s="12">
        <v>46071</v>
      </c>
      <c r="B31" s="14">
        <v>1.1129255259504162E-2</v>
      </c>
      <c r="C31" s="67">
        <f>'Parametric VAR'!$F$13</f>
        <v>-2.8682193012943492E-2</v>
      </c>
      <c r="D31">
        <f t="shared" si="0"/>
        <v>0</v>
      </c>
      <c r="E31" s="67">
        <f>'Historical VAR'!$G$7</f>
        <v>-3.1428916759065853E-2</v>
      </c>
      <c r="F31">
        <f t="shared" si="1"/>
        <v>0</v>
      </c>
      <c r="G31" s="67">
        <f ca="1">'Monte Carlo Stimulation'!$I$9</f>
        <v>-2.919314405717207E-2</v>
      </c>
      <c r="H31">
        <f t="shared" ca="1" si="2"/>
        <v>0</v>
      </c>
    </row>
    <row r="32" spans="1:8">
      <c r="A32" s="12">
        <v>46070</v>
      </c>
      <c r="B32" s="14">
        <v>2.4488986318159526E-3</v>
      </c>
      <c r="C32" s="67">
        <f>'Parametric VAR'!$F$13</f>
        <v>-2.8682193012943492E-2</v>
      </c>
      <c r="D32">
        <f t="shared" si="0"/>
        <v>0</v>
      </c>
      <c r="E32" s="67">
        <f>'Historical VAR'!$G$7</f>
        <v>-3.1428916759065853E-2</v>
      </c>
      <c r="F32">
        <f t="shared" si="1"/>
        <v>0</v>
      </c>
      <c r="G32" s="67">
        <f ca="1">'Monte Carlo Stimulation'!$I$9</f>
        <v>-2.919314405717207E-2</v>
      </c>
      <c r="H32">
        <f t="shared" ca="1" si="2"/>
        <v>0</v>
      </c>
    </row>
    <row r="33" spans="1:8">
      <c r="A33" s="12">
        <v>46069</v>
      </c>
      <c r="B33" s="14">
        <v>-1.1959983374366115E-2</v>
      </c>
      <c r="C33" s="67">
        <f>'Parametric VAR'!$F$13</f>
        <v>-2.8682193012943492E-2</v>
      </c>
      <c r="D33">
        <f t="shared" si="0"/>
        <v>0</v>
      </c>
      <c r="E33" s="67">
        <f>'Historical VAR'!$G$7</f>
        <v>-3.1428916759065853E-2</v>
      </c>
      <c r="F33">
        <f t="shared" si="1"/>
        <v>0</v>
      </c>
      <c r="G33" s="67">
        <f ca="1">'Monte Carlo Stimulation'!$I$9</f>
        <v>-2.919314405717207E-2</v>
      </c>
      <c r="H33">
        <f t="shared" ca="1" si="2"/>
        <v>0</v>
      </c>
    </row>
    <row r="34" spans="1:8">
      <c r="A34" s="12">
        <v>46066</v>
      </c>
      <c r="B34" s="14">
        <v>-1.1462561397267866E-2</v>
      </c>
      <c r="C34" s="67">
        <f>'Parametric VAR'!$F$13</f>
        <v>-2.8682193012943492E-2</v>
      </c>
      <c r="D34">
        <f t="shared" si="0"/>
        <v>0</v>
      </c>
      <c r="E34" s="67">
        <f>'Historical VAR'!$G$7</f>
        <v>-3.1428916759065853E-2</v>
      </c>
      <c r="F34">
        <f t="shared" si="1"/>
        <v>0</v>
      </c>
      <c r="G34" s="67">
        <f ca="1">'Monte Carlo Stimulation'!$I$9</f>
        <v>-2.919314405717207E-2</v>
      </c>
      <c r="H34">
        <f t="shared" ca="1" si="2"/>
        <v>0</v>
      </c>
    </row>
    <row r="35" spans="1:8">
      <c r="A35" s="12">
        <v>46065</v>
      </c>
      <c r="B35" s="14">
        <v>1.451060895973964E-2</v>
      </c>
      <c r="C35" s="67">
        <f>'Parametric VAR'!$F$13</f>
        <v>-2.8682193012943492E-2</v>
      </c>
      <c r="D35">
        <f t="shared" si="0"/>
        <v>0</v>
      </c>
      <c r="E35" s="67">
        <f>'Historical VAR'!$G$7</f>
        <v>-3.1428916759065853E-2</v>
      </c>
      <c r="F35">
        <f t="shared" si="1"/>
        <v>0</v>
      </c>
      <c r="G35" s="67">
        <f ca="1">'Monte Carlo Stimulation'!$I$9</f>
        <v>-2.919314405717207E-2</v>
      </c>
      <c r="H35">
        <f t="shared" ca="1" si="2"/>
        <v>0</v>
      </c>
    </row>
    <row r="36" spans="1:8">
      <c r="A36" s="12">
        <v>46064</v>
      </c>
      <c r="B36" s="14">
        <v>-5.0061820911823911E-3</v>
      </c>
      <c r="C36" s="67">
        <f>'Parametric VAR'!$F$13</f>
        <v>-2.8682193012943492E-2</v>
      </c>
      <c r="D36">
        <f t="shared" si="0"/>
        <v>0</v>
      </c>
      <c r="E36" s="67">
        <f>'Historical VAR'!$G$7</f>
        <v>-3.1428916759065853E-2</v>
      </c>
      <c r="F36">
        <f t="shared" si="1"/>
        <v>0</v>
      </c>
      <c r="G36" s="67">
        <f ca="1">'Monte Carlo Stimulation'!$I$9</f>
        <v>-2.919314405717207E-2</v>
      </c>
      <c r="H36">
        <f t="shared" ca="1" si="2"/>
        <v>0</v>
      </c>
    </row>
    <row r="37" spans="1:8">
      <c r="A37" s="12">
        <v>46063</v>
      </c>
      <c r="B37" s="14">
        <v>2.3009870879498813E-3</v>
      </c>
      <c r="C37" s="67">
        <f>'Parametric VAR'!$F$13</f>
        <v>-2.8682193012943492E-2</v>
      </c>
      <c r="D37">
        <f t="shared" si="0"/>
        <v>0</v>
      </c>
      <c r="E37" s="67">
        <f>'Historical VAR'!$G$7</f>
        <v>-3.1428916759065853E-2</v>
      </c>
      <c r="F37">
        <f t="shared" si="1"/>
        <v>0</v>
      </c>
      <c r="G37" s="67">
        <f ca="1">'Monte Carlo Stimulation'!$I$9</f>
        <v>-2.919314405717207E-2</v>
      </c>
      <c r="H37">
        <f t="shared" ca="1" si="2"/>
        <v>0</v>
      </c>
    </row>
    <row r="38" spans="1:8">
      <c r="A38" s="12">
        <v>46062</v>
      </c>
      <c r="B38" s="14">
        <v>9.5195003483074039E-3</v>
      </c>
      <c r="C38" s="67">
        <f>'Parametric VAR'!$F$13</f>
        <v>-2.8682193012943492E-2</v>
      </c>
      <c r="D38">
        <f t="shared" si="0"/>
        <v>0</v>
      </c>
      <c r="E38" s="67">
        <f>'Historical VAR'!$G$7</f>
        <v>-3.1428916759065853E-2</v>
      </c>
      <c r="F38">
        <f t="shared" si="1"/>
        <v>0</v>
      </c>
      <c r="G38" s="67">
        <f ca="1">'Monte Carlo Stimulation'!$I$9</f>
        <v>-2.919314405717207E-2</v>
      </c>
      <c r="H38">
        <f t="shared" ca="1" si="2"/>
        <v>0</v>
      </c>
    </row>
    <row r="39" spans="1:8">
      <c r="A39" s="12">
        <v>46059</v>
      </c>
      <c r="B39" s="14">
        <v>-3.9215057491826339E-3</v>
      </c>
      <c r="C39" s="67">
        <f>'Parametric VAR'!$F$13</f>
        <v>-2.8682193012943492E-2</v>
      </c>
      <c r="D39">
        <f t="shared" si="0"/>
        <v>0</v>
      </c>
      <c r="E39" s="67">
        <f>'Historical VAR'!$G$7</f>
        <v>-3.1428916759065853E-2</v>
      </c>
      <c r="F39">
        <f t="shared" si="1"/>
        <v>0</v>
      </c>
      <c r="G39" s="67">
        <f ca="1">'Monte Carlo Stimulation'!$I$9</f>
        <v>-2.919314405717207E-2</v>
      </c>
      <c r="H39">
        <f t="shared" ca="1" si="2"/>
        <v>0</v>
      </c>
    </row>
    <row r="40" spans="1:8">
      <c r="A40" s="12">
        <v>46058</v>
      </c>
      <c r="B40" s="14">
        <v>8.7083991507843593E-3</v>
      </c>
      <c r="C40" s="67">
        <f>'Parametric VAR'!$F$13</f>
        <v>-2.8682193012943492E-2</v>
      </c>
      <c r="D40">
        <f t="shared" si="0"/>
        <v>0</v>
      </c>
      <c r="E40" s="67">
        <f>'Historical VAR'!$G$7</f>
        <v>-3.1428916759065853E-2</v>
      </c>
      <c r="F40">
        <f t="shared" si="1"/>
        <v>0</v>
      </c>
      <c r="G40" s="67">
        <f ca="1">'Monte Carlo Stimulation'!$I$9</f>
        <v>-2.919314405717207E-2</v>
      </c>
      <c r="H40">
        <f t="shared" ca="1" si="2"/>
        <v>0</v>
      </c>
    </row>
    <row r="41" spans="1:8">
      <c r="A41" s="12">
        <v>46057</v>
      </c>
      <c r="B41" s="14">
        <v>1.0932460001390093E-2</v>
      </c>
      <c r="C41" s="67">
        <f>'Parametric VAR'!$F$13</f>
        <v>-2.8682193012943492E-2</v>
      </c>
      <c r="D41">
        <f t="shared" si="0"/>
        <v>0</v>
      </c>
      <c r="E41" s="67">
        <f>'Historical VAR'!$G$7</f>
        <v>-3.1428916759065853E-2</v>
      </c>
      <c r="F41">
        <f t="shared" si="1"/>
        <v>0</v>
      </c>
      <c r="G41" s="67">
        <f ca="1">'Monte Carlo Stimulation'!$I$9</f>
        <v>-2.919314405717207E-2</v>
      </c>
      <c r="H41">
        <f t="shared" ca="1" si="2"/>
        <v>0</v>
      </c>
    </row>
    <row r="42" spans="1:8">
      <c r="A42" s="12">
        <v>46056</v>
      </c>
      <c r="B42" s="14">
        <v>-7.1366825293548881E-3</v>
      </c>
      <c r="C42" s="67">
        <f>'Parametric VAR'!$F$13</f>
        <v>-2.8682193012943492E-2</v>
      </c>
      <c r="D42">
        <f t="shared" si="0"/>
        <v>0</v>
      </c>
      <c r="E42" s="67">
        <f>'Historical VAR'!$G$7</f>
        <v>-3.1428916759065853E-2</v>
      </c>
      <c r="F42">
        <f t="shared" si="1"/>
        <v>0</v>
      </c>
      <c r="G42" s="67">
        <f ca="1">'Monte Carlo Stimulation'!$I$9</f>
        <v>-2.919314405717207E-2</v>
      </c>
      <c r="H42">
        <f t="shared" ca="1" si="2"/>
        <v>0</v>
      </c>
    </row>
    <row r="43" spans="1:8">
      <c r="A43" s="12">
        <v>46055</v>
      </c>
      <c r="B43" s="14">
        <v>-1.1657981711428534E-2</v>
      </c>
      <c r="C43" s="67">
        <f>'Parametric VAR'!$F$13</f>
        <v>-2.8682193012943492E-2</v>
      </c>
      <c r="D43">
        <f t="shared" si="0"/>
        <v>0</v>
      </c>
      <c r="E43" s="67">
        <f>'Historical VAR'!$G$7</f>
        <v>-3.1428916759065853E-2</v>
      </c>
      <c r="F43">
        <f t="shared" si="1"/>
        <v>0</v>
      </c>
      <c r="G43" s="67">
        <f ca="1">'Monte Carlo Stimulation'!$I$9</f>
        <v>-2.919314405717207E-2</v>
      </c>
      <c r="H43">
        <f t="shared" ca="1" si="2"/>
        <v>0</v>
      </c>
    </row>
    <row r="44" spans="1:8">
      <c r="A44" s="12">
        <v>46054</v>
      </c>
      <c r="B44" s="14">
        <v>-1.8129358377274644E-2</v>
      </c>
      <c r="C44" s="67">
        <f>'Parametric VAR'!$F$13</f>
        <v>-2.8682193012943492E-2</v>
      </c>
      <c r="D44">
        <f t="shared" si="0"/>
        <v>0</v>
      </c>
      <c r="E44" s="67">
        <f>'Historical VAR'!$G$7</f>
        <v>-3.1428916759065853E-2</v>
      </c>
      <c r="F44">
        <f t="shared" si="1"/>
        <v>0</v>
      </c>
      <c r="G44" s="67">
        <f ca="1">'Monte Carlo Stimulation'!$I$9</f>
        <v>-2.919314405717207E-2</v>
      </c>
      <c r="H44">
        <f t="shared" ca="1" si="2"/>
        <v>0</v>
      </c>
    </row>
    <row r="45" spans="1:8">
      <c r="A45" s="12">
        <v>46052</v>
      </c>
      <c r="B45" s="14">
        <v>2.3855562832833559E-2</v>
      </c>
      <c r="C45" s="67">
        <f>'Parametric VAR'!$F$13</f>
        <v>-2.8682193012943492E-2</v>
      </c>
      <c r="D45">
        <f t="shared" si="0"/>
        <v>0</v>
      </c>
      <c r="E45" s="67">
        <f>'Historical VAR'!$G$7</f>
        <v>-3.1428916759065853E-2</v>
      </c>
      <c r="F45">
        <f t="shared" si="1"/>
        <v>0</v>
      </c>
      <c r="G45" s="67">
        <f ca="1">'Monte Carlo Stimulation'!$I$9</f>
        <v>-2.919314405717207E-2</v>
      </c>
      <c r="H45">
        <f t="shared" ca="1" si="2"/>
        <v>0</v>
      </c>
    </row>
    <row r="46" spans="1:8">
      <c r="A46" s="12">
        <v>46051</v>
      </c>
      <c r="B46" s="14">
        <v>-4.6760036386475964E-3</v>
      </c>
      <c r="C46" s="67">
        <f>'Parametric VAR'!$F$13</f>
        <v>-2.8682193012943492E-2</v>
      </c>
      <c r="D46">
        <f t="shared" si="0"/>
        <v>0</v>
      </c>
      <c r="E46" s="67">
        <f>'Historical VAR'!$G$7</f>
        <v>-3.1428916759065853E-2</v>
      </c>
      <c r="F46">
        <f t="shared" si="1"/>
        <v>0</v>
      </c>
      <c r="G46" s="67">
        <f ca="1">'Monte Carlo Stimulation'!$I$9</f>
        <v>-2.919314405717207E-2</v>
      </c>
      <c r="H46">
        <f t="shared" ca="1" si="2"/>
        <v>0</v>
      </c>
    </row>
    <row r="47" spans="1:8">
      <c r="A47" s="12">
        <v>46050</v>
      </c>
      <c r="B47" s="14">
        <v>3.4633326398896713E-2</v>
      </c>
      <c r="C47" s="67">
        <f>'Parametric VAR'!$F$13</f>
        <v>-2.8682193012943492E-2</v>
      </c>
      <c r="D47">
        <f t="shared" si="0"/>
        <v>0</v>
      </c>
      <c r="E47" s="67">
        <f>'Historical VAR'!$G$7</f>
        <v>-3.1428916759065853E-2</v>
      </c>
      <c r="F47">
        <f t="shared" si="1"/>
        <v>0</v>
      </c>
      <c r="G47" s="67">
        <f ca="1">'Monte Carlo Stimulation'!$I$9</f>
        <v>-2.919314405717207E-2</v>
      </c>
      <c r="H47">
        <f t="shared" ca="1" si="2"/>
        <v>0</v>
      </c>
    </row>
    <row r="48" spans="1:8">
      <c r="A48" s="12">
        <v>46049</v>
      </c>
      <c r="B48" s="14">
        <v>3.7119577797701898E-2</v>
      </c>
      <c r="C48" s="67">
        <f>'Parametric VAR'!$F$13</f>
        <v>-2.8682193012943492E-2</v>
      </c>
      <c r="D48">
        <f t="shared" si="0"/>
        <v>0</v>
      </c>
      <c r="E48" s="67">
        <f>'Historical VAR'!$G$7</f>
        <v>-3.1428916759065853E-2</v>
      </c>
      <c r="F48">
        <f t="shared" si="1"/>
        <v>0</v>
      </c>
      <c r="G48" s="67">
        <f ca="1">'Monte Carlo Stimulation'!$I$9</f>
        <v>-2.919314405717207E-2</v>
      </c>
      <c r="H48">
        <f t="shared" ca="1" si="2"/>
        <v>0</v>
      </c>
    </row>
    <row r="49" spans="1:8">
      <c r="A49" s="12">
        <v>46045</v>
      </c>
      <c r="B49" s="14">
        <v>2.5579207666221876E-2</v>
      </c>
      <c r="C49" s="67">
        <f>'Parametric VAR'!$F$13</f>
        <v>-2.8682193012943492E-2</v>
      </c>
      <c r="D49">
        <f t="shared" si="0"/>
        <v>0</v>
      </c>
      <c r="E49" s="67">
        <f>'Historical VAR'!$G$7</f>
        <v>-3.1428916759065853E-2</v>
      </c>
      <c r="F49">
        <f t="shared" si="1"/>
        <v>0</v>
      </c>
      <c r="G49" s="67">
        <f ca="1">'Monte Carlo Stimulation'!$I$9</f>
        <v>-2.919314405717207E-2</v>
      </c>
      <c r="H49">
        <f t="shared" ca="1" si="2"/>
        <v>0</v>
      </c>
    </row>
    <row r="50" spans="1:8">
      <c r="A50" s="12">
        <v>46044</v>
      </c>
      <c r="B50" s="14">
        <v>1.9348636705076359E-3</v>
      </c>
      <c r="C50" s="67">
        <f>'Parametric VAR'!$F$13</f>
        <v>-2.8682193012943492E-2</v>
      </c>
      <c r="D50">
        <f t="shared" si="0"/>
        <v>0</v>
      </c>
      <c r="E50" s="67">
        <f>'Historical VAR'!$G$7</f>
        <v>-3.1428916759065853E-2</v>
      </c>
      <c r="F50">
        <f t="shared" si="1"/>
        <v>0</v>
      </c>
      <c r="G50" s="67">
        <f ca="1">'Monte Carlo Stimulation'!$I$9</f>
        <v>-2.919314405717207E-2</v>
      </c>
      <c r="H50">
        <f t="shared" ca="1" si="2"/>
        <v>0</v>
      </c>
    </row>
    <row r="51" spans="1:8">
      <c r="A51" s="12">
        <v>46043</v>
      </c>
      <c r="B51" s="14">
        <v>-8.0480876520095338E-3</v>
      </c>
      <c r="C51" s="67">
        <f>'Parametric VAR'!$F$13</f>
        <v>-2.8682193012943492E-2</v>
      </c>
      <c r="D51">
        <f t="shared" si="0"/>
        <v>0</v>
      </c>
      <c r="E51" s="67">
        <f>'Historical VAR'!$G$7</f>
        <v>-3.1428916759065853E-2</v>
      </c>
      <c r="F51">
        <f t="shared" si="1"/>
        <v>0</v>
      </c>
      <c r="G51" s="67">
        <f ca="1">'Monte Carlo Stimulation'!$I$9</f>
        <v>-2.919314405717207E-2</v>
      </c>
      <c r="H51">
        <f t="shared" ca="1" si="2"/>
        <v>0</v>
      </c>
    </row>
    <row r="52" spans="1:8">
      <c r="A52" s="12">
        <v>46042</v>
      </c>
      <c r="B52" s="14">
        <v>3.993517093825151E-3</v>
      </c>
      <c r="C52" s="67">
        <f>'Parametric VAR'!$F$13</f>
        <v>-2.8682193012943492E-2</v>
      </c>
      <c r="D52">
        <f t="shared" si="0"/>
        <v>0</v>
      </c>
      <c r="E52" s="67">
        <f>'Historical VAR'!$G$7</f>
        <v>-3.1428916759065853E-2</v>
      </c>
      <c r="F52">
        <f t="shared" si="1"/>
        <v>0</v>
      </c>
      <c r="G52" s="67">
        <f ca="1">'Monte Carlo Stimulation'!$I$9</f>
        <v>-2.919314405717207E-2</v>
      </c>
      <c r="H52">
        <f t="shared" ca="1" si="2"/>
        <v>0</v>
      </c>
    </row>
    <row r="53" spans="1:8">
      <c r="A53" s="12">
        <v>46041</v>
      </c>
      <c r="B53" s="14">
        <v>2.5412605215448782E-2</v>
      </c>
      <c r="C53" s="67">
        <f>'Parametric VAR'!$F$13</f>
        <v>-2.8682193012943492E-2</v>
      </c>
      <c r="D53">
        <f t="shared" si="0"/>
        <v>0</v>
      </c>
      <c r="E53" s="67">
        <f>'Historical VAR'!$G$7</f>
        <v>-3.1428916759065853E-2</v>
      </c>
      <c r="F53">
        <f t="shared" si="1"/>
        <v>0</v>
      </c>
      <c r="G53" s="67">
        <f ca="1">'Monte Carlo Stimulation'!$I$9</f>
        <v>-2.919314405717207E-2</v>
      </c>
      <c r="H53">
        <f t="shared" ca="1" si="2"/>
        <v>0</v>
      </c>
    </row>
    <row r="54" spans="1:8">
      <c r="A54" s="12">
        <v>46038</v>
      </c>
      <c r="B54" s="14">
        <v>1.6943040152950068E-3</v>
      </c>
      <c r="C54" s="67">
        <f>'Parametric VAR'!$F$13</f>
        <v>-2.8682193012943492E-2</v>
      </c>
      <c r="D54">
        <f t="shared" si="0"/>
        <v>0</v>
      </c>
      <c r="E54" s="67">
        <f>'Historical VAR'!$G$7</f>
        <v>-3.1428916759065853E-2</v>
      </c>
      <c r="F54">
        <f t="shared" si="1"/>
        <v>0</v>
      </c>
      <c r="G54" s="67">
        <f ca="1">'Monte Carlo Stimulation'!$I$9</f>
        <v>-2.919314405717207E-2</v>
      </c>
      <c r="H54">
        <f t="shared" ca="1" si="2"/>
        <v>0</v>
      </c>
    </row>
    <row r="55" spans="1:8">
      <c r="A55" s="12">
        <v>46036</v>
      </c>
      <c r="B55" s="14">
        <v>1.7280848475854899E-2</v>
      </c>
      <c r="C55" s="67">
        <f>'Parametric VAR'!$F$13</f>
        <v>-2.8682193012943492E-2</v>
      </c>
      <c r="D55">
        <f t="shared" si="0"/>
        <v>0</v>
      </c>
      <c r="E55" s="67">
        <f>'Historical VAR'!$G$7</f>
        <v>-3.1428916759065853E-2</v>
      </c>
      <c r="F55">
        <f t="shared" si="1"/>
        <v>0</v>
      </c>
      <c r="G55" s="67">
        <f ca="1">'Monte Carlo Stimulation'!$I$9</f>
        <v>-2.919314405717207E-2</v>
      </c>
      <c r="H55">
        <f t="shared" ca="1" si="2"/>
        <v>0</v>
      </c>
    </row>
    <row r="56" spans="1:8">
      <c r="A56" s="12">
        <v>46035</v>
      </c>
      <c r="B56" s="14">
        <v>1.5766864181550912E-2</v>
      </c>
      <c r="C56" s="67">
        <f>'Parametric VAR'!$F$13</f>
        <v>-2.8682193012943492E-2</v>
      </c>
      <c r="D56">
        <f t="shared" si="0"/>
        <v>0</v>
      </c>
      <c r="E56" s="67">
        <f>'Historical VAR'!$G$7</f>
        <v>-3.1428916759065853E-2</v>
      </c>
      <c r="F56">
        <f t="shared" si="1"/>
        <v>0</v>
      </c>
      <c r="G56" s="67">
        <f ca="1">'Monte Carlo Stimulation'!$I$9</f>
        <v>-2.919314405717207E-2</v>
      </c>
      <c r="H56">
        <f t="shared" ca="1" si="2"/>
        <v>0</v>
      </c>
    </row>
    <row r="57" spans="1:8">
      <c r="A57" s="12">
        <v>46034</v>
      </c>
      <c r="B57" s="14">
        <v>-1.3157332708209671E-3</v>
      </c>
      <c r="C57" s="67">
        <f>'Parametric VAR'!$F$13</f>
        <v>-2.8682193012943492E-2</v>
      </c>
      <c r="D57">
        <f t="shared" si="0"/>
        <v>0</v>
      </c>
      <c r="E57" s="67">
        <f>'Historical VAR'!$G$7</f>
        <v>-3.1428916759065853E-2</v>
      </c>
      <c r="F57">
        <f t="shared" si="1"/>
        <v>0</v>
      </c>
      <c r="G57" s="67">
        <f ca="1">'Monte Carlo Stimulation'!$I$9</f>
        <v>-2.919314405717207E-2</v>
      </c>
      <c r="H57">
        <f t="shared" ca="1" si="2"/>
        <v>0</v>
      </c>
    </row>
    <row r="58" spans="1:8">
      <c r="A58" s="12">
        <v>46031</v>
      </c>
      <c r="B58" s="14">
        <v>-1.5863030775305074E-2</v>
      </c>
      <c r="C58" s="67">
        <f>'Parametric VAR'!$F$13</f>
        <v>-2.8682193012943492E-2</v>
      </c>
      <c r="D58">
        <f t="shared" si="0"/>
        <v>0</v>
      </c>
      <c r="E58" s="67">
        <f>'Historical VAR'!$G$7</f>
        <v>-3.1428916759065853E-2</v>
      </c>
      <c r="F58">
        <f t="shared" si="1"/>
        <v>0</v>
      </c>
      <c r="G58" s="67">
        <f ca="1">'Monte Carlo Stimulation'!$I$9</f>
        <v>-2.919314405717207E-2</v>
      </c>
      <c r="H58">
        <f t="shared" ca="1" si="2"/>
        <v>0</v>
      </c>
    </row>
    <row r="59" spans="1:8">
      <c r="A59" s="12">
        <v>46030</v>
      </c>
      <c r="B59" s="14">
        <v>-6.7859298713810389E-3</v>
      </c>
      <c r="C59" s="67">
        <f>'Parametric VAR'!$F$13</f>
        <v>-2.8682193012943492E-2</v>
      </c>
      <c r="D59">
        <f t="shared" si="0"/>
        <v>0</v>
      </c>
      <c r="E59" s="67">
        <f>'Historical VAR'!$G$7</f>
        <v>-3.1428916759065853E-2</v>
      </c>
      <c r="F59">
        <f t="shared" si="1"/>
        <v>0</v>
      </c>
      <c r="G59" s="67">
        <f ca="1">'Monte Carlo Stimulation'!$I$9</f>
        <v>-2.919314405717207E-2</v>
      </c>
      <c r="H59">
        <f t="shared" ca="1" si="2"/>
        <v>0</v>
      </c>
    </row>
    <row r="60" spans="1:8">
      <c r="A60" s="12">
        <v>46029</v>
      </c>
      <c r="B60" s="14">
        <v>8.9035546389456387E-3</v>
      </c>
      <c r="C60" s="67">
        <f>'Parametric VAR'!$F$13</f>
        <v>-2.8682193012943492E-2</v>
      </c>
      <c r="D60">
        <f t="shared" si="0"/>
        <v>0</v>
      </c>
      <c r="E60" s="67">
        <f>'Historical VAR'!$G$7</f>
        <v>-3.1428916759065853E-2</v>
      </c>
      <c r="F60">
        <f t="shared" si="1"/>
        <v>0</v>
      </c>
      <c r="G60" s="67">
        <f ca="1">'Monte Carlo Stimulation'!$I$9</f>
        <v>-2.919314405717207E-2</v>
      </c>
      <c r="H60">
        <f t="shared" ca="1" si="2"/>
        <v>0</v>
      </c>
    </row>
    <row r="61" spans="1:8">
      <c r="A61" s="12">
        <v>46028</v>
      </c>
      <c r="B61" s="14">
        <v>9.6952734811688052E-3</v>
      </c>
      <c r="C61" s="67">
        <f>'Parametric VAR'!$F$13</f>
        <v>-2.8682193012943492E-2</v>
      </c>
      <c r="D61">
        <f t="shared" si="0"/>
        <v>0</v>
      </c>
      <c r="E61" s="67">
        <f>'Historical VAR'!$G$7</f>
        <v>-3.1428916759065853E-2</v>
      </c>
      <c r="F61">
        <f t="shared" si="1"/>
        <v>0</v>
      </c>
      <c r="G61" s="67">
        <f ca="1">'Monte Carlo Stimulation'!$I$9</f>
        <v>-2.919314405717207E-2</v>
      </c>
      <c r="H61">
        <f t="shared" ca="1" si="2"/>
        <v>0</v>
      </c>
    </row>
    <row r="62" spans="1:8">
      <c r="A62" s="12">
        <v>46027</v>
      </c>
      <c r="B62" s="14">
        <v>-7.0613586319035818E-3</v>
      </c>
      <c r="C62" s="67">
        <f>'Parametric VAR'!$F$13</f>
        <v>-2.8682193012943492E-2</v>
      </c>
      <c r="D62">
        <f t="shared" si="0"/>
        <v>0</v>
      </c>
      <c r="E62" s="67">
        <f>'Historical VAR'!$G$7</f>
        <v>-3.1428916759065853E-2</v>
      </c>
      <c r="F62">
        <f t="shared" si="1"/>
        <v>0</v>
      </c>
      <c r="G62" s="67">
        <f ca="1">'Monte Carlo Stimulation'!$I$9</f>
        <v>-2.919314405717207E-2</v>
      </c>
      <c r="H62">
        <f t="shared" ca="1" si="2"/>
        <v>0</v>
      </c>
    </row>
    <row r="63" spans="1:8">
      <c r="A63" s="12">
        <v>46024</v>
      </c>
      <c r="B63" s="14">
        <v>-1.1699853652379648E-2</v>
      </c>
      <c r="C63" s="67">
        <f>'Parametric VAR'!$F$13</f>
        <v>-2.8682193012943492E-2</v>
      </c>
      <c r="D63">
        <f t="shared" si="0"/>
        <v>0</v>
      </c>
      <c r="E63" s="67">
        <f>'Historical VAR'!$G$7</f>
        <v>-3.1428916759065853E-2</v>
      </c>
      <c r="F63">
        <f t="shared" si="1"/>
        <v>0</v>
      </c>
      <c r="G63" s="67">
        <f ca="1">'Monte Carlo Stimulation'!$I$9</f>
        <v>-2.919314405717207E-2</v>
      </c>
      <c r="H63">
        <f t="shared" ca="1" si="2"/>
        <v>0</v>
      </c>
    </row>
    <row r="64" spans="1:8">
      <c r="A64" s="12">
        <v>46023</v>
      </c>
      <c r="B64" s="14">
        <v>-3.2859299314173798E-3</v>
      </c>
      <c r="C64" s="67">
        <f>'Parametric VAR'!$F$13</f>
        <v>-2.8682193012943492E-2</v>
      </c>
      <c r="D64">
        <f t="shared" si="0"/>
        <v>0</v>
      </c>
      <c r="E64" s="67">
        <f>'Historical VAR'!$G$7</f>
        <v>-3.1428916759065853E-2</v>
      </c>
      <c r="F64">
        <f t="shared" si="1"/>
        <v>0</v>
      </c>
      <c r="G64" s="67">
        <f ca="1">'Monte Carlo Stimulation'!$I$9</f>
        <v>-2.919314405717207E-2</v>
      </c>
      <c r="H64">
        <f t="shared" ca="1" si="2"/>
        <v>0</v>
      </c>
    </row>
    <row r="65" spans="1:8">
      <c r="A65" s="12">
        <v>46022</v>
      </c>
      <c r="B65" s="14">
        <v>3.9584052005237442E-3</v>
      </c>
      <c r="C65" s="67">
        <f>'Parametric VAR'!$F$13</f>
        <v>-2.8682193012943492E-2</v>
      </c>
      <c r="D65">
        <f t="shared" si="0"/>
        <v>0</v>
      </c>
      <c r="E65" s="67">
        <f>'Historical VAR'!$G$7</f>
        <v>-3.1428916759065853E-2</v>
      </c>
      <c r="F65">
        <f t="shared" si="1"/>
        <v>0</v>
      </c>
      <c r="G65" s="67">
        <f ca="1">'Monte Carlo Stimulation'!$I$9</f>
        <v>-2.919314405717207E-2</v>
      </c>
      <c r="H65">
        <f t="shared" ca="1" si="2"/>
        <v>0</v>
      </c>
    </row>
    <row r="66" spans="1:8">
      <c r="A66" s="12">
        <v>46021</v>
      </c>
      <c r="B66" s="14">
        <v>-6.6120062135432379E-3</v>
      </c>
      <c r="C66" s="67">
        <f>'Parametric VAR'!$F$13</f>
        <v>-2.8682193012943492E-2</v>
      </c>
      <c r="D66">
        <f t="shared" si="0"/>
        <v>0</v>
      </c>
      <c r="E66" s="67">
        <f>'Historical VAR'!$G$7</f>
        <v>-3.1428916759065853E-2</v>
      </c>
      <c r="F66">
        <f t="shared" si="1"/>
        <v>0</v>
      </c>
      <c r="G66" s="67">
        <f ca="1">'Monte Carlo Stimulation'!$I$9</f>
        <v>-2.919314405717207E-2</v>
      </c>
      <c r="H66">
        <f t="shared" ca="1" si="2"/>
        <v>0</v>
      </c>
    </row>
    <row r="67" spans="1:8">
      <c r="A67" s="12">
        <v>46020</v>
      </c>
      <c r="B67" s="14">
        <v>9.6899842639630376E-3</v>
      </c>
      <c r="C67" s="67">
        <f>'Parametric VAR'!$F$13</f>
        <v>-2.8682193012943492E-2</v>
      </c>
      <c r="D67">
        <f t="shared" si="0"/>
        <v>0</v>
      </c>
      <c r="E67" s="67">
        <f>'Historical VAR'!$G$7</f>
        <v>-3.1428916759065853E-2</v>
      </c>
      <c r="F67">
        <f t="shared" si="1"/>
        <v>0</v>
      </c>
      <c r="G67" s="67">
        <f ca="1">'Monte Carlo Stimulation'!$I$9</f>
        <v>-2.919314405717207E-2</v>
      </c>
      <c r="H67">
        <f t="shared" ca="1" si="2"/>
        <v>0</v>
      </c>
    </row>
    <row r="68" spans="1:8">
      <c r="A68" s="12">
        <v>46017</v>
      </c>
      <c r="B68" s="14">
        <v>-7.9535582180469792E-3</v>
      </c>
      <c r="C68" s="67">
        <f>'Parametric VAR'!$F$13</f>
        <v>-2.8682193012943492E-2</v>
      </c>
      <c r="D68">
        <f t="shared" si="0"/>
        <v>0</v>
      </c>
      <c r="E68" s="67">
        <f>'Historical VAR'!$G$7</f>
        <v>-3.1428916759065853E-2</v>
      </c>
      <c r="F68">
        <f t="shared" si="1"/>
        <v>0</v>
      </c>
      <c r="G68" s="67">
        <f ca="1">'Monte Carlo Stimulation'!$I$9</f>
        <v>-2.919314405717207E-2</v>
      </c>
      <c r="H68">
        <f t="shared" ca="1" si="2"/>
        <v>0</v>
      </c>
    </row>
    <row r="69" spans="1:8">
      <c r="A69" s="12">
        <v>46015</v>
      </c>
      <c r="B69" s="14">
        <v>1.5437926284360302E-2</v>
      </c>
      <c r="C69" s="67">
        <f>'Parametric VAR'!$F$13</f>
        <v>-2.8682193012943492E-2</v>
      </c>
      <c r="D69">
        <f t="shared" ref="D69:D132" si="3">IF(B69&lt;C69,1,0)</f>
        <v>0</v>
      </c>
      <c r="E69" s="67">
        <f>'Historical VAR'!$G$7</f>
        <v>-3.1428916759065853E-2</v>
      </c>
      <c r="F69">
        <f t="shared" ref="F69:F132" si="4">IF(B69&lt;E69,1,0)</f>
        <v>0</v>
      </c>
      <c r="G69" s="67">
        <f ca="1">'Monte Carlo Stimulation'!$I$9</f>
        <v>-2.919314405717207E-2</v>
      </c>
      <c r="H69">
        <f t="shared" ref="H69:H132" ca="1" si="5">IF(B69&lt;G69,1,0)</f>
        <v>0</v>
      </c>
    </row>
    <row r="70" spans="1:8">
      <c r="A70" s="12">
        <v>46014</v>
      </c>
      <c r="B70" s="14">
        <v>-9.2266990791691438E-4</v>
      </c>
      <c r="C70" s="67">
        <f>'Parametric VAR'!$F$13</f>
        <v>-2.8682193012943492E-2</v>
      </c>
      <c r="D70">
        <f t="shared" si="3"/>
        <v>0</v>
      </c>
      <c r="E70" s="67">
        <f>'Historical VAR'!$G$7</f>
        <v>-3.1428916759065853E-2</v>
      </c>
      <c r="F70">
        <f t="shared" si="4"/>
        <v>0</v>
      </c>
      <c r="G70" s="67">
        <f ca="1">'Monte Carlo Stimulation'!$I$9</f>
        <v>-2.919314405717207E-2</v>
      </c>
      <c r="H70">
        <f t="shared" ca="1" si="5"/>
        <v>0</v>
      </c>
    </row>
    <row r="71" spans="1:8">
      <c r="A71" s="12">
        <v>46013</v>
      </c>
      <c r="B71" s="14">
        <v>-6.4482162693916016E-4</v>
      </c>
      <c r="C71" s="67">
        <f>'Parametric VAR'!$F$13</f>
        <v>-2.8682193012943492E-2</v>
      </c>
      <c r="D71">
        <f t="shared" si="3"/>
        <v>0</v>
      </c>
      <c r="E71" s="67">
        <f>'Historical VAR'!$G$7</f>
        <v>-3.1428916759065853E-2</v>
      </c>
      <c r="F71">
        <f t="shared" si="4"/>
        <v>0</v>
      </c>
      <c r="G71" s="67">
        <f ca="1">'Monte Carlo Stimulation'!$I$9</f>
        <v>-2.919314405717207E-2</v>
      </c>
      <c r="H71">
        <f t="shared" ca="1" si="5"/>
        <v>0</v>
      </c>
    </row>
    <row r="72" spans="1:8">
      <c r="A72" s="12">
        <v>46010</v>
      </c>
      <c r="B72" s="14">
        <v>-3.6060263875978414E-3</v>
      </c>
      <c r="C72" s="67">
        <f>'Parametric VAR'!$F$13</f>
        <v>-2.8682193012943492E-2</v>
      </c>
      <c r="D72">
        <f t="shared" si="3"/>
        <v>0</v>
      </c>
      <c r="E72" s="67">
        <f>'Historical VAR'!$G$7</f>
        <v>-3.1428916759065853E-2</v>
      </c>
      <c r="F72">
        <f t="shared" si="4"/>
        <v>0</v>
      </c>
      <c r="G72" s="67">
        <f ca="1">'Monte Carlo Stimulation'!$I$9</f>
        <v>-2.919314405717207E-2</v>
      </c>
      <c r="H72">
        <f t="shared" ca="1" si="5"/>
        <v>0</v>
      </c>
    </row>
    <row r="73" spans="1:8">
      <c r="A73" s="12">
        <v>46009</v>
      </c>
      <c r="B73" s="14">
        <v>-1.2057141521611197E-2</v>
      </c>
      <c r="C73" s="67">
        <f>'Parametric VAR'!$F$13</f>
        <v>-2.8682193012943492E-2</v>
      </c>
      <c r="D73">
        <f t="shared" si="3"/>
        <v>0</v>
      </c>
      <c r="E73" s="67">
        <f>'Historical VAR'!$G$7</f>
        <v>-3.1428916759065853E-2</v>
      </c>
      <c r="F73">
        <f t="shared" si="4"/>
        <v>0</v>
      </c>
      <c r="G73" s="67">
        <f ca="1">'Monte Carlo Stimulation'!$I$9</f>
        <v>-2.919314405717207E-2</v>
      </c>
      <c r="H73">
        <f t="shared" ca="1" si="5"/>
        <v>0</v>
      </c>
    </row>
    <row r="74" spans="1:8">
      <c r="A74" s="12">
        <v>46008</v>
      </c>
      <c r="B74" s="14">
        <v>8.3506472614991306E-3</v>
      </c>
      <c r="C74" s="67">
        <f>'Parametric VAR'!$F$13</f>
        <v>-2.8682193012943492E-2</v>
      </c>
      <c r="D74">
        <f t="shared" si="3"/>
        <v>0</v>
      </c>
      <c r="E74" s="67">
        <f>'Historical VAR'!$G$7</f>
        <v>-3.1428916759065853E-2</v>
      </c>
      <c r="F74">
        <f t="shared" si="4"/>
        <v>0</v>
      </c>
      <c r="G74" s="67">
        <f ca="1">'Monte Carlo Stimulation'!$I$9</f>
        <v>-2.919314405717207E-2</v>
      </c>
      <c r="H74">
        <f t="shared" ca="1" si="5"/>
        <v>0</v>
      </c>
    </row>
    <row r="75" spans="1:8">
      <c r="A75" s="12">
        <v>46007</v>
      </c>
      <c r="B75" s="14">
        <v>9.3187052054012308E-3</v>
      </c>
      <c r="C75" s="67">
        <f>'Parametric VAR'!$F$13</f>
        <v>-2.8682193012943492E-2</v>
      </c>
      <c r="D75">
        <f t="shared" si="3"/>
        <v>0</v>
      </c>
      <c r="E75" s="67">
        <f>'Historical VAR'!$G$7</f>
        <v>-3.1428916759065853E-2</v>
      </c>
      <c r="F75">
        <f t="shared" si="4"/>
        <v>0</v>
      </c>
      <c r="G75" s="67">
        <f ca="1">'Monte Carlo Stimulation'!$I$9</f>
        <v>-2.919314405717207E-2</v>
      </c>
      <c r="H75">
        <f t="shared" ca="1" si="5"/>
        <v>0</v>
      </c>
    </row>
    <row r="76" spans="1:8">
      <c r="A76" s="12">
        <v>46006</v>
      </c>
      <c r="B76" s="14">
        <v>-1.9507018838077384E-3</v>
      </c>
      <c r="C76" s="67">
        <f>'Parametric VAR'!$F$13</f>
        <v>-2.8682193012943492E-2</v>
      </c>
      <c r="D76">
        <f t="shared" si="3"/>
        <v>0</v>
      </c>
      <c r="E76" s="67">
        <f>'Historical VAR'!$G$7</f>
        <v>-3.1428916759065853E-2</v>
      </c>
      <c r="F76">
        <f t="shared" si="4"/>
        <v>0</v>
      </c>
      <c r="G76" s="67">
        <f ca="1">'Monte Carlo Stimulation'!$I$9</f>
        <v>-2.919314405717207E-2</v>
      </c>
      <c r="H76">
        <f t="shared" ca="1" si="5"/>
        <v>0</v>
      </c>
    </row>
    <row r="77" spans="1:8">
      <c r="A77" s="12">
        <v>46003</v>
      </c>
      <c r="B77" s="14">
        <v>-4.8118496796636786E-3</v>
      </c>
      <c r="C77" s="67">
        <f>'Parametric VAR'!$F$13</f>
        <v>-2.8682193012943492E-2</v>
      </c>
      <c r="D77">
        <f t="shared" si="3"/>
        <v>0</v>
      </c>
      <c r="E77" s="67">
        <f>'Historical VAR'!$G$7</f>
        <v>-3.1428916759065853E-2</v>
      </c>
      <c r="F77">
        <f t="shared" si="4"/>
        <v>0</v>
      </c>
      <c r="G77" s="67">
        <f ca="1">'Monte Carlo Stimulation'!$I$9</f>
        <v>-2.919314405717207E-2</v>
      </c>
      <c r="H77">
        <f t="shared" ca="1" si="5"/>
        <v>0</v>
      </c>
    </row>
    <row r="78" spans="1:8">
      <c r="A78" s="12">
        <v>46002</v>
      </c>
      <c r="B78" s="14">
        <v>2.4208953999249427E-3</v>
      </c>
      <c r="C78" s="67">
        <f>'Parametric VAR'!$F$13</f>
        <v>-2.8682193012943492E-2</v>
      </c>
      <c r="D78">
        <f t="shared" si="3"/>
        <v>0</v>
      </c>
      <c r="E78" s="67">
        <f>'Historical VAR'!$G$7</f>
        <v>-3.1428916759065853E-2</v>
      </c>
      <c r="F78">
        <f t="shared" si="4"/>
        <v>0</v>
      </c>
      <c r="G78" s="67">
        <f ca="1">'Monte Carlo Stimulation'!$I$9</f>
        <v>-2.919314405717207E-2</v>
      </c>
      <c r="H78">
        <f t="shared" ca="1" si="5"/>
        <v>0</v>
      </c>
    </row>
    <row r="79" spans="1:8">
      <c r="A79" s="12">
        <v>46001</v>
      </c>
      <c r="B79" s="14">
        <v>8.9884455680551509E-3</v>
      </c>
      <c r="C79" s="67">
        <f>'Parametric VAR'!$F$13</f>
        <v>-2.8682193012943492E-2</v>
      </c>
      <c r="D79">
        <f t="shared" si="3"/>
        <v>0</v>
      </c>
      <c r="E79" s="67">
        <f>'Historical VAR'!$G$7</f>
        <v>-3.1428916759065853E-2</v>
      </c>
      <c r="F79">
        <f t="shared" si="4"/>
        <v>0</v>
      </c>
      <c r="G79" s="67">
        <f ca="1">'Monte Carlo Stimulation'!$I$9</f>
        <v>-2.919314405717207E-2</v>
      </c>
      <c r="H79">
        <f t="shared" ca="1" si="5"/>
        <v>0</v>
      </c>
    </row>
    <row r="80" spans="1:8">
      <c r="A80" s="12">
        <v>46000</v>
      </c>
      <c r="B80" s="14">
        <v>-5.0428975081159531E-3</v>
      </c>
      <c r="C80" s="67">
        <f>'Parametric VAR'!$F$13</f>
        <v>-2.8682193012943492E-2</v>
      </c>
      <c r="D80">
        <f t="shared" si="3"/>
        <v>0</v>
      </c>
      <c r="E80" s="67">
        <f>'Historical VAR'!$G$7</f>
        <v>-3.1428916759065853E-2</v>
      </c>
      <c r="F80">
        <f t="shared" si="4"/>
        <v>0</v>
      </c>
      <c r="G80" s="67">
        <f ca="1">'Monte Carlo Stimulation'!$I$9</f>
        <v>-2.919314405717207E-2</v>
      </c>
      <c r="H80">
        <f t="shared" ca="1" si="5"/>
        <v>0</v>
      </c>
    </row>
    <row r="81" spans="1:8">
      <c r="A81" s="12">
        <v>45999</v>
      </c>
      <c r="B81" s="14">
        <v>3.1703063754339025E-2</v>
      </c>
      <c r="C81" s="67">
        <f>'Parametric VAR'!$F$13</f>
        <v>-2.8682193012943492E-2</v>
      </c>
      <c r="D81">
        <f t="shared" si="3"/>
        <v>0</v>
      </c>
      <c r="E81" s="67">
        <f>'Historical VAR'!$G$7</f>
        <v>-3.1428916759065853E-2</v>
      </c>
      <c r="F81">
        <f t="shared" si="4"/>
        <v>0</v>
      </c>
      <c r="G81" s="67">
        <f ca="1">'Monte Carlo Stimulation'!$I$9</f>
        <v>-2.919314405717207E-2</v>
      </c>
      <c r="H81">
        <f t="shared" ca="1" si="5"/>
        <v>0</v>
      </c>
    </row>
    <row r="82" spans="1:8">
      <c r="A82" s="12">
        <v>45996</v>
      </c>
      <c r="B82" s="14">
        <v>1.7072120857810704E-2</v>
      </c>
      <c r="C82" s="67">
        <f>'Parametric VAR'!$F$13</f>
        <v>-2.8682193012943492E-2</v>
      </c>
      <c r="D82">
        <f t="shared" si="3"/>
        <v>0</v>
      </c>
      <c r="E82" s="67">
        <f>'Historical VAR'!$G$7</f>
        <v>-3.1428916759065853E-2</v>
      </c>
      <c r="F82">
        <f t="shared" si="4"/>
        <v>0</v>
      </c>
      <c r="G82" s="67">
        <f ca="1">'Monte Carlo Stimulation'!$I$9</f>
        <v>-2.919314405717207E-2</v>
      </c>
      <c r="H82">
        <f t="shared" ca="1" si="5"/>
        <v>0</v>
      </c>
    </row>
    <row r="83" spans="1:8">
      <c r="A83" s="12">
        <v>45995</v>
      </c>
      <c r="B83" s="14">
        <v>-8.3024349620674381E-4</v>
      </c>
      <c r="C83" s="67">
        <f>'Parametric VAR'!$F$13</f>
        <v>-2.8682193012943492E-2</v>
      </c>
      <c r="D83">
        <f t="shared" si="3"/>
        <v>0</v>
      </c>
      <c r="E83" s="67">
        <f>'Historical VAR'!$G$7</f>
        <v>-3.1428916759065853E-2</v>
      </c>
      <c r="F83">
        <f t="shared" si="4"/>
        <v>0</v>
      </c>
      <c r="G83" s="67">
        <f ca="1">'Monte Carlo Stimulation'!$I$9</f>
        <v>-2.919314405717207E-2</v>
      </c>
      <c r="H83">
        <f t="shared" ca="1" si="5"/>
        <v>0</v>
      </c>
    </row>
    <row r="84" spans="1:8">
      <c r="A84" s="12">
        <v>45994</v>
      </c>
      <c r="B84" s="14">
        <v>1.7642193069845148E-4</v>
      </c>
      <c r="C84" s="67">
        <f>'Parametric VAR'!$F$13</f>
        <v>-2.8682193012943492E-2</v>
      </c>
      <c r="D84">
        <f t="shared" si="3"/>
        <v>0</v>
      </c>
      <c r="E84" s="67">
        <f>'Historical VAR'!$G$7</f>
        <v>-3.1428916759065853E-2</v>
      </c>
      <c r="F84">
        <f t="shared" si="4"/>
        <v>0</v>
      </c>
      <c r="G84" s="67">
        <f ca="1">'Monte Carlo Stimulation'!$I$9</f>
        <v>-2.919314405717207E-2</v>
      </c>
      <c r="H84">
        <f t="shared" ca="1" si="5"/>
        <v>0</v>
      </c>
    </row>
    <row r="85" spans="1:8">
      <c r="A85" s="12">
        <v>45993</v>
      </c>
      <c r="B85" s="14">
        <v>-7.2332508874557808E-4</v>
      </c>
      <c r="C85" s="67">
        <f>'Parametric VAR'!$F$13</f>
        <v>-2.8682193012943492E-2</v>
      </c>
      <c r="D85">
        <f t="shared" si="3"/>
        <v>0</v>
      </c>
      <c r="E85" s="67">
        <f>'Historical VAR'!$G$7</f>
        <v>-3.1428916759065853E-2</v>
      </c>
      <c r="F85">
        <f t="shared" si="4"/>
        <v>0</v>
      </c>
      <c r="G85" s="67">
        <f ca="1">'Monte Carlo Stimulation'!$I$9</f>
        <v>-2.919314405717207E-2</v>
      </c>
      <c r="H85">
        <f t="shared" ca="1" si="5"/>
        <v>0</v>
      </c>
    </row>
    <row r="86" spans="1:8">
      <c r="A86" s="12">
        <v>45992</v>
      </c>
      <c r="B86" s="14">
        <v>-2.4251459381428489E-2</v>
      </c>
      <c r="C86" s="67">
        <f>'Parametric VAR'!$F$13</f>
        <v>-2.8682193012943492E-2</v>
      </c>
      <c r="D86">
        <f t="shared" si="3"/>
        <v>0</v>
      </c>
      <c r="E86" s="67">
        <f>'Historical VAR'!$G$7</f>
        <v>-3.1428916759065853E-2</v>
      </c>
      <c r="F86">
        <f t="shared" si="4"/>
        <v>0</v>
      </c>
      <c r="G86" s="67">
        <f ca="1">'Monte Carlo Stimulation'!$I$9</f>
        <v>-2.919314405717207E-2</v>
      </c>
      <c r="H86">
        <f t="shared" ca="1" si="5"/>
        <v>0</v>
      </c>
    </row>
    <row r="87" spans="1:8">
      <c r="A87" s="12">
        <v>45989</v>
      </c>
      <c r="B87" s="14">
        <v>5.5801850817216369E-3</v>
      </c>
      <c r="C87" s="67">
        <f>'Parametric VAR'!$F$13</f>
        <v>-2.8682193012943492E-2</v>
      </c>
      <c r="D87">
        <f t="shared" si="3"/>
        <v>0</v>
      </c>
      <c r="E87" s="67">
        <f>'Historical VAR'!$G$7</f>
        <v>-3.1428916759065853E-2</v>
      </c>
      <c r="F87">
        <f t="shared" si="4"/>
        <v>0</v>
      </c>
      <c r="G87" s="67">
        <f ca="1">'Monte Carlo Stimulation'!$I$9</f>
        <v>-2.919314405717207E-2</v>
      </c>
      <c r="H87">
        <f t="shared" ca="1" si="5"/>
        <v>0</v>
      </c>
    </row>
    <row r="88" spans="1:8">
      <c r="A88" s="12">
        <v>45988</v>
      </c>
      <c r="B88" s="14">
        <v>4.3661642171398535E-3</v>
      </c>
      <c r="C88" s="67">
        <f>'Parametric VAR'!$F$13</f>
        <v>-2.8682193012943492E-2</v>
      </c>
      <c r="D88">
        <f t="shared" si="3"/>
        <v>0</v>
      </c>
      <c r="E88" s="67">
        <f>'Historical VAR'!$G$7</f>
        <v>-3.1428916759065853E-2</v>
      </c>
      <c r="F88">
        <f t="shared" si="4"/>
        <v>0</v>
      </c>
      <c r="G88" s="67">
        <f ca="1">'Monte Carlo Stimulation'!$I$9</f>
        <v>-2.919314405717207E-2</v>
      </c>
      <c r="H88">
        <f t="shared" ca="1" si="5"/>
        <v>0</v>
      </c>
    </row>
    <row r="89" spans="1:8">
      <c r="A89" s="12">
        <v>45987</v>
      </c>
      <c r="B89" s="14">
        <v>7.2794023861375571E-5</v>
      </c>
      <c r="C89" s="67">
        <f>'Parametric VAR'!$F$13</f>
        <v>-2.8682193012943492E-2</v>
      </c>
      <c r="D89">
        <f t="shared" si="3"/>
        <v>0</v>
      </c>
      <c r="E89" s="67">
        <f>'Historical VAR'!$G$7</f>
        <v>-3.1428916759065853E-2</v>
      </c>
      <c r="F89">
        <f t="shared" si="4"/>
        <v>0</v>
      </c>
      <c r="G89" s="67">
        <f ca="1">'Monte Carlo Stimulation'!$I$9</f>
        <v>-2.919314405717207E-2</v>
      </c>
      <c r="H89">
        <f t="shared" ca="1" si="5"/>
        <v>0</v>
      </c>
    </row>
    <row r="90" spans="1:8">
      <c r="A90" s="12">
        <v>45986</v>
      </c>
      <c r="B90" s="14">
        <v>-2.8626763659368691E-3</v>
      </c>
      <c r="C90" s="67">
        <f>'Parametric VAR'!$F$13</f>
        <v>-2.8682193012943492E-2</v>
      </c>
      <c r="D90">
        <f t="shared" si="3"/>
        <v>0</v>
      </c>
      <c r="E90" s="67">
        <f>'Historical VAR'!$G$7</f>
        <v>-3.1428916759065853E-2</v>
      </c>
      <c r="F90">
        <f t="shared" si="4"/>
        <v>0</v>
      </c>
      <c r="G90" s="67">
        <f ca="1">'Monte Carlo Stimulation'!$I$9</f>
        <v>-2.919314405717207E-2</v>
      </c>
      <c r="H90">
        <f t="shared" ca="1" si="5"/>
        <v>0</v>
      </c>
    </row>
    <row r="91" spans="1:8">
      <c r="A91" s="12">
        <v>45985</v>
      </c>
      <c r="B91" s="14">
        <v>3.532537069477289E-3</v>
      </c>
      <c r="C91" s="67">
        <f>'Parametric VAR'!$F$13</f>
        <v>-2.8682193012943492E-2</v>
      </c>
      <c r="D91">
        <f t="shared" si="3"/>
        <v>0</v>
      </c>
      <c r="E91" s="67">
        <f>'Historical VAR'!$G$7</f>
        <v>-3.1428916759065853E-2</v>
      </c>
      <c r="F91">
        <f t="shared" si="4"/>
        <v>0</v>
      </c>
      <c r="G91" s="67">
        <f ca="1">'Monte Carlo Stimulation'!$I$9</f>
        <v>-2.919314405717207E-2</v>
      </c>
      <c r="H91">
        <f t="shared" ca="1" si="5"/>
        <v>0</v>
      </c>
    </row>
    <row r="92" spans="1:8">
      <c r="A92" s="12">
        <v>45982</v>
      </c>
      <c r="B92" s="14">
        <v>1.3820445129593959E-4</v>
      </c>
      <c r="C92" s="67">
        <f>'Parametric VAR'!$F$13</f>
        <v>-2.8682193012943492E-2</v>
      </c>
      <c r="D92">
        <f t="shared" si="3"/>
        <v>0</v>
      </c>
      <c r="E92" s="67">
        <f>'Historical VAR'!$G$7</f>
        <v>-3.1428916759065853E-2</v>
      </c>
      <c r="F92">
        <f t="shared" si="4"/>
        <v>0</v>
      </c>
      <c r="G92" s="67">
        <f ca="1">'Monte Carlo Stimulation'!$I$9</f>
        <v>-2.919314405717207E-2</v>
      </c>
      <c r="H92">
        <f t="shared" ca="1" si="5"/>
        <v>0</v>
      </c>
    </row>
    <row r="93" spans="1:8">
      <c r="A93" s="12">
        <v>45981</v>
      </c>
      <c r="B93" s="14">
        <v>8.5413423222113467E-4</v>
      </c>
      <c r="C93" s="67">
        <f>'Parametric VAR'!$F$13</f>
        <v>-2.8682193012943492E-2</v>
      </c>
      <c r="D93">
        <f t="shared" si="3"/>
        <v>0</v>
      </c>
      <c r="E93" s="67">
        <f>'Historical VAR'!$G$7</f>
        <v>-3.1428916759065853E-2</v>
      </c>
      <c r="F93">
        <f t="shared" si="4"/>
        <v>0</v>
      </c>
      <c r="G93" s="67">
        <f ca="1">'Monte Carlo Stimulation'!$I$9</f>
        <v>-2.919314405717207E-2</v>
      </c>
      <c r="H93">
        <f t="shared" ca="1" si="5"/>
        <v>0</v>
      </c>
    </row>
    <row r="94" spans="1:8">
      <c r="A94" s="12">
        <v>45980</v>
      </c>
      <c r="B94" s="14">
        <v>8.7263560105099308E-3</v>
      </c>
      <c r="C94" s="67">
        <f>'Parametric VAR'!$F$13</f>
        <v>-2.8682193012943492E-2</v>
      </c>
      <c r="D94">
        <f t="shared" si="3"/>
        <v>0</v>
      </c>
      <c r="E94" s="67">
        <f>'Historical VAR'!$G$7</f>
        <v>-3.1428916759065853E-2</v>
      </c>
      <c r="F94">
        <f t="shared" si="4"/>
        <v>0</v>
      </c>
      <c r="G94" s="67">
        <f ca="1">'Monte Carlo Stimulation'!$I$9</f>
        <v>-2.919314405717207E-2</v>
      </c>
      <c r="H94">
        <f t="shared" ca="1" si="5"/>
        <v>0</v>
      </c>
    </row>
    <row r="95" spans="1:8">
      <c r="A95" s="12">
        <v>45979</v>
      </c>
      <c r="B95" s="14">
        <v>3.2419902315233367E-3</v>
      </c>
      <c r="C95" s="67">
        <f>'Parametric VAR'!$F$13</f>
        <v>-2.8682193012943492E-2</v>
      </c>
      <c r="D95">
        <f t="shared" si="3"/>
        <v>0</v>
      </c>
      <c r="E95" s="67">
        <f>'Historical VAR'!$G$7</f>
        <v>-3.1428916759065853E-2</v>
      </c>
      <c r="F95">
        <f t="shared" si="4"/>
        <v>0</v>
      </c>
      <c r="G95" s="67">
        <f ca="1">'Monte Carlo Stimulation'!$I$9</f>
        <v>-2.919314405717207E-2</v>
      </c>
      <c r="H95">
        <f t="shared" ca="1" si="5"/>
        <v>0</v>
      </c>
    </row>
    <row r="96" spans="1:8">
      <c r="A96" s="12">
        <v>45978</v>
      </c>
      <c r="B96" s="14">
        <v>-7.634852640567155E-3</v>
      </c>
      <c r="C96" s="67">
        <f>'Parametric VAR'!$F$13</f>
        <v>-2.8682193012943492E-2</v>
      </c>
      <c r="D96">
        <f t="shared" si="3"/>
        <v>0</v>
      </c>
      <c r="E96" s="67">
        <f>'Historical VAR'!$G$7</f>
        <v>-3.1428916759065853E-2</v>
      </c>
      <c r="F96">
        <f t="shared" si="4"/>
        <v>0</v>
      </c>
      <c r="G96" s="67">
        <f ca="1">'Monte Carlo Stimulation'!$I$9</f>
        <v>-2.919314405717207E-2</v>
      </c>
      <c r="H96">
        <f t="shared" ca="1" si="5"/>
        <v>0</v>
      </c>
    </row>
    <row r="97" spans="1:8">
      <c r="A97" s="12">
        <v>45975</v>
      </c>
      <c r="B97" s="14">
        <v>5.291530477200242E-3</v>
      </c>
      <c r="C97" s="67">
        <f>'Parametric VAR'!$F$13</f>
        <v>-2.8682193012943492E-2</v>
      </c>
      <c r="D97">
        <f t="shared" si="3"/>
        <v>0</v>
      </c>
      <c r="E97" s="67">
        <f>'Historical VAR'!$G$7</f>
        <v>-3.1428916759065853E-2</v>
      </c>
      <c r="F97">
        <f t="shared" si="4"/>
        <v>0</v>
      </c>
      <c r="G97" s="67">
        <f ca="1">'Monte Carlo Stimulation'!$I$9</f>
        <v>-2.919314405717207E-2</v>
      </c>
      <c r="H97">
        <f t="shared" ca="1" si="5"/>
        <v>0</v>
      </c>
    </row>
    <row r="98" spans="1:8">
      <c r="A98" s="12">
        <v>45974</v>
      </c>
      <c r="B98" s="14">
        <v>-7.3274619089650304E-3</v>
      </c>
      <c r="C98" s="67">
        <f>'Parametric VAR'!$F$13</f>
        <v>-2.8682193012943492E-2</v>
      </c>
      <c r="D98">
        <f t="shared" si="3"/>
        <v>0</v>
      </c>
      <c r="E98" s="67">
        <f>'Historical VAR'!$G$7</f>
        <v>-3.1428916759065853E-2</v>
      </c>
      <c r="F98">
        <f t="shared" si="4"/>
        <v>0</v>
      </c>
      <c r="G98" s="67">
        <f ca="1">'Monte Carlo Stimulation'!$I$9</f>
        <v>-2.919314405717207E-2</v>
      </c>
      <c r="H98">
        <f t="shared" ca="1" si="5"/>
        <v>0</v>
      </c>
    </row>
    <row r="99" spans="1:8">
      <c r="A99" s="12">
        <v>45973</v>
      </c>
      <c r="B99" s="14">
        <v>-3.4787172839765054E-2</v>
      </c>
      <c r="C99" s="67">
        <f>'Parametric VAR'!$F$13</f>
        <v>-2.8682193012943492E-2</v>
      </c>
      <c r="D99">
        <f t="shared" si="3"/>
        <v>1</v>
      </c>
      <c r="E99" s="67">
        <f>'Historical VAR'!$G$7</f>
        <v>-3.1428916759065853E-2</v>
      </c>
      <c r="F99">
        <f t="shared" si="4"/>
        <v>1</v>
      </c>
      <c r="G99" s="67">
        <f ca="1">'Monte Carlo Stimulation'!$I$9</f>
        <v>-2.919314405717207E-2</v>
      </c>
      <c r="H99">
        <f t="shared" ca="1" si="5"/>
        <v>1</v>
      </c>
    </row>
    <row r="100" spans="1:8">
      <c r="A100" s="12">
        <v>45972</v>
      </c>
      <c r="B100" s="14">
        <v>-3.4538924843212186E-2</v>
      </c>
      <c r="C100" s="67">
        <f>'Parametric VAR'!$F$13</f>
        <v>-2.8682193012943492E-2</v>
      </c>
      <c r="D100">
        <f t="shared" si="3"/>
        <v>1</v>
      </c>
      <c r="E100" s="67">
        <f>'Historical VAR'!$G$7</f>
        <v>-3.1428916759065853E-2</v>
      </c>
      <c r="F100">
        <f t="shared" si="4"/>
        <v>1</v>
      </c>
      <c r="G100" s="67">
        <f ca="1">'Monte Carlo Stimulation'!$I$9</f>
        <v>-2.919314405717207E-2</v>
      </c>
      <c r="H100">
        <f t="shared" ca="1" si="5"/>
        <v>1</v>
      </c>
    </row>
    <row r="101" spans="1:8">
      <c r="A101" s="12">
        <v>45971</v>
      </c>
      <c r="B101" s="14">
        <v>-5.1677747688858699E-3</v>
      </c>
      <c r="C101" s="67">
        <f>'Parametric VAR'!$F$13</f>
        <v>-2.8682193012943492E-2</v>
      </c>
      <c r="D101">
        <f t="shared" si="3"/>
        <v>0</v>
      </c>
      <c r="E101" s="67">
        <f>'Historical VAR'!$G$7</f>
        <v>-3.1428916759065853E-2</v>
      </c>
      <c r="F101">
        <f t="shared" si="4"/>
        <v>0</v>
      </c>
      <c r="G101" s="67">
        <f ca="1">'Monte Carlo Stimulation'!$I$9</f>
        <v>-2.919314405717207E-2</v>
      </c>
      <c r="H101">
        <f t="shared" ca="1" si="5"/>
        <v>0</v>
      </c>
    </row>
    <row r="102" spans="1:8">
      <c r="A102" s="12">
        <v>45968</v>
      </c>
      <c r="B102" s="14">
        <v>-1.3779149303591731E-2</v>
      </c>
      <c r="C102" s="67">
        <f>'Parametric VAR'!$F$13</f>
        <v>-2.8682193012943492E-2</v>
      </c>
      <c r="D102">
        <f t="shared" si="3"/>
        <v>0</v>
      </c>
      <c r="E102" s="67">
        <f>'Historical VAR'!$G$7</f>
        <v>-3.1428916759065853E-2</v>
      </c>
      <c r="F102">
        <f t="shared" si="4"/>
        <v>0</v>
      </c>
      <c r="G102" s="67">
        <f ca="1">'Monte Carlo Stimulation'!$I$9</f>
        <v>-2.919314405717207E-2</v>
      </c>
      <c r="H102">
        <f t="shared" ca="1" si="5"/>
        <v>0</v>
      </c>
    </row>
    <row r="103" spans="1:8">
      <c r="A103" s="12">
        <v>45967</v>
      </c>
      <c r="B103" s="14">
        <v>6.7722470775789898E-4</v>
      </c>
      <c r="C103" s="67">
        <f>'Parametric VAR'!$F$13</f>
        <v>-2.8682193012943492E-2</v>
      </c>
      <c r="D103">
        <f t="shared" si="3"/>
        <v>0</v>
      </c>
      <c r="E103" s="67">
        <f>'Historical VAR'!$G$7</f>
        <v>-3.1428916759065853E-2</v>
      </c>
      <c r="F103">
        <f t="shared" si="4"/>
        <v>0</v>
      </c>
      <c r="G103" s="67">
        <f ca="1">'Monte Carlo Stimulation'!$I$9</f>
        <v>-2.919314405717207E-2</v>
      </c>
      <c r="H103">
        <f t="shared" ca="1" si="5"/>
        <v>0</v>
      </c>
    </row>
    <row r="104" spans="1:8">
      <c r="A104" s="12">
        <v>45965</v>
      </c>
      <c r="B104" s="14">
        <v>-3.4223054757271353E-2</v>
      </c>
      <c r="C104" s="67">
        <f>'Parametric VAR'!$F$13</f>
        <v>-2.8682193012943492E-2</v>
      </c>
      <c r="D104">
        <f t="shared" si="3"/>
        <v>1</v>
      </c>
      <c r="E104" s="67">
        <f>'Historical VAR'!$G$7</f>
        <v>-3.1428916759065853E-2</v>
      </c>
      <c r="F104">
        <f t="shared" si="4"/>
        <v>1</v>
      </c>
      <c r="G104" s="67">
        <f ca="1">'Monte Carlo Stimulation'!$I$9</f>
        <v>-2.919314405717207E-2</v>
      </c>
      <c r="H104">
        <f t="shared" ca="1" si="5"/>
        <v>1</v>
      </c>
    </row>
    <row r="105" spans="1:8">
      <c r="A105" s="12">
        <v>45964</v>
      </c>
      <c r="B105" s="14">
        <v>8.5675529659709065E-3</v>
      </c>
      <c r="C105" s="67">
        <f>'Parametric VAR'!$F$13</f>
        <v>-2.8682193012943492E-2</v>
      </c>
      <c r="D105">
        <f t="shared" si="3"/>
        <v>0</v>
      </c>
      <c r="E105" s="67">
        <f>'Historical VAR'!$G$7</f>
        <v>-3.1428916759065853E-2</v>
      </c>
      <c r="F105">
        <f t="shared" si="4"/>
        <v>0</v>
      </c>
      <c r="G105" s="67">
        <f ca="1">'Monte Carlo Stimulation'!$I$9</f>
        <v>-2.919314405717207E-2</v>
      </c>
      <c r="H105">
        <f t="shared" ca="1" si="5"/>
        <v>0</v>
      </c>
    </row>
    <row r="106" spans="1:8">
      <c r="A106" s="12">
        <v>45961</v>
      </c>
      <c r="B106" s="14">
        <v>-4.3846130899105526E-5</v>
      </c>
      <c r="C106" s="67">
        <f>'Parametric VAR'!$F$13</f>
        <v>-2.8682193012943492E-2</v>
      </c>
      <c r="D106">
        <f t="shared" si="3"/>
        <v>0</v>
      </c>
      <c r="E106" s="67">
        <f>'Historical VAR'!$G$7</f>
        <v>-3.1428916759065853E-2</v>
      </c>
      <c r="F106">
        <f t="shared" si="4"/>
        <v>0</v>
      </c>
      <c r="G106" s="67">
        <f ca="1">'Monte Carlo Stimulation'!$I$9</f>
        <v>-2.919314405717207E-2</v>
      </c>
      <c r="H106">
        <f t="shared" ca="1" si="5"/>
        <v>0</v>
      </c>
    </row>
    <row r="107" spans="1:8">
      <c r="A107" s="12">
        <v>45960</v>
      </c>
      <c r="B107" s="14">
        <v>5.3832780216925644E-3</v>
      </c>
      <c r="C107" s="67">
        <f>'Parametric VAR'!$F$13</f>
        <v>-2.8682193012943492E-2</v>
      </c>
      <c r="D107">
        <f t="shared" si="3"/>
        <v>0</v>
      </c>
      <c r="E107" s="67">
        <f>'Historical VAR'!$G$7</f>
        <v>-3.1428916759065853E-2</v>
      </c>
      <c r="F107">
        <f t="shared" si="4"/>
        <v>0</v>
      </c>
      <c r="G107" s="67">
        <f ca="1">'Monte Carlo Stimulation'!$I$9</f>
        <v>-2.919314405717207E-2</v>
      </c>
      <c r="H107">
        <f t="shared" ca="1" si="5"/>
        <v>0</v>
      </c>
    </row>
    <row r="108" spans="1:8">
      <c r="A108" s="12">
        <v>45959</v>
      </c>
      <c r="B108" s="14">
        <v>5.2944295415894276E-3</v>
      </c>
      <c r="C108" s="67">
        <f>'Parametric VAR'!$F$13</f>
        <v>-2.8682193012943492E-2</v>
      </c>
      <c r="D108">
        <f t="shared" si="3"/>
        <v>0</v>
      </c>
      <c r="E108" s="67">
        <f>'Historical VAR'!$G$7</f>
        <v>-3.1428916759065853E-2</v>
      </c>
      <c r="F108">
        <f t="shared" si="4"/>
        <v>0</v>
      </c>
      <c r="G108" s="67">
        <f ca="1">'Monte Carlo Stimulation'!$I$9</f>
        <v>-2.919314405717207E-2</v>
      </c>
      <c r="H108">
        <f t="shared" ca="1" si="5"/>
        <v>0</v>
      </c>
    </row>
    <row r="109" spans="1:8">
      <c r="A109" s="12">
        <v>45958</v>
      </c>
      <c r="B109" s="14">
        <v>-9.4156888741461896E-3</v>
      </c>
      <c r="C109" s="67">
        <f>'Parametric VAR'!$F$13</f>
        <v>-2.8682193012943492E-2</v>
      </c>
      <c r="D109">
        <f t="shared" si="3"/>
        <v>0</v>
      </c>
      <c r="E109" s="67">
        <f>'Historical VAR'!$G$7</f>
        <v>-3.1428916759065853E-2</v>
      </c>
      <c r="F109">
        <f t="shared" si="4"/>
        <v>0</v>
      </c>
      <c r="G109" s="67">
        <f ca="1">'Monte Carlo Stimulation'!$I$9</f>
        <v>-2.919314405717207E-2</v>
      </c>
      <c r="H109">
        <f t="shared" ca="1" si="5"/>
        <v>0</v>
      </c>
    </row>
    <row r="110" spans="1:8">
      <c r="A110" s="12">
        <v>45957</v>
      </c>
      <c r="B110" s="14">
        <v>1.7356077482039538E-3</v>
      </c>
      <c r="C110" s="67">
        <f>'Parametric VAR'!$F$13</f>
        <v>-2.8682193012943492E-2</v>
      </c>
      <c r="D110">
        <f t="shared" si="3"/>
        <v>0</v>
      </c>
      <c r="E110" s="67">
        <f>'Historical VAR'!$G$7</f>
        <v>-3.1428916759065853E-2</v>
      </c>
      <c r="F110">
        <f t="shared" si="4"/>
        <v>0</v>
      </c>
      <c r="G110" s="67">
        <f ca="1">'Monte Carlo Stimulation'!$I$9</f>
        <v>-2.919314405717207E-2</v>
      </c>
      <c r="H110">
        <f t="shared" ca="1" si="5"/>
        <v>0</v>
      </c>
    </row>
    <row r="111" spans="1:8">
      <c r="A111" s="12">
        <v>45954</v>
      </c>
      <c r="B111" s="14">
        <v>-2.5927380372301415E-3</v>
      </c>
      <c r="C111" s="67">
        <f>'Parametric VAR'!$F$13</f>
        <v>-2.8682193012943492E-2</v>
      </c>
      <c r="D111">
        <f t="shared" si="3"/>
        <v>0</v>
      </c>
      <c r="E111" s="67">
        <f>'Historical VAR'!$G$7</f>
        <v>-3.1428916759065853E-2</v>
      </c>
      <c r="F111">
        <f t="shared" si="4"/>
        <v>0</v>
      </c>
      <c r="G111" s="67">
        <f ca="1">'Monte Carlo Stimulation'!$I$9</f>
        <v>-2.919314405717207E-2</v>
      </c>
      <c r="H111">
        <f t="shared" ca="1" si="5"/>
        <v>0</v>
      </c>
    </row>
    <row r="112" spans="1:8">
      <c r="A112" s="12">
        <v>45953</v>
      </c>
      <c r="B112" s="14">
        <v>3.0115290493909393E-4</v>
      </c>
      <c r="C112" s="67">
        <f>'Parametric VAR'!$F$13</f>
        <v>-2.8682193012943492E-2</v>
      </c>
      <c r="D112">
        <f t="shared" si="3"/>
        <v>0</v>
      </c>
      <c r="E112" s="67">
        <f>'Historical VAR'!$G$7</f>
        <v>-3.1428916759065853E-2</v>
      </c>
      <c r="F112">
        <f t="shared" si="4"/>
        <v>0</v>
      </c>
      <c r="G112" s="67">
        <f ca="1">'Monte Carlo Stimulation'!$I$9</f>
        <v>-2.919314405717207E-2</v>
      </c>
      <c r="H112">
        <f t="shared" ca="1" si="5"/>
        <v>0</v>
      </c>
    </row>
    <row r="113" spans="1:8">
      <c r="A113" s="12">
        <v>45951</v>
      </c>
      <c r="B113" s="14">
        <v>1.0358249991755755E-3</v>
      </c>
      <c r="C113" s="67">
        <f>'Parametric VAR'!$F$13</f>
        <v>-2.8682193012943492E-2</v>
      </c>
      <c r="D113">
        <f t="shared" si="3"/>
        <v>0</v>
      </c>
      <c r="E113" s="67">
        <f>'Historical VAR'!$G$7</f>
        <v>-3.1428916759065853E-2</v>
      </c>
      <c r="F113">
        <f t="shared" si="4"/>
        <v>0</v>
      </c>
      <c r="G113" s="67">
        <f ca="1">'Monte Carlo Stimulation'!$I$9</f>
        <v>-2.919314405717207E-2</v>
      </c>
      <c r="H113">
        <f t="shared" ca="1" si="5"/>
        <v>0</v>
      </c>
    </row>
    <row r="114" spans="1:8">
      <c r="A114" s="12">
        <v>45950</v>
      </c>
      <c r="B114" s="14">
        <v>1.5111211939359305E-3</v>
      </c>
      <c r="C114" s="67">
        <f>'Parametric VAR'!$F$13</f>
        <v>-2.8682193012943492E-2</v>
      </c>
      <c r="D114">
        <f t="shared" si="3"/>
        <v>0</v>
      </c>
      <c r="E114" s="67">
        <f>'Historical VAR'!$G$7</f>
        <v>-3.1428916759065853E-2</v>
      </c>
      <c r="F114">
        <f t="shared" si="4"/>
        <v>0</v>
      </c>
      <c r="G114" s="67">
        <f ca="1">'Monte Carlo Stimulation'!$I$9</f>
        <v>-2.919314405717207E-2</v>
      </c>
      <c r="H114">
        <f t="shared" ca="1" si="5"/>
        <v>0</v>
      </c>
    </row>
    <row r="115" spans="1:8">
      <c r="A115" s="12">
        <v>45947</v>
      </c>
      <c r="B115" s="14">
        <v>-5.5765881609083722E-5</v>
      </c>
      <c r="C115" s="67">
        <f>'Parametric VAR'!$F$13</f>
        <v>-2.8682193012943492E-2</v>
      </c>
      <c r="D115">
        <f t="shared" si="3"/>
        <v>0</v>
      </c>
      <c r="E115" s="67">
        <f>'Historical VAR'!$G$7</f>
        <v>-3.1428916759065853E-2</v>
      </c>
      <c r="F115">
        <f t="shared" si="4"/>
        <v>0</v>
      </c>
      <c r="G115" s="67">
        <f ca="1">'Monte Carlo Stimulation'!$I$9</f>
        <v>-2.919314405717207E-2</v>
      </c>
      <c r="H115">
        <f t="shared" ca="1" si="5"/>
        <v>0</v>
      </c>
    </row>
    <row r="116" spans="1:8">
      <c r="A116" s="12">
        <v>45946</v>
      </c>
      <c r="B116" s="14">
        <v>-3.377460132388075E-2</v>
      </c>
      <c r="C116" s="67">
        <f>'Parametric VAR'!$F$13</f>
        <v>-2.8682193012943492E-2</v>
      </c>
      <c r="D116">
        <f t="shared" si="3"/>
        <v>1</v>
      </c>
      <c r="E116" s="67">
        <f>'Historical VAR'!$G$7</f>
        <v>-3.1428916759065853E-2</v>
      </c>
      <c r="F116">
        <f t="shared" si="4"/>
        <v>1</v>
      </c>
      <c r="G116" s="67">
        <f ca="1">'Monte Carlo Stimulation'!$I$9</f>
        <v>-2.919314405717207E-2</v>
      </c>
      <c r="H116">
        <f t="shared" ca="1" si="5"/>
        <v>1</v>
      </c>
    </row>
    <row r="117" spans="1:8">
      <c r="A117" s="12">
        <v>45945</v>
      </c>
      <c r="B117" s="14">
        <v>-1.2382773521957153E-2</v>
      </c>
      <c r="C117" s="67">
        <f>'Parametric VAR'!$F$13</f>
        <v>-2.8682193012943492E-2</v>
      </c>
      <c r="D117">
        <f t="shared" si="3"/>
        <v>0</v>
      </c>
      <c r="E117" s="67">
        <f>'Historical VAR'!$G$7</f>
        <v>-3.1428916759065853E-2</v>
      </c>
      <c r="F117">
        <f t="shared" si="4"/>
        <v>0</v>
      </c>
      <c r="G117" s="67">
        <f ca="1">'Monte Carlo Stimulation'!$I$9</f>
        <v>-2.919314405717207E-2</v>
      </c>
      <c r="H117">
        <f t="shared" ca="1" si="5"/>
        <v>0</v>
      </c>
    </row>
    <row r="118" spans="1:8">
      <c r="A118" s="12">
        <v>45944</v>
      </c>
      <c r="B118" s="14">
        <v>-1.5178065166141447E-2</v>
      </c>
      <c r="C118" s="67">
        <f>'Parametric VAR'!$F$13</f>
        <v>-2.8682193012943492E-2</v>
      </c>
      <c r="D118">
        <f t="shared" si="3"/>
        <v>0</v>
      </c>
      <c r="E118" s="67">
        <f>'Historical VAR'!$G$7</f>
        <v>-3.1428916759065853E-2</v>
      </c>
      <c r="F118">
        <f t="shared" si="4"/>
        <v>0</v>
      </c>
      <c r="G118" s="67">
        <f ca="1">'Monte Carlo Stimulation'!$I$9</f>
        <v>-2.919314405717207E-2</v>
      </c>
      <c r="H118">
        <f t="shared" ca="1" si="5"/>
        <v>0</v>
      </c>
    </row>
    <row r="119" spans="1:8">
      <c r="A119" s="12">
        <v>45943</v>
      </c>
      <c r="B119" s="14">
        <v>7.3396912174648219E-3</v>
      </c>
      <c r="C119" s="67">
        <f>'Parametric VAR'!$F$13</f>
        <v>-2.8682193012943492E-2</v>
      </c>
      <c r="D119">
        <f t="shared" si="3"/>
        <v>0</v>
      </c>
      <c r="E119" s="67">
        <f>'Historical VAR'!$G$7</f>
        <v>-3.1428916759065853E-2</v>
      </c>
      <c r="F119">
        <f t="shared" si="4"/>
        <v>0</v>
      </c>
      <c r="G119" s="67">
        <f ca="1">'Monte Carlo Stimulation'!$I$9</f>
        <v>-2.919314405717207E-2</v>
      </c>
      <c r="H119">
        <f t="shared" ca="1" si="5"/>
        <v>0</v>
      </c>
    </row>
    <row r="120" spans="1:8">
      <c r="A120" s="12">
        <v>45940</v>
      </c>
      <c r="B120" s="14">
        <v>-1.645221399999467E-5</v>
      </c>
      <c r="C120" s="67">
        <f>'Parametric VAR'!$F$13</f>
        <v>-2.8682193012943492E-2</v>
      </c>
      <c r="D120">
        <f t="shared" si="3"/>
        <v>0</v>
      </c>
      <c r="E120" s="67">
        <f>'Historical VAR'!$G$7</f>
        <v>-3.1428916759065853E-2</v>
      </c>
      <c r="F120">
        <f t="shared" si="4"/>
        <v>0</v>
      </c>
      <c r="G120" s="67">
        <f ca="1">'Monte Carlo Stimulation'!$I$9</f>
        <v>-2.919314405717207E-2</v>
      </c>
      <c r="H120">
        <f t="shared" ca="1" si="5"/>
        <v>0</v>
      </c>
    </row>
    <row r="121" spans="1:8">
      <c r="A121" s="12">
        <v>45939</v>
      </c>
      <c r="B121" s="14">
        <v>-2.642864329617751E-3</v>
      </c>
      <c r="C121" s="67">
        <f>'Parametric VAR'!$F$13</f>
        <v>-2.8682193012943492E-2</v>
      </c>
      <c r="D121">
        <f t="shared" si="3"/>
        <v>0</v>
      </c>
      <c r="E121" s="67">
        <f>'Historical VAR'!$G$7</f>
        <v>-3.1428916759065853E-2</v>
      </c>
      <c r="F121">
        <f t="shared" si="4"/>
        <v>0</v>
      </c>
      <c r="G121" s="67">
        <f ca="1">'Monte Carlo Stimulation'!$I$9</f>
        <v>-2.919314405717207E-2</v>
      </c>
      <c r="H121">
        <f t="shared" ca="1" si="5"/>
        <v>0</v>
      </c>
    </row>
    <row r="122" spans="1:8">
      <c r="A122" s="12">
        <v>45938</v>
      </c>
      <c r="B122" s="14">
        <v>-4.5933419789069285E-3</v>
      </c>
      <c r="C122" s="67">
        <f>'Parametric VAR'!$F$13</f>
        <v>-2.8682193012943492E-2</v>
      </c>
      <c r="D122">
        <f t="shared" si="3"/>
        <v>0</v>
      </c>
      <c r="E122" s="67">
        <f>'Historical VAR'!$G$7</f>
        <v>-3.1428916759065853E-2</v>
      </c>
      <c r="F122">
        <f t="shared" si="4"/>
        <v>0</v>
      </c>
      <c r="G122" s="67">
        <f ca="1">'Monte Carlo Stimulation'!$I$9</f>
        <v>-2.919314405717207E-2</v>
      </c>
      <c r="H122">
        <f t="shared" ca="1" si="5"/>
        <v>0</v>
      </c>
    </row>
    <row r="123" spans="1:8">
      <c r="A123" s="12">
        <v>45937</v>
      </c>
      <c r="B123" s="14">
        <v>1.0987451663069501E-2</v>
      </c>
      <c r="C123" s="67">
        <f>'Parametric VAR'!$F$13</f>
        <v>-2.8682193012943492E-2</v>
      </c>
      <c r="D123">
        <f t="shared" si="3"/>
        <v>0</v>
      </c>
      <c r="E123" s="67">
        <f>'Historical VAR'!$G$7</f>
        <v>-3.1428916759065853E-2</v>
      </c>
      <c r="F123">
        <f t="shared" si="4"/>
        <v>0</v>
      </c>
      <c r="G123" s="67">
        <f ca="1">'Monte Carlo Stimulation'!$I$9</f>
        <v>-2.919314405717207E-2</v>
      </c>
      <c r="H123">
        <f t="shared" ca="1" si="5"/>
        <v>0</v>
      </c>
    </row>
    <row r="124" spans="1:8">
      <c r="A124" s="12">
        <v>45936</v>
      </c>
      <c r="B124" s="14">
        <v>4.9413700036044276E-4</v>
      </c>
      <c r="C124" s="67">
        <f>'Parametric VAR'!$F$13</f>
        <v>-2.8682193012943492E-2</v>
      </c>
      <c r="D124">
        <f t="shared" si="3"/>
        <v>0</v>
      </c>
      <c r="E124" s="67">
        <f>'Historical VAR'!$G$7</f>
        <v>-3.1428916759065853E-2</v>
      </c>
      <c r="F124">
        <f t="shared" si="4"/>
        <v>0</v>
      </c>
      <c r="G124" s="67">
        <f ca="1">'Monte Carlo Stimulation'!$I$9</f>
        <v>-2.919314405717207E-2</v>
      </c>
      <c r="H124">
        <f t="shared" ca="1" si="5"/>
        <v>0</v>
      </c>
    </row>
    <row r="125" spans="1:8">
      <c r="A125" s="12">
        <v>45933</v>
      </c>
      <c r="B125" s="14">
        <v>4.8497727942861295E-3</v>
      </c>
      <c r="C125" s="67">
        <f>'Parametric VAR'!$F$13</f>
        <v>-2.8682193012943492E-2</v>
      </c>
      <c r="D125">
        <f t="shared" si="3"/>
        <v>0</v>
      </c>
      <c r="E125" s="67">
        <f>'Historical VAR'!$G$7</f>
        <v>-3.1428916759065853E-2</v>
      </c>
      <c r="F125">
        <f t="shared" si="4"/>
        <v>0</v>
      </c>
      <c r="G125" s="67">
        <f ca="1">'Monte Carlo Stimulation'!$I$9</f>
        <v>-2.919314405717207E-2</v>
      </c>
      <c r="H125">
        <f t="shared" ca="1" si="5"/>
        <v>0</v>
      </c>
    </row>
    <row r="126" spans="1:8">
      <c r="A126" s="12">
        <v>45931</v>
      </c>
      <c r="B126" s="14">
        <v>-1.2040366082106919E-2</v>
      </c>
      <c r="C126" s="67">
        <f>'Parametric VAR'!$F$13</f>
        <v>-2.8682193012943492E-2</v>
      </c>
      <c r="D126">
        <f t="shared" si="3"/>
        <v>0</v>
      </c>
      <c r="E126" s="67">
        <f>'Historical VAR'!$G$7</f>
        <v>-3.1428916759065853E-2</v>
      </c>
      <c r="F126">
        <f t="shared" si="4"/>
        <v>0</v>
      </c>
      <c r="G126" s="67">
        <f ca="1">'Monte Carlo Stimulation'!$I$9</f>
        <v>-2.919314405717207E-2</v>
      </c>
      <c r="H126">
        <f t="shared" ca="1" si="5"/>
        <v>0</v>
      </c>
    </row>
    <row r="127" spans="1:8">
      <c r="A127" s="12">
        <v>45930</v>
      </c>
      <c r="B127" s="14">
        <v>-1.1242898416884328E-3</v>
      </c>
      <c r="C127" s="67">
        <f>'Parametric VAR'!$F$13</f>
        <v>-2.8682193012943492E-2</v>
      </c>
      <c r="D127">
        <f t="shared" si="3"/>
        <v>0</v>
      </c>
      <c r="E127" s="67">
        <f>'Historical VAR'!$G$7</f>
        <v>-3.1428916759065853E-2</v>
      </c>
      <c r="F127">
        <f t="shared" si="4"/>
        <v>0</v>
      </c>
      <c r="G127" s="67">
        <f ca="1">'Monte Carlo Stimulation'!$I$9</f>
        <v>-2.919314405717207E-2</v>
      </c>
      <c r="H127">
        <f t="shared" ca="1" si="5"/>
        <v>0</v>
      </c>
    </row>
    <row r="128" spans="1:8">
      <c r="A128" s="12">
        <v>45929</v>
      </c>
      <c r="B128" s="14">
        <v>-2.2490104669897399E-3</v>
      </c>
      <c r="C128" s="67">
        <f>'Parametric VAR'!$F$13</f>
        <v>-2.8682193012943492E-2</v>
      </c>
      <c r="D128">
        <f t="shared" si="3"/>
        <v>0</v>
      </c>
      <c r="E128" s="67">
        <f>'Historical VAR'!$G$7</f>
        <v>-3.1428916759065853E-2</v>
      </c>
      <c r="F128">
        <f t="shared" si="4"/>
        <v>0</v>
      </c>
      <c r="G128" s="67">
        <f ca="1">'Monte Carlo Stimulation'!$I$9</f>
        <v>-2.919314405717207E-2</v>
      </c>
      <c r="H128">
        <f t="shared" ca="1" si="5"/>
        <v>0</v>
      </c>
    </row>
    <row r="129" spans="1:8">
      <c r="A129" s="12">
        <v>45926</v>
      </c>
      <c r="B129" s="14">
        <v>2.9918675773571868E-3</v>
      </c>
      <c r="C129" s="67">
        <f>'Parametric VAR'!$F$13</f>
        <v>-2.8682193012943492E-2</v>
      </c>
      <c r="D129">
        <f t="shared" si="3"/>
        <v>0</v>
      </c>
      <c r="E129" s="67">
        <f>'Historical VAR'!$G$7</f>
        <v>-3.1428916759065853E-2</v>
      </c>
      <c r="F129">
        <f t="shared" si="4"/>
        <v>0</v>
      </c>
      <c r="G129" s="67">
        <f ca="1">'Monte Carlo Stimulation'!$I$9</f>
        <v>-2.919314405717207E-2</v>
      </c>
      <c r="H129">
        <f t="shared" ca="1" si="5"/>
        <v>0</v>
      </c>
    </row>
    <row r="130" spans="1:8">
      <c r="A130" s="12">
        <v>45925</v>
      </c>
      <c r="B130" s="14">
        <v>2.2220768382622099E-2</v>
      </c>
      <c r="C130" s="67">
        <f>'Parametric VAR'!$F$13</f>
        <v>-2.8682193012943492E-2</v>
      </c>
      <c r="D130">
        <f t="shared" si="3"/>
        <v>0</v>
      </c>
      <c r="E130" s="67">
        <f>'Historical VAR'!$G$7</f>
        <v>-3.1428916759065853E-2</v>
      </c>
      <c r="F130">
        <f t="shared" si="4"/>
        <v>0</v>
      </c>
      <c r="G130" s="67">
        <f ca="1">'Monte Carlo Stimulation'!$I$9</f>
        <v>-2.919314405717207E-2</v>
      </c>
      <c r="H130">
        <f t="shared" ca="1" si="5"/>
        <v>0</v>
      </c>
    </row>
    <row r="131" spans="1:8">
      <c r="A131" s="12">
        <v>45924</v>
      </c>
      <c r="B131" s="14">
        <v>1.7141176195228251E-2</v>
      </c>
      <c r="C131" s="67">
        <f>'Parametric VAR'!$F$13</f>
        <v>-2.8682193012943492E-2</v>
      </c>
      <c r="D131">
        <f t="shared" si="3"/>
        <v>0</v>
      </c>
      <c r="E131" s="67">
        <f>'Historical VAR'!$G$7</f>
        <v>-3.1428916759065853E-2</v>
      </c>
      <c r="F131">
        <f t="shared" si="4"/>
        <v>0</v>
      </c>
      <c r="G131" s="67">
        <f ca="1">'Monte Carlo Stimulation'!$I$9</f>
        <v>-2.919314405717207E-2</v>
      </c>
      <c r="H131">
        <f t="shared" ca="1" si="5"/>
        <v>0</v>
      </c>
    </row>
    <row r="132" spans="1:8">
      <c r="A132" s="12">
        <v>45923</v>
      </c>
      <c r="B132" s="14">
        <v>-3.8769259700780711E-3</v>
      </c>
      <c r="C132" s="67">
        <f>'Parametric VAR'!$F$13</f>
        <v>-2.8682193012943492E-2</v>
      </c>
      <c r="D132">
        <f t="shared" si="3"/>
        <v>0</v>
      </c>
      <c r="E132" s="67">
        <f>'Historical VAR'!$G$7</f>
        <v>-3.1428916759065853E-2</v>
      </c>
      <c r="F132">
        <f t="shared" si="4"/>
        <v>0</v>
      </c>
      <c r="G132" s="67">
        <f ca="1">'Monte Carlo Stimulation'!$I$9</f>
        <v>-2.919314405717207E-2</v>
      </c>
      <c r="H132">
        <f t="shared" ca="1" si="5"/>
        <v>0</v>
      </c>
    </row>
    <row r="133" spans="1:8">
      <c r="A133" s="12">
        <v>45922</v>
      </c>
      <c r="B133" s="14">
        <v>1.0981879813734944E-2</v>
      </c>
      <c r="C133" s="67">
        <f>'Parametric VAR'!$F$13</f>
        <v>-2.8682193012943492E-2</v>
      </c>
      <c r="D133">
        <f t="shared" ref="D133:D196" si="6">IF(B133&lt;C133,1,0)</f>
        <v>0</v>
      </c>
      <c r="E133" s="67">
        <f>'Historical VAR'!$G$7</f>
        <v>-3.1428916759065853E-2</v>
      </c>
      <c r="F133">
        <f t="shared" ref="F133:F196" si="7">IF(B133&lt;E133,1,0)</f>
        <v>0</v>
      </c>
      <c r="G133" s="67">
        <f ca="1">'Monte Carlo Stimulation'!$I$9</f>
        <v>-2.919314405717207E-2</v>
      </c>
      <c r="H133">
        <f t="shared" ref="H133:H196" ca="1" si="8">IF(B133&lt;G133,1,0)</f>
        <v>0</v>
      </c>
    </row>
    <row r="134" spans="1:8">
      <c r="A134" s="12">
        <v>45919</v>
      </c>
      <c r="B134" s="14">
        <v>-2.0263166983155209E-4</v>
      </c>
      <c r="C134" s="67">
        <f>'Parametric VAR'!$F$13</f>
        <v>-2.8682193012943492E-2</v>
      </c>
      <c r="D134">
        <f t="shared" si="6"/>
        <v>0</v>
      </c>
      <c r="E134" s="67">
        <f>'Historical VAR'!$G$7</f>
        <v>-3.1428916759065853E-2</v>
      </c>
      <c r="F134">
        <f t="shared" si="7"/>
        <v>0</v>
      </c>
      <c r="G134" s="67">
        <f ca="1">'Monte Carlo Stimulation'!$I$9</f>
        <v>-2.919314405717207E-2</v>
      </c>
      <c r="H134">
        <f t="shared" ca="1" si="8"/>
        <v>0</v>
      </c>
    </row>
    <row r="135" spans="1:8">
      <c r="A135" s="12">
        <v>45918</v>
      </c>
      <c r="B135" s="14">
        <v>8.9623526494341335E-4</v>
      </c>
      <c r="C135" s="67">
        <f>'Parametric VAR'!$F$13</f>
        <v>-2.8682193012943492E-2</v>
      </c>
      <c r="D135">
        <f t="shared" si="6"/>
        <v>0</v>
      </c>
      <c r="E135" s="67">
        <f>'Historical VAR'!$G$7</f>
        <v>-3.1428916759065853E-2</v>
      </c>
      <c r="F135">
        <f t="shared" si="7"/>
        <v>0</v>
      </c>
      <c r="G135" s="67">
        <f ca="1">'Monte Carlo Stimulation'!$I$9</f>
        <v>-2.919314405717207E-2</v>
      </c>
      <c r="H135">
        <f t="shared" ca="1" si="8"/>
        <v>0</v>
      </c>
    </row>
    <row r="136" spans="1:8">
      <c r="A136" s="12">
        <v>45917</v>
      </c>
      <c r="B136" s="14">
        <v>2.7640375798272205E-3</v>
      </c>
      <c r="C136" s="67">
        <f>'Parametric VAR'!$F$13</f>
        <v>-2.8682193012943492E-2</v>
      </c>
      <c r="D136">
        <f t="shared" si="6"/>
        <v>0</v>
      </c>
      <c r="E136" s="67">
        <f>'Historical VAR'!$G$7</f>
        <v>-3.1428916759065853E-2</v>
      </c>
      <c r="F136">
        <f t="shared" si="7"/>
        <v>0</v>
      </c>
      <c r="G136" s="67">
        <f ca="1">'Monte Carlo Stimulation'!$I$9</f>
        <v>-2.919314405717207E-2</v>
      </c>
      <c r="H136">
        <f t="shared" ca="1" si="8"/>
        <v>0</v>
      </c>
    </row>
    <row r="137" spans="1:8">
      <c r="A137" s="12">
        <v>45916</v>
      </c>
      <c r="B137" s="14">
        <v>-3.6869396941039407E-3</v>
      </c>
      <c r="C137" s="67">
        <f>'Parametric VAR'!$F$13</f>
        <v>-2.8682193012943492E-2</v>
      </c>
      <c r="D137">
        <f t="shared" si="6"/>
        <v>0</v>
      </c>
      <c r="E137" s="67">
        <f>'Historical VAR'!$G$7</f>
        <v>-3.1428916759065853E-2</v>
      </c>
      <c r="F137">
        <f t="shared" si="7"/>
        <v>0</v>
      </c>
      <c r="G137" s="67">
        <f ca="1">'Monte Carlo Stimulation'!$I$9</f>
        <v>-2.919314405717207E-2</v>
      </c>
      <c r="H137">
        <f t="shared" ca="1" si="8"/>
        <v>0</v>
      </c>
    </row>
    <row r="138" spans="1:8">
      <c r="A138" s="12">
        <v>45915</v>
      </c>
      <c r="B138" s="14">
        <v>8.7856796895925352E-3</v>
      </c>
      <c r="C138" s="67">
        <f>'Parametric VAR'!$F$13</f>
        <v>-2.8682193012943492E-2</v>
      </c>
      <c r="D138">
        <f t="shared" si="6"/>
        <v>0</v>
      </c>
      <c r="E138" s="67">
        <f>'Historical VAR'!$G$7</f>
        <v>-3.1428916759065853E-2</v>
      </c>
      <c r="F138">
        <f t="shared" si="7"/>
        <v>0</v>
      </c>
      <c r="G138" s="67">
        <f ca="1">'Monte Carlo Stimulation'!$I$9</f>
        <v>-2.919314405717207E-2</v>
      </c>
      <c r="H138">
        <f t="shared" ca="1" si="8"/>
        <v>0</v>
      </c>
    </row>
    <row r="139" spans="1:8">
      <c r="A139" s="12">
        <v>45912</v>
      </c>
      <c r="B139" s="14">
        <v>1.0688764568013511E-2</v>
      </c>
      <c r="C139" s="67">
        <f>'Parametric VAR'!$F$13</f>
        <v>-2.8682193012943492E-2</v>
      </c>
      <c r="D139">
        <f t="shared" si="6"/>
        <v>0</v>
      </c>
      <c r="E139" s="67">
        <f>'Historical VAR'!$G$7</f>
        <v>-3.1428916759065853E-2</v>
      </c>
      <c r="F139">
        <f t="shared" si="7"/>
        <v>0</v>
      </c>
      <c r="G139" s="67">
        <f ca="1">'Monte Carlo Stimulation'!$I$9</f>
        <v>-2.919314405717207E-2</v>
      </c>
      <c r="H139">
        <f t="shared" ca="1" si="8"/>
        <v>0</v>
      </c>
    </row>
    <row r="140" spans="1:8">
      <c r="A140" s="12">
        <v>45911</v>
      </c>
      <c r="B140" s="14">
        <v>6.0468076550979867E-3</v>
      </c>
      <c r="C140" s="67">
        <f>'Parametric VAR'!$F$13</f>
        <v>-2.8682193012943492E-2</v>
      </c>
      <c r="D140">
        <f t="shared" si="6"/>
        <v>0</v>
      </c>
      <c r="E140" s="67">
        <f>'Historical VAR'!$G$7</f>
        <v>-3.1428916759065853E-2</v>
      </c>
      <c r="F140">
        <f t="shared" si="7"/>
        <v>0</v>
      </c>
      <c r="G140" s="67">
        <f ca="1">'Monte Carlo Stimulation'!$I$9</f>
        <v>-2.919314405717207E-2</v>
      </c>
      <c r="H140">
        <f t="shared" ca="1" si="8"/>
        <v>0</v>
      </c>
    </row>
    <row r="141" spans="1:8">
      <c r="A141" s="12">
        <v>45910</v>
      </c>
      <c r="B141" s="14">
        <v>-8.5677043541455729E-3</v>
      </c>
      <c r="C141" s="67">
        <f>'Parametric VAR'!$F$13</f>
        <v>-2.8682193012943492E-2</v>
      </c>
      <c r="D141">
        <f t="shared" si="6"/>
        <v>0</v>
      </c>
      <c r="E141" s="67">
        <f>'Historical VAR'!$G$7</f>
        <v>-3.1428916759065853E-2</v>
      </c>
      <c r="F141">
        <f t="shared" si="7"/>
        <v>0</v>
      </c>
      <c r="G141" s="67">
        <f ca="1">'Monte Carlo Stimulation'!$I$9</f>
        <v>-2.919314405717207E-2</v>
      </c>
      <c r="H141">
        <f t="shared" ca="1" si="8"/>
        <v>0</v>
      </c>
    </row>
    <row r="142" spans="1:8">
      <c r="A142" s="12">
        <v>45909</v>
      </c>
      <c r="B142" s="14">
        <v>-2.4686973660766956E-3</v>
      </c>
      <c r="C142" s="67">
        <f>'Parametric VAR'!$F$13</f>
        <v>-2.8682193012943492E-2</v>
      </c>
      <c r="D142">
        <f t="shared" si="6"/>
        <v>0</v>
      </c>
      <c r="E142" s="67">
        <f>'Historical VAR'!$G$7</f>
        <v>-3.1428916759065853E-2</v>
      </c>
      <c r="F142">
        <f t="shared" si="7"/>
        <v>0</v>
      </c>
      <c r="G142" s="67">
        <f ca="1">'Monte Carlo Stimulation'!$I$9</f>
        <v>-2.919314405717207E-2</v>
      </c>
      <c r="H142">
        <f t="shared" ca="1" si="8"/>
        <v>0</v>
      </c>
    </row>
    <row r="143" spans="1:8">
      <c r="A143" s="12">
        <v>45908</v>
      </c>
      <c r="B143" s="14">
        <v>5.2541434367109731E-4</v>
      </c>
      <c r="C143" s="67">
        <f>'Parametric VAR'!$F$13</f>
        <v>-2.8682193012943492E-2</v>
      </c>
      <c r="D143">
        <f t="shared" si="6"/>
        <v>0</v>
      </c>
      <c r="E143" s="67">
        <f>'Historical VAR'!$G$7</f>
        <v>-3.1428916759065853E-2</v>
      </c>
      <c r="F143">
        <f t="shared" si="7"/>
        <v>0</v>
      </c>
      <c r="G143" s="67">
        <f ca="1">'Monte Carlo Stimulation'!$I$9</f>
        <v>-2.919314405717207E-2</v>
      </c>
      <c r="H143">
        <f t="shared" ca="1" si="8"/>
        <v>0</v>
      </c>
    </row>
    <row r="144" spans="1:8">
      <c r="A144" s="12">
        <v>45905</v>
      </c>
      <c r="B144" s="14">
        <v>1.2913227743126728E-2</v>
      </c>
      <c r="C144" s="67">
        <f>'Parametric VAR'!$F$13</f>
        <v>-2.8682193012943492E-2</v>
      </c>
      <c r="D144">
        <f t="shared" si="6"/>
        <v>0</v>
      </c>
      <c r="E144" s="67">
        <f>'Historical VAR'!$G$7</f>
        <v>-3.1428916759065853E-2</v>
      </c>
      <c r="F144">
        <f t="shared" si="7"/>
        <v>0</v>
      </c>
      <c r="G144" s="67">
        <f ca="1">'Monte Carlo Stimulation'!$I$9</f>
        <v>-2.919314405717207E-2</v>
      </c>
      <c r="H144">
        <f t="shared" ca="1" si="8"/>
        <v>0</v>
      </c>
    </row>
    <row r="145" spans="1:8">
      <c r="A145" s="12">
        <v>45904</v>
      </c>
      <c r="B145" s="14">
        <v>-1.8109949607567752E-3</v>
      </c>
      <c r="C145" s="67">
        <f>'Parametric VAR'!$F$13</f>
        <v>-2.8682193012943492E-2</v>
      </c>
      <c r="D145">
        <f t="shared" si="6"/>
        <v>0</v>
      </c>
      <c r="E145" s="67">
        <f>'Historical VAR'!$G$7</f>
        <v>-3.1428916759065853E-2</v>
      </c>
      <c r="F145">
        <f t="shared" si="7"/>
        <v>0</v>
      </c>
      <c r="G145" s="67">
        <f ca="1">'Monte Carlo Stimulation'!$I$9</f>
        <v>-2.919314405717207E-2</v>
      </c>
      <c r="H145">
        <f t="shared" ca="1" si="8"/>
        <v>0</v>
      </c>
    </row>
    <row r="146" spans="1:8">
      <c r="A146" s="12">
        <v>45903</v>
      </c>
      <c r="B146" s="14">
        <v>-4.0055783051423472E-3</v>
      </c>
      <c r="C146" s="67">
        <f>'Parametric VAR'!$F$13</f>
        <v>-2.8682193012943492E-2</v>
      </c>
      <c r="D146">
        <f t="shared" si="6"/>
        <v>0</v>
      </c>
      <c r="E146" s="67">
        <f>'Historical VAR'!$G$7</f>
        <v>-3.1428916759065853E-2</v>
      </c>
      <c r="F146">
        <f t="shared" si="7"/>
        <v>0</v>
      </c>
      <c r="G146" s="67">
        <f ca="1">'Monte Carlo Stimulation'!$I$9</f>
        <v>-2.919314405717207E-2</v>
      </c>
      <c r="H146">
        <f t="shared" ca="1" si="8"/>
        <v>0</v>
      </c>
    </row>
    <row r="147" spans="1:8">
      <c r="A147" s="12">
        <v>45902</v>
      </c>
      <c r="B147" s="14">
        <v>-3.6565590137033182E-3</v>
      </c>
      <c r="C147" s="67">
        <f>'Parametric VAR'!$F$13</f>
        <v>-2.8682193012943492E-2</v>
      </c>
      <c r="D147">
        <f t="shared" si="6"/>
        <v>0</v>
      </c>
      <c r="E147" s="67">
        <f>'Historical VAR'!$G$7</f>
        <v>-3.1428916759065853E-2</v>
      </c>
      <c r="F147">
        <f t="shared" si="7"/>
        <v>0</v>
      </c>
      <c r="G147" s="67">
        <f ca="1">'Monte Carlo Stimulation'!$I$9</f>
        <v>-2.919314405717207E-2</v>
      </c>
      <c r="H147">
        <f t="shared" ca="1" si="8"/>
        <v>0</v>
      </c>
    </row>
    <row r="148" spans="1:8">
      <c r="A148" s="12">
        <v>45901</v>
      </c>
      <c r="B148" s="14">
        <v>8.9082836783010346E-3</v>
      </c>
      <c r="C148" s="67">
        <f>'Parametric VAR'!$F$13</f>
        <v>-2.8682193012943492E-2</v>
      </c>
      <c r="D148">
        <f t="shared" si="6"/>
        <v>0</v>
      </c>
      <c r="E148" s="67">
        <f>'Historical VAR'!$G$7</f>
        <v>-3.1428916759065853E-2</v>
      </c>
      <c r="F148">
        <f t="shared" si="7"/>
        <v>0</v>
      </c>
      <c r="G148" s="67">
        <f ca="1">'Monte Carlo Stimulation'!$I$9</f>
        <v>-2.919314405717207E-2</v>
      </c>
      <c r="H148">
        <f t="shared" ca="1" si="8"/>
        <v>0</v>
      </c>
    </row>
    <row r="149" spans="1:8">
      <c r="A149" s="12">
        <v>45898</v>
      </c>
      <c r="B149" s="14">
        <v>-1.9202304986420955E-2</v>
      </c>
      <c r="C149" s="67">
        <f>'Parametric VAR'!$F$13</f>
        <v>-2.8682193012943492E-2</v>
      </c>
      <c r="D149">
        <f t="shared" si="6"/>
        <v>0</v>
      </c>
      <c r="E149" s="67">
        <f>'Historical VAR'!$G$7</f>
        <v>-3.1428916759065853E-2</v>
      </c>
      <c r="F149">
        <f t="shared" si="7"/>
        <v>0</v>
      </c>
      <c r="G149" s="67">
        <f ca="1">'Monte Carlo Stimulation'!$I$9</f>
        <v>-2.919314405717207E-2</v>
      </c>
      <c r="H149">
        <f t="shared" ca="1" si="8"/>
        <v>0</v>
      </c>
    </row>
    <row r="150" spans="1:8">
      <c r="A150" s="12">
        <v>45897</v>
      </c>
      <c r="B150" s="14">
        <v>-9.7487248271749764E-3</v>
      </c>
      <c r="C150" s="67">
        <f>'Parametric VAR'!$F$13</f>
        <v>-2.8682193012943492E-2</v>
      </c>
      <c r="D150">
        <f t="shared" si="6"/>
        <v>0</v>
      </c>
      <c r="E150" s="67">
        <f>'Historical VAR'!$G$7</f>
        <v>-3.1428916759065853E-2</v>
      </c>
      <c r="F150">
        <f t="shared" si="7"/>
        <v>0</v>
      </c>
      <c r="G150" s="67">
        <f ca="1">'Monte Carlo Stimulation'!$I$9</f>
        <v>-2.919314405717207E-2</v>
      </c>
      <c r="H150">
        <f t="shared" ca="1" si="8"/>
        <v>0</v>
      </c>
    </row>
    <row r="151" spans="1:8">
      <c r="A151" s="12">
        <v>45895</v>
      </c>
      <c r="B151" s="14">
        <v>-4.4371648666115728E-3</v>
      </c>
      <c r="C151" s="67">
        <f>'Parametric VAR'!$F$13</f>
        <v>-2.8682193012943492E-2</v>
      </c>
      <c r="D151">
        <f t="shared" si="6"/>
        <v>0</v>
      </c>
      <c r="E151" s="67">
        <f>'Historical VAR'!$G$7</f>
        <v>-3.1428916759065853E-2</v>
      </c>
      <c r="F151">
        <f t="shared" si="7"/>
        <v>0</v>
      </c>
      <c r="G151" s="67">
        <f ca="1">'Monte Carlo Stimulation'!$I$9</f>
        <v>-2.919314405717207E-2</v>
      </c>
      <c r="H151">
        <f t="shared" ca="1" si="8"/>
        <v>0</v>
      </c>
    </row>
    <row r="152" spans="1:8">
      <c r="A152" s="12">
        <v>45894</v>
      </c>
      <c r="B152" s="14">
        <v>6.5885524293078238E-3</v>
      </c>
      <c r="C152" s="67">
        <f>'Parametric VAR'!$F$13</f>
        <v>-2.8682193012943492E-2</v>
      </c>
      <c r="D152">
        <f t="shared" si="6"/>
        <v>0</v>
      </c>
      <c r="E152" s="67">
        <f>'Historical VAR'!$G$7</f>
        <v>-3.1428916759065853E-2</v>
      </c>
      <c r="F152">
        <f t="shared" si="7"/>
        <v>0</v>
      </c>
      <c r="G152" s="67">
        <f ca="1">'Monte Carlo Stimulation'!$I$9</f>
        <v>-2.919314405717207E-2</v>
      </c>
      <c r="H152">
        <f t="shared" ca="1" si="8"/>
        <v>0</v>
      </c>
    </row>
    <row r="153" spans="1:8">
      <c r="A153" s="12">
        <v>45891</v>
      </c>
      <c r="B153" s="14">
        <v>3.202009818131627E-4</v>
      </c>
      <c r="C153" s="67">
        <f>'Parametric VAR'!$F$13</f>
        <v>-2.8682193012943492E-2</v>
      </c>
      <c r="D153">
        <f t="shared" si="6"/>
        <v>0</v>
      </c>
      <c r="E153" s="67">
        <f>'Historical VAR'!$G$7</f>
        <v>-3.1428916759065853E-2</v>
      </c>
      <c r="F153">
        <f t="shared" si="7"/>
        <v>0</v>
      </c>
      <c r="G153" s="67">
        <f ca="1">'Monte Carlo Stimulation'!$I$9</f>
        <v>-2.919314405717207E-2</v>
      </c>
      <c r="H153">
        <f t="shared" ca="1" si="8"/>
        <v>0</v>
      </c>
    </row>
    <row r="154" spans="1:8">
      <c r="A154" s="12">
        <v>45890</v>
      </c>
      <c r="B154" s="14">
        <v>1.9644592790807568E-2</v>
      </c>
      <c r="C154" s="67">
        <f>'Parametric VAR'!$F$13</f>
        <v>-2.8682193012943492E-2</v>
      </c>
      <c r="D154">
        <f t="shared" si="6"/>
        <v>0</v>
      </c>
      <c r="E154" s="67">
        <f>'Historical VAR'!$G$7</f>
        <v>-3.1428916759065853E-2</v>
      </c>
      <c r="F154">
        <f t="shared" si="7"/>
        <v>0</v>
      </c>
      <c r="G154" s="67">
        <f ca="1">'Monte Carlo Stimulation'!$I$9</f>
        <v>-2.919314405717207E-2</v>
      </c>
      <c r="H154">
        <f t="shared" ca="1" si="8"/>
        <v>0</v>
      </c>
    </row>
    <row r="155" spans="1:8">
      <c r="A155" s="12">
        <v>45889</v>
      </c>
      <c r="B155" s="14">
        <v>6.0236195380429618E-3</v>
      </c>
      <c r="C155" s="67">
        <f>'Parametric VAR'!$F$13</f>
        <v>-2.8682193012943492E-2</v>
      </c>
      <c r="D155">
        <f t="shared" si="6"/>
        <v>0</v>
      </c>
      <c r="E155" s="67">
        <f>'Historical VAR'!$G$7</f>
        <v>-3.1428916759065853E-2</v>
      </c>
      <c r="F155">
        <f t="shared" si="7"/>
        <v>0</v>
      </c>
      <c r="G155" s="67">
        <f ca="1">'Monte Carlo Stimulation'!$I$9</f>
        <v>-2.919314405717207E-2</v>
      </c>
      <c r="H155">
        <f t="shared" ca="1" si="8"/>
        <v>0</v>
      </c>
    </row>
    <row r="156" spans="1:8">
      <c r="A156" s="12">
        <v>45888</v>
      </c>
      <c r="B156" s="14">
        <v>4.3282712000444427E-3</v>
      </c>
      <c r="C156" s="67">
        <f>'Parametric VAR'!$F$13</f>
        <v>-2.8682193012943492E-2</v>
      </c>
      <c r="D156">
        <f t="shared" si="6"/>
        <v>0</v>
      </c>
      <c r="E156" s="67">
        <f>'Historical VAR'!$G$7</f>
        <v>-3.1428916759065853E-2</v>
      </c>
      <c r="F156">
        <f t="shared" si="7"/>
        <v>0</v>
      </c>
      <c r="G156" s="67">
        <f ca="1">'Monte Carlo Stimulation'!$I$9</f>
        <v>-2.919314405717207E-2</v>
      </c>
      <c r="H156">
        <f t="shared" ca="1" si="8"/>
        <v>0</v>
      </c>
    </row>
    <row r="157" spans="1:8">
      <c r="A157" s="12">
        <v>45887</v>
      </c>
      <c r="B157" s="14">
        <v>2.6639853517091755E-3</v>
      </c>
      <c r="C157" s="67">
        <f>'Parametric VAR'!$F$13</f>
        <v>-2.8682193012943492E-2</v>
      </c>
      <c r="D157">
        <f t="shared" si="6"/>
        <v>0</v>
      </c>
      <c r="E157" s="67">
        <f>'Historical VAR'!$G$7</f>
        <v>-3.1428916759065853E-2</v>
      </c>
      <c r="F157">
        <f t="shared" si="7"/>
        <v>0</v>
      </c>
      <c r="G157" s="67">
        <f ca="1">'Monte Carlo Stimulation'!$I$9</f>
        <v>-2.919314405717207E-2</v>
      </c>
      <c r="H157">
        <f t="shared" ca="1" si="8"/>
        <v>0</v>
      </c>
    </row>
    <row r="158" spans="1:8">
      <c r="A158" s="12">
        <v>45883</v>
      </c>
      <c r="B158" s="14">
        <v>-2.309896275689427E-2</v>
      </c>
      <c r="C158" s="67">
        <f>'Parametric VAR'!$F$13</f>
        <v>-2.8682193012943492E-2</v>
      </c>
      <c r="D158">
        <f t="shared" si="6"/>
        <v>0</v>
      </c>
      <c r="E158" s="67">
        <f>'Historical VAR'!$G$7</f>
        <v>-3.1428916759065853E-2</v>
      </c>
      <c r="F158">
        <f t="shared" si="7"/>
        <v>0</v>
      </c>
      <c r="G158" s="67">
        <f ca="1">'Monte Carlo Stimulation'!$I$9</f>
        <v>-2.919314405717207E-2</v>
      </c>
      <c r="H158">
        <f t="shared" ca="1" si="8"/>
        <v>0</v>
      </c>
    </row>
    <row r="159" spans="1:8">
      <c r="A159" s="12">
        <v>45882</v>
      </c>
      <c r="B159" s="14">
        <v>-6.548063713592068E-3</v>
      </c>
      <c r="C159" s="67">
        <f>'Parametric VAR'!$F$13</f>
        <v>-2.8682193012943492E-2</v>
      </c>
      <c r="D159">
        <f t="shared" si="6"/>
        <v>0</v>
      </c>
      <c r="E159" s="67">
        <f>'Historical VAR'!$G$7</f>
        <v>-3.1428916759065853E-2</v>
      </c>
      <c r="F159">
        <f t="shared" si="7"/>
        <v>0</v>
      </c>
      <c r="G159" s="67">
        <f ca="1">'Monte Carlo Stimulation'!$I$9</f>
        <v>-2.919314405717207E-2</v>
      </c>
      <c r="H159">
        <f t="shared" ca="1" si="8"/>
        <v>0</v>
      </c>
    </row>
    <row r="160" spans="1:8">
      <c r="A160" s="12">
        <v>45881</v>
      </c>
      <c r="B160" s="14">
        <v>-5.9748880760874101E-3</v>
      </c>
      <c r="C160" s="67">
        <f>'Parametric VAR'!$F$13</f>
        <v>-2.8682193012943492E-2</v>
      </c>
      <c r="D160">
        <f t="shared" si="6"/>
        <v>0</v>
      </c>
      <c r="E160" s="67">
        <f>'Historical VAR'!$G$7</f>
        <v>-3.1428916759065853E-2</v>
      </c>
      <c r="F160">
        <f t="shared" si="7"/>
        <v>0</v>
      </c>
      <c r="G160" s="67">
        <f ca="1">'Monte Carlo Stimulation'!$I$9</f>
        <v>-2.919314405717207E-2</v>
      </c>
      <c r="H160">
        <f t="shared" ca="1" si="8"/>
        <v>0</v>
      </c>
    </row>
    <row r="161" spans="1:8">
      <c r="A161" s="12">
        <v>45880</v>
      </c>
      <c r="B161" s="14">
        <v>5.1992204438754989E-3</v>
      </c>
      <c r="C161" s="67">
        <f>'Parametric VAR'!$F$13</f>
        <v>-2.8682193012943492E-2</v>
      </c>
      <c r="D161">
        <f t="shared" si="6"/>
        <v>0</v>
      </c>
      <c r="E161" s="67">
        <f>'Historical VAR'!$G$7</f>
        <v>-3.1428916759065853E-2</v>
      </c>
      <c r="F161">
        <f t="shared" si="7"/>
        <v>0</v>
      </c>
      <c r="G161" s="67">
        <f ca="1">'Monte Carlo Stimulation'!$I$9</f>
        <v>-2.919314405717207E-2</v>
      </c>
      <c r="H161">
        <f t="shared" ca="1" si="8"/>
        <v>0</v>
      </c>
    </row>
    <row r="162" spans="1:8">
      <c r="A162" s="12">
        <v>45877</v>
      </c>
      <c r="B162" s="14">
        <v>-1.5820996514114497E-3</v>
      </c>
      <c r="C162" s="67">
        <f>'Parametric VAR'!$F$13</f>
        <v>-2.8682193012943492E-2</v>
      </c>
      <c r="D162">
        <f t="shared" si="6"/>
        <v>0</v>
      </c>
      <c r="E162" s="67">
        <f>'Historical VAR'!$G$7</f>
        <v>-3.1428916759065853E-2</v>
      </c>
      <c r="F162">
        <f t="shared" si="7"/>
        <v>0</v>
      </c>
      <c r="G162" s="67">
        <f ca="1">'Monte Carlo Stimulation'!$I$9</f>
        <v>-2.919314405717207E-2</v>
      </c>
      <c r="H162">
        <f t="shared" ca="1" si="8"/>
        <v>0</v>
      </c>
    </row>
    <row r="163" spans="1:8">
      <c r="A163" s="12">
        <v>45876</v>
      </c>
      <c r="B163" s="14">
        <v>7.5823715822295953E-3</v>
      </c>
      <c r="C163" s="67">
        <f>'Parametric VAR'!$F$13</f>
        <v>-2.8682193012943492E-2</v>
      </c>
      <c r="D163">
        <f t="shared" si="6"/>
        <v>0</v>
      </c>
      <c r="E163" s="67">
        <f>'Historical VAR'!$G$7</f>
        <v>-3.1428916759065853E-2</v>
      </c>
      <c r="F163">
        <f t="shared" si="7"/>
        <v>0</v>
      </c>
      <c r="G163" s="67">
        <f ca="1">'Monte Carlo Stimulation'!$I$9</f>
        <v>-2.919314405717207E-2</v>
      </c>
      <c r="H163">
        <f t="shared" ca="1" si="8"/>
        <v>0</v>
      </c>
    </row>
    <row r="164" spans="1:8">
      <c r="A164" s="12">
        <v>45875</v>
      </c>
      <c r="B164" s="14">
        <v>2.794814306587633E-3</v>
      </c>
      <c r="C164" s="67">
        <f>'Parametric VAR'!$F$13</f>
        <v>-2.8682193012943492E-2</v>
      </c>
      <c r="D164">
        <f t="shared" si="6"/>
        <v>0</v>
      </c>
      <c r="E164" s="67">
        <f>'Historical VAR'!$G$7</f>
        <v>-3.1428916759065853E-2</v>
      </c>
      <c r="F164">
        <f t="shared" si="7"/>
        <v>0</v>
      </c>
      <c r="G164" s="67">
        <f ca="1">'Monte Carlo Stimulation'!$I$9</f>
        <v>-2.919314405717207E-2</v>
      </c>
      <c r="H164">
        <f t="shared" ca="1" si="8"/>
        <v>0</v>
      </c>
    </row>
    <row r="165" spans="1:8">
      <c r="A165" s="12">
        <v>45874</v>
      </c>
      <c r="B165" s="14">
        <v>-1.2373095941327836E-2</v>
      </c>
      <c r="C165" s="67">
        <f>'Parametric VAR'!$F$13</f>
        <v>-2.8682193012943492E-2</v>
      </c>
      <c r="D165">
        <f t="shared" si="6"/>
        <v>0</v>
      </c>
      <c r="E165" s="67">
        <f>'Historical VAR'!$G$7</f>
        <v>-3.1428916759065853E-2</v>
      </c>
      <c r="F165">
        <f t="shared" si="7"/>
        <v>0</v>
      </c>
      <c r="G165" s="67">
        <f ca="1">'Monte Carlo Stimulation'!$I$9</f>
        <v>-2.919314405717207E-2</v>
      </c>
      <c r="H165">
        <f t="shared" ca="1" si="8"/>
        <v>0</v>
      </c>
    </row>
    <row r="166" spans="1:8">
      <c r="A166" s="12">
        <v>45873</v>
      </c>
      <c r="B166" s="14">
        <v>3.7890491989729133E-3</v>
      </c>
      <c r="C166" s="67">
        <f>'Parametric VAR'!$F$13</f>
        <v>-2.8682193012943492E-2</v>
      </c>
      <c r="D166">
        <f t="shared" si="6"/>
        <v>0</v>
      </c>
      <c r="E166" s="67">
        <f>'Historical VAR'!$G$7</f>
        <v>-3.1428916759065853E-2</v>
      </c>
      <c r="F166">
        <f t="shared" si="7"/>
        <v>0</v>
      </c>
      <c r="G166" s="67">
        <f ca="1">'Monte Carlo Stimulation'!$I$9</f>
        <v>-2.919314405717207E-2</v>
      </c>
      <c r="H166">
        <f t="shared" ca="1" si="8"/>
        <v>0</v>
      </c>
    </row>
    <row r="167" spans="1:8">
      <c r="A167" s="12">
        <v>45870</v>
      </c>
      <c r="B167" s="14">
        <v>-4.2626890295909626E-3</v>
      </c>
      <c r="C167" s="67">
        <f>'Parametric VAR'!$F$13</f>
        <v>-2.8682193012943492E-2</v>
      </c>
      <c r="D167">
        <f t="shared" si="6"/>
        <v>0</v>
      </c>
      <c r="E167" s="67">
        <f>'Historical VAR'!$G$7</f>
        <v>-3.1428916759065853E-2</v>
      </c>
      <c r="F167">
        <f t="shared" si="7"/>
        <v>0</v>
      </c>
      <c r="G167" s="67">
        <f ca="1">'Monte Carlo Stimulation'!$I$9</f>
        <v>-2.919314405717207E-2</v>
      </c>
      <c r="H167">
        <f t="shared" ca="1" si="8"/>
        <v>0</v>
      </c>
    </row>
    <row r="168" spans="1:8">
      <c r="A168" s="12">
        <v>45869</v>
      </c>
      <c r="B168" s="14">
        <v>-1.0218391488276121E-2</v>
      </c>
      <c r="C168" s="67">
        <f>'Parametric VAR'!$F$13</f>
        <v>-2.8682193012943492E-2</v>
      </c>
      <c r="D168">
        <f t="shared" si="6"/>
        <v>0</v>
      </c>
      <c r="E168" s="67">
        <f>'Historical VAR'!$G$7</f>
        <v>-3.1428916759065853E-2</v>
      </c>
      <c r="F168">
        <f t="shared" si="7"/>
        <v>0</v>
      </c>
      <c r="G168" s="67">
        <f ca="1">'Monte Carlo Stimulation'!$I$9</f>
        <v>-2.919314405717207E-2</v>
      </c>
      <c r="H168">
        <f t="shared" ca="1" si="8"/>
        <v>0</v>
      </c>
    </row>
    <row r="169" spans="1:8">
      <c r="A169" s="12">
        <v>45868</v>
      </c>
      <c r="B169" s="14">
        <v>9.456827892683449E-3</v>
      </c>
      <c r="C169" s="67">
        <f>'Parametric VAR'!$F$13</f>
        <v>-2.8682193012943492E-2</v>
      </c>
      <c r="D169">
        <f t="shared" si="6"/>
        <v>0</v>
      </c>
      <c r="E169" s="67">
        <f>'Historical VAR'!$G$7</f>
        <v>-3.1428916759065853E-2</v>
      </c>
      <c r="F169">
        <f t="shared" si="7"/>
        <v>0</v>
      </c>
      <c r="G169" s="67">
        <f ca="1">'Monte Carlo Stimulation'!$I$9</f>
        <v>-2.919314405717207E-2</v>
      </c>
      <c r="H169">
        <f t="shared" ca="1" si="8"/>
        <v>0</v>
      </c>
    </row>
    <row r="170" spans="1:8">
      <c r="A170" s="12">
        <v>45867</v>
      </c>
      <c r="B170" s="14">
        <v>-6.5380637113860041E-3</v>
      </c>
      <c r="C170" s="67">
        <f>'Parametric VAR'!$F$13</f>
        <v>-2.8682193012943492E-2</v>
      </c>
      <c r="D170">
        <f t="shared" si="6"/>
        <v>0</v>
      </c>
      <c r="E170" s="67">
        <f>'Historical VAR'!$G$7</f>
        <v>-3.1428916759065853E-2</v>
      </c>
      <c r="F170">
        <f t="shared" si="7"/>
        <v>0</v>
      </c>
      <c r="G170" s="67">
        <f ca="1">'Monte Carlo Stimulation'!$I$9</f>
        <v>-2.919314405717207E-2</v>
      </c>
      <c r="H170">
        <f t="shared" ca="1" si="8"/>
        <v>0</v>
      </c>
    </row>
    <row r="171" spans="1:8">
      <c r="A171" s="12">
        <v>45866</v>
      </c>
      <c r="B171" s="14">
        <v>-1.7296391321124441E-2</v>
      </c>
      <c r="C171" s="67">
        <f>'Parametric VAR'!$F$13</f>
        <v>-2.8682193012943492E-2</v>
      </c>
      <c r="D171">
        <f t="shared" si="6"/>
        <v>0</v>
      </c>
      <c r="E171" s="67">
        <f>'Historical VAR'!$G$7</f>
        <v>-3.1428916759065853E-2</v>
      </c>
      <c r="F171">
        <f t="shared" si="7"/>
        <v>0</v>
      </c>
      <c r="G171" s="67">
        <f ca="1">'Monte Carlo Stimulation'!$I$9</f>
        <v>-2.919314405717207E-2</v>
      </c>
      <c r="H171">
        <f t="shared" ca="1" si="8"/>
        <v>0</v>
      </c>
    </row>
    <row r="172" spans="1:8">
      <c r="A172" s="12">
        <v>45863</v>
      </c>
      <c r="B172" s="14">
        <v>-6.7349571088846346E-3</v>
      </c>
      <c r="C172" s="67">
        <f>'Parametric VAR'!$F$13</f>
        <v>-2.8682193012943492E-2</v>
      </c>
      <c r="D172">
        <f t="shared" si="6"/>
        <v>0</v>
      </c>
      <c r="E172" s="67">
        <f>'Historical VAR'!$G$7</f>
        <v>-3.1428916759065853E-2</v>
      </c>
      <c r="F172">
        <f t="shared" si="7"/>
        <v>0</v>
      </c>
      <c r="G172" s="67">
        <f ca="1">'Monte Carlo Stimulation'!$I$9</f>
        <v>-2.919314405717207E-2</v>
      </c>
      <c r="H172">
        <f t="shared" ca="1" si="8"/>
        <v>0</v>
      </c>
    </row>
    <row r="173" spans="1:8">
      <c r="A173" s="12">
        <v>45862</v>
      </c>
      <c r="B173" s="14">
        <v>1.328920252420644E-2</v>
      </c>
      <c r="C173" s="67">
        <f>'Parametric VAR'!$F$13</f>
        <v>-2.8682193012943492E-2</v>
      </c>
      <c r="D173">
        <f t="shared" si="6"/>
        <v>0</v>
      </c>
      <c r="E173" s="67">
        <f>'Historical VAR'!$G$7</f>
        <v>-3.1428916759065853E-2</v>
      </c>
      <c r="F173">
        <f t="shared" si="7"/>
        <v>0</v>
      </c>
      <c r="G173" s="67">
        <f ca="1">'Monte Carlo Stimulation'!$I$9</f>
        <v>-2.919314405717207E-2</v>
      </c>
      <c r="H173">
        <f t="shared" ca="1" si="8"/>
        <v>0</v>
      </c>
    </row>
    <row r="174" spans="1:8">
      <c r="A174" s="12">
        <v>45861</v>
      </c>
      <c r="B174" s="14">
        <v>5.1912360792443985E-3</v>
      </c>
      <c r="C174" s="67">
        <f>'Parametric VAR'!$F$13</f>
        <v>-2.8682193012943492E-2</v>
      </c>
      <c r="D174">
        <f t="shared" si="6"/>
        <v>0</v>
      </c>
      <c r="E174" s="67">
        <f>'Historical VAR'!$G$7</f>
        <v>-3.1428916759065853E-2</v>
      </c>
      <c r="F174">
        <f t="shared" si="7"/>
        <v>0</v>
      </c>
      <c r="G174" s="67">
        <f ca="1">'Monte Carlo Stimulation'!$I$9</f>
        <v>-2.919314405717207E-2</v>
      </c>
      <c r="H174">
        <f t="shared" ca="1" si="8"/>
        <v>0</v>
      </c>
    </row>
    <row r="175" spans="1:8">
      <c r="A175" s="12">
        <v>45860</v>
      </c>
      <c r="B175" s="14">
        <v>-4.1226906641421961E-3</v>
      </c>
      <c r="C175" s="67">
        <f>'Parametric VAR'!$F$13</f>
        <v>-2.8682193012943492E-2</v>
      </c>
      <c r="D175">
        <f t="shared" si="6"/>
        <v>0</v>
      </c>
      <c r="E175" s="67">
        <f>'Historical VAR'!$G$7</f>
        <v>-3.1428916759065853E-2</v>
      </c>
      <c r="F175">
        <f t="shared" si="7"/>
        <v>0</v>
      </c>
      <c r="G175" s="67">
        <f ca="1">'Monte Carlo Stimulation'!$I$9</f>
        <v>-2.919314405717207E-2</v>
      </c>
      <c r="H175">
        <f t="shared" ca="1" si="8"/>
        <v>0</v>
      </c>
    </row>
    <row r="176" spans="1:8">
      <c r="A176" s="12">
        <v>45859</v>
      </c>
      <c r="B176" s="14">
        <v>5.0198180777264172E-4</v>
      </c>
      <c r="C176" s="67">
        <f>'Parametric VAR'!$F$13</f>
        <v>-2.8682193012943492E-2</v>
      </c>
      <c r="D176">
        <f t="shared" si="6"/>
        <v>0</v>
      </c>
      <c r="E176" s="67">
        <f>'Historical VAR'!$G$7</f>
        <v>-3.1428916759065853E-2</v>
      </c>
      <c r="F176">
        <f t="shared" si="7"/>
        <v>0</v>
      </c>
      <c r="G176" s="67">
        <f ca="1">'Monte Carlo Stimulation'!$I$9</f>
        <v>-2.919314405717207E-2</v>
      </c>
      <c r="H176">
        <f t="shared" ca="1" si="8"/>
        <v>0</v>
      </c>
    </row>
    <row r="177" spans="1:8">
      <c r="A177" s="12">
        <v>45856</v>
      </c>
      <c r="B177" s="14">
        <v>4.5384617353963017E-3</v>
      </c>
      <c r="C177" s="67">
        <f>'Parametric VAR'!$F$13</f>
        <v>-2.8682193012943492E-2</v>
      </c>
      <c r="D177">
        <f t="shared" si="6"/>
        <v>0</v>
      </c>
      <c r="E177" s="67">
        <f>'Historical VAR'!$G$7</f>
        <v>-3.1428916759065853E-2</v>
      </c>
      <c r="F177">
        <f t="shared" si="7"/>
        <v>0</v>
      </c>
      <c r="G177" s="67">
        <f ca="1">'Monte Carlo Stimulation'!$I$9</f>
        <v>-2.919314405717207E-2</v>
      </c>
      <c r="H177">
        <f t="shared" ca="1" si="8"/>
        <v>0</v>
      </c>
    </row>
    <row r="178" spans="1:8">
      <c r="A178" s="12">
        <v>45855</v>
      </c>
      <c r="B178" s="14">
        <v>5.8053806564534903E-3</v>
      </c>
      <c r="C178" s="67">
        <f>'Parametric VAR'!$F$13</f>
        <v>-2.8682193012943492E-2</v>
      </c>
      <c r="D178">
        <f t="shared" si="6"/>
        <v>0</v>
      </c>
      <c r="E178" s="67">
        <f>'Historical VAR'!$G$7</f>
        <v>-3.1428916759065853E-2</v>
      </c>
      <c r="F178">
        <f t="shared" si="7"/>
        <v>0</v>
      </c>
      <c r="G178" s="67">
        <f ca="1">'Monte Carlo Stimulation'!$I$9</f>
        <v>-2.919314405717207E-2</v>
      </c>
      <c r="H178">
        <f t="shared" ca="1" si="8"/>
        <v>0</v>
      </c>
    </row>
    <row r="179" spans="1:8">
      <c r="A179" s="12">
        <v>45854</v>
      </c>
      <c r="B179" s="14">
        <v>-2.8726634565415573E-3</v>
      </c>
      <c r="C179" s="67">
        <f>'Parametric VAR'!$F$13</f>
        <v>-2.8682193012943492E-2</v>
      </c>
      <c r="D179">
        <f t="shared" si="6"/>
        <v>0</v>
      </c>
      <c r="E179" s="67">
        <f>'Historical VAR'!$G$7</f>
        <v>-3.1428916759065853E-2</v>
      </c>
      <c r="F179">
        <f t="shared" si="7"/>
        <v>0</v>
      </c>
      <c r="G179" s="67">
        <f ca="1">'Monte Carlo Stimulation'!$I$9</f>
        <v>-2.919314405717207E-2</v>
      </c>
      <c r="H179">
        <f t="shared" ca="1" si="8"/>
        <v>0</v>
      </c>
    </row>
    <row r="180" spans="1:8">
      <c r="A180" s="12">
        <v>45853</v>
      </c>
      <c r="B180" s="14">
        <v>-4.4458178250595089E-3</v>
      </c>
      <c r="C180" s="67">
        <f>'Parametric VAR'!$F$13</f>
        <v>-2.8682193012943492E-2</v>
      </c>
      <c r="D180">
        <f t="shared" si="6"/>
        <v>0</v>
      </c>
      <c r="E180" s="67">
        <f>'Historical VAR'!$G$7</f>
        <v>-3.1428916759065853E-2</v>
      </c>
      <c r="F180">
        <f t="shared" si="7"/>
        <v>0</v>
      </c>
      <c r="G180" s="67">
        <f ca="1">'Monte Carlo Stimulation'!$I$9</f>
        <v>-2.919314405717207E-2</v>
      </c>
      <c r="H180">
        <f t="shared" ca="1" si="8"/>
        <v>0</v>
      </c>
    </row>
    <row r="181" spans="1:8">
      <c r="A181" s="12">
        <v>45852</v>
      </c>
      <c r="B181" s="14">
        <v>8.2853529762239822E-4</v>
      </c>
      <c r="C181" s="67">
        <f>'Parametric VAR'!$F$13</f>
        <v>-2.8682193012943492E-2</v>
      </c>
      <c r="D181">
        <f t="shared" si="6"/>
        <v>0</v>
      </c>
      <c r="E181" s="67">
        <f>'Historical VAR'!$G$7</f>
        <v>-3.1428916759065853E-2</v>
      </c>
      <c r="F181">
        <f t="shared" si="7"/>
        <v>0</v>
      </c>
      <c r="G181" s="67">
        <f ca="1">'Monte Carlo Stimulation'!$I$9</f>
        <v>-2.919314405717207E-2</v>
      </c>
      <c r="H181">
        <f t="shared" ca="1" si="8"/>
        <v>0</v>
      </c>
    </row>
    <row r="182" spans="1:8">
      <c r="A182" s="12">
        <v>45849</v>
      </c>
      <c r="B182" s="14">
        <v>1.6037547848070793E-2</v>
      </c>
      <c r="C182" s="67">
        <f>'Parametric VAR'!$F$13</f>
        <v>-2.8682193012943492E-2</v>
      </c>
      <c r="D182">
        <f t="shared" si="6"/>
        <v>0</v>
      </c>
      <c r="E182" s="67">
        <f>'Historical VAR'!$G$7</f>
        <v>-3.1428916759065853E-2</v>
      </c>
      <c r="F182">
        <f t="shared" si="7"/>
        <v>0</v>
      </c>
      <c r="G182" s="67">
        <f ca="1">'Monte Carlo Stimulation'!$I$9</f>
        <v>-2.919314405717207E-2</v>
      </c>
      <c r="H182">
        <f t="shared" ca="1" si="8"/>
        <v>0</v>
      </c>
    </row>
    <row r="183" spans="1:8">
      <c r="A183" s="12">
        <v>45848</v>
      </c>
      <c r="B183" s="14">
        <v>5.1983629107713947E-3</v>
      </c>
      <c r="C183" s="67">
        <f>'Parametric VAR'!$F$13</f>
        <v>-2.8682193012943492E-2</v>
      </c>
      <c r="D183">
        <f t="shared" si="6"/>
        <v>0</v>
      </c>
      <c r="E183" s="67">
        <f>'Historical VAR'!$G$7</f>
        <v>-3.1428916759065853E-2</v>
      </c>
      <c r="F183">
        <f t="shared" si="7"/>
        <v>0</v>
      </c>
      <c r="G183" s="67">
        <f ca="1">'Monte Carlo Stimulation'!$I$9</f>
        <v>-2.919314405717207E-2</v>
      </c>
      <c r="H183">
        <f t="shared" ca="1" si="8"/>
        <v>0</v>
      </c>
    </row>
    <row r="184" spans="1:8">
      <c r="A184" s="12">
        <v>45847</v>
      </c>
      <c r="B184" s="14">
        <v>1.6426305363721708E-2</v>
      </c>
      <c r="C184" s="67">
        <f>'Parametric VAR'!$F$13</f>
        <v>-2.8682193012943492E-2</v>
      </c>
      <c r="D184">
        <f t="shared" si="6"/>
        <v>0</v>
      </c>
      <c r="E184" s="67">
        <f>'Historical VAR'!$G$7</f>
        <v>-3.1428916759065853E-2</v>
      </c>
      <c r="F184">
        <f t="shared" si="7"/>
        <v>0</v>
      </c>
      <c r="G184" s="67">
        <f ca="1">'Monte Carlo Stimulation'!$I$9</f>
        <v>-2.919314405717207E-2</v>
      </c>
      <c r="H184">
        <f t="shared" ca="1" si="8"/>
        <v>0</v>
      </c>
    </row>
    <row r="185" spans="1:8">
      <c r="A185" s="12">
        <v>45846</v>
      </c>
      <c r="B185" s="14">
        <v>-4.5444533832251274E-3</v>
      </c>
      <c r="C185" s="67">
        <f>'Parametric VAR'!$F$13</f>
        <v>-2.8682193012943492E-2</v>
      </c>
      <c r="D185">
        <f t="shared" si="6"/>
        <v>0</v>
      </c>
      <c r="E185" s="67">
        <f>'Historical VAR'!$G$7</f>
        <v>-3.1428916759065853E-2</v>
      </c>
      <c r="F185">
        <f t="shared" si="7"/>
        <v>0</v>
      </c>
      <c r="G185" s="67">
        <f ca="1">'Monte Carlo Stimulation'!$I$9</f>
        <v>-2.919314405717207E-2</v>
      </c>
      <c r="H185">
        <f t="shared" ca="1" si="8"/>
        <v>0</v>
      </c>
    </row>
    <row r="186" spans="1:8">
      <c r="A186" s="12">
        <v>45845</v>
      </c>
      <c r="B186" s="14">
        <v>-1.2247882522105775E-2</v>
      </c>
      <c r="C186" s="67">
        <f>'Parametric VAR'!$F$13</f>
        <v>-2.8682193012943492E-2</v>
      </c>
      <c r="D186">
        <f t="shared" si="6"/>
        <v>0</v>
      </c>
      <c r="E186" s="67">
        <f>'Historical VAR'!$G$7</f>
        <v>-3.1428916759065853E-2</v>
      </c>
      <c r="F186">
        <f t="shared" si="7"/>
        <v>0</v>
      </c>
      <c r="G186" s="67">
        <f ca="1">'Monte Carlo Stimulation'!$I$9</f>
        <v>-2.919314405717207E-2</v>
      </c>
      <c r="H186">
        <f t="shared" ca="1" si="8"/>
        <v>0</v>
      </c>
    </row>
    <row r="187" spans="1:8">
      <c r="A187" s="12">
        <v>45842</v>
      </c>
      <c r="B187" s="14">
        <v>-5.237489389001434E-3</v>
      </c>
      <c r="C187" s="67">
        <f>'Parametric VAR'!$F$13</f>
        <v>-2.8682193012943492E-2</v>
      </c>
      <c r="D187">
        <f t="shared" si="6"/>
        <v>0</v>
      </c>
      <c r="E187" s="67">
        <f>'Historical VAR'!$G$7</f>
        <v>-3.1428916759065853E-2</v>
      </c>
      <c r="F187">
        <f t="shared" si="7"/>
        <v>0</v>
      </c>
      <c r="G187" s="67">
        <f ca="1">'Monte Carlo Stimulation'!$I$9</f>
        <v>-2.919314405717207E-2</v>
      </c>
      <c r="H187">
        <f t="shared" ca="1" si="8"/>
        <v>0</v>
      </c>
    </row>
    <row r="188" spans="1:8">
      <c r="A188" s="12">
        <v>45841</v>
      </c>
      <c r="B188" s="14">
        <v>2.6664174047308421E-3</v>
      </c>
      <c r="C188" s="67">
        <f>'Parametric VAR'!$F$13</f>
        <v>-2.8682193012943492E-2</v>
      </c>
      <c r="D188">
        <f t="shared" si="6"/>
        <v>0</v>
      </c>
      <c r="E188" s="67">
        <f>'Historical VAR'!$G$7</f>
        <v>-3.1428916759065853E-2</v>
      </c>
      <c r="F188">
        <f t="shared" si="7"/>
        <v>0</v>
      </c>
      <c r="G188" s="67">
        <f ca="1">'Monte Carlo Stimulation'!$I$9</f>
        <v>-2.919314405717207E-2</v>
      </c>
      <c r="H188">
        <f t="shared" ca="1" si="8"/>
        <v>0</v>
      </c>
    </row>
    <row r="189" spans="1:8">
      <c r="A189" s="12">
        <v>45840</v>
      </c>
      <c r="B189" s="14">
        <v>-5.1129736909477806E-3</v>
      </c>
      <c r="C189" s="67">
        <f>'Parametric VAR'!$F$13</f>
        <v>-2.8682193012943492E-2</v>
      </c>
      <c r="D189">
        <f t="shared" si="6"/>
        <v>0</v>
      </c>
      <c r="E189" s="67">
        <f>'Historical VAR'!$G$7</f>
        <v>-3.1428916759065853E-2</v>
      </c>
      <c r="F189">
        <f t="shared" si="7"/>
        <v>0</v>
      </c>
      <c r="G189" s="67">
        <f ca="1">'Monte Carlo Stimulation'!$I$9</f>
        <v>-2.919314405717207E-2</v>
      </c>
      <c r="H189">
        <f t="shared" ca="1" si="8"/>
        <v>0</v>
      </c>
    </row>
    <row r="190" spans="1:8">
      <c r="A190" s="12">
        <v>45839</v>
      </c>
      <c r="B190" s="14">
        <v>-1.4997831251580636E-2</v>
      </c>
      <c r="C190" s="67">
        <f>'Parametric VAR'!$F$13</f>
        <v>-2.8682193012943492E-2</v>
      </c>
      <c r="D190">
        <f t="shared" si="6"/>
        <v>0</v>
      </c>
      <c r="E190" s="67">
        <f>'Historical VAR'!$G$7</f>
        <v>-3.1428916759065853E-2</v>
      </c>
      <c r="F190">
        <f t="shared" si="7"/>
        <v>0</v>
      </c>
      <c r="G190" s="67">
        <f ca="1">'Monte Carlo Stimulation'!$I$9</f>
        <v>-2.919314405717207E-2</v>
      </c>
      <c r="H190">
        <f t="shared" ca="1" si="8"/>
        <v>0</v>
      </c>
    </row>
    <row r="191" spans="1:8">
      <c r="A191" s="12">
        <v>45838</v>
      </c>
      <c r="B191" s="14">
        <v>-8.7325876557412894E-3</v>
      </c>
      <c r="C191" s="67">
        <f>'Parametric VAR'!$F$13</f>
        <v>-2.8682193012943492E-2</v>
      </c>
      <c r="D191">
        <f t="shared" si="6"/>
        <v>0</v>
      </c>
      <c r="E191" s="67">
        <f>'Historical VAR'!$G$7</f>
        <v>-3.1428916759065853E-2</v>
      </c>
      <c r="F191">
        <f t="shared" si="7"/>
        <v>0</v>
      </c>
      <c r="G191" s="67">
        <f ca="1">'Monte Carlo Stimulation'!$I$9</f>
        <v>-2.919314405717207E-2</v>
      </c>
      <c r="H191">
        <f t="shared" ca="1" si="8"/>
        <v>0</v>
      </c>
    </row>
    <row r="192" spans="1:8">
      <c r="A192" s="12">
        <v>45835</v>
      </c>
      <c r="B192" s="14">
        <v>2.0955865540215721E-3</v>
      </c>
      <c r="C192" s="67">
        <f>'Parametric VAR'!$F$13</f>
        <v>-2.8682193012943492E-2</v>
      </c>
      <c r="D192">
        <f t="shared" si="6"/>
        <v>0</v>
      </c>
      <c r="E192" s="67">
        <f>'Historical VAR'!$G$7</f>
        <v>-3.1428916759065853E-2</v>
      </c>
      <c r="F192">
        <f t="shared" si="7"/>
        <v>0</v>
      </c>
      <c r="G192" s="67">
        <f ca="1">'Monte Carlo Stimulation'!$I$9</f>
        <v>-2.919314405717207E-2</v>
      </c>
      <c r="H192">
        <f t="shared" ca="1" si="8"/>
        <v>0</v>
      </c>
    </row>
    <row r="193" spans="1:8">
      <c r="A193" s="12">
        <v>45834</v>
      </c>
      <c r="B193" s="14">
        <v>-2.9220304528830916E-2</v>
      </c>
      <c r="C193" s="67">
        <f>'Parametric VAR'!$F$13</f>
        <v>-2.8682193012943492E-2</v>
      </c>
      <c r="D193">
        <f t="shared" si="6"/>
        <v>1</v>
      </c>
      <c r="E193" s="67">
        <f>'Historical VAR'!$G$7</f>
        <v>-3.1428916759065853E-2</v>
      </c>
      <c r="F193">
        <f t="shared" si="7"/>
        <v>0</v>
      </c>
      <c r="G193" s="67">
        <f ca="1">'Monte Carlo Stimulation'!$I$9</f>
        <v>-2.919314405717207E-2</v>
      </c>
      <c r="H193">
        <f t="shared" ca="1" si="8"/>
        <v>1</v>
      </c>
    </row>
    <row r="194" spans="1:8">
      <c r="A194" s="12">
        <v>45833</v>
      </c>
      <c r="B194" s="14">
        <v>-2.7580363117153651E-3</v>
      </c>
      <c r="C194" s="67">
        <f>'Parametric VAR'!$F$13</f>
        <v>-2.8682193012943492E-2</v>
      </c>
      <c r="D194">
        <f t="shared" si="6"/>
        <v>0</v>
      </c>
      <c r="E194" s="67">
        <f>'Historical VAR'!$G$7</f>
        <v>-3.1428916759065853E-2</v>
      </c>
      <c r="F194">
        <f t="shared" si="7"/>
        <v>0</v>
      </c>
      <c r="G194" s="67">
        <f ca="1">'Monte Carlo Stimulation'!$I$9</f>
        <v>-2.919314405717207E-2</v>
      </c>
      <c r="H194">
        <f t="shared" ca="1" si="8"/>
        <v>0</v>
      </c>
    </row>
    <row r="195" spans="1:8">
      <c r="A195" s="12">
        <v>45832</v>
      </c>
      <c r="B195" s="14">
        <v>-6.7130605494631944E-3</v>
      </c>
      <c r="C195" s="67">
        <f>'Parametric VAR'!$F$13</f>
        <v>-2.8682193012943492E-2</v>
      </c>
      <c r="D195">
        <f t="shared" si="6"/>
        <v>0</v>
      </c>
      <c r="E195" s="67">
        <f>'Historical VAR'!$G$7</f>
        <v>-3.1428916759065853E-2</v>
      </c>
      <c r="F195">
        <f t="shared" si="7"/>
        <v>0</v>
      </c>
      <c r="G195" s="67">
        <f ca="1">'Monte Carlo Stimulation'!$I$9</f>
        <v>-2.919314405717207E-2</v>
      </c>
      <c r="H195">
        <f t="shared" ca="1" si="8"/>
        <v>0</v>
      </c>
    </row>
    <row r="196" spans="1:8">
      <c r="A196" s="12">
        <v>45831</v>
      </c>
      <c r="B196" s="14">
        <v>-3.7631676252508576E-3</v>
      </c>
      <c r="C196" s="67">
        <f>'Parametric VAR'!$F$13</f>
        <v>-2.8682193012943492E-2</v>
      </c>
      <c r="D196">
        <f t="shared" si="6"/>
        <v>0</v>
      </c>
      <c r="E196" s="67">
        <f>'Historical VAR'!$G$7</f>
        <v>-3.1428916759065853E-2</v>
      </c>
      <c r="F196">
        <f t="shared" si="7"/>
        <v>0</v>
      </c>
      <c r="G196" s="67">
        <f ca="1">'Monte Carlo Stimulation'!$I$9</f>
        <v>-2.919314405717207E-2</v>
      </c>
      <c r="H196">
        <f t="shared" ca="1" si="8"/>
        <v>0</v>
      </c>
    </row>
    <row r="197" spans="1:8">
      <c r="A197" s="12">
        <v>45828</v>
      </c>
      <c r="B197" s="14">
        <v>-1.5543620329842825E-3</v>
      </c>
      <c r="C197" s="67">
        <f>'Parametric VAR'!$F$13</f>
        <v>-2.8682193012943492E-2</v>
      </c>
      <c r="D197">
        <f t="shared" ref="D197:D256" si="9">IF(B197&lt;C197,1,0)</f>
        <v>0</v>
      </c>
      <c r="E197" s="67">
        <f>'Historical VAR'!$G$7</f>
        <v>-3.1428916759065853E-2</v>
      </c>
      <c r="F197">
        <f t="shared" ref="F197:F256" si="10">IF(B197&lt;E197,1,0)</f>
        <v>0</v>
      </c>
      <c r="G197" s="67">
        <f ca="1">'Monte Carlo Stimulation'!$I$9</f>
        <v>-2.919314405717207E-2</v>
      </c>
      <c r="H197">
        <f t="shared" ref="H197:H256" ca="1" si="11">IF(B197&lt;G197,1,0)</f>
        <v>0</v>
      </c>
    </row>
    <row r="198" spans="1:8">
      <c r="A198" s="12">
        <v>45827</v>
      </c>
      <c r="B198" s="14">
        <v>-1.3070818003380854E-3</v>
      </c>
      <c r="C198" s="67">
        <f>'Parametric VAR'!$F$13</f>
        <v>-2.8682193012943492E-2</v>
      </c>
      <c r="D198">
        <f t="shared" si="9"/>
        <v>0</v>
      </c>
      <c r="E198" s="67">
        <f>'Historical VAR'!$G$7</f>
        <v>-3.1428916759065853E-2</v>
      </c>
      <c r="F198">
        <f t="shared" si="10"/>
        <v>0</v>
      </c>
      <c r="G198" s="67">
        <f ca="1">'Monte Carlo Stimulation'!$I$9</f>
        <v>-2.919314405717207E-2</v>
      </c>
      <c r="H198">
        <f t="shared" ca="1" si="11"/>
        <v>0</v>
      </c>
    </row>
    <row r="199" spans="1:8">
      <c r="A199" s="12">
        <v>45826</v>
      </c>
      <c r="B199" s="14">
        <v>9.4434609874702365E-3</v>
      </c>
      <c r="C199" s="67">
        <f>'Parametric VAR'!$F$13</f>
        <v>-2.8682193012943492E-2</v>
      </c>
      <c r="D199">
        <f t="shared" si="9"/>
        <v>0</v>
      </c>
      <c r="E199" s="67">
        <f>'Historical VAR'!$G$7</f>
        <v>-3.1428916759065853E-2</v>
      </c>
      <c r="F199">
        <f t="shared" si="10"/>
        <v>0</v>
      </c>
      <c r="G199" s="67">
        <f ca="1">'Monte Carlo Stimulation'!$I$9</f>
        <v>-2.919314405717207E-2</v>
      </c>
      <c r="H199">
        <f t="shared" ca="1" si="11"/>
        <v>0</v>
      </c>
    </row>
    <row r="200" spans="1:8">
      <c r="A200" s="12">
        <v>45825</v>
      </c>
      <c r="B200" s="14">
        <v>-4.74463532900018E-3</v>
      </c>
      <c r="C200" s="67">
        <f>'Parametric VAR'!$F$13</f>
        <v>-2.8682193012943492E-2</v>
      </c>
      <c r="D200">
        <f t="shared" si="9"/>
        <v>0</v>
      </c>
      <c r="E200" s="67">
        <f>'Historical VAR'!$G$7</f>
        <v>-3.1428916759065853E-2</v>
      </c>
      <c r="F200">
        <f t="shared" si="10"/>
        <v>0</v>
      </c>
      <c r="G200" s="67">
        <f ca="1">'Monte Carlo Stimulation'!$I$9</f>
        <v>-2.919314405717207E-2</v>
      </c>
      <c r="H200">
        <f t="shared" ca="1" si="11"/>
        <v>0</v>
      </c>
    </row>
    <row r="201" spans="1:8">
      <c r="A201" s="12">
        <v>45824</v>
      </c>
      <c r="B201" s="14">
        <v>-3.6427108542107269E-3</v>
      </c>
      <c r="C201" s="67">
        <f>'Parametric VAR'!$F$13</f>
        <v>-2.8682193012943492E-2</v>
      </c>
      <c r="D201">
        <f t="shared" si="9"/>
        <v>0</v>
      </c>
      <c r="E201" s="67">
        <f>'Historical VAR'!$G$7</f>
        <v>-3.1428916759065853E-2</v>
      </c>
      <c r="F201">
        <f t="shared" si="10"/>
        <v>0</v>
      </c>
      <c r="G201" s="67">
        <f ca="1">'Monte Carlo Stimulation'!$I$9</f>
        <v>-2.919314405717207E-2</v>
      </c>
      <c r="H201">
        <f t="shared" ca="1" si="11"/>
        <v>0</v>
      </c>
    </row>
    <row r="202" spans="1:8">
      <c r="A202" s="12">
        <v>45821</v>
      </c>
      <c r="B202" s="14">
        <v>-9.2002807592880664E-3</v>
      </c>
      <c r="C202" s="67">
        <f>'Parametric VAR'!$F$13</f>
        <v>-2.8682193012943492E-2</v>
      </c>
      <c r="D202">
        <f t="shared" si="9"/>
        <v>0</v>
      </c>
      <c r="E202" s="67">
        <f>'Historical VAR'!$G$7</f>
        <v>-3.1428916759065853E-2</v>
      </c>
      <c r="F202">
        <f t="shared" si="10"/>
        <v>0</v>
      </c>
      <c r="G202" s="67">
        <f ca="1">'Monte Carlo Stimulation'!$I$9</f>
        <v>-2.919314405717207E-2</v>
      </c>
      <c r="H202">
        <f t="shared" ca="1" si="11"/>
        <v>0</v>
      </c>
    </row>
    <row r="203" spans="1:8">
      <c r="A203" s="12">
        <v>45820</v>
      </c>
      <c r="B203" s="14">
        <v>2.7711277885414248E-3</v>
      </c>
      <c r="C203" s="67">
        <f>'Parametric VAR'!$F$13</f>
        <v>-2.8682193012943492E-2</v>
      </c>
      <c r="D203">
        <f t="shared" si="9"/>
        <v>0</v>
      </c>
      <c r="E203" s="67">
        <f>'Historical VAR'!$G$7</f>
        <v>-3.1428916759065853E-2</v>
      </c>
      <c r="F203">
        <f t="shared" si="10"/>
        <v>0</v>
      </c>
      <c r="G203" s="67">
        <f ca="1">'Monte Carlo Stimulation'!$I$9</f>
        <v>-2.919314405717207E-2</v>
      </c>
      <c r="H203">
        <f t="shared" ca="1" si="11"/>
        <v>0</v>
      </c>
    </row>
    <row r="204" spans="1:8">
      <c r="A204" s="12">
        <v>45819</v>
      </c>
      <c r="B204" s="14">
        <v>-3.4431246293156435E-3</v>
      </c>
      <c r="C204" s="67">
        <f>'Parametric VAR'!$F$13</f>
        <v>-2.8682193012943492E-2</v>
      </c>
      <c r="D204">
        <f t="shared" si="9"/>
        <v>0</v>
      </c>
      <c r="E204" s="67">
        <f>'Historical VAR'!$G$7</f>
        <v>-3.1428916759065853E-2</v>
      </c>
      <c r="F204">
        <f t="shared" si="10"/>
        <v>0</v>
      </c>
      <c r="G204" s="67">
        <f ca="1">'Monte Carlo Stimulation'!$I$9</f>
        <v>-2.919314405717207E-2</v>
      </c>
      <c r="H204">
        <f t="shared" ca="1" si="11"/>
        <v>0</v>
      </c>
    </row>
    <row r="205" spans="1:8">
      <c r="A205" s="12">
        <v>45818</v>
      </c>
      <c r="B205" s="14">
        <v>5.4309239183273194E-3</v>
      </c>
      <c r="C205" s="67">
        <f>'Parametric VAR'!$F$13</f>
        <v>-2.8682193012943492E-2</v>
      </c>
      <c r="D205">
        <f t="shared" si="9"/>
        <v>0</v>
      </c>
      <c r="E205" s="67">
        <f>'Historical VAR'!$G$7</f>
        <v>-3.1428916759065853E-2</v>
      </c>
      <c r="F205">
        <f t="shared" si="10"/>
        <v>0</v>
      </c>
      <c r="G205" s="67">
        <f ca="1">'Monte Carlo Stimulation'!$I$9</f>
        <v>-2.919314405717207E-2</v>
      </c>
      <c r="H205">
        <f t="shared" ca="1" si="11"/>
        <v>0</v>
      </c>
    </row>
    <row r="206" spans="1:8">
      <c r="A206" s="12">
        <v>45817</v>
      </c>
      <c r="B206" s="14">
        <v>7.9796927389825332E-3</v>
      </c>
      <c r="C206" s="67">
        <f>'Parametric VAR'!$F$13</f>
        <v>-2.8682193012943492E-2</v>
      </c>
      <c r="D206">
        <f t="shared" si="9"/>
        <v>0</v>
      </c>
      <c r="E206" s="67">
        <f>'Historical VAR'!$G$7</f>
        <v>-3.1428916759065853E-2</v>
      </c>
      <c r="F206">
        <f t="shared" si="10"/>
        <v>0</v>
      </c>
      <c r="G206" s="67">
        <f ca="1">'Monte Carlo Stimulation'!$I$9</f>
        <v>-2.919314405717207E-2</v>
      </c>
      <c r="H206">
        <f t="shared" ca="1" si="11"/>
        <v>0</v>
      </c>
    </row>
    <row r="207" spans="1:8">
      <c r="A207" s="12">
        <v>45814</v>
      </c>
      <c r="B207" s="14">
        <v>1.285680194958097E-3</v>
      </c>
      <c r="C207" s="67">
        <f>'Parametric VAR'!$F$13</f>
        <v>-2.8682193012943492E-2</v>
      </c>
      <c r="D207">
        <f t="shared" si="9"/>
        <v>0</v>
      </c>
      <c r="E207" s="67">
        <f>'Historical VAR'!$G$7</f>
        <v>-3.1428916759065853E-2</v>
      </c>
      <c r="F207">
        <f t="shared" si="10"/>
        <v>0</v>
      </c>
      <c r="G207" s="67">
        <f ca="1">'Monte Carlo Stimulation'!$I$9</f>
        <v>-2.919314405717207E-2</v>
      </c>
      <c r="H207">
        <f t="shared" ca="1" si="11"/>
        <v>0</v>
      </c>
    </row>
    <row r="208" spans="1:8">
      <c r="A208" s="12">
        <v>45813</v>
      </c>
      <c r="B208" s="14">
        <v>1.4426998869509737E-4</v>
      </c>
      <c r="C208" s="67">
        <f>'Parametric VAR'!$F$13</f>
        <v>-2.8682193012943492E-2</v>
      </c>
      <c r="D208">
        <f t="shared" si="9"/>
        <v>0</v>
      </c>
      <c r="E208" s="67">
        <f>'Historical VAR'!$G$7</f>
        <v>-3.1428916759065853E-2</v>
      </c>
      <c r="F208">
        <f t="shared" si="10"/>
        <v>0</v>
      </c>
      <c r="G208" s="67">
        <f ca="1">'Monte Carlo Stimulation'!$I$9</f>
        <v>-2.919314405717207E-2</v>
      </c>
      <c r="H208">
        <f t="shared" ca="1" si="11"/>
        <v>0</v>
      </c>
    </row>
    <row r="209" spans="1:8">
      <c r="A209" s="12">
        <v>45812</v>
      </c>
      <c r="B209" s="14">
        <v>-1.8388942277544659E-3</v>
      </c>
      <c r="C209" s="67">
        <f>'Parametric VAR'!$F$13</f>
        <v>-2.8682193012943492E-2</v>
      </c>
      <c r="D209">
        <f t="shared" si="9"/>
        <v>0</v>
      </c>
      <c r="E209" s="67">
        <f>'Historical VAR'!$G$7</f>
        <v>-3.1428916759065853E-2</v>
      </c>
      <c r="F209">
        <f t="shared" si="10"/>
        <v>0</v>
      </c>
      <c r="G209" s="67">
        <f ca="1">'Monte Carlo Stimulation'!$I$9</f>
        <v>-2.919314405717207E-2</v>
      </c>
      <c r="H209">
        <f t="shared" ca="1" si="11"/>
        <v>0</v>
      </c>
    </row>
    <row r="210" spans="1:8">
      <c r="A210" s="12">
        <v>45811</v>
      </c>
      <c r="B210" s="14">
        <v>-8.5436332509694103E-4</v>
      </c>
      <c r="C210" s="67">
        <f>'Parametric VAR'!$F$13</f>
        <v>-2.8682193012943492E-2</v>
      </c>
      <c r="D210">
        <f t="shared" si="9"/>
        <v>0</v>
      </c>
      <c r="E210" s="67">
        <f>'Historical VAR'!$G$7</f>
        <v>-3.1428916759065853E-2</v>
      </c>
      <c r="F210">
        <f t="shared" si="10"/>
        <v>0</v>
      </c>
      <c r="G210" s="67">
        <f ca="1">'Monte Carlo Stimulation'!$I$9</f>
        <v>-2.919314405717207E-2</v>
      </c>
      <c r="H210">
        <f t="shared" ca="1" si="11"/>
        <v>0</v>
      </c>
    </row>
    <row r="211" spans="1:8">
      <c r="A211" s="12">
        <v>45810</v>
      </c>
      <c r="B211" s="14">
        <v>3.2792299729031112E-3</v>
      </c>
      <c r="C211" s="67">
        <f>'Parametric VAR'!$F$13</f>
        <v>-2.8682193012943492E-2</v>
      </c>
      <c r="D211">
        <f t="shared" si="9"/>
        <v>0</v>
      </c>
      <c r="E211" s="67">
        <f>'Historical VAR'!$G$7</f>
        <v>-3.1428916759065853E-2</v>
      </c>
      <c r="F211">
        <f t="shared" si="10"/>
        <v>0</v>
      </c>
      <c r="G211" s="67">
        <f ca="1">'Monte Carlo Stimulation'!$I$9</f>
        <v>-2.919314405717207E-2</v>
      </c>
      <c r="H211">
        <f t="shared" ca="1" si="11"/>
        <v>0</v>
      </c>
    </row>
    <row r="212" spans="1:8">
      <c r="A212" s="12">
        <v>45807</v>
      </c>
      <c r="B212" s="14">
        <v>1.8419077527895942E-3</v>
      </c>
      <c r="C212" s="67">
        <f>'Parametric VAR'!$F$13</f>
        <v>-2.8682193012943492E-2</v>
      </c>
      <c r="D212">
        <f t="shared" si="9"/>
        <v>0</v>
      </c>
      <c r="E212" s="67">
        <f>'Historical VAR'!$G$7</f>
        <v>-3.1428916759065853E-2</v>
      </c>
      <c r="F212">
        <f t="shared" si="10"/>
        <v>0</v>
      </c>
      <c r="G212" s="67">
        <f ca="1">'Monte Carlo Stimulation'!$I$9</f>
        <v>-2.919314405717207E-2</v>
      </c>
      <c r="H212">
        <f t="shared" ca="1" si="11"/>
        <v>0</v>
      </c>
    </row>
    <row r="213" spans="1:8">
      <c r="A213" s="12">
        <v>45806</v>
      </c>
      <c r="B213" s="14">
        <v>8.5257104813058048E-3</v>
      </c>
      <c r="C213" s="67">
        <f>'Parametric VAR'!$F$13</f>
        <v>-2.8682193012943492E-2</v>
      </c>
      <c r="D213">
        <f t="shared" si="9"/>
        <v>0</v>
      </c>
      <c r="E213" s="67">
        <f>'Historical VAR'!$G$7</f>
        <v>-3.1428916759065853E-2</v>
      </c>
      <c r="F213">
        <f t="shared" si="10"/>
        <v>0</v>
      </c>
      <c r="G213" s="67">
        <f ca="1">'Monte Carlo Stimulation'!$I$9</f>
        <v>-2.919314405717207E-2</v>
      </c>
      <c r="H213">
        <f t="shared" ca="1" si="11"/>
        <v>0</v>
      </c>
    </row>
    <row r="214" spans="1:8">
      <c r="A214" s="12">
        <v>45805</v>
      </c>
      <c r="B214" s="14">
        <v>7.1404925741721669E-4</v>
      </c>
      <c r="C214" s="67">
        <f>'Parametric VAR'!$F$13</f>
        <v>-2.8682193012943492E-2</v>
      </c>
      <c r="D214">
        <f t="shared" si="9"/>
        <v>0</v>
      </c>
      <c r="E214" s="67">
        <f>'Historical VAR'!$G$7</f>
        <v>-3.1428916759065853E-2</v>
      </c>
      <c r="F214">
        <f t="shared" si="10"/>
        <v>0</v>
      </c>
      <c r="G214" s="67">
        <f ca="1">'Monte Carlo Stimulation'!$I$9</f>
        <v>-2.919314405717207E-2</v>
      </c>
      <c r="H214">
        <f t="shared" ca="1" si="11"/>
        <v>0</v>
      </c>
    </row>
    <row r="215" spans="1:8">
      <c r="A215" s="12">
        <v>45804</v>
      </c>
      <c r="B215" s="14">
        <v>8.2267191451372446E-3</v>
      </c>
      <c r="C215" s="67">
        <f>'Parametric VAR'!$F$13</f>
        <v>-2.8682193012943492E-2</v>
      </c>
      <c r="D215">
        <f t="shared" si="9"/>
        <v>0</v>
      </c>
      <c r="E215" s="67">
        <f>'Historical VAR'!$G$7</f>
        <v>-3.1428916759065853E-2</v>
      </c>
      <c r="F215">
        <f t="shared" si="10"/>
        <v>0</v>
      </c>
      <c r="G215" s="67">
        <f ca="1">'Monte Carlo Stimulation'!$I$9</f>
        <v>-2.919314405717207E-2</v>
      </c>
      <c r="H215">
        <f t="shared" ca="1" si="11"/>
        <v>0</v>
      </c>
    </row>
    <row r="216" spans="1:8">
      <c r="A216" s="12">
        <v>45803</v>
      </c>
      <c r="B216" s="14">
        <v>-1.4381330236765369E-3</v>
      </c>
      <c r="C216" s="67">
        <f>'Parametric VAR'!$F$13</f>
        <v>-2.8682193012943492E-2</v>
      </c>
      <c r="D216">
        <f t="shared" si="9"/>
        <v>0</v>
      </c>
      <c r="E216" s="67">
        <f>'Historical VAR'!$G$7</f>
        <v>-3.1428916759065853E-2</v>
      </c>
      <c r="F216">
        <f t="shared" si="10"/>
        <v>0</v>
      </c>
      <c r="G216" s="67">
        <f ca="1">'Monte Carlo Stimulation'!$I$9</f>
        <v>-2.919314405717207E-2</v>
      </c>
      <c r="H216">
        <f t="shared" ca="1" si="11"/>
        <v>0</v>
      </c>
    </row>
    <row r="217" spans="1:8">
      <c r="A217" s="12">
        <v>45800</v>
      </c>
      <c r="B217" s="14">
        <v>7.7173247580628523E-4</v>
      </c>
      <c r="C217" s="67">
        <f>'Parametric VAR'!$F$13</f>
        <v>-2.8682193012943492E-2</v>
      </c>
      <c r="D217">
        <f t="shared" si="9"/>
        <v>0</v>
      </c>
      <c r="E217" s="67">
        <f>'Historical VAR'!$G$7</f>
        <v>-3.1428916759065853E-2</v>
      </c>
      <c r="F217">
        <f t="shared" si="10"/>
        <v>0</v>
      </c>
      <c r="G217" s="67">
        <f ca="1">'Monte Carlo Stimulation'!$I$9</f>
        <v>-2.919314405717207E-2</v>
      </c>
      <c r="H217">
        <f t="shared" ca="1" si="11"/>
        <v>0</v>
      </c>
    </row>
    <row r="218" spans="1:8">
      <c r="A218" s="12">
        <v>45799</v>
      </c>
      <c r="B218" s="14">
        <v>-1.6846222792847379E-3</v>
      </c>
      <c r="C218" s="67">
        <f>'Parametric VAR'!$F$13</f>
        <v>-2.8682193012943492E-2</v>
      </c>
      <c r="D218">
        <f t="shared" si="9"/>
        <v>0</v>
      </c>
      <c r="E218" s="67">
        <f>'Historical VAR'!$G$7</f>
        <v>-3.1428916759065853E-2</v>
      </c>
      <c r="F218">
        <f t="shared" si="10"/>
        <v>0</v>
      </c>
      <c r="G218" s="67">
        <f ca="1">'Monte Carlo Stimulation'!$I$9</f>
        <v>-2.919314405717207E-2</v>
      </c>
      <c r="H218">
        <f t="shared" ca="1" si="11"/>
        <v>0</v>
      </c>
    </row>
    <row r="219" spans="1:8">
      <c r="A219" s="12">
        <v>45798</v>
      </c>
      <c r="B219" s="14">
        <v>-8.9486807548580147E-4</v>
      </c>
      <c r="C219" s="67">
        <f>'Parametric VAR'!$F$13</f>
        <v>-2.8682193012943492E-2</v>
      </c>
      <c r="D219">
        <f t="shared" si="9"/>
        <v>0</v>
      </c>
      <c r="E219" s="67">
        <f>'Historical VAR'!$G$7</f>
        <v>-3.1428916759065853E-2</v>
      </c>
      <c r="F219">
        <f t="shared" si="10"/>
        <v>0</v>
      </c>
      <c r="G219" s="67">
        <f ca="1">'Monte Carlo Stimulation'!$I$9</f>
        <v>-2.919314405717207E-2</v>
      </c>
      <c r="H219">
        <f t="shared" ca="1" si="11"/>
        <v>0</v>
      </c>
    </row>
    <row r="220" spans="1:8">
      <c r="A220" s="12">
        <v>45797</v>
      </c>
      <c r="B220" s="14">
        <v>-2.9805129574337385E-3</v>
      </c>
      <c r="C220" s="67">
        <f>'Parametric VAR'!$F$13</f>
        <v>-2.8682193012943492E-2</v>
      </c>
      <c r="D220">
        <f t="shared" si="9"/>
        <v>0</v>
      </c>
      <c r="E220" s="67">
        <f>'Historical VAR'!$G$7</f>
        <v>-3.1428916759065853E-2</v>
      </c>
      <c r="F220">
        <f t="shared" si="10"/>
        <v>0</v>
      </c>
      <c r="G220" s="67">
        <f ca="1">'Monte Carlo Stimulation'!$I$9</f>
        <v>-2.919314405717207E-2</v>
      </c>
      <c r="H220">
        <f t="shared" ca="1" si="11"/>
        <v>0</v>
      </c>
    </row>
    <row r="221" spans="1:8">
      <c r="A221" s="12">
        <v>45796</v>
      </c>
      <c r="B221" s="14">
        <v>1.3393171609423967E-2</v>
      </c>
      <c r="C221" s="67">
        <f>'Parametric VAR'!$F$13</f>
        <v>-2.8682193012943492E-2</v>
      </c>
      <c r="D221">
        <f t="shared" si="9"/>
        <v>0</v>
      </c>
      <c r="E221" s="67">
        <f>'Historical VAR'!$G$7</f>
        <v>-3.1428916759065853E-2</v>
      </c>
      <c r="F221">
        <f t="shared" si="10"/>
        <v>0</v>
      </c>
      <c r="G221" s="67">
        <f ca="1">'Monte Carlo Stimulation'!$I$9</f>
        <v>-2.919314405717207E-2</v>
      </c>
      <c r="H221">
        <f t="shared" ca="1" si="11"/>
        <v>0</v>
      </c>
    </row>
    <row r="222" spans="1:8">
      <c r="A222" s="12">
        <v>45793</v>
      </c>
      <c r="B222" s="14">
        <v>9.5861605097967463E-3</v>
      </c>
      <c r="C222" s="67">
        <f>'Parametric VAR'!$F$13</f>
        <v>-2.8682193012943492E-2</v>
      </c>
      <c r="D222">
        <f t="shared" si="9"/>
        <v>0</v>
      </c>
      <c r="E222" s="67">
        <f>'Historical VAR'!$G$7</f>
        <v>-3.1428916759065853E-2</v>
      </c>
      <c r="F222">
        <f t="shared" si="10"/>
        <v>0</v>
      </c>
      <c r="G222" s="67">
        <f ca="1">'Monte Carlo Stimulation'!$I$9</f>
        <v>-2.919314405717207E-2</v>
      </c>
      <c r="H222">
        <f t="shared" ca="1" si="11"/>
        <v>0</v>
      </c>
    </row>
    <row r="223" spans="1:8">
      <c r="A223" s="12">
        <v>45792</v>
      </c>
      <c r="B223" s="14">
        <v>-9.9263340177099813E-3</v>
      </c>
      <c r="C223" s="67">
        <f>'Parametric VAR'!$F$13</f>
        <v>-2.8682193012943492E-2</v>
      </c>
      <c r="D223">
        <f t="shared" si="9"/>
        <v>0</v>
      </c>
      <c r="E223" s="67">
        <f>'Historical VAR'!$G$7</f>
        <v>-3.1428916759065853E-2</v>
      </c>
      <c r="F223">
        <f t="shared" si="10"/>
        <v>0</v>
      </c>
      <c r="G223" s="67">
        <f ca="1">'Monte Carlo Stimulation'!$I$9</f>
        <v>-2.919314405717207E-2</v>
      </c>
      <c r="H223">
        <f t="shared" ca="1" si="11"/>
        <v>0</v>
      </c>
    </row>
    <row r="224" spans="1:8">
      <c r="A224" s="12">
        <v>45791</v>
      </c>
      <c r="B224" s="14">
        <v>-2.1392838371063202E-2</v>
      </c>
      <c r="C224" s="67">
        <f>'Parametric VAR'!$F$13</f>
        <v>-2.8682193012943492E-2</v>
      </c>
      <c r="D224">
        <f t="shared" si="9"/>
        <v>0</v>
      </c>
      <c r="E224" s="67">
        <f>'Historical VAR'!$G$7</f>
        <v>-3.1428916759065853E-2</v>
      </c>
      <c r="F224">
        <f t="shared" si="10"/>
        <v>0</v>
      </c>
      <c r="G224" s="67">
        <f ca="1">'Monte Carlo Stimulation'!$I$9</f>
        <v>-2.919314405717207E-2</v>
      </c>
      <c r="H224">
        <f t="shared" ca="1" si="11"/>
        <v>0</v>
      </c>
    </row>
    <row r="225" spans="1:8">
      <c r="A225" s="12">
        <v>45790</v>
      </c>
      <c r="B225" s="14">
        <v>9.7354913877007315E-3</v>
      </c>
      <c r="C225" s="67">
        <f>'Parametric VAR'!$F$13</f>
        <v>-2.8682193012943492E-2</v>
      </c>
      <c r="D225">
        <f t="shared" si="9"/>
        <v>0</v>
      </c>
      <c r="E225" s="67">
        <f>'Historical VAR'!$G$7</f>
        <v>-3.1428916759065853E-2</v>
      </c>
      <c r="F225">
        <f t="shared" si="10"/>
        <v>0</v>
      </c>
      <c r="G225" s="67">
        <f ca="1">'Monte Carlo Stimulation'!$I$9</f>
        <v>-2.919314405717207E-2</v>
      </c>
      <c r="H225">
        <f t="shared" ca="1" si="11"/>
        <v>0</v>
      </c>
    </row>
    <row r="226" spans="1:8">
      <c r="A226" s="12">
        <v>45789</v>
      </c>
      <c r="B226" s="14">
        <v>8.9907659011621479E-3</v>
      </c>
      <c r="C226" s="67">
        <f>'Parametric VAR'!$F$13</f>
        <v>-2.8682193012943492E-2</v>
      </c>
      <c r="D226">
        <f t="shared" si="9"/>
        <v>0</v>
      </c>
      <c r="E226" s="67">
        <f>'Historical VAR'!$G$7</f>
        <v>-3.1428916759065853E-2</v>
      </c>
      <c r="F226">
        <f t="shared" si="10"/>
        <v>0</v>
      </c>
      <c r="G226" s="67">
        <f ca="1">'Monte Carlo Stimulation'!$I$9</f>
        <v>-2.919314405717207E-2</v>
      </c>
      <c r="H226">
        <f t="shared" ca="1" si="11"/>
        <v>0</v>
      </c>
    </row>
    <row r="227" spans="1:8">
      <c r="A227" s="12">
        <v>45786</v>
      </c>
      <c r="B227" s="14">
        <v>-2.0752718444158495E-2</v>
      </c>
      <c r="C227" s="67">
        <f>'Parametric VAR'!$F$13</f>
        <v>-2.8682193012943492E-2</v>
      </c>
      <c r="D227">
        <f t="shared" si="9"/>
        <v>0</v>
      </c>
      <c r="E227" s="67">
        <f>'Historical VAR'!$G$7</f>
        <v>-3.1428916759065853E-2</v>
      </c>
      <c r="F227">
        <f t="shared" si="10"/>
        <v>0</v>
      </c>
      <c r="G227" s="67">
        <f ca="1">'Monte Carlo Stimulation'!$I$9</f>
        <v>-2.919314405717207E-2</v>
      </c>
      <c r="H227">
        <f t="shared" ca="1" si="11"/>
        <v>0</v>
      </c>
    </row>
    <row r="228" spans="1:8">
      <c r="A228" s="12">
        <v>45785</v>
      </c>
      <c r="B228" s="14">
        <v>7.7299029053488574E-4</v>
      </c>
      <c r="C228" s="67">
        <f>'Parametric VAR'!$F$13</f>
        <v>-2.8682193012943492E-2</v>
      </c>
      <c r="D228">
        <f t="shared" si="9"/>
        <v>0</v>
      </c>
      <c r="E228" s="67">
        <f>'Historical VAR'!$G$7</f>
        <v>-3.1428916759065853E-2</v>
      </c>
      <c r="F228">
        <f t="shared" si="10"/>
        <v>0</v>
      </c>
      <c r="G228" s="67">
        <f ca="1">'Monte Carlo Stimulation'!$I$9</f>
        <v>-2.919314405717207E-2</v>
      </c>
      <c r="H228">
        <f t="shared" ca="1" si="11"/>
        <v>0</v>
      </c>
    </row>
    <row r="229" spans="1:8">
      <c r="A229" s="12">
        <v>45784</v>
      </c>
      <c r="B229" s="14">
        <v>1.2010060893070305E-2</v>
      </c>
      <c r="C229" s="67">
        <f>'Parametric VAR'!$F$13</f>
        <v>-2.8682193012943492E-2</v>
      </c>
      <c r="D229">
        <f t="shared" si="9"/>
        <v>0</v>
      </c>
      <c r="E229" s="67">
        <f>'Historical VAR'!$G$7</f>
        <v>-3.1428916759065853E-2</v>
      </c>
      <c r="F229">
        <f t="shared" si="10"/>
        <v>0</v>
      </c>
      <c r="G229" s="67">
        <f ca="1">'Monte Carlo Stimulation'!$I$9</f>
        <v>-2.919314405717207E-2</v>
      </c>
      <c r="H229">
        <f t="shared" ca="1" si="11"/>
        <v>0</v>
      </c>
    </row>
    <row r="230" spans="1:8">
      <c r="A230" s="12">
        <v>45783</v>
      </c>
      <c r="B230" s="14">
        <v>2.5619772532589458E-2</v>
      </c>
      <c r="C230" s="67">
        <f>'Parametric VAR'!$F$13</f>
        <v>-2.8682193012943492E-2</v>
      </c>
      <c r="D230">
        <f t="shared" si="9"/>
        <v>0</v>
      </c>
      <c r="E230" s="67">
        <f>'Historical VAR'!$G$7</f>
        <v>-3.1428916759065853E-2</v>
      </c>
      <c r="F230">
        <f t="shared" si="10"/>
        <v>0</v>
      </c>
      <c r="G230" s="67">
        <f ca="1">'Monte Carlo Stimulation'!$I$9</f>
        <v>-2.919314405717207E-2</v>
      </c>
      <c r="H230">
        <f t="shared" ca="1" si="11"/>
        <v>0</v>
      </c>
    </row>
    <row r="231" spans="1:8">
      <c r="A231" s="12">
        <v>45782</v>
      </c>
      <c r="B231" s="14">
        <v>1.0282078083477508E-2</v>
      </c>
      <c r="C231" s="67">
        <f>'Parametric VAR'!$F$13</f>
        <v>-2.8682193012943492E-2</v>
      </c>
      <c r="D231">
        <f t="shared" si="9"/>
        <v>0</v>
      </c>
      <c r="E231" s="67">
        <f>'Historical VAR'!$G$7</f>
        <v>-3.1428916759065853E-2</v>
      </c>
      <c r="F231">
        <f t="shared" si="10"/>
        <v>0</v>
      </c>
      <c r="G231" s="67">
        <f ca="1">'Monte Carlo Stimulation'!$I$9</f>
        <v>-2.919314405717207E-2</v>
      </c>
      <c r="H231">
        <f t="shared" ca="1" si="11"/>
        <v>0</v>
      </c>
    </row>
    <row r="232" spans="1:8">
      <c r="A232" s="12">
        <v>45779</v>
      </c>
      <c r="B232" s="14">
        <v>-1.2123321455080749E-2</v>
      </c>
      <c r="C232" s="67">
        <f>'Parametric VAR'!$F$13</f>
        <v>-2.8682193012943492E-2</v>
      </c>
      <c r="D232">
        <f t="shared" si="9"/>
        <v>0</v>
      </c>
      <c r="E232" s="67">
        <f>'Historical VAR'!$G$7</f>
        <v>-3.1428916759065853E-2</v>
      </c>
      <c r="F232">
        <f t="shared" si="10"/>
        <v>0</v>
      </c>
      <c r="G232" s="67">
        <f ca="1">'Monte Carlo Stimulation'!$I$9</f>
        <v>-2.919314405717207E-2</v>
      </c>
      <c r="H232">
        <f t="shared" ca="1" si="11"/>
        <v>0</v>
      </c>
    </row>
    <row r="233" spans="1:8">
      <c r="A233" s="12">
        <v>45777</v>
      </c>
      <c r="B233" s="14">
        <v>5.3947474227716164E-3</v>
      </c>
      <c r="C233" s="67">
        <f>'Parametric VAR'!$F$13</f>
        <v>-2.8682193012943492E-2</v>
      </c>
      <c r="D233">
        <f t="shared" si="9"/>
        <v>0</v>
      </c>
      <c r="E233" s="67">
        <f>'Historical VAR'!$G$7</f>
        <v>-3.1428916759065853E-2</v>
      </c>
      <c r="F233">
        <f t="shared" si="10"/>
        <v>0</v>
      </c>
      <c r="G233" s="67">
        <f ca="1">'Monte Carlo Stimulation'!$I$9</f>
        <v>-2.919314405717207E-2</v>
      </c>
      <c r="H233">
        <f t="shared" ca="1" si="11"/>
        <v>0</v>
      </c>
    </row>
    <row r="234" spans="1:8">
      <c r="A234" s="12">
        <v>45776</v>
      </c>
      <c r="B234" s="14">
        <v>1.1340488089291398E-2</v>
      </c>
      <c r="C234" s="67">
        <f>'Parametric VAR'!$F$13</f>
        <v>-2.8682193012943492E-2</v>
      </c>
      <c r="D234">
        <f t="shared" si="9"/>
        <v>0</v>
      </c>
      <c r="E234" s="67">
        <f>'Historical VAR'!$G$7</f>
        <v>-3.1428916759065853E-2</v>
      </c>
      <c r="F234">
        <f t="shared" si="10"/>
        <v>0</v>
      </c>
      <c r="G234" s="67">
        <f ca="1">'Monte Carlo Stimulation'!$I$9</f>
        <v>-2.919314405717207E-2</v>
      </c>
      <c r="H234">
        <f t="shared" ca="1" si="11"/>
        <v>0</v>
      </c>
    </row>
    <row r="235" spans="1:8">
      <c r="A235" s="12">
        <v>45775</v>
      </c>
      <c r="B235" s="14">
        <v>1.8803035126418867E-3</v>
      </c>
      <c r="C235" s="67">
        <f>'Parametric VAR'!$F$13</f>
        <v>-2.8682193012943492E-2</v>
      </c>
      <c r="D235">
        <f t="shared" si="9"/>
        <v>0</v>
      </c>
      <c r="E235" s="67">
        <f>'Historical VAR'!$G$7</f>
        <v>-3.1428916759065853E-2</v>
      </c>
      <c r="F235">
        <f t="shared" si="10"/>
        <v>0</v>
      </c>
      <c r="G235" s="67">
        <f ca="1">'Monte Carlo Stimulation'!$I$9</f>
        <v>-2.919314405717207E-2</v>
      </c>
      <c r="H235">
        <f t="shared" ca="1" si="11"/>
        <v>0</v>
      </c>
    </row>
    <row r="236" spans="1:8">
      <c r="A236" s="12">
        <v>45772</v>
      </c>
      <c r="B236" s="14">
        <v>-6.1975272606220426E-3</v>
      </c>
      <c r="C236" s="67">
        <f>'Parametric VAR'!$F$13</f>
        <v>-2.8682193012943492E-2</v>
      </c>
      <c r="D236">
        <f t="shared" si="9"/>
        <v>0</v>
      </c>
      <c r="E236" s="67">
        <f>'Historical VAR'!$G$7</f>
        <v>-3.1428916759065853E-2</v>
      </c>
      <c r="F236">
        <f t="shared" si="10"/>
        <v>0</v>
      </c>
      <c r="G236" s="67">
        <f ca="1">'Monte Carlo Stimulation'!$I$9</f>
        <v>-2.919314405717207E-2</v>
      </c>
      <c r="H236">
        <f t="shared" ca="1" si="11"/>
        <v>0</v>
      </c>
    </row>
    <row r="237" spans="1:8">
      <c r="A237" s="12">
        <v>45771</v>
      </c>
      <c r="B237" s="14">
        <v>1.977779695777962E-2</v>
      </c>
      <c r="C237" s="67">
        <f>'Parametric VAR'!$F$13</f>
        <v>-2.8682193012943492E-2</v>
      </c>
      <c r="D237">
        <f t="shared" si="9"/>
        <v>0</v>
      </c>
      <c r="E237" s="67">
        <f>'Historical VAR'!$G$7</f>
        <v>-3.1428916759065853E-2</v>
      </c>
      <c r="F237">
        <f t="shared" si="10"/>
        <v>0</v>
      </c>
      <c r="G237" s="67">
        <f ca="1">'Monte Carlo Stimulation'!$I$9</f>
        <v>-2.919314405717207E-2</v>
      </c>
      <c r="H237">
        <f t="shared" ca="1" si="11"/>
        <v>0</v>
      </c>
    </row>
    <row r="238" spans="1:8">
      <c r="A238" s="12">
        <v>45770</v>
      </c>
      <c r="B238" s="14">
        <v>-2.5667397145837747E-3</v>
      </c>
      <c r="C238" s="67">
        <f>'Parametric VAR'!$F$13</f>
        <v>-2.8682193012943492E-2</v>
      </c>
      <c r="D238">
        <f t="shared" si="9"/>
        <v>0</v>
      </c>
      <c r="E238" s="67">
        <f>'Historical VAR'!$G$7</f>
        <v>-3.1428916759065853E-2</v>
      </c>
      <c r="F238">
        <f t="shared" si="10"/>
        <v>0</v>
      </c>
      <c r="G238" s="67">
        <f ca="1">'Monte Carlo Stimulation'!$I$9</f>
        <v>-2.919314405717207E-2</v>
      </c>
      <c r="H238">
        <f t="shared" ca="1" si="11"/>
        <v>0</v>
      </c>
    </row>
    <row r="239" spans="1:8">
      <c r="A239" s="12">
        <v>45769</v>
      </c>
      <c r="B239" s="14">
        <v>-7.8611874917224097E-3</v>
      </c>
      <c r="C239" s="67">
        <f>'Parametric VAR'!$F$13</f>
        <v>-2.8682193012943492E-2</v>
      </c>
      <c r="D239">
        <f t="shared" si="9"/>
        <v>0</v>
      </c>
      <c r="E239" s="67">
        <f>'Historical VAR'!$G$7</f>
        <v>-3.1428916759065853E-2</v>
      </c>
      <c r="F239">
        <f t="shared" si="10"/>
        <v>0</v>
      </c>
      <c r="G239" s="67">
        <f ca="1">'Monte Carlo Stimulation'!$I$9</f>
        <v>-2.919314405717207E-2</v>
      </c>
      <c r="H239">
        <f t="shared" ca="1" si="11"/>
        <v>0</v>
      </c>
    </row>
    <row r="240" spans="1:8">
      <c r="A240" s="12">
        <v>45768</v>
      </c>
      <c r="B240" s="14">
        <v>-4.6470032402390789E-3</v>
      </c>
      <c r="C240" s="67">
        <f>'Parametric VAR'!$F$13</f>
        <v>-2.8682193012943492E-2</v>
      </c>
      <c r="D240">
        <f t="shared" si="9"/>
        <v>0</v>
      </c>
      <c r="E240" s="67">
        <f>'Historical VAR'!$G$7</f>
        <v>-3.1428916759065853E-2</v>
      </c>
      <c r="F240">
        <f t="shared" si="10"/>
        <v>0</v>
      </c>
      <c r="G240" s="67">
        <f ca="1">'Monte Carlo Stimulation'!$I$9</f>
        <v>-2.919314405717207E-2</v>
      </c>
      <c r="H240">
        <f t="shared" ca="1" si="11"/>
        <v>0</v>
      </c>
    </row>
    <row r="241" spans="1:8">
      <c r="A241" s="12">
        <v>45764</v>
      </c>
      <c r="B241" s="14">
        <v>1.7751283730334535E-3</v>
      </c>
      <c r="C241" s="67">
        <f>'Parametric VAR'!$F$13</f>
        <v>-2.8682193012943492E-2</v>
      </c>
      <c r="D241">
        <f t="shared" si="9"/>
        <v>0</v>
      </c>
      <c r="E241" s="67">
        <f>'Historical VAR'!$G$7</f>
        <v>-3.1428916759065853E-2</v>
      </c>
      <c r="F241">
        <f t="shared" si="10"/>
        <v>0</v>
      </c>
      <c r="G241" s="67">
        <f ca="1">'Monte Carlo Stimulation'!$I$9</f>
        <v>-2.919314405717207E-2</v>
      </c>
      <c r="H241">
        <f t="shared" ca="1" si="11"/>
        <v>0</v>
      </c>
    </row>
    <row r="242" spans="1:8">
      <c r="A242" s="12">
        <v>45763</v>
      </c>
      <c r="B242" s="14">
        <v>-2.3505267361828741E-3</v>
      </c>
      <c r="C242" s="67">
        <f>'Parametric VAR'!$F$13</f>
        <v>-2.8682193012943492E-2</v>
      </c>
      <c r="D242">
        <f t="shared" si="9"/>
        <v>0</v>
      </c>
      <c r="E242" s="67">
        <f>'Historical VAR'!$G$7</f>
        <v>-3.1428916759065853E-2</v>
      </c>
      <c r="F242">
        <f t="shared" si="10"/>
        <v>0</v>
      </c>
      <c r="G242" s="67">
        <f ca="1">'Monte Carlo Stimulation'!$I$9</f>
        <v>-2.919314405717207E-2</v>
      </c>
      <c r="H242">
        <f t="shared" ca="1" si="11"/>
        <v>0</v>
      </c>
    </row>
    <row r="243" spans="1:8">
      <c r="A243" s="12">
        <v>45762</v>
      </c>
      <c r="B243" s="14">
        <v>-1.9603928549092056E-2</v>
      </c>
      <c r="C243" s="67">
        <f>'Parametric VAR'!$F$13</f>
        <v>-2.8682193012943492E-2</v>
      </c>
      <c r="D243">
        <f t="shared" si="9"/>
        <v>0</v>
      </c>
      <c r="E243" s="67">
        <f>'Historical VAR'!$G$7</f>
        <v>-3.1428916759065853E-2</v>
      </c>
      <c r="F243">
        <f t="shared" si="10"/>
        <v>0</v>
      </c>
      <c r="G243" s="67">
        <f ca="1">'Monte Carlo Stimulation'!$I$9</f>
        <v>-2.919314405717207E-2</v>
      </c>
      <c r="H243">
        <f t="shared" ca="1" si="11"/>
        <v>0</v>
      </c>
    </row>
    <row r="244" spans="1:8">
      <c r="A244" s="12">
        <v>45758</v>
      </c>
      <c r="B244" s="14">
        <v>-6.7943816935148857E-3</v>
      </c>
      <c r="C244" s="67">
        <f>'Parametric VAR'!$F$13</f>
        <v>-2.8682193012943492E-2</v>
      </c>
      <c r="D244">
        <f t="shared" si="9"/>
        <v>0</v>
      </c>
      <c r="E244" s="67">
        <f>'Historical VAR'!$G$7</f>
        <v>-3.1428916759065853E-2</v>
      </c>
      <c r="F244">
        <f t="shared" si="10"/>
        <v>0</v>
      </c>
      <c r="G244" s="67">
        <f ca="1">'Monte Carlo Stimulation'!$I$9</f>
        <v>-2.919314405717207E-2</v>
      </c>
      <c r="H244">
        <f t="shared" ca="1" si="11"/>
        <v>0</v>
      </c>
    </row>
    <row r="245" spans="1:8">
      <c r="A245" s="12">
        <v>45756</v>
      </c>
      <c r="B245" s="14">
        <v>3.939931840887697E-3</v>
      </c>
      <c r="C245" s="67">
        <f>'Parametric VAR'!$F$13</f>
        <v>-2.8682193012943492E-2</v>
      </c>
      <c r="D245">
        <f t="shared" si="9"/>
        <v>0</v>
      </c>
      <c r="E245" s="67">
        <f>'Historical VAR'!$G$7</f>
        <v>-3.1428916759065853E-2</v>
      </c>
      <c r="F245">
        <f t="shared" si="10"/>
        <v>0</v>
      </c>
      <c r="G245" s="67">
        <f ca="1">'Monte Carlo Stimulation'!$I$9</f>
        <v>-2.919314405717207E-2</v>
      </c>
      <c r="H245">
        <f t="shared" ca="1" si="11"/>
        <v>0</v>
      </c>
    </row>
    <row r="246" spans="1:8">
      <c r="A246" s="12">
        <v>45755</v>
      </c>
      <c r="B246" s="14">
        <v>-4.0955107213314999E-3</v>
      </c>
      <c r="C246" s="67">
        <f>'Parametric VAR'!$F$13</f>
        <v>-2.8682193012943492E-2</v>
      </c>
      <c r="D246">
        <f t="shared" si="9"/>
        <v>0</v>
      </c>
      <c r="E246" s="67">
        <f>'Historical VAR'!$G$7</f>
        <v>-3.1428916759065853E-2</v>
      </c>
      <c r="F246">
        <f t="shared" si="10"/>
        <v>0</v>
      </c>
      <c r="G246" s="67">
        <f ca="1">'Monte Carlo Stimulation'!$I$9</f>
        <v>-2.919314405717207E-2</v>
      </c>
      <c r="H246">
        <f t="shared" ca="1" si="11"/>
        <v>0</v>
      </c>
    </row>
    <row r="247" spans="1:8">
      <c r="A247" s="12">
        <v>45754</v>
      </c>
      <c r="B247" s="14">
        <v>-2.7493650211907878E-2</v>
      </c>
      <c r="C247" s="67">
        <f>'Parametric VAR'!$F$13</f>
        <v>-2.8682193012943492E-2</v>
      </c>
      <c r="D247">
        <f t="shared" si="9"/>
        <v>0</v>
      </c>
      <c r="E247" s="67">
        <f>'Historical VAR'!$G$7</f>
        <v>-3.1428916759065853E-2</v>
      </c>
      <c r="F247">
        <f t="shared" si="10"/>
        <v>0</v>
      </c>
      <c r="G247" s="67">
        <f ca="1">'Monte Carlo Stimulation'!$I$9</f>
        <v>-2.919314405717207E-2</v>
      </c>
      <c r="H247">
        <f t="shared" ca="1" si="11"/>
        <v>0</v>
      </c>
    </row>
    <row r="248" spans="1:8">
      <c r="A248" s="12">
        <v>45751</v>
      </c>
      <c r="B248" s="14">
        <v>7.8790493162678513E-3</v>
      </c>
      <c r="C248" s="67">
        <f>'Parametric VAR'!$F$13</f>
        <v>-2.8682193012943492E-2</v>
      </c>
      <c r="D248">
        <f t="shared" si="9"/>
        <v>0</v>
      </c>
      <c r="E248" s="67">
        <f>'Historical VAR'!$G$7</f>
        <v>-3.1428916759065853E-2</v>
      </c>
      <c r="F248">
        <f t="shared" si="10"/>
        <v>0</v>
      </c>
      <c r="G248" s="67">
        <f ca="1">'Monte Carlo Stimulation'!$I$9</f>
        <v>-2.919314405717207E-2</v>
      </c>
      <c r="H248">
        <f t="shared" ca="1" si="11"/>
        <v>0</v>
      </c>
    </row>
    <row r="249" spans="1:8">
      <c r="A249" s="12">
        <v>45750</v>
      </c>
      <c r="B249" s="14">
        <v>-7.5878845586330656E-4</v>
      </c>
      <c r="C249" s="67">
        <f>'Parametric VAR'!$F$13</f>
        <v>-2.8682193012943492E-2</v>
      </c>
      <c r="D249">
        <f t="shared" si="9"/>
        <v>0</v>
      </c>
      <c r="E249" s="67">
        <f>'Historical VAR'!$G$7</f>
        <v>-3.1428916759065853E-2</v>
      </c>
      <c r="F249">
        <f t="shared" si="10"/>
        <v>0</v>
      </c>
      <c r="G249" s="67">
        <f ca="1">'Monte Carlo Stimulation'!$I$9</f>
        <v>-2.919314405717207E-2</v>
      </c>
      <c r="H249">
        <f t="shared" ca="1" si="11"/>
        <v>0</v>
      </c>
    </row>
    <row r="250" spans="1:8">
      <c r="A250" s="12">
        <v>45749</v>
      </c>
      <c r="B250" s="14">
        <v>-1.6424859280104231E-2</v>
      </c>
      <c r="C250" s="67">
        <f>'Parametric VAR'!$F$13</f>
        <v>-2.8682193012943492E-2</v>
      </c>
      <c r="D250">
        <f t="shared" si="9"/>
        <v>0</v>
      </c>
      <c r="E250" s="67">
        <f>'Historical VAR'!$G$7</f>
        <v>-3.1428916759065853E-2</v>
      </c>
      <c r="F250">
        <f t="shared" si="10"/>
        <v>0</v>
      </c>
      <c r="G250" s="67">
        <f ca="1">'Monte Carlo Stimulation'!$I$9</f>
        <v>-2.919314405717207E-2</v>
      </c>
      <c r="H250">
        <f t="shared" ca="1" si="11"/>
        <v>0</v>
      </c>
    </row>
    <row r="251" spans="1:8">
      <c r="A251" s="12">
        <v>45748</v>
      </c>
      <c r="B251" s="14">
        <v>-1.4911250998939306E-3</v>
      </c>
      <c r="C251" s="67">
        <f>'Parametric VAR'!$F$13</f>
        <v>-2.8682193012943492E-2</v>
      </c>
      <c r="D251">
        <f t="shared" si="9"/>
        <v>0</v>
      </c>
      <c r="E251" s="67">
        <f>'Historical VAR'!$G$7</f>
        <v>-3.1428916759065853E-2</v>
      </c>
      <c r="F251">
        <f t="shared" si="10"/>
        <v>0</v>
      </c>
      <c r="G251" s="67">
        <f ca="1">'Monte Carlo Stimulation'!$I$9</f>
        <v>-2.919314405717207E-2</v>
      </c>
      <c r="H251">
        <f t="shared" ca="1" si="11"/>
        <v>0</v>
      </c>
    </row>
    <row r="252" spans="1:8">
      <c r="A252" s="12">
        <v>45744</v>
      </c>
      <c r="B252" s="14">
        <v>9.0339660829036762E-3</v>
      </c>
      <c r="C252" s="67">
        <f>'Parametric VAR'!$F$13</f>
        <v>-2.8682193012943492E-2</v>
      </c>
      <c r="D252">
        <f t="shared" si="9"/>
        <v>0</v>
      </c>
      <c r="E252" s="67">
        <f>'Historical VAR'!$G$7</f>
        <v>-3.1428916759065853E-2</v>
      </c>
      <c r="F252">
        <f t="shared" si="10"/>
        <v>0</v>
      </c>
      <c r="G252" s="67">
        <f ca="1">'Monte Carlo Stimulation'!$I$9</f>
        <v>-2.919314405717207E-2</v>
      </c>
      <c r="H252">
        <f t="shared" ca="1" si="11"/>
        <v>0</v>
      </c>
    </row>
    <row r="253" spans="1:8">
      <c r="A253" s="12">
        <v>45743</v>
      </c>
      <c r="B253" s="14">
        <v>1.2235303294085573E-3</v>
      </c>
      <c r="C253" s="67">
        <f>'Parametric VAR'!$F$13</f>
        <v>-2.8682193012943492E-2</v>
      </c>
      <c r="D253">
        <f t="shared" si="9"/>
        <v>0</v>
      </c>
      <c r="E253" s="67">
        <f>'Historical VAR'!$G$7</f>
        <v>-3.1428916759065853E-2</v>
      </c>
      <c r="F253">
        <f t="shared" si="10"/>
        <v>0</v>
      </c>
      <c r="G253" s="67">
        <f ca="1">'Monte Carlo Stimulation'!$I$9</f>
        <v>-2.919314405717207E-2</v>
      </c>
      <c r="H253">
        <f t="shared" ca="1" si="11"/>
        <v>0</v>
      </c>
    </row>
    <row r="254" spans="1:8">
      <c r="A254" s="12">
        <v>45742</v>
      </c>
      <c r="B254" s="14">
        <v>-8.3309796026855773E-3</v>
      </c>
      <c r="C254" s="67">
        <f>'Parametric VAR'!$F$13</f>
        <v>-2.8682193012943492E-2</v>
      </c>
      <c r="D254">
        <f t="shared" si="9"/>
        <v>0</v>
      </c>
      <c r="E254" s="67">
        <f>'Historical VAR'!$G$7</f>
        <v>-3.1428916759065853E-2</v>
      </c>
      <c r="F254">
        <f t="shared" si="10"/>
        <v>0</v>
      </c>
      <c r="G254" s="67">
        <f ca="1">'Monte Carlo Stimulation'!$I$9</f>
        <v>-2.919314405717207E-2</v>
      </c>
      <c r="H254">
        <f t="shared" ca="1" si="11"/>
        <v>0</v>
      </c>
    </row>
    <row r="255" spans="1:8">
      <c r="A255" s="12">
        <v>45741</v>
      </c>
      <c r="B255" s="14">
        <v>3.2043378588071064E-3</v>
      </c>
      <c r="C255" s="67">
        <f>'Parametric VAR'!$F$13</f>
        <v>-2.8682193012943492E-2</v>
      </c>
      <c r="D255">
        <f t="shared" si="9"/>
        <v>0</v>
      </c>
      <c r="E255" s="67">
        <f>'Historical VAR'!$G$7</f>
        <v>-3.1428916759065853E-2</v>
      </c>
      <c r="F255">
        <f t="shared" si="10"/>
        <v>0</v>
      </c>
      <c r="G255" s="67">
        <f ca="1">'Monte Carlo Stimulation'!$I$9</f>
        <v>-2.919314405717207E-2</v>
      </c>
      <c r="H255">
        <f t="shared" ca="1" si="11"/>
        <v>0</v>
      </c>
    </row>
    <row r="256" spans="1:8">
      <c r="A256" s="12">
        <v>45740</v>
      </c>
      <c r="B256" s="14">
        <v>2.8724662757673679E-3</v>
      </c>
      <c r="C256" s="67">
        <f>'Parametric VAR'!$F$13</f>
        <v>-2.8682193012943492E-2</v>
      </c>
      <c r="D256">
        <f t="shared" si="9"/>
        <v>0</v>
      </c>
      <c r="E256" s="67">
        <f>'Historical VAR'!$G$7</f>
        <v>-3.1428916759065853E-2</v>
      </c>
      <c r="F256">
        <f t="shared" si="10"/>
        <v>0</v>
      </c>
      <c r="G256" s="67">
        <f ca="1">'Monte Carlo Stimulation'!$I$9</f>
        <v>-2.919314405717207E-2</v>
      </c>
      <c r="H256">
        <f t="shared" ca="1" si="11"/>
        <v>0</v>
      </c>
    </row>
    <row r="257" spans="1:7">
      <c r="A257" s="12"/>
      <c r="B257" s="14"/>
      <c r="C257" s="67"/>
      <c r="E257" s="67"/>
      <c r="G257" s="67"/>
    </row>
    <row r="258" spans="1:7">
      <c r="A258" s="12"/>
      <c r="B258" s="14"/>
      <c r="C258" s="67"/>
      <c r="E258" s="67"/>
      <c r="G258" s="67"/>
    </row>
    <row r="259" spans="1:7">
      <c r="A259" s="12"/>
      <c r="B259" s="14"/>
      <c r="C259" s="67"/>
      <c r="E259" s="67"/>
      <c r="G259" s="67"/>
    </row>
    <row r="260" spans="1:7">
      <c r="A260" s="12"/>
      <c r="B260" s="14"/>
      <c r="C260" s="67"/>
      <c r="E260" s="67"/>
      <c r="G260" s="67"/>
    </row>
    <row r="261" spans="1:7">
      <c r="A261" s="12"/>
      <c r="B261" s="14"/>
      <c r="C261" s="67"/>
      <c r="E261" s="67"/>
      <c r="G261" s="67"/>
    </row>
    <row r="262" spans="1:7">
      <c r="A262" s="12"/>
      <c r="B262" s="14"/>
      <c r="C262" s="67"/>
      <c r="E262" s="67"/>
      <c r="G262" s="67"/>
    </row>
    <row r="263" spans="1:7">
      <c r="A263" s="12"/>
      <c r="B263" s="14"/>
      <c r="C263" s="67"/>
      <c r="E263" s="67"/>
      <c r="G263" s="67"/>
    </row>
    <row r="264" spans="1:7">
      <c r="A264" s="12"/>
      <c r="B264" s="14"/>
      <c r="C264" s="67"/>
      <c r="E264" s="67"/>
      <c r="G264" s="67"/>
    </row>
    <row r="265" spans="1:7">
      <c r="A265" s="12"/>
      <c r="B265" s="14"/>
      <c r="C265" s="67"/>
      <c r="E265" s="67"/>
      <c r="G265" s="67"/>
    </row>
    <row r="266" spans="1:7">
      <c r="A266" s="12"/>
      <c r="B266" s="14"/>
      <c r="C266" s="67"/>
      <c r="E266" s="67"/>
      <c r="G266" s="67"/>
    </row>
  </sheetData>
  <mergeCells count="4">
    <mergeCell ref="C3:D3"/>
    <mergeCell ref="E3:F3"/>
    <mergeCell ref="G3:H3"/>
    <mergeCell ref="K4:L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12EB4-A977-4812-9604-B0D81CFA7881}">
  <dimension ref="A2:F12"/>
  <sheetViews>
    <sheetView showGridLines="0" tabSelected="1" topLeftCell="A6" workbookViewId="0">
      <selection activeCell="N44" sqref="N44"/>
    </sheetView>
  </sheetViews>
  <sheetFormatPr defaultRowHeight="14.4"/>
  <cols>
    <col min="1" max="1" width="17.6640625" customWidth="1"/>
    <col min="2" max="2" width="16.21875" customWidth="1"/>
    <col min="4" max="4" width="11.44140625" customWidth="1"/>
    <col min="5" max="5" width="11" customWidth="1"/>
    <col min="6" max="6" width="10.21875" customWidth="1"/>
  </cols>
  <sheetData>
    <row r="2" spans="1:6" ht="14.4" customHeight="1">
      <c r="A2" s="84" t="s">
        <v>3638</v>
      </c>
      <c r="B2" s="84"/>
      <c r="D2" s="85" t="s">
        <v>3641</v>
      </c>
      <c r="E2" s="85"/>
      <c r="F2" s="85"/>
    </row>
    <row r="3" spans="1:6" ht="14.4" customHeight="1">
      <c r="A3" s="78" t="s">
        <v>3579</v>
      </c>
      <c r="B3" s="79">
        <f>'Parametric VAR'!F4</f>
        <v>10000000</v>
      </c>
      <c r="D3" s="77" t="s">
        <v>3601</v>
      </c>
      <c r="E3" s="77" t="s">
        <v>3639</v>
      </c>
      <c r="F3" s="77" t="s">
        <v>3640</v>
      </c>
    </row>
    <row r="4" spans="1:6" ht="14.4" customHeight="1">
      <c r="A4" s="78" t="s">
        <v>3633</v>
      </c>
      <c r="B4" s="80">
        <f>7</f>
        <v>7</v>
      </c>
      <c r="D4" s="78" t="s">
        <v>3630</v>
      </c>
      <c r="E4" s="82">
        <f>'Parametric VAR'!F12</f>
        <v>-2.023068247926026E-2</v>
      </c>
      <c r="F4" s="82">
        <f>'Parametric VAR'!F13</f>
        <v>-2.8682193012943492E-2</v>
      </c>
    </row>
    <row r="5" spans="1:6" ht="14.4" customHeight="1">
      <c r="A5" s="78" t="s">
        <v>3634</v>
      </c>
      <c r="B5" s="80" t="s">
        <v>3637</v>
      </c>
      <c r="D5" s="78" t="s">
        <v>3631</v>
      </c>
      <c r="E5" s="82">
        <f>'Historical VAR'!G6</f>
        <v>-1.9839729167757107E-2</v>
      </c>
      <c r="F5" s="83">
        <f>'Historical VAR'!G7</f>
        <v>-3.1428916759065853E-2</v>
      </c>
    </row>
    <row r="6" spans="1:6" ht="14.4" customHeight="1">
      <c r="A6" s="78" t="s">
        <v>3635</v>
      </c>
      <c r="B6" s="80">
        <f>1239</f>
        <v>1239</v>
      </c>
      <c r="D6" s="78" t="s">
        <v>3632</v>
      </c>
      <c r="E6" s="83">
        <f ca="1">'Monte Carlo Stimulation'!I8</f>
        <v>-2.1559270710709389E-2</v>
      </c>
      <c r="F6" s="83">
        <f ca="1">'Monte Carlo Stimulation'!I9</f>
        <v>-2.919314405717207E-2</v>
      </c>
    </row>
    <row r="7" spans="1:6" ht="14.4" customHeight="1">
      <c r="A7" s="78" t="s">
        <v>3636</v>
      </c>
      <c r="B7" s="81">
        <f>'Parametric VAR'!F5</f>
        <v>1.6787233454796264E-4</v>
      </c>
    </row>
    <row r="8" spans="1:6" ht="14.4" customHeight="1">
      <c r="A8" s="78" t="s">
        <v>3590</v>
      </c>
      <c r="B8" s="81">
        <f>'Parametric VAR'!F6</f>
        <v>1.2401440760181411E-2</v>
      </c>
      <c r="D8" s="85" t="s">
        <v>3642</v>
      </c>
      <c r="E8" s="85"/>
      <c r="F8" s="85"/>
    </row>
    <row r="9" spans="1:6">
      <c r="D9" s="77" t="s">
        <v>3601</v>
      </c>
      <c r="E9" s="77" t="s">
        <v>3621</v>
      </c>
      <c r="F9" s="77" t="s">
        <v>3622</v>
      </c>
    </row>
    <row r="10" spans="1:6">
      <c r="D10" s="78" t="s">
        <v>3630</v>
      </c>
      <c r="E10" s="78">
        <f>'Basel Traffic Light Test'!L11</f>
        <v>6</v>
      </c>
      <c r="F10" s="75"/>
    </row>
    <row r="11" spans="1:6">
      <c r="D11" s="78" t="s">
        <v>3631</v>
      </c>
      <c r="E11" s="78">
        <f>'Basel Traffic Light Test'!L12</f>
        <v>5</v>
      </c>
      <c r="F11" s="75"/>
    </row>
    <row r="12" spans="1:6">
      <c r="D12" s="78" t="s">
        <v>3632</v>
      </c>
      <c r="E12" s="78">
        <f ca="1">'Basel Traffic Light Test'!L13</f>
        <v>6</v>
      </c>
      <c r="F12" s="75"/>
    </row>
  </sheetData>
  <mergeCells count="3">
    <mergeCell ref="A2:B2"/>
    <mergeCell ref="D2:F2"/>
    <mergeCell ref="D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Data</vt:lpstr>
      <vt:lpstr>Returns</vt:lpstr>
      <vt:lpstr>Portfolio Returns</vt:lpstr>
      <vt:lpstr>Parametric VAR</vt:lpstr>
      <vt:lpstr>Historical VAR</vt:lpstr>
      <vt:lpstr>Monte Carlo Stimulation</vt:lpstr>
      <vt:lpstr>Model Comparison</vt:lpstr>
      <vt:lpstr>Backtesting</vt:lpstr>
      <vt:lpstr>Basel Traffic Light Test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AKANCHHA NAYAK</dc:creator>
  <cp:lastModifiedBy>AKANCHHA NAYAK</cp:lastModifiedBy>
  <dcterms:created xsi:type="dcterms:W3CDTF">2026-04-05T06:10:27Z</dcterms:created>
  <dcterms:modified xsi:type="dcterms:W3CDTF">2026-07-03T06:33:11Z</dcterms:modified>
</cp:coreProperties>
</file>